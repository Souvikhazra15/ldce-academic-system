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C2C - PS - 108 - NBA\"/>
    </mc:Choice>
  </mc:AlternateContent>
  <xr:revisionPtr revIDLastSave="0" documentId="13_ncr:1_{3CDFDFE1-1CBC-4438-82F5-8D473F1096F3}" xr6:coauthVersionLast="47" xr6:coauthVersionMax="47" xr10:uidLastSave="{00000000-0000-0000-0000-000000000000}"/>
  <bookViews>
    <workbookView xWindow="-108" yWindow="-108" windowWidth="23256" windowHeight="13176" tabRatio="961" activeTab="1" xr2:uid="{00000000-000D-0000-FFFF-FFFF00000000}"/>
  </bookViews>
  <sheets>
    <sheet name="CO-PO mapping summary" sheetId="10" r:id="rId1"/>
    <sheet name="COPO_Th_Pr_Oth" sheetId="11" r:id="rId2"/>
    <sheet name="Lesson Planning" sheetId="12" r:id="rId3"/>
    <sheet name="Lab Planning" sheetId="13" r:id="rId4"/>
    <sheet name="CO-PO-PSO" sheetId="14" r:id="rId5"/>
    <sheet name="CO-PO Mapping" sheetId="1" r:id="rId6"/>
    <sheet name="Students Details" sheetId="2" r:id="rId7"/>
    <sheet name="M Component" sheetId="3" r:id="rId8"/>
    <sheet name="I Component" sheetId="4" r:id="rId9"/>
    <sheet name="M" sheetId="5" r:id="rId10"/>
    <sheet name="I" sheetId="6" r:id="rId11"/>
    <sheet name="E" sheetId="7" r:id="rId12"/>
    <sheet name="V" sheetId="8" r:id="rId13"/>
    <sheet name="Attainment" sheetId="9" r:id="rId14"/>
  </sheets>
  <externalReferences>
    <externalReference r:id="rId15"/>
  </externalReferences>
  <definedNames>
    <definedName name="_xlnm.Print_Area" localSheetId="1">COPO_Th_Pr_Oth!$A$1:$X$71</definedName>
    <definedName name="_xlnm.Print_Area" localSheetId="4">'CO-PO-PSO'!$A$1:$B$39</definedName>
    <definedName name="_xlnm.Print_Titles" localSheetId="1">COPO_Th_Pr_Oth!$1:$4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 roundtripDataChecksum="slyCpTBAvMwz+irvHBx9j9gRCsE25hCYWkL5SZb2Sdg="/>
    </ext>
  </extLst>
</workbook>
</file>

<file path=xl/calcChain.xml><?xml version="1.0" encoding="utf-8"?>
<calcChain xmlns="http://schemas.openxmlformats.org/spreadsheetml/2006/main">
  <c r="J70" i="1" l="1"/>
  <c r="J71" i="1"/>
  <c r="J72" i="1"/>
  <c r="J74" i="1"/>
  <c r="J26" i="9"/>
  <c r="N26" i="9"/>
  <c r="O26" i="9"/>
  <c r="P26" i="9"/>
  <c r="A5" i="14"/>
  <c r="A4" i="14"/>
  <c r="A3" i="14"/>
  <c r="A2" i="14"/>
  <c r="A1" i="14"/>
  <c r="C23" i="13"/>
  <c r="B23" i="13"/>
  <c r="A23" i="13"/>
  <c r="C22" i="13"/>
  <c r="B22" i="13"/>
  <c r="A22" i="13"/>
  <c r="C21" i="13"/>
  <c r="B21" i="13"/>
  <c r="A21" i="13"/>
  <c r="C20" i="13"/>
  <c r="B20" i="13"/>
  <c r="A20" i="13"/>
  <c r="C19" i="13"/>
  <c r="B19" i="13"/>
  <c r="A19" i="13"/>
  <c r="C18" i="13"/>
  <c r="B18" i="13"/>
  <c r="A18" i="13"/>
  <c r="C17" i="13"/>
  <c r="B17" i="13"/>
  <c r="A17" i="13"/>
  <c r="C16" i="13"/>
  <c r="B16" i="13"/>
  <c r="A16" i="13"/>
  <c r="C15" i="13"/>
  <c r="B15" i="13"/>
  <c r="A15" i="13"/>
  <c r="C14" i="13"/>
  <c r="B14" i="13"/>
  <c r="A14" i="13"/>
  <c r="C13" i="13"/>
  <c r="B13" i="13"/>
  <c r="A13" i="13"/>
  <c r="C12" i="13"/>
  <c r="B12" i="13"/>
  <c r="A12" i="13"/>
  <c r="C11" i="13"/>
  <c r="B11" i="13"/>
  <c r="A11" i="13"/>
  <c r="C10" i="13"/>
  <c r="B10" i="13"/>
  <c r="A10" i="13"/>
  <c r="C9" i="13"/>
  <c r="B9" i="13"/>
  <c r="A9" i="13"/>
  <c r="C8" i="13"/>
  <c r="B8" i="13"/>
  <c r="A8" i="13"/>
  <c r="B5" i="13"/>
  <c r="B4" i="13"/>
  <c r="B3" i="13"/>
  <c r="D57" i="12"/>
  <c r="B57" i="12"/>
  <c r="A57" i="12"/>
  <c r="D56" i="12"/>
  <c r="B56" i="12"/>
  <c r="A56" i="12"/>
  <c r="D55" i="12"/>
  <c r="B55" i="12"/>
  <c r="A55" i="12"/>
  <c r="D54" i="12"/>
  <c r="B54" i="12"/>
  <c r="A54" i="12"/>
  <c r="D53" i="12"/>
  <c r="B53" i="12"/>
  <c r="A53" i="12"/>
  <c r="D52" i="12"/>
  <c r="B52" i="12"/>
  <c r="A52" i="12"/>
  <c r="D51" i="12"/>
  <c r="B51" i="12"/>
  <c r="A51" i="12"/>
  <c r="D50" i="12"/>
  <c r="C49" i="12" s="1"/>
  <c r="B50" i="12"/>
  <c r="A50" i="12"/>
  <c r="D49" i="12"/>
  <c r="B49" i="12"/>
  <c r="A49" i="12"/>
  <c r="D48" i="12"/>
  <c r="B48" i="12"/>
  <c r="A48" i="12"/>
  <c r="D47" i="12"/>
  <c r="B47" i="12"/>
  <c r="A47" i="12"/>
  <c r="D46" i="12"/>
  <c r="B46" i="12"/>
  <c r="A46" i="12"/>
  <c r="D45" i="12"/>
  <c r="B45" i="12"/>
  <c r="A45" i="12"/>
  <c r="D44" i="12"/>
  <c r="B44" i="12"/>
  <c r="A44" i="12"/>
  <c r="D43" i="12"/>
  <c r="B43" i="12"/>
  <c r="A43" i="12"/>
  <c r="D42" i="12"/>
  <c r="B42" i="12"/>
  <c r="A42" i="12"/>
  <c r="D41" i="12"/>
  <c r="B41" i="12"/>
  <c r="A41" i="12"/>
  <c r="D40" i="12"/>
  <c r="B40" i="12"/>
  <c r="A40" i="12"/>
  <c r="D39" i="12"/>
  <c r="B39" i="12"/>
  <c r="A39" i="12"/>
  <c r="D38" i="12"/>
  <c r="B38" i="12"/>
  <c r="A38" i="12"/>
  <c r="D37" i="12"/>
  <c r="B37" i="12"/>
  <c r="A37" i="12"/>
  <c r="D36" i="12"/>
  <c r="B36" i="12"/>
  <c r="A36" i="12"/>
  <c r="D35" i="12"/>
  <c r="B35" i="12"/>
  <c r="A35" i="12"/>
  <c r="D34" i="12"/>
  <c r="B34" i="12"/>
  <c r="A34" i="12"/>
  <c r="D33" i="12"/>
  <c r="B33" i="12"/>
  <c r="A33" i="12"/>
  <c r="D32" i="12"/>
  <c r="B32" i="12"/>
  <c r="A32" i="12"/>
  <c r="D31" i="12"/>
  <c r="B31" i="12"/>
  <c r="A31" i="12"/>
  <c r="D30" i="12"/>
  <c r="B30" i="12"/>
  <c r="A30" i="12"/>
  <c r="D29" i="12"/>
  <c r="B29" i="12"/>
  <c r="A29" i="12"/>
  <c r="D28" i="12"/>
  <c r="B28" i="12"/>
  <c r="A28" i="12"/>
  <c r="D27" i="12"/>
  <c r="B27" i="12"/>
  <c r="A27" i="12"/>
  <c r="D26" i="12"/>
  <c r="B26" i="12"/>
  <c r="A26" i="12"/>
  <c r="D25" i="12"/>
  <c r="B25" i="12"/>
  <c r="A25" i="12"/>
  <c r="D24" i="12"/>
  <c r="B24" i="12"/>
  <c r="A24" i="12"/>
  <c r="D23" i="12"/>
  <c r="B23" i="12"/>
  <c r="A23" i="12"/>
  <c r="D22" i="12"/>
  <c r="B22" i="12"/>
  <c r="A22" i="12"/>
  <c r="D21" i="12"/>
  <c r="B21" i="12"/>
  <c r="A21" i="12"/>
  <c r="D20" i="12"/>
  <c r="B20" i="12"/>
  <c r="A20" i="12"/>
  <c r="D19" i="12"/>
  <c r="B19" i="12"/>
  <c r="A19" i="12"/>
  <c r="D18" i="12"/>
  <c r="B18" i="12"/>
  <c r="A18" i="12"/>
  <c r="D17" i="12"/>
  <c r="B17" i="12"/>
  <c r="A17" i="12"/>
  <c r="D16" i="12"/>
  <c r="B16" i="12"/>
  <c r="A16" i="12"/>
  <c r="D15" i="12"/>
  <c r="B15" i="12"/>
  <c r="A15" i="12"/>
  <c r="D14" i="12"/>
  <c r="B14" i="12"/>
  <c r="A14" i="12"/>
  <c r="D13" i="12"/>
  <c r="B13" i="12"/>
  <c r="A13" i="12"/>
  <c r="D12" i="12"/>
  <c r="B12" i="12"/>
  <c r="A12" i="12"/>
  <c r="D11" i="12"/>
  <c r="B11" i="12"/>
  <c r="A11" i="12"/>
  <c r="D10" i="12"/>
  <c r="B10" i="12"/>
  <c r="A10" i="12"/>
  <c r="D9" i="12"/>
  <c r="B9" i="12"/>
  <c r="A9" i="12"/>
  <c r="B8" i="12"/>
  <c r="A8" i="12"/>
  <c r="B5" i="12"/>
  <c r="B4" i="12"/>
  <c r="B3" i="12"/>
  <c r="DA113" i="11"/>
  <c r="CZ113" i="11"/>
  <c r="CY113" i="11"/>
  <c r="CX113" i="11"/>
  <c r="CW113" i="11"/>
  <c r="CV113" i="11"/>
  <c r="CU113" i="11"/>
  <c r="CT113" i="11"/>
  <c r="CS113" i="11"/>
  <c r="CR113" i="11"/>
  <c r="CQ113" i="11"/>
  <c r="CP113" i="11"/>
  <c r="CO113" i="11"/>
  <c r="CN113" i="11"/>
  <c r="CM113" i="11"/>
  <c r="CK113" i="11"/>
  <c r="CJ113" i="11"/>
  <c r="CI113" i="11"/>
  <c r="CH113" i="11"/>
  <c r="CG113" i="11"/>
  <c r="CF113" i="11"/>
  <c r="CE113" i="11"/>
  <c r="CD113" i="11"/>
  <c r="CC113" i="11"/>
  <c r="CB113" i="11"/>
  <c r="CA113" i="11"/>
  <c r="BZ113" i="11"/>
  <c r="BY113" i="11"/>
  <c r="BX113" i="11"/>
  <c r="BW113" i="11"/>
  <c r="BU113" i="11"/>
  <c r="BT113" i="11"/>
  <c r="BS113" i="11"/>
  <c r="BR113" i="11"/>
  <c r="BQ113" i="11"/>
  <c r="BP113" i="11"/>
  <c r="BO113" i="11"/>
  <c r="BN113" i="11"/>
  <c r="BM113" i="11"/>
  <c r="BL113" i="11"/>
  <c r="BK113" i="11"/>
  <c r="BJ113" i="11"/>
  <c r="BI113" i="11"/>
  <c r="BH113" i="11"/>
  <c r="BG113" i="11"/>
  <c r="BE113" i="11"/>
  <c r="BD113" i="11"/>
  <c r="BC113" i="11"/>
  <c r="BB113" i="11"/>
  <c r="BA113" i="11"/>
  <c r="AZ113" i="11"/>
  <c r="AY113" i="11"/>
  <c r="AX113" i="11"/>
  <c r="AW113" i="11"/>
  <c r="AV113" i="11"/>
  <c r="AU113" i="11"/>
  <c r="AT113" i="11"/>
  <c r="AS113" i="11"/>
  <c r="AR113" i="11"/>
  <c r="AQ113" i="11"/>
  <c r="AO113" i="11"/>
  <c r="AN113" i="11"/>
  <c r="AM113" i="11"/>
  <c r="AL113" i="11"/>
  <c r="AK113" i="11"/>
  <c r="AJ113" i="11"/>
  <c r="AI113" i="11"/>
  <c r="AH113" i="11"/>
  <c r="AG113" i="11"/>
  <c r="AF113" i="11"/>
  <c r="AE113" i="11"/>
  <c r="AD113" i="11"/>
  <c r="AC113" i="11"/>
  <c r="AB113" i="11"/>
  <c r="AA113" i="11"/>
  <c r="DA112" i="11"/>
  <c r="CZ112" i="11"/>
  <c r="CY112" i="11"/>
  <c r="CX112" i="11"/>
  <c r="CW112" i="11"/>
  <c r="CV112" i="11"/>
  <c r="CU112" i="11"/>
  <c r="CT112" i="11"/>
  <c r="CS112" i="11"/>
  <c r="CR112" i="11"/>
  <c r="CQ112" i="11"/>
  <c r="CP112" i="11"/>
  <c r="CO112" i="11"/>
  <c r="CN112" i="11"/>
  <c r="CM112" i="11"/>
  <c r="CK112" i="11"/>
  <c r="CJ112" i="11"/>
  <c r="CI112" i="11"/>
  <c r="CH112" i="11"/>
  <c r="CG112" i="11"/>
  <c r="CF112" i="11"/>
  <c r="CE112" i="11"/>
  <c r="CD112" i="11"/>
  <c r="CC112" i="11"/>
  <c r="CB112" i="11"/>
  <c r="CA112" i="11"/>
  <c r="BZ112" i="11"/>
  <c r="BY112" i="11"/>
  <c r="BX112" i="11"/>
  <c r="BW112" i="11"/>
  <c r="BU112" i="11"/>
  <c r="BT112" i="11"/>
  <c r="BS112" i="11"/>
  <c r="BR112" i="11"/>
  <c r="BQ112" i="11"/>
  <c r="BP112" i="11"/>
  <c r="BO112" i="11"/>
  <c r="BN112" i="11"/>
  <c r="BM112" i="11"/>
  <c r="BL112" i="11"/>
  <c r="BK112" i="11"/>
  <c r="BJ112" i="11"/>
  <c r="BI112" i="11"/>
  <c r="BH112" i="11"/>
  <c r="BG112" i="11"/>
  <c r="BE112" i="11"/>
  <c r="BD112" i="11"/>
  <c r="BC112" i="11"/>
  <c r="BB112" i="11"/>
  <c r="BA112" i="11"/>
  <c r="AZ112" i="11"/>
  <c r="AY112" i="11"/>
  <c r="AX112" i="11"/>
  <c r="AW112" i="11"/>
  <c r="AV112" i="11"/>
  <c r="AU112" i="11"/>
  <c r="AT112" i="11"/>
  <c r="AS112" i="11"/>
  <c r="AR112" i="11"/>
  <c r="AQ112" i="11"/>
  <c r="AO112" i="11"/>
  <c r="AN112" i="11"/>
  <c r="AM112" i="11"/>
  <c r="AL112" i="11"/>
  <c r="AK112" i="11"/>
  <c r="AJ112" i="11"/>
  <c r="AI112" i="11"/>
  <c r="AH112" i="11"/>
  <c r="AG112" i="11"/>
  <c r="AF112" i="11"/>
  <c r="AE112" i="11"/>
  <c r="AD112" i="11"/>
  <c r="AC112" i="11"/>
  <c r="AB112" i="11"/>
  <c r="AA112" i="11"/>
  <c r="DA111" i="11"/>
  <c r="CZ111" i="11"/>
  <c r="CY111" i="11"/>
  <c r="CX111" i="11"/>
  <c r="CW111" i="11"/>
  <c r="CV111" i="11"/>
  <c r="CU111" i="11"/>
  <c r="CT111" i="11"/>
  <c r="CS111" i="11"/>
  <c r="CR111" i="11"/>
  <c r="CQ111" i="11"/>
  <c r="CP111" i="11"/>
  <c r="CO111" i="11"/>
  <c r="CN111" i="11"/>
  <c r="CM111" i="11"/>
  <c r="CK111" i="11"/>
  <c r="CJ111" i="11"/>
  <c r="CI111" i="11"/>
  <c r="CH111" i="11"/>
  <c r="CG111" i="11"/>
  <c r="CF111" i="11"/>
  <c r="CE111" i="11"/>
  <c r="CD111" i="11"/>
  <c r="CC111" i="11"/>
  <c r="CB111" i="11"/>
  <c r="CA111" i="11"/>
  <c r="BZ111" i="11"/>
  <c r="BY111" i="11"/>
  <c r="BX111" i="11"/>
  <c r="BW111" i="11"/>
  <c r="BU111" i="11"/>
  <c r="BT111" i="11"/>
  <c r="BS111" i="11"/>
  <c r="BR111" i="11"/>
  <c r="BQ111" i="11"/>
  <c r="BP111" i="11"/>
  <c r="BO111" i="11"/>
  <c r="BN111" i="11"/>
  <c r="BM111" i="11"/>
  <c r="BL111" i="11"/>
  <c r="BK111" i="11"/>
  <c r="BJ111" i="11"/>
  <c r="BI111" i="11"/>
  <c r="BH111" i="11"/>
  <c r="BG111" i="11"/>
  <c r="BE111" i="11"/>
  <c r="BD111" i="11"/>
  <c r="BC111" i="11"/>
  <c r="BB111" i="11"/>
  <c r="BA111" i="11"/>
  <c r="AZ111" i="11"/>
  <c r="AY111" i="11"/>
  <c r="AX111" i="11"/>
  <c r="AW111" i="11"/>
  <c r="AV111" i="11"/>
  <c r="AU111" i="11"/>
  <c r="AT111" i="11"/>
  <c r="AS111" i="11"/>
  <c r="AR111" i="11"/>
  <c r="AQ111" i="11"/>
  <c r="AO111" i="11"/>
  <c r="AN111" i="11"/>
  <c r="AM111" i="11"/>
  <c r="AL111" i="11"/>
  <c r="AK111" i="11"/>
  <c r="AJ111" i="11"/>
  <c r="AI111" i="11"/>
  <c r="AH111" i="11"/>
  <c r="AG111" i="11"/>
  <c r="AF111" i="11"/>
  <c r="AE111" i="11"/>
  <c r="AD111" i="11"/>
  <c r="AC111" i="11"/>
  <c r="AB111" i="11"/>
  <c r="AA111" i="11"/>
  <c r="DA110" i="11"/>
  <c r="CZ110" i="11"/>
  <c r="CY110" i="11"/>
  <c r="CX110" i="11"/>
  <c r="CW110" i="11"/>
  <c r="CV110" i="11"/>
  <c r="CU110" i="11"/>
  <c r="CT110" i="11"/>
  <c r="CS110" i="11"/>
  <c r="CR110" i="11"/>
  <c r="CQ110" i="11"/>
  <c r="CP110" i="11"/>
  <c r="CO110" i="11"/>
  <c r="CN110" i="11"/>
  <c r="CM110" i="11"/>
  <c r="CK110" i="11"/>
  <c r="CJ110" i="11"/>
  <c r="CI110" i="11"/>
  <c r="CH110" i="11"/>
  <c r="CG110" i="11"/>
  <c r="CF110" i="11"/>
  <c r="CE110" i="11"/>
  <c r="CD110" i="11"/>
  <c r="CC110" i="11"/>
  <c r="CB110" i="11"/>
  <c r="CA110" i="11"/>
  <c r="BZ110" i="11"/>
  <c r="BY110" i="11"/>
  <c r="BX110" i="11"/>
  <c r="BW110" i="11"/>
  <c r="BU110" i="11"/>
  <c r="BT110" i="11"/>
  <c r="BS110" i="11"/>
  <c r="BR110" i="11"/>
  <c r="BQ110" i="11"/>
  <c r="BP110" i="11"/>
  <c r="BO110" i="11"/>
  <c r="BN110" i="11"/>
  <c r="BM110" i="11"/>
  <c r="BL110" i="11"/>
  <c r="BK110" i="11"/>
  <c r="BJ110" i="11"/>
  <c r="BI110" i="11"/>
  <c r="BH110" i="11"/>
  <c r="BG110" i="11"/>
  <c r="BE110" i="11"/>
  <c r="BD110" i="11"/>
  <c r="BC110" i="11"/>
  <c r="BB110" i="11"/>
  <c r="BA110" i="11"/>
  <c r="AZ110" i="11"/>
  <c r="AY110" i="11"/>
  <c r="AX110" i="11"/>
  <c r="AW110" i="11"/>
  <c r="AV110" i="11"/>
  <c r="AU110" i="11"/>
  <c r="AT110" i="11"/>
  <c r="AS110" i="11"/>
  <c r="AR110" i="11"/>
  <c r="AQ110" i="11"/>
  <c r="AO110" i="11"/>
  <c r="AN110" i="11"/>
  <c r="AM110" i="11"/>
  <c r="AL110" i="11"/>
  <c r="AK110" i="11"/>
  <c r="AJ110" i="11"/>
  <c r="AI110" i="11"/>
  <c r="AH110" i="11"/>
  <c r="AG110" i="11"/>
  <c r="AF110" i="11"/>
  <c r="AE110" i="11"/>
  <c r="AD110" i="11"/>
  <c r="AC110" i="11"/>
  <c r="AB110" i="11"/>
  <c r="AA110" i="11"/>
  <c r="DA109" i="11"/>
  <c r="CZ109" i="11"/>
  <c r="CY109" i="11"/>
  <c r="CX109" i="11"/>
  <c r="CW109" i="11"/>
  <c r="CV109" i="11"/>
  <c r="CU109" i="11"/>
  <c r="CT109" i="11"/>
  <c r="CS109" i="11"/>
  <c r="CR109" i="11"/>
  <c r="CQ109" i="11"/>
  <c r="CP109" i="11"/>
  <c r="CO109" i="11"/>
  <c r="CN109" i="11"/>
  <c r="CM109" i="11"/>
  <c r="CK109" i="11"/>
  <c r="CJ109" i="11"/>
  <c r="CI109" i="11"/>
  <c r="CH109" i="11"/>
  <c r="CG109" i="11"/>
  <c r="CF109" i="11"/>
  <c r="CE109" i="11"/>
  <c r="CD109" i="11"/>
  <c r="CC109" i="11"/>
  <c r="CB109" i="11"/>
  <c r="CA109" i="11"/>
  <c r="BZ109" i="11"/>
  <c r="BY109" i="11"/>
  <c r="BX109" i="11"/>
  <c r="BW109" i="11"/>
  <c r="BU109" i="11"/>
  <c r="BT109" i="11"/>
  <c r="BS109" i="11"/>
  <c r="BR109" i="11"/>
  <c r="BQ109" i="11"/>
  <c r="BP109" i="11"/>
  <c r="BO109" i="11"/>
  <c r="BN109" i="11"/>
  <c r="BM109" i="11"/>
  <c r="BL109" i="11"/>
  <c r="BK109" i="11"/>
  <c r="BJ109" i="11"/>
  <c r="BI109" i="11"/>
  <c r="BH109" i="11"/>
  <c r="BG109" i="11"/>
  <c r="BE109" i="11"/>
  <c r="BD109" i="11"/>
  <c r="BC109" i="11"/>
  <c r="BB109" i="11"/>
  <c r="BA109" i="11"/>
  <c r="AZ109" i="11"/>
  <c r="AY109" i="11"/>
  <c r="AX109" i="11"/>
  <c r="AW109" i="11"/>
  <c r="AV109" i="11"/>
  <c r="AU109" i="11"/>
  <c r="AT109" i="11"/>
  <c r="AS109" i="11"/>
  <c r="AR109" i="11"/>
  <c r="AQ109" i="11"/>
  <c r="AO109" i="11"/>
  <c r="AN109" i="11"/>
  <c r="AM109" i="11"/>
  <c r="AL109" i="11"/>
  <c r="AK109" i="11"/>
  <c r="AJ109" i="11"/>
  <c r="AI109" i="11"/>
  <c r="AH109" i="11"/>
  <c r="AG109" i="11"/>
  <c r="AF109" i="11"/>
  <c r="AE109" i="11"/>
  <c r="AD109" i="11"/>
  <c r="AC109" i="11"/>
  <c r="AB109" i="11"/>
  <c r="AA109" i="11"/>
  <c r="DA108" i="11"/>
  <c r="CZ108" i="11"/>
  <c r="CY108" i="11"/>
  <c r="CX108" i="11"/>
  <c r="CW108" i="11"/>
  <c r="CV108" i="11"/>
  <c r="CU108" i="11"/>
  <c r="CT108" i="11"/>
  <c r="CS108" i="11"/>
  <c r="CR108" i="11"/>
  <c r="CQ108" i="11"/>
  <c r="CP108" i="11"/>
  <c r="CO108" i="11"/>
  <c r="CN108" i="11"/>
  <c r="CM108" i="11"/>
  <c r="CK108" i="11"/>
  <c r="CJ108" i="11"/>
  <c r="CI108" i="11"/>
  <c r="CH108" i="11"/>
  <c r="CG108" i="11"/>
  <c r="CF108" i="11"/>
  <c r="CE108" i="11"/>
  <c r="CD108" i="11"/>
  <c r="CC108" i="11"/>
  <c r="CB108" i="11"/>
  <c r="CA108" i="11"/>
  <c r="BZ108" i="11"/>
  <c r="BY108" i="11"/>
  <c r="BX108" i="11"/>
  <c r="BW108" i="11"/>
  <c r="BU108" i="11"/>
  <c r="BT108" i="11"/>
  <c r="BS108" i="11"/>
  <c r="BR108" i="11"/>
  <c r="BQ108" i="11"/>
  <c r="BP108" i="11"/>
  <c r="BO108" i="11"/>
  <c r="BN108" i="11"/>
  <c r="BM108" i="11"/>
  <c r="BL108" i="11"/>
  <c r="BK108" i="11"/>
  <c r="BJ108" i="11"/>
  <c r="BI108" i="11"/>
  <c r="BH108" i="11"/>
  <c r="BG108" i="11"/>
  <c r="BE108" i="11"/>
  <c r="BD108" i="11"/>
  <c r="BC108" i="11"/>
  <c r="BB108" i="11"/>
  <c r="BA108" i="11"/>
  <c r="AZ108" i="11"/>
  <c r="AY108" i="11"/>
  <c r="AX108" i="11"/>
  <c r="AW108" i="11"/>
  <c r="AV108" i="11"/>
  <c r="AU108" i="11"/>
  <c r="AT108" i="11"/>
  <c r="AS108" i="11"/>
  <c r="AR108" i="11"/>
  <c r="AQ108" i="11"/>
  <c r="AO108" i="11"/>
  <c r="AN108" i="11"/>
  <c r="AM108" i="11"/>
  <c r="AL108" i="11"/>
  <c r="AK108" i="11"/>
  <c r="AJ108" i="11"/>
  <c r="AI108" i="11"/>
  <c r="AH108" i="11"/>
  <c r="AG108" i="11"/>
  <c r="AF108" i="11"/>
  <c r="AE108" i="11"/>
  <c r="AD108" i="11"/>
  <c r="AC108" i="11"/>
  <c r="AB108" i="11"/>
  <c r="AA108" i="11"/>
  <c r="DA107" i="11"/>
  <c r="CZ107" i="11"/>
  <c r="CY107" i="11"/>
  <c r="CX107" i="11"/>
  <c r="CW107" i="11"/>
  <c r="CV107" i="11"/>
  <c r="CU107" i="11"/>
  <c r="CT107" i="11"/>
  <c r="CS107" i="11"/>
  <c r="CR107" i="11"/>
  <c r="CQ107" i="11"/>
  <c r="CP107" i="11"/>
  <c r="CO107" i="11"/>
  <c r="CN107" i="11"/>
  <c r="CM107" i="11"/>
  <c r="CK107" i="11"/>
  <c r="CJ107" i="11"/>
  <c r="CI107" i="11"/>
  <c r="CH107" i="11"/>
  <c r="CG107" i="11"/>
  <c r="CF107" i="11"/>
  <c r="CE107" i="11"/>
  <c r="CD107" i="11"/>
  <c r="CC107" i="11"/>
  <c r="CB107" i="11"/>
  <c r="CA107" i="11"/>
  <c r="BZ107" i="11"/>
  <c r="BY107" i="11"/>
  <c r="BX107" i="11"/>
  <c r="BW107" i="11"/>
  <c r="BU107" i="11"/>
  <c r="BT107" i="11"/>
  <c r="BS107" i="11"/>
  <c r="BR107" i="11"/>
  <c r="BQ107" i="11"/>
  <c r="BP107" i="11"/>
  <c r="BO107" i="11"/>
  <c r="BN107" i="11"/>
  <c r="BM107" i="11"/>
  <c r="BL107" i="11"/>
  <c r="BK107" i="11"/>
  <c r="BJ107" i="11"/>
  <c r="BI107" i="11"/>
  <c r="BH107" i="11"/>
  <c r="BG107" i="11"/>
  <c r="BE107" i="11"/>
  <c r="BD107" i="11"/>
  <c r="BC107" i="11"/>
  <c r="BB107" i="11"/>
  <c r="BA107" i="11"/>
  <c r="AZ107" i="11"/>
  <c r="AY107" i="11"/>
  <c r="AX107" i="11"/>
  <c r="AW107" i="11"/>
  <c r="AV107" i="11"/>
  <c r="AU107" i="11"/>
  <c r="AT107" i="11"/>
  <c r="AS107" i="11"/>
  <c r="AR107" i="11"/>
  <c r="AQ107" i="11"/>
  <c r="AO107" i="11"/>
  <c r="AN107" i="11"/>
  <c r="AM107" i="11"/>
  <c r="AL107" i="11"/>
  <c r="AK107" i="11"/>
  <c r="AJ107" i="11"/>
  <c r="AI107" i="11"/>
  <c r="AH107" i="11"/>
  <c r="AG107" i="11"/>
  <c r="AF107" i="11"/>
  <c r="AE107" i="11"/>
  <c r="AD107" i="11"/>
  <c r="AC107" i="11"/>
  <c r="AB107" i="11"/>
  <c r="AA107" i="11"/>
  <c r="DA106" i="11"/>
  <c r="CZ106" i="11"/>
  <c r="CY106" i="11"/>
  <c r="CX106" i="11"/>
  <c r="CW106" i="11"/>
  <c r="CV106" i="11"/>
  <c r="CU106" i="11"/>
  <c r="CT106" i="11"/>
  <c r="CS106" i="11"/>
  <c r="CR106" i="11"/>
  <c r="CQ106" i="11"/>
  <c r="CP106" i="11"/>
  <c r="CO106" i="11"/>
  <c r="CN106" i="11"/>
  <c r="CM106" i="11"/>
  <c r="CK106" i="11"/>
  <c r="CJ106" i="11"/>
  <c r="CI106" i="11"/>
  <c r="CH106" i="11"/>
  <c r="CG106" i="11"/>
  <c r="CF106" i="11"/>
  <c r="CE106" i="11"/>
  <c r="CD106" i="11"/>
  <c r="CC106" i="11"/>
  <c r="CB106" i="11"/>
  <c r="CA106" i="11"/>
  <c r="BZ106" i="11"/>
  <c r="BY106" i="11"/>
  <c r="BX106" i="11"/>
  <c r="BW106" i="11"/>
  <c r="BU106" i="11"/>
  <c r="BT106" i="11"/>
  <c r="BS106" i="11"/>
  <c r="BR106" i="11"/>
  <c r="BQ106" i="11"/>
  <c r="BP106" i="11"/>
  <c r="BO106" i="11"/>
  <c r="BN106" i="11"/>
  <c r="BM106" i="11"/>
  <c r="BL106" i="11"/>
  <c r="BK106" i="11"/>
  <c r="BJ106" i="11"/>
  <c r="BI106" i="11"/>
  <c r="BH106" i="11"/>
  <c r="BG106" i="11"/>
  <c r="BE106" i="11"/>
  <c r="BD106" i="11"/>
  <c r="BC106" i="11"/>
  <c r="BB106" i="11"/>
  <c r="BA106" i="11"/>
  <c r="AZ106" i="11"/>
  <c r="AY106" i="11"/>
  <c r="AX106" i="11"/>
  <c r="AW106" i="11"/>
  <c r="AV106" i="11"/>
  <c r="AU106" i="11"/>
  <c r="AT106" i="11"/>
  <c r="AS106" i="11"/>
  <c r="AR106" i="11"/>
  <c r="AQ106" i="11"/>
  <c r="AO106" i="11"/>
  <c r="AN106" i="11"/>
  <c r="AM106" i="11"/>
  <c r="AL106" i="11"/>
  <c r="AK106" i="11"/>
  <c r="AJ106" i="11"/>
  <c r="AI106" i="11"/>
  <c r="AH106" i="11"/>
  <c r="AG106" i="11"/>
  <c r="AF106" i="11"/>
  <c r="AE106" i="11"/>
  <c r="AD106" i="11"/>
  <c r="AC106" i="11"/>
  <c r="AB106" i="11"/>
  <c r="AA106" i="11"/>
  <c r="DA105" i="11"/>
  <c r="CZ105" i="11"/>
  <c r="CY105" i="11"/>
  <c r="CX105" i="11"/>
  <c r="CW105" i="11"/>
  <c r="CV105" i="11"/>
  <c r="CU105" i="11"/>
  <c r="CT105" i="11"/>
  <c r="CS105" i="11"/>
  <c r="CR105" i="11"/>
  <c r="CQ105" i="11"/>
  <c r="CP105" i="11"/>
  <c r="CO105" i="11"/>
  <c r="CN105" i="11"/>
  <c r="CM105" i="11"/>
  <c r="CK105" i="11"/>
  <c r="CJ105" i="11"/>
  <c r="CI105" i="11"/>
  <c r="CH105" i="11"/>
  <c r="CG105" i="11"/>
  <c r="CF105" i="11"/>
  <c r="CE105" i="11"/>
  <c r="CD105" i="11"/>
  <c r="CC105" i="11"/>
  <c r="CB105" i="11"/>
  <c r="CA105" i="11"/>
  <c r="BZ105" i="11"/>
  <c r="BY105" i="11"/>
  <c r="BX105" i="11"/>
  <c r="BW105" i="11"/>
  <c r="BU105" i="11"/>
  <c r="BT105" i="11"/>
  <c r="BS105" i="11"/>
  <c r="BR105" i="11"/>
  <c r="BQ105" i="11"/>
  <c r="BP105" i="11"/>
  <c r="BO105" i="11"/>
  <c r="BN105" i="11"/>
  <c r="BM105" i="11"/>
  <c r="BL105" i="11"/>
  <c r="BK105" i="11"/>
  <c r="BJ105" i="11"/>
  <c r="BI105" i="11"/>
  <c r="BH105" i="11"/>
  <c r="BG105" i="11"/>
  <c r="BE105" i="11"/>
  <c r="BD105" i="11"/>
  <c r="BC105" i="11"/>
  <c r="BB105" i="11"/>
  <c r="BA105" i="11"/>
  <c r="AZ105" i="11"/>
  <c r="AY105" i="11"/>
  <c r="AX105" i="11"/>
  <c r="AW105" i="11"/>
  <c r="AV105" i="11"/>
  <c r="AU105" i="11"/>
  <c r="AT105" i="11"/>
  <c r="AS105" i="11"/>
  <c r="AR105" i="11"/>
  <c r="AQ105" i="11"/>
  <c r="AO105" i="11"/>
  <c r="AN105" i="11"/>
  <c r="AM105" i="11"/>
  <c r="AL105" i="11"/>
  <c r="AK105" i="11"/>
  <c r="AJ105" i="11"/>
  <c r="AI105" i="11"/>
  <c r="AH105" i="11"/>
  <c r="AG105" i="11"/>
  <c r="AF105" i="11"/>
  <c r="AE105" i="11"/>
  <c r="AD105" i="11"/>
  <c r="AC105" i="11"/>
  <c r="AB105" i="11"/>
  <c r="AA105" i="11"/>
  <c r="DA104" i="11"/>
  <c r="CZ104" i="11"/>
  <c r="CY104" i="11"/>
  <c r="CX104" i="11"/>
  <c r="CW104" i="11"/>
  <c r="CV104" i="11"/>
  <c r="CU104" i="11"/>
  <c r="CT104" i="11"/>
  <c r="CS104" i="11"/>
  <c r="CR104" i="11"/>
  <c r="CQ104" i="11"/>
  <c r="CP104" i="11"/>
  <c r="CO104" i="11"/>
  <c r="CN104" i="11"/>
  <c r="CM104" i="11"/>
  <c r="CK104" i="11"/>
  <c r="CJ104" i="11"/>
  <c r="CI104" i="11"/>
  <c r="CH104" i="11"/>
  <c r="CG104" i="11"/>
  <c r="CF104" i="11"/>
  <c r="CE104" i="11"/>
  <c r="CD104" i="11"/>
  <c r="CC104" i="11"/>
  <c r="CB104" i="11"/>
  <c r="CA104" i="11"/>
  <c r="BZ104" i="11"/>
  <c r="BY104" i="11"/>
  <c r="BX104" i="11"/>
  <c r="BW104" i="11"/>
  <c r="BU104" i="11"/>
  <c r="BT104" i="11"/>
  <c r="BS104" i="11"/>
  <c r="BR104" i="11"/>
  <c r="BQ104" i="11"/>
  <c r="BP104" i="11"/>
  <c r="BO104" i="11"/>
  <c r="BN104" i="11"/>
  <c r="BM104" i="11"/>
  <c r="BL104" i="11"/>
  <c r="BK104" i="11"/>
  <c r="BJ104" i="11"/>
  <c r="BI104" i="11"/>
  <c r="BH104" i="11"/>
  <c r="BG104" i="11"/>
  <c r="BE104" i="11"/>
  <c r="BD104" i="11"/>
  <c r="BC104" i="11"/>
  <c r="BB104" i="11"/>
  <c r="BA104" i="11"/>
  <c r="AZ104" i="11"/>
  <c r="AY104" i="11"/>
  <c r="AX104" i="11"/>
  <c r="AW104" i="11"/>
  <c r="AV104" i="11"/>
  <c r="AU104" i="11"/>
  <c r="AT104" i="11"/>
  <c r="AS104" i="11"/>
  <c r="AR104" i="11"/>
  <c r="AQ104" i="11"/>
  <c r="AO104" i="11"/>
  <c r="AN104" i="11"/>
  <c r="AM104" i="11"/>
  <c r="AL104" i="11"/>
  <c r="AK104" i="11"/>
  <c r="AJ104" i="11"/>
  <c r="AI104" i="11"/>
  <c r="AH104" i="11"/>
  <c r="AG104" i="11"/>
  <c r="AF104" i="11"/>
  <c r="AE104" i="11"/>
  <c r="AD104" i="11"/>
  <c r="AC104" i="11"/>
  <c r="AB104" i="11"/>
  <c r="AA104" i="11"/>
  <c r="DA103" i="11"/>
  <c r="CZ103" i="11"/>
  <c r="CY103" i="11"/>
  <c r="CX103" i="11"/>
  <c r="CW103" i="11"/>
  <c r="CV103" i="11"/>
  <c r="CU103" i="11"/>
  <c r="CT103" i="11"/>
  <c r="CS103" i="11"/>
  <c r="CR103" i="11"/>
  <c r="CQ103" i="11"/>
  <c r="CP103" i="11"/>
  <c r="CO103" i="11"/>
  <c r="CN103" i="11"/>
  <c r="CM103" i="11"/>
  <c r="CK103" i="11"/>
  <c r="CJ103" i="11"/>
  <c r="CI103" i="11"/>
  <c r="CH103" i="11"/>
  <c r="CG103" i="11"/>
  <c r="CF103" i="11"/>
  <c r="CE103" i="11"/>
  <c r="CD103" i="11"/>
  <c r="CC103" i="11"/>
  <c r="CB103" i="11"/>
  <c r="CA103" i="11"/>
  <c r="BZ103" i="11"/>
  <c r="BY103" i="11"/>
  <c r="BX103" i="11"/>
  <c r="BW103" i="11"/>
  <c r="BU103" i="11"/>
  <c r="BT103" i="11"/>
  <c r="BS103" i="11"/>
  <c r="BR103" i="11"/>
  <c r="BQ103" i="11"/>
  <c r="BP103" i="11"/>
  <c r="BO103" i="11"/>
  <c r="BN103" i="11"/>
  <c r="BM103" i="11"/>
  <c r="BL103" i="11"/>
  <c r="BK103" i="11"/>
  <c r="BJ103" i="11"/>
  <c r="BI103" i="11"/>
  <c r="BH103" i="11"/>
  <c r="BG103" i="11"/>
  <c r="BE103" i="11"/>
  <c r="BD103" i="11"/>
  <c r="BC103" i="11"/>
  <c r="BB103" i="11"/>
  <c r="BA103" i="11"/>
  <c r="AZ103" i="11"/>
  <c r="AY103" i="11"/>
  <c r="AX103" i="11"/>
  <c r="AW103" i="11"/>
  <c r="AV103" i="11"/>
  <c r="AU103" i="11"/>
  <c r="AT103" i="11"/>
  <c r="AS103" i="11"/>
  <c r="AR103" i="11"/>
  <c r="AQ103" i="11"/>
  <c r="AO103" i="11"/>
  <c r="AN103" i="11"/>
  <c r="AM103" i="11"/>
  <c r="AL103" i="11"/>
  <c r="AK103" i="11"/>
  <c r="AJ103" i="11"/>
  <c r="AI103" i="11"/>
  <c r="AH103" i="11"/>
  <c r="AG103" i="11"/>
  <c r="AF103" i="11"/>
  <c r="AE103" i="11"/>
  <c r="AD103" i="11"/>
  <c r="AC103" i="11"/>
  <c r="AB103" i="11"/>
  <c r="AA103" i="11"/>
  <c r="DA102" i="11"/>
  <c r="CZ102" i="11"/>
  <c r="CY102" i="11"/>
  <c r="CX102" i="11"/>
  <c r="CW102" i="11"/>
  <c r="CV102" i="11"/>
  <c r="CU102" i="11"/>
  <c r="CT102" i="11"/>
  <c r="CS102" i="11"/>
  <c r="CR102" i="11"/>
  <c r="CQ102" i="11"/>
  <c r="CP102" i="11"/>
  <c r="CO102" i="11"/>
  <c r="CN102" i="11"/>
  <c r="CM102" i="11"/>
  <c r="CK102" i="11"/>
  <c r="CJ102" i="11"/>
  <c r="CI102" i="11"/>
  <c r="CH102" i="11"/>
  <c r="CG102" i="11"/>
  <c r="CF102" i="11"/>
  <c r="CE102" i="11"/>
  <c r="CD102" i="11"/>
  <c r="CC102" i="11"/>
  <c r="CB102" i="11"/>
  <c r="CA102" i="11"/>
  <c r="BZ102" i="11"/>
  <c r="BY102" i="11"/>
  <c r="BX102" i="11"/>
  <c r="BW102" i="11"/>
  <c r="BU102" i="11"/>
  <c r="BT102" i="11"/>
  <c r="BS102" i="11"/>
  <c r="BR102" i="11"/>
  <c r="BQ102" i="11"/>
  <c r="BP102" i="11"/>
  <c r="BO102" i="11"/>
  <c r="BN102" i="11"/>
  <c r="BM102" i="11"/>
  <c r="BL102" i="11"/>
  <c r="BK102" i="11"/>
  <c r="BJ102" i="11"/>
  <c r="BI102" i="11"/>
  <c r="BH102" i="11"/>
  <c r="BG102" i="11"/>
  <c r="BE102" i="11"/>
  <c r="BD102" i="11"/>
  <c r="BC102" i="11"/>
  <c r="BB102" i="11"/>
  <c r="BA102" i="11"/>
  <c r="AZ102" i="11"/>
  <c r="AY102" i="11"/>
  <c r="AX102" i="11"/>
  <c r="AW102" i="11"/>
  <c r="AV102" i="11"/>
  <c r="AU102" i="11"/>
  <c r="AT102" i="11"/>
  <c r="AS102" i="11"/>
  <c r="AR102" i="11"/>
  <c r="AQ102" i="11"/>
  <c r="AO102" i="11"/>
  <c r="AN102" i="11"/>
  <c r="AM102" i="11"/>
  <c r="AL102" i="11"/>
  <c r="AK102" i="11"/>
  <c r="AJ102" i="11"/>
  <c r="AI102" i="11"/>
  <c r="AH102" i="11"/>
  <c r="AG102" i="11"/>
  <c r="AF102" i="11"/>
  <c r="AE102" i="11"/>
  <c r="AD102" i="11"/>
  <c r="AC102" i="11"/>
  <c r="AB102" i="11"/>
  <c r="AA102" i="11"/>
  <c r="DA101" i="11"/>
  <c r="CZ101" i="11"/>
  <c r="CY101" i="11"/>
  <c r="CX101" i="11"/>
  <c r="CW101" i="11"/>
  <c r="CV101" i="11"/>
  <c r="CU101" i="11"/>
  <c r="CT101" i="11"/>
  <c r="CS101" i="11"/>
  <c r="CR101" i="11"/>
  <c r="CQ101" i="11"/>
  <c r="CP101" i="11"/>
  <c r="CO101" i="11"/>
  <c r="CN101" i="11"/>
  <c r="CM101" i="11"/>
  <c r="CK101" i="11"/>
  <c r="CJ101" i="11"/>
  <c r="CI101" i="11"/>
  <c r="CH101" i="11"/>
  <c r="CG101" i="11"/>
  <c r="CF101" i="11"/>
  <c r="CE101" i="11"/>
  <c r="CD101" i="11"/>
  <c r="CC101" i="11"/>
  <c r="CB101" i="11"/>
  <c r="CA101" i="11"/>
  <c r="BZ101" i="11"/>
  <c r="BY101" i="11"/>
  <c r="BX101" i="11"/>
  <c r="BW101" i="11"/>
  <c r="BU101" i="11"/>
  <c r="BT101" i="11"/>
  <c r="BS101" i="11"/>
  <c r="BR101" i="11"/>
  <c r="BQ101" i="11"/>
  <c r="BP101" i="11"/>
  <c r="BO101" i="11"/>
  <c r="BN101" i="11"/>
  <c r="BM101" i="11"/>
  <c r="BL101" i="11"/>
  <c r="BK101" i="11"/>
  <c r="BJ101" i="11"/>
  <c r="BI101" i="11"/>
  <c r="BH101" i="11"/>
  <c r="BG101" i="11"/>
  <c r="BE101" i="11"/>
  <c r="BD101" i="11"/>
  <c r="BC101" i="11"/>
  <c r="BB101" i="11"/>
  <c r="BA101" i="11"/>
  <c r="AZ101" i="11"/>
  <c r="AY101" i="11"/>
  <c r="AX101" i="11"/>
  <c r="AW101" i="11"/>
  <c r="AV101" i="11"/>
  <c r="AU101" i="11"/>
  <c r="AT101" i="11"/>
  <c r="AS101" i="11"/>
  <c r="AR101" i="11"/>
  <c r="AQ101" i="11"/>
  <c r="AO101" i="11"/>
  <c r="AN101" i="11"/>
  <c r="AM101" i="11"/>
  <c r="AL101" i="11"/>
  <c r="AK101" i="11"/>
  <c r="AJ101" i="11"/>
  <c r="AI101" i="11"/>
  <c r="AH101" i="11"/>
  <c r="AG101" i="11"/>
  <c r="AF101" i="11"/>
  <c r="AE101" i="11"/>
  <c r="AD101" i="11"/>
  <c r="AC101" i="11"/>
  <c r="AB101" i="11"/>
  <c r="AA101" i="11"/>
  <c r="DA100" i="11"/>
  <c r="CZ100" i="11"/>
  <c r="CY100" i="11"/>
  <c r="CX100" i="11"/>
  <c r="CW100" i="11"/>
  <c r="CV100" i="11"/>
  <c r="CU100" i="11"/>
  <c r="CT100" i="11"/>
  <c r="CS100" i="11"/>
  <c r="CR100" i="11"/>
  <c r="CQ100" i="11"/>
  <c r="CP100" i="11"/>
  <c r="CO100" i="11"/>
  <c r="CN100" i="11"/>
  <c r="CM100" i="11"/>
  <c r="CK100" i="11"/>
  <c r="CJ100" i="11"/>
  <c r="CI100" i="11"/>
  <c r="CH100" i="11"/>
  <c r="CG100" i="11"/>
  <c r="CF100" i="11"/>
  <c r="CE100" i="11"/>
  <c r="CD100" i="11"/>
  <c r="CC100" i="11"/>
  <c r="CB100" i="11"/>
  <c r="CA100" i="11"/>
  <c r="BZ100" i="11"/>
  <c r="BY100" i="11"/>
  <c r="BX100" i="11"/>
  <c r="BW100" i="11"/>
  <c r="BU100" i="11"/>
  <c r="BT100" i="11"/>
  <c r="BS100" i="11"/>
  <c r="BR100" i="11"/>
  <c r="BQ100" i="11"/>
  <c r="BP100" i="11"/>
  <c r="BO100" i="11"/>
  <c r="BN100" i="11"/>
  <c r="BM100" i="11"/>
  <c r="BL100" i="11"/>
  <c r="BK100" i="11"/>
  <c r="BJ100" i="11"/>
  <c r="BI100" i="11"/>
  <c r="BH100" i="11"/>
  <c r="BG100" i="11"/>
  <c r="BE100" i="11"/>
  <c r="BD100" i="11"/>
  <c r="BC100" i="11"/>
  <c r="BB100" i="11"/>
  <c r="BA100" i="11"/>
  <c r="AZ100" i="11"/>
  <c r="AY100" i="11"/>
  <c r="AX100" i="11"/>
  <c r="AW100" i="11"/>
  <c r="AV100" i="11"/>
  <c r="AU100" i="11"/>
  <c r="AT100" i="11"/>
  <c r="AS100" i="11"/>
  <c r="AR100" i="11"/>
  <c r="AQ100" i="11"/>
  <c r="AO100" i="11"/>
  <c r="AN100" i="11"/>
  <c r="AM100" i="11"/>
  <c r="AL100" i="11"/>
  <c r="AK100" i="11"/>
  <c r="AJ100" i="11"/>
  <c r="AI100" i="11"/>
  <c r="AH100" i="11"/>
  <c r="AG100" i="11"/>
  <c r="AF100" i="11"/>
  <c r="AE100" i="11"/>
  <c r="AD100" i="11"/>
  <c r="AC100" i="11"/>
  <c r="AB100" i="11"/>
  <c r="AA100" i="11"/>
  <c r="DA99" i="11"/>
  <c r="CZ99" i="11"/>
  <c r="CY99" i="11"/>
  <c r="CX99" i="11"/>
  <c r="CW99" i="11"/>
  <c r="CV99" i="11"/>
  <c r="CU99" i="11"/>
  <c r="CT99" i="11"/>
  <c r="CS99" i="11"/>
  <c r="CR99" i="11"/>
  <c r="CQ99" i="11"/>
  <c r="CP99" i="11"/>
  <c r="CO99" i="11"/>
  <c r="CN99" i="11"/>
  <c r="CM99" i="11"/>
  <c r="CK99" i="11"/>
  <c r="CJ99" i="11"/>
  <c r="CI99" i="11"/>
  <c r="CH99" i="11"/>
  <c r="CG99" i="11"/>
  <c r="CF99" i="11"/>
  <c r="CE99" i="11"/>
  <c r="CD99" i="11"/>
  <c r="CC99" i="11"/>
  <c r="CB99" i="11"/>
  <c r="CA99" i="11"/>
  <c r="BZ99" i="11"/>
  <c r="BY99" i="11"/>
  <c r="BX99" i="11"/>
  <c r="BW99" i="11"/>
  <c r="BU99" i="11"/>
  <c r="BT99" i="11"/>
  <c r="BS99" i="11"/>
  <c r="BR99" i="11"/>
  <c r="BQ99" i="11"/>
  <c r="BP99" i="11"/>
  <c r="BO99" i="11"/>
  <c r="BN99" i="11"/>
  <c r="BM99" i="11"/>
  <c r="BL99" i="11"/>
  <c r="BK99" i="11"/>
  <c r="BJ99" i="11"/>
  <c r="BI99" i="11"/>
  <c r="BH99" i="11"/>
  <c r="BG99" i="11"/>
  <c r="BE99" i="11"/>
  <c r="BD99" i="11"/>
  <c r="BC99" i="11"/>
  <c r="BB99" i="11"/>
  <c r="BA99" i="11"/>
  <c r="AZ99" i="11"/>
  <c r="AY99" i="11"/>
  <c r="AX99" i="11"/>
  <c r="AW99" i="11"/>
  <c r="AV99" i="11"/>
  <c r="AU99" i="11"/>
  <c r="AT99" i="11"/>
  <c r="AS99" i="11"/>
  <c r="AR99" i="11"/>
  <c r="AQ99" i="11"/>
  <c r="AO99" i="11"/>
  <c r="AN99" i="11"/>
  <c r="AM99" i="11"/>
  <c r="AL99" i="11"/>
  <c r="AK99" i="11"/>
  <c r="AJ99" i="11"/>
  <c r="AI99" i="11"/>
  <c r="AH99" i="11"/>
  <c r="AG99" i="11"/>
  <c r="AF99" i="11"/>
  <c r="AE99" i="11"/>
  <c r="AD99" i="11"/>
  <c r="AC99" i="11"/>
  <c r="AB99" i="11"/>
  <c r="AA99" i="11"/>
  <c r="DA98" i="11"/>
  <c r="CZ98" i="11"/>
  <c r="CY98" i="11"/>
  <c r="CX98" i="11"/>
  <c r="CW98" i="11"/>
  <c r="CV98" i="11"/>
  <c r="CU98" i="11"/>
  <c r="CT98" i="11"/>
  <c r="CS98" i="11"/>
  <c r="CR98" i="11"/>
  <c r="CQ98" i="11"/>
  <c r="CP98" i="11"/>
  <c r="CO98" i="11"/>
  <c r="CN98" i="11"/>
  <c r="CM98" i="11"/>
  <c r="CK98" i="11"/>
  <c r="CJ98" i="11"/>
  <c r="CI98" i="11"/>
  <c r="CH98" i="11"/>
  <c r="CG98" i="11"/>
  <c r="CF98" i="11"/>
  <c r="CE98" i="11"/>
  <c r="CD98" i="11"/>
  <c r="CC98" i="11"/>
  <c r="CB98" i="11"/>
  <c r="CA98" i="11"/>
  <c r="BZ98" i="11"/>
  <c r="BY98" i="11"/>
  <c r="BX98" i="11"/>
  <c r="BW98" i="11"/>
  <c r="BU98" i="11"/>
  <c r="BT98" i="11"/>
  <c r="BS98" i="11"/>
  <c r="BR98" i="11"/>
  <c r="BQ98" i="11"/>
  <c r="BP98" i="11"/>
  <c r="BO98" i="11"/>
  <c r="BN98" i="11"/>
  <c r="BM98" i="11"/>
  <c r="BL98" i="11"/>
  <c r="BK98" i="11"/>
  <c r="BJ98" i="11"/>
  <c r="BI98" i="11"/>
  <c r="BH98" i="11"/>
  <c r="BG98" i="11"/>
  <c r="BE98" i="11"/>
  <c r="BD98" i="11"/>
  <c r="BC98" i="11"/>
  <c r="BB98" i="11"/>
  <c r="BA98" i="11"/>
  <c r="AZ98" i="11"/>
  <c r="AY98" i="11"/>
  <c r="AX98" i="11"/>
  <c r="AW98" i="11"/>
  <c r="AV98" i="11"/>
  <c r="AU98" i="11"/>
  <c r="AT98" i="11"/>
  <c r="AS98" i="11"/>
  <c r="AR98" i="11"/>
  <c r="AQ98" i="11"/>
  <c r="AO98" i="11"/>
  <c r="AN98" i="11"/>
  <c r="AM98" i="11"/>
  <c r="AL98" i="11"/>
  <c r="AK98" i="11"/>
  <c r="AJ98" i="11"/>
  <c r="AI98" i="11"/>
  <c r="AH98" i="11"/>
  <c r="AG98" i="11"/>
  <c r="AF98" i="11"/>
  <c r="AE98" i="11"/>
  <c r="AD98" i="11"/>
  <c r="AC98" i="11"/>
  <c r="AB98" i="11"/>
  <c r="AA98" i="11"/>
  <c r="DA97" i="11"/>
  <c r="CZ97" i="11"/>
  <c r="CY97" i="11"/>
  <c r="CX97" i="11"/>
  <c r="CW97" i="11"/>
  <c r="CV97" i="11"/>
  <c r="CU97" i="11"/>
  <c r="CT97" i="11"/>
  <c r="CS97" i="11"/>
  <c r="CR97" i="11"/>
  <c r="CQ97" i="11"/>
  <c r="CP97" i="11"/>
  <c r="CO97" i="11"/>
  <c r="CN97" i="11"/>
  <c r="CM97" i="11"/>
  <c r="CK97" i="11"/>
  <c r="CJ97" i="11"/>
  <c r="CI97" i="11"/>
  <c r="CH97" i="11"/>
  <c r="CG97" i="11"/>
  <c r="CF97" i="11"/>
  <c r="CE97" i="11"/>
  <c r="CD97" i="11"/>
  <c r="CC97" i="11"/>
  <c r="CB97" i="11"/>
  <c r="CA97" i="11"/>
  <c r="BZ97" i="11"/>
  <c r="BY97" i="11"/>
  <c r="BX97" i="11"/>
  <c r="BW97" i="11"/>
  <c r="BU97" i="11"/>
  <c r="BT97" i="11"/>
  <c r="BS97" i="11"/>
  <c r="BR97" i="11"/>
  <c r="BQ97" i="11"/>
  <c r="BP97" i="11"/>
  <c r="BO97" i="11"/>
  <c r="BN97" i="11"/>
  <c r="BM97" i="11"/>
  <c r="BL97" i="11"/>
  <c r="BK97" i="11"/>
  <c r="BJ97" i="11"/>
  <c r="BI97" i="11"/>
  <c r="BH97" i="11"/>
  <c r="BG97" i="11"/>
  <c r="BE97" i="11"/>
  <c r="BD97" i="11"/>
  <c r="BC97" i="11"/>
  <c r="BB97" i="11"/>
  <c r="BA97" i="11"/>
  <c r="AZ97" i="11"/>
  <c r="AY97" i="11"/>
  <c r="AX97" i="11"/>
  <c r="AW97" i="11"/>
  <c r="AV97" i="11"/>
  <c r="AU97" i="11"/>
  <c r="AT97" i="11"/>
  <c r="AS97" i="11"/>
  <c r="AR97" i="11"/>
  <c r="AQ97" i="11"/>
  <c r="AO97" i="11"/>
  <c r="AN97" i="11"/>
  <c r="AM97" i="11"/>
  <c r="AL97" i="11"/>
  <c r="AK97" i="11"/>
  <c r="AJ97" i="11"/>
  <c r="AI97" i="11"/>
  <c r="AH97" i="11"/>
  <c r="AG97" i="11"/>
  <c r="AF97" i="11"/>
  <c r="AE97" i="11"/>
  <c r="AD97" i="11"/>
  <c r="AC97" i="11"/>
  <c r="AB97" i="11"/>
  <c r="AA97" i="11"/>
  <c r="DA96" i="11"/>
  <c r="CZ96" i="11"/>
  <c r="CY96" i="11"/>
  <c r="CX96" i="11"/>
  <c r="CW96" i="11"/>
  <c r="CV96" i="11"/>
  <c r="CU96" i="11"/>
  <c r="CT96" i="11"/>
  <c r="CS96" i="11"/>
  <c r="CR96" i="11"/>
  <c r="CQ96" i="11"/>
  <c r="CP96" i="11"/>
  <c r="CO96" i="11"/>
  <c r="CN96" i="11"/>
  <c r="CM96" i="11"/>
  <c r="CK96" i="11"/>
  <c r="CJ96" i="11"/>
  <c r="CI96" i="11"/>
  <c r="CH96" i="11"/>
  <c r="CG96" i="11"/>
  <c r="CF96" i="11"/>
  <c r="CE96" i="11"/>
  <c r="CD96" i="11"/>
  <c r="CC96" i="11"/>
  <c r="CB96" i="11"/>
  <c r="CA96" i="11"/>
  <c r="BZ96" i="11"/>
  <c r="BY96" i="11"/>
  <c r="BX96" i="11"/>
  <c r="BW96" i="11"/>
  <c r="BU96" i="11"/>
  <c r="BT96" i="11"/>
  <c r="BS96" i="11"/>
  <c r="BR96" i="11"/>
  <c r="BQ96" i="11"/>
  <c r="BP96" i="11"/>
  <c r="BO96" i="11"/>
  <c r="BN96" i="11"/>
  <c r="BM96" i="11"/>
  <c r="BL96" i="11"/>
  <c r="BK96" i="11"/>
  <c r="BJ96" i="11"/>
  <c r="BI96" i="11"/>
  <c r="BH96" i="11"/>
  <c r="BG96" i="11"/>
  <c r="BE96" i="11"/>
  <c r="BD96" i="11"/>
  <c r="BC96" i="11"/>
  <c r="BB96" i="11"/>
  <c r="BA96" i="11"/>
  <c r="AZ96" i="11"/>
  <c r="AY96" i="11"/>
  <c r="AX96" i="11"/>
  <c r="AW96" i="11"/>
  <c r="AV96" i="11"/>
  <c r="AU96" i="11"/>
  <c r="AT96" i="11"/>
  <c r="AS96" i="11"/>
  <c r="AR96" i="11"/>
  <c r="AQ96" i="11"/>
  <c r="AO96" i="11"/>
  <c r="AN96" i="11"/>
  <c r="AM96" i="11"/>
  <c r="AL96" i="11"/>
  <c r="AK96" i="11"/>
  <c r="AJ96" i="11"/>
  <c r="AI96" i="11"/>
  <c r="AH96" i="11"/>
  <c r="AG96" i="11"/>
  <c r="AF96" i="11"/>
  <c r="AE96" i="11"/>
  <c r="AD96" i="11"/>
  <c r="AC96" i="11"/>
  <c r="AB96" i="11"/>
  <c r="AA96" i="11"/>
  <c r="DA95" i="11"/>
  <c r="CZ95" i="11"/>
  <c r="CY95" i="11"/>
  <c r="CX95" i="11"/>
  <c r="CW95" i="11"/>
  <c r="CV95" i="11"/>
  <c r="CU95" i="11"/>
  <c r="CT95" i="11"/>
  <c r="CS95" i="11"/>
  <c r="CR95" i="11"/>
  <c r="CQ95" i="11"/>
  <c r="CP95" i="11"/>
  <c r="CO95" i="11"/>
  <c r="CN95" i="11"/>
  <c r="CM95" i="11"/>
  <c r="CK95" i="11"/>
  <c r="CJ95" i="11"/>
  <c r="CI95" i="11"/>
  <c r="CH95" i="11"/>
  <c r="CG95" i="11"/>
  <c r="CF95" i="11"/>
  <c r="CE95" i="11"/>
  <c r="CD95" i="11"/>
  <c r="CC95" i="11"/>
  <c r="CB95" i="11"/>
  <c r="CA95" i="11"/>
  <c r="BZ95" i="11"/>
  <c r="BY95" i="11"/>
  <c r="BX95" i="11"/>
  <c r="BW95" i="11"/>
  <c r="BU95" i="11"/>
  <c r="BT95" i="11"/>
  <c r="BS95" i="11"/>
  <c r="BR95" i="11"/>
  <c r="BQ95" i="11"/>
  <c r="BP95" i="11"/>
  <c r="BO95" i="11"/>
  <c r="BN95" i="11"/>
  <c r="BM95" i="11"/>
  <c r="BL95" i="11"/>
  <c r="BK95" i="11"/>
  <c r="BJ95" i="11"/>
  <c r="BI95" i="11"/>
  <c r="BH95" i="11"/>
  <c r="BG95" i="11"/>
  <c r="BE95" i="11"/>
  <c r="BD95" i="11"/>
  <c r="BC95" i="11"/>
  <c r="BB95" i="11"/>
  <c r="BA95" i="11"/>
  <c r="AZ95" i="11"/>
  <c r="AY95" i="11"/>
  <c r="AX95" i="11"/>
  <c r="AW95" i="11"/>
  <c r="AV95" i="11"/>
  <c r="AU95" i="11"/>
  <c r="AT95" i="11"/>
  <c r="AS95" i="11"/>
  <c r="AR95" i="11"/>
  <c r="AQ95" i="11"/>
  <c r="AO95" i="11"/>
  <c r="AN95" i="11"/>
  <c r="AM95" i="11"/>
  <c r="AL95" i="11"/>
  <c r="AK95" i="11"/>
  <c r="AJ95" i="11"/>
  <c r="AI95" i="11"/>
  <c r="AH95" i="11"/>
  <c r="AG95" i="11"/>
  <c r="AF95" i="11"/>
  <c r="AE95" i="11"/>
  <c r="AD95" i="11"/>
  <c r="AC95" i="11"/>
  <c r="AB95" i="11"/>
  <c r="AA95" i="11"/>
  <c r="DA94" i="11"/>
  <c r="CZ94" i="11"/>
  <c r="CY94" i="11"/>
  <c r="CX94" i="11"/>
  <c r="CW94" i="11"/>
  <c r="CV94" i="11"/>
  <c r="CU94" i="11"/>
  <c r="CT94" i="11"/>
  <c r="CS94" i="11"/>
  <c r="CR94" i="11"/>
  <c r="CQ94" i="11"/>
  <c r="CP94" i="11"/>
  <c r="CO94" i="11"/>
  <c r="CN94" i="11"/>
  <c r="CM94" i="11"/>
  <c r="CK94" i="11"/>
  <c r="CJ94" i="11"/>
  <c r="CI94" i="11"/>
  <c r="CH94" i="11"/>
  <c r="CG94" i="11"/>
  <c r="CF94" i="11"/>
  <c r="CE94" i="11"/>
  <c r="CD94" i="11"/>
  <c r="CC94" i="11"/>
  <c r="CB94" i="11"/>
  <c r="CA94" i="11"/>
  <c r="BZ94" i="11"/>
  <c r="BY94" i="11"/>
  <c r="BX94" i="11"/>
  <c r="BW94" i="11"/>
  <c r="BU94" i="11"/>
  <c r="BT94" i="11"/>
  <c r="BS94" i="11"/>
  <c r="BR94" i="11"/>
  <c r="BQ94" i="11"/>
  <c r="BP94" i="11"/>
  <c r="BO94" i="11"/>
  <c r="BN94" i="11"/>
  <c r="BM94" i="11"/>
  <c r="BL94" i="11"/>
  <c r="BK94" i="11"/>
  <c r="BJ94" i="11"/>
  <c r="BI94" i="11"/>
  <c r="BH94" i="11"/>
  <c r="BG94" i="11"/>
  <c r="BE94" i="11"/>
  <c r="BD94" i="11"/>
  <c r="BC94" i="11"/>
  <c r="BB94" i="11"/>
  <c r="BA94" i="11"/>
  <c r="AZ94" i="11"/>
  <c r="AY94" i="11"/>
  <c r="AX94" i="11"/>
  <c r="AW94" i="11"/>
  <c r="AV94" i="11"/>
  <c r="AU94" i="11"/>
  <c r="AT94" i="11"/>
  <c r="AS94" i="11"/>
  <c r="AR94" i="11"/>
  <c r="AQ94" i="11"/>
  <c r="AO94" i="11"/>
  <c r="AN94" i="11"/>
  <c r="AM94" i="11"/>
  <c r="AL94" i="11"/>
  <c r="AK94" i="11"/>
  <c r="AJ94" i="11"/>
  <c r="AI94" i="11"/>
  <c r="AH94" i="11"/>
  <c r="AG94" i="11"/>
  <c r="AF94" i="11"/>
  <c r="AE94" i="11"/>
  <c r="AD94" i="11"/>
  <c r="AC94" i="11"/>
  <c r="AB94" i="11"/>
  <c r="AA94" i="11"/>
  <c r="DA93" i="11"/>
  <c r="CZ93" i="11"/>
  <c r="CY93" i="11"/>
  <c r="CX93" i="11"/>
  <c r="CW93" i="11"/>
  <c r="CV93" i="11"/>
  <c r="CU93" i="11"/>
  <c r="CT93" i="11"/>
  <c r="CS93" i="11"/>
  <c r="CR93" i="11"/>
  <c r="CQ93" i="11"/>
  <c r="CP93" i="11"/>
  <c r="CO93" i="11"/>
  <c r="CN93" i="11"/>
  <c r="CM93" i="11"/>
  <c r="CK93" i="11"/>
  <c r="CJ93" i="11"/>
  <c r="CI93" i="11"/>
  <c r="CH93" i="11"/>
  <c r="CG93" i="11"/>
  <c r="CF93" i="11"/>
  <c r="CE93" i="11"/>
  <c r="CD93" i="11"/>
  <c r="CC93" i="11"/>
  <c r="CB93" i="11"/>
  <c r="CA93" i="11"/>
  <c r="BZ93" i="11"/>
  <c r="BY93" i="11"/>
  <c r="BX93" i="11"/>
  <c r="BW93" i="11"/>
  <c r="BU93" i="11"/>
  <c r="BT93" i="11"/>
  <c r="BS93" i="11"/>
  <c r="BR93" i="11"/>
  <c r="BQ93" i="11"/>
  <c r="BP93" i="11"/>
  <c r="BO93" i="11"/>
  <c r="BN93" i="11"/>
  <c r="BM93" i="11"/>
  <c r="BL93" i="11"/>
  <c r="BK93" i="11"/>
  <c r="BJ93" i="11"/>
  <c r="BI93" i="11"/>
  <c r="BH93" i="11"/>
  <c r="BG93" i="11"/>
  <c r="BE93" i="11"/>
  <c r="BD93" i="11"/>
  <c r="BC93" i="11"/>
  <c r="BB93" i="11"/>
  <c r="BA93" i="11"/>
  <c r="AZ93" i="11"/>
  <c r="AY93" i="11"/>
  <c r="AX93" i="11"/>
  <c r="AW93" i="11"/>
  <c r="AV93" i="11"/>
  <c r="AU93" i="11"/>
  <c r="AT93" i="11"/>
  <c r="AS93" i="11"/>
  <c r="AR93" i="11"/>
  <c r="AQ93" i="11"/>
  <c r="AO93" i="11"/>
  <c r="AN93" i="11"/>
  <c r="AM93" i="11"/>
  <c r="AL93" i="11"/>
  <c r="AK93" i="11"/>
  <c r="AJ93" i="11"/>
  <c r="AI93" i="11"/>
  <c r="AH93" i="11"/>
  <c r="AG93" i="11"/>
  <c r="AF93" i="11"/>
  <c r="AE93" i="11"/>
  <c r="AD93" i="11"/>
  <c r="AC93" i="11"/>
  <c r="AB93" i="11"/>
  <c r="AA93" i="11"/>
  <c r="DA92" i="11"/>
  <c r="CZ92" i="11"/>
  <c r="CY92" i="11"/>
  <c r="CX92" i="11"/>
  <c r="CW92" i="11"/>
  <c r="CV92" i="11"/>
  <c r="CU92" i="11"/>
  <c r="CT92" i="11"/>
  <c r="CS92" i="11"/>
  <c r="CR92" i="11"/>
  <c r="CQ92" i="11"/>
  <c r="CP92" i="11"/>
  <c r="CO92" i="11"/>
  <c r="CN92" i="11"/>
  <c r="CM92" i="11"/>
  <c r="CK92" i="11"/>
  <c r="CJ92" i="11"/>
  <c r="CI92" i="11"/>
  <c r="CH92" i="11"/>
  <c r="CG92" i="11"/>
  <c r="CF92" i="11"/>
  <c r="CE92" i="11"/>
  <c r="CD92" i="11"/>
  <c r="CC92" i="11"/>
  <c r="CB92" i="11"/>
  <c r="CA92" i="11"/>
  <c r="BZ92" i="11"/>
  <c r="BY92" i="11"/>
  <c r="BX92" i="11"/>
  <c r="BW92" i="11"/>
  <c r="BU92" i="11"/>
  <c r="BT92" i="11"/>
  <c r="BS92" i="11"/>
  <c r="BR92" i="11"/>
  <c r="BQ92" i="11"/>
  <c r="BP92" i="11"/>
  <c r="BO92" i="11"/>
  <c r="BN92" i="11"/>
  <c r="BM92" i="11"/>
  <c r="BL92" i="11"/>
  <c r="BK92" i="11"/>
  <c r="BJ92" i="11"/>
  <c r="BI92" i="11"/>
  <c r="BH92" i="11"/>
  <c r="BG92" i="11"/>
  <c r="BE92" i="11"/>
  <c r="BD92" i="11"/>
  <c r="BC92" i="11"/>
  <c r="BB92" i="11"/>
  <c r="BA92" i="11"/>
  <c r="AZ92" i="11"/>
  <c r="AY92" i="11"/>
  <c r="AX92" i="11"/>
  <c r="AW92" i="11"/>
  <c r="AV92" i="11"/>
  <c r="AU92" i="11"/>
  <c r="AT92" i="11"/>
  <c r="AS92" i="11"/>
  <c r="AR92" i="11"/>
  <c r="AQ92" i="11"/>
  <c r="AO92" i="11"/>
  <c r="AN92" i="11"/>
  <c r="AM92" i="11"/>
  <c r="AL92" i="11"/>
  <c r="AK92" i="11"/>
  <c r="AJ92" i="11"/>
  <c r="AI92" i="11"/>
  <c r="AH92" i="11"/>
  <c r="AG92" i="11"/>
  <c r="AF92" i="11"/>
  <c r="AE92" i="11"/>
  <c r="AD92" i="11"/>
  <c r="AC92" i="11"/>
  <c r="AB92" i="11"/>
  <c r="AA92" i="11"/>
  <c r="DA91" i="11"/>
  <c r="CZ91" i="11"/>
  <c r="CY91" i="11"/>
  <c r="CX91" i="11"/>
  <c r="CW91" i="11"/>
  <c r="CV91" i="11"/>
  <c r="CU91" i="11"/>
  <c r="CT91" i="11"/>
  <c r="CS91" i="11"/>
  <c r="CR91" i="11"/>
  <c r="CQ91" i="11"/>
  <c r="CP91" i="11"/>
  <c r="CO91" i="11"/>
  <c r="CN91" i="11"/>
  <c r="CM91" i="11"/>
  <c r="CK91" i="11"/>
  <c r="CJ91" i="11"/>
  <c r="CI91" i="11"/>
  <c r="CH91" i="11"/>
  <c r="CG91" i="11"/>
  <c r="CF91" i="11"/>
  <c r="CE91" i="11"/>
  <c r="CD91" i="11"/>
  <c r="CC91" i="11"/>
  <c r="CB91" i="11"/>
  <c r="CA91" i="11"/>
  <c r="BZ91" i="11"/>
  <c r="BY91" i="11"/>
  <c r="BX91" i="11"/>
  <c r="BW91" i="11"/>
  <c r="BU91" i="11"/>
  <c r="BT91" i="11"/>
  <c r="BS91" i="11"/>
  <c r="BR91" i="11"/>
  <c r="BQ91" i="11"/>
  <c r="BP91" i="11"/>
  <c r="BO91" i="11"/>
  <c r="BN91" i="11"/>
  <c r="BM91" i="11"/>
  <c r="BL91" i="11"/>
  <c r="BK91" i="11"/>
  <c r="BJ91" i="11"/>
  <c r="BI91" i="11"/>
  <c r="BH91" i="11"/>
  <c r="BG91" i="11"/>
  <c r="BE91" i="11"/>
  <c r="BD91" i="11"/>
  <c r="BC91" i="11"/>
  <c r="BB91" i="11"/>
  <c r="BA91" i="11"/>
  <c r="AZ91" i="11"/>
  <c r="AY91" i="11"/>
  <c r="AX91" i="11"/>
  <c r="AW91" i="11"/>
  <c r="AV91" i="11"/>
  <c r="AU91" i="11"/>
  <c r="AT91" i="11"/>
  <c r="AS91" i="11"/>
  <c r="AR91" i="11"/>
  <c r="AQ91" i="11"/>
  <c r="AO91" i="11"/>
  <c r="AN91" i="11"/>
  <c r="AM91" i="11"/>
  <c r="AL91" i="11"/>
  <c r="AK91" i="11"/>
  <c r="AJ91" i="11"/>
  <c r="AI91" i="11"/>
  <c r="AH91" i="11"/>
  <c r="AG91" i="11"/>
  <c r="AF91" i="11"/>
  <c r="AE91" i="11"/>
  <c r="AD91" i="11"/>
  <c r="AC91" i="11"/>
  <c r="AB91" i="11"/>
  <c r="AA91" i="11"/>
  <c r="DA90" i="11"/>
  <c r="CZ90" i="11"/>
  <c r="CY90" i="11"/>
  <c r="CX90" i="11"/>
  <c r="CW90" i="11"/>
  <c r="CV90" i="11"/>
  <c r="CU90" i="11"/>
  <c r="CT90" i="11"/>
  <c r="CS90" i="11"/>
  <c r="CR90" i="11"/>
  <c r="CQ90" i="11"/>
  <c r="CP90" i="11"/>
  <c r="CO90" i="11"/>
  <c r="CN90" i="11"/>
  <c r="CM90" i="11"/>
  <c r="CK90" i="11"/>
  <c r="CJ90" i="11"/>
  <c r="CI90" i="11"/>
  <c r="CH90" i="11"/>
  <c r="CG90" i="11"/>
  <c r="CF90" i="11"/>
  <c r="CE90" i="11"/>
  <c r="CD90" i="11"/>
  <c r="CC90" i="11"/>
  <c r="CB90" i="11"/>
  <c r="CA90" i="11"/>
  <c r="BZ90" i="11"/>
  <c r="BY90" i="11"/>
  <c r="BX90" i="11"/>
  <c r="BW90" i="11"/>
  <c r="BU90" i="11"/>
  <c r="BT90" i="11"/>
  <c r="BS90" i="11"/>
  <c r="BR90" i="11"/>
  <c r="BQ90" i="11"/>
  <c r="BP90" i="11"/>
  <c r="BO90" i="11"/>
  <c r="BN90" i="11"/>
  <c r="BM90" i="11"/>
  <c r="BL90" i="11"/>
  <c r="BK90" i="11"/>
  <c r="BJ90" i="11"/>
  <c r="BI90" i="11"/>
  <c r="BH90" i="11"/>
  <c r="BG90" i="11"/>
  <c r="BE90" i="11"/>
  <c r="BD90" i="11"/>
  <c r="BC90" i="11"/>
  <c r="BB90" i="11"/>
  <c r="BA90" i="11"/>
  <c r="AZ90" i="11"/>
  <c r="AY90" i="11"/>
  <c r="AX90" i="11"/>
  <c r="AW90" i="11"/>
  <c r="AV90" i="11"/>
  <c r="AU90" i="11"/>
  <c r="AT90" i="11"/>
  <c r="AS90" i="11"/>
  <c r="AR90" i="11"/>
  <c r="AQ90" i="11"/>
  <c r="AO90" i="11"/>
  <c r="AN90" i="11"/>
  <c r="AM90" i="11"/>
  <c r="AL90" i="11"/>
  <c r="AK90" i="11"/>
  <c r="AJ90" i="11"/>
  <c r="AI90" i="11"/>
  <c r="AH90" i="11"/>
  <c r="AG90" i="11"/>
  <c r="AF90" i="11"/>
  <c r="AE90" i="11"/>
  <c r="AD90" i="11"/>
  <c r="AC90" i="11"/>
  <c r="AB90" i="11"/>
  <c r="AA90" i="11"/>
  <c r="DA89" i="11"/>
  <c r="CZ89" i="11"/>
  <c r="CY89" i="11"/>
  <c r="CX89" i="11"/>
  <c r="CW89" i="11"/>
  <c r="CV89" i="11"/>
  <c r="CU89" i="11"/>
  <c r="CT89" i="11"/>
  <c r="CS89" i="11"/>
  <c r="CR89" i="11"/>
  <c r="CQ89" i="11"/>
  <c r="CP89" i="11"/>
  <c r="CO89" i="11"/>
  <c r="CN89" i="11"/>
  <c r="CM89" i="11"/>
  <c r="CK89" i="11"/>
  <c r="CJ89" i="11"/>
  <c r="CI89" i="11"/>
  <c r="CH89" i="11"/>
  <c r="CG89" i="11"/>
  <c r="CF89" i="11"/>
  <c r="CE89" i="11"/>
  <c r="CD89" i="11"/>
  <c r="CC89" i="11"/>
  <c r="CB89" i="11"/>
  <c r="CA89" i="11"/>
  <c r="BZ89" i="11"/>
  <c r="BY89" i="11"/>
  <c r="BX89" i="11"/>
  <c r="BW89" i="11"/>
  <c r="BU89" i="11"/>
  <c r="BT89" i="11"/>
  <c r="BS89" i="11"/>
  <c r="BR89" i="11"/>
  <c r="BQ89" i="11"/>
  <c r="BP89" i="11"/>
  <c r="BO89" i="11"/>
  <c r="BN89" i="11"/>
  <c r="BM89" i="11"/>
  <c r="BL89" i="11"/>
  <c r="BK89" i="11"/>
  <c r="BJ89" i="11"/>
  <c r="BI89" i="11"/>
  <c r="BH89" i="11"/>
  <c r="BG89" i="11"/>
  <c r="BE89" i="11"/>
  <c r="BD89" i="11"/>
  <c r="BC89" i="11"/>
  <c r="BB89" i="11"/>
  <c r="BA89" i="11"/>
  <c r="AZ89" i="11"/>
  <c r="AY89" i="11"/>
  <c r="AX89" i="11"/>
  <c r="AW89" i="11"/>
  <c r="AV89" i="11"/>
  <c r="AU89" i="11"/>
  <c r="AT89" i="11"/>
  <c r="AS89" i="11"/>
  <c r="AR89" i="11"/>
  <c r="AQ89" i="11"/>
  <c r="AO89" i="11"/>
  <c r="AN89" i="11"/>
  <c r="AM89" i="11"/>
  <c r="AL89" i="11"/>
  <c r="AK89" i="11"/>
  <c r="AJ89" i="11"/>
  <c r="AI89" i="11"/>
  <c r="AH89" i="11"/>
  <c r="AG89" i="11"/>
  <c r="AF89" i="11"/>
  <c r="AE89" i="11"/>
  <c r="AD89" i="11"/>
  <c r="AC89" i="11"/>
  <c r="AB89" i="11"/>
  <c r="AA89" i="11"/>
  <c r="DA88" i="11"/>
  <c r="CZ88" i="11"/>
  <c r="CY88" i="11"/>
  <c r="CX88" i="11"/>
  <c r="CW88" i="11"/>
  <c r="CV88" i="11"/>
  <c r="CU88" i="11"/>
  <c r="CT88" i="11"/>
  <c r="CS88" i="11"/>
  <c r="CR88" i="11"/>
  <c r="CQ88" i="11"/>
  <c r="CP88" i="11"/>
  <c r="CO88" i="11"/>
  <c r="CN88" i="11"/>
  <c r="CM88" i="11"/>
  <c r="CK88" i="11"/>
  <c r="CJ88" i="11"/>
  <c r="CI88" i="11"/>
  <c r="CH88" i="11"/>
  <c r="CG88" i="11"/>
  <c r="CF88" i="11"/>
  <c r="CE88" i="11"/>
  <c r="CD88" i="11"/>
  <c r="CC88" i="11"/>
  <c r="CB88" i="11"/>
  <c r="CA88" i="11"/>
  <c r="BZ88" i="11"/>
  <c r="BY88" i="11"/>
  <c r="BX88" i="11"/>
  <c r="BW88" i="11"/>
  <c r="BU88" i="11"/>
  <c r="BT88" i="11"/>
  <c r="BS88" i="11"/>
  <c r="BR88" i="11"/>
  <c r="BQ88" i="11"/>
  <c r="BP88" i="11"/>
  <c r="BO88" i="11"/>
  <c r="BN88" i="11"/>
  <c r="BM88" i="11"/>
  <c r="BL88" i="11"/>
  <c r="BK88" i="11"/>
  <c r="BJ88" i="11"/>
  <c r="BI88" i="11"/>
  <c r="BH88" i="11"/>
  <c r="BG88" i="11"/>
  <c r="BE88" i="11"/>
  <c r="BD88" i="11"/>
  <c r="BC88" i="11"/>
  <c r="BB88" i="11"/>
  <c r="BA88" i="11"/>
  <c r="AZ88" i="11"/>
  <c r="AY88" i="11"/>
  <c r="AX88" i="11"/>
  <c r="AW88" i="11"/>
  <c r="AV88" i="11"/>
  <c r="AU88" i="11"/>
  <c r="AT88" i="11"/>
  <c r="AS88" i="11"/>
  <c r="AR88" i="11"/>
  <c r="AQ88" i="11"/>
  <c r="AO88" i="11"/>
  <c r="AN88" i="11"/>
  <c r="AM88" i="11"/>
  <c r="AL88" i="11"/>
  <c r="AK88" i="11"/>
  <c r="AJ88" i="11"/>
  <c r="AI88" i="11"/>
  <c r="AH88" i="11"/>
  <c r="AG88" i="11"/>
  <c r="AF88" i="11"/>
  <c r="AE88" i="11"/>
  <c r="AD88" i="11"/>
  <c r="AC88" i="11"/>
  <c r="AB88" i="11"/>
  <c r="AA88" i="11"/>
  <c r="DA87" i="11"/>
  <c r="CZ87" i="11"/>
  <c r="CY87" i="11"/>
  <c r="CX87" i="11"/>
  <c r="CW87" i="11"/>
  <c r="CV87" i="11"/>
  <c r="CU87" i="11"/>
  <c r="CT87" i="11"/>
  <c r="CS87" i="11"/>
  <c r="CR87" i="11"/>
  <c r="CQ87" i="11"/>
  <c r="CP87" i="11"/>
  <c r="CO87" i="11"/>
  <c r="CN87" i="11"/>
  <c r="CM87" i="11"/>
  <c r="CK87" i="11"/>
  <c r="CJ87" i="11"/>
  <c r="CI87" i="11"/>
  <c r="CH87" i="11"/>
  <c r="CG87" i="11"/>
  <c r="CF87" i="11"/>
  <c r="CE87" i="11"/>
  <c r="CD87" i="11"/>
  <c r="CC87" i="11"/>
  <c r="CB87" i="11"/>
  <c r="CA87" i="11"/>
  <c r="BZ87" i="11"/>
  <c r="BY87" i="11"/>
  <c r="BX87" i="11"/>
  <c r="BW87" i="11"/>
  <c r="BU87" i="11"/>
  <c r="BT87" i="11"/>
  <c r="BS87" i="11"/>
  <c r="BR87" i="11"/>
  <c r="BQ87" i="11"/>
  <c r="BP87" i="11"/>
  <c r="BO87" i="11"/>
  <c r="BN87" i="11"/>
  <c r="BM87" i="11"/>
  <c r="BL87" i="11"/>
  <c r="BK87" i="11"/>
  <c r="BJ87" i="11"/>
  <c r="BI87" i="11"/>
  <c r="BH87" i="11"/>
  <c r="BG87" i="11"/>
  <c r="BE87" i="11"/>
  <c r="BD87" i="11"/>
  <c r="BC87" i="11"/>
  <c r="BB87" i="11"/>
  <c r="BA87" i="11"/>
  <c r="AZ87" i="11"/>
  <c r="AY87" i="11"/>
  <c r="AX87" i="11"/>
  <c r="AW87" i="11"/>
  <c r="AV87" i="11"/>
  <c r="AU87" i="11"/>
  <c r="AT87" i="11"/>
  <c r="AS87" i="11"/>
  <c r="AR87" i="11"/>
  <c r="AQ87" i="11"/>
  <c r="AO87" i="11"/>
  <c r="AN87" i="11"/>
  <c r="AM87" i="11"/>
  <c r="AL87" i="11"/>
  <c r="AK87" i="11"/>
  <c r="AJ87" i="11"/>
  <c r="AI87" i="11"/>
  <c r="AH87" i="11"/>
  <c r="AG87" i="11"/>
  <c r="AF87" i="11"/>
  <c r="AE87" i="11"/>
  <c r="AD87" i="11"/>
  <c r="AC87" i="11"/>
  <c r="AB87" i="11"/>
  <c r="AA87" i="11"/>
  <c r="DA86" i="11"/>
  <c r="CZ86" i="11"/>
  <c r="CY86" i="11"/>
  <c r="CX86" i="11"/>
  <c r="CW86" i="11"/>
  <c r="CV86" i="11"/>
  <c r="CU86" i="11"/>
  <c r="CT86" i="11"/>
  <c r="CS86" i="11"/>
  <c r="CR86" i="11"/>
  <c r="CQ86" i="11"/>
  <c r="CP86" i="11"/>
  <c r="CO86" i="11"/>
  <c r="CN86" i="11"/>
  <c r="CM86" i="11"/>
  <c r="CK86" i="11"/>
  <c r="CJ86" i="11"/>
  <c r="CI86" i="11"/>
  <c r="CH86" i="11"/>
  <c r="CG86" i="11"/>
  <c r="CF86" i="11"/>
  <c r="CE86" i="11"/>
  <c r="CD86" i="11"/>
  <c r="CC86" i="11"/>
  <c r="CB86" i="11"/>
  <c r="CA86" i="11"/>
  <c r="BZ86" i="11"/>
  <c r="BY86" i="11"/>
  <c r="BX86" i="11"/>
  <c r="BW86" i="11"/>
  <c r="BU86" i="11"/>
  <c r="BT86" i="11"/>
  <c r="BS86" i="11"/>
  <c r="BR86" i="11"/>
  <c r="BQ86" i="11"/>
  <c r="BP86" i="11"/>
  <c r="BO86" i="11"/>
  <c r="BN86" i="11"/>
  <c r="BM86" i="11"/>
  <c r="BL86" i="11"/>
  <c r="BK86" i="11"/>
  <c r="BJ86" i="11"/>
  <c r="BI86" i="11"/>
  <c r="BH86" i="11"/>
  <c r="BG86" i="11"/>
  <c r="BE86" i="11"/>
  <c r="BD86" i="11"/>
  <c r="BC86" i="11"/>
  <c r="BB86" i="11"/>
  <c r="BA86" i="11"/>
  <c r="AZ86" i="11"/>
  <c r="AY86" i="11"/>
  <c r="AX86" i="11"/>
  <c r="AW86" i="11"/>
  <c r="AV86" i="11"/>
  <c r="AU86" i="11"/>
  <c r="AT86" i="11"/>
  <c r="AS86" i="11"/>
  <c r="AR86" i="11"/>
  <c r="AQ86" i="11"/>
  <c r="AO86" i="11"/>
  <c r="AN86" i="11"/>
  <c r="AM86" i="11"/>
  <c r="AL86" i="11"/>
  <c r="AK86" i="11"/>
  <c r="AJ86" i="11"/>
  <c r="AI86" i="11"/>
  <c r="AH86" i="11"/>
  <c r="AG86" i="11"/>
  <c r="AF86" i="11"/>
  <c r="AE86" i="11"/>
  <c r="AD86" i="11"/>
  <c r="AC86" i="11"/>
  <c r="AB86" i="11"/>
  <c r="AA86" i="11"/>
  <c r="DA85" i="11"/>
  <c r="CZ85" i="11"/>
  <c r="CY85" i="11"/>
  <c r="CX85" i="11"/>
  <c r="CW85" i="11"/>
  <c r="CV85" i="11"/>
  <c r="CU85" i="11"/>
  <c r="CT85" i="11"/>
  <c r="CS85" i="11"/>
  <c r="CR85" i="11"/>
  <c r="CQ85" i="11"/>
  <c r="CP85" i="11"/>
  <c r="CO85" i="11"/>
  <c r="CN85" i="11"/>
  <c r="CM85" i="11"/>
  <c r="CK85" i="11"/>
  <c r="CJ85" i="11"/>
  <c r="CI85" i="11"/>
  <c r="CH85" i="11"/>
  <c r="CG85" i="11"/>
  <c r="CF85" i="11"/>
  <c r="CE85" i="11"/>
  <c r="CD85" i="11"/>
  <c r="CC85" i="11"/>
  <c r="CB85" i="11"/>
  <c r="CA85" i="11"/>
  <c r="BZ85" i="11"/>
  <c r="BY85" i="11"/>
  <c r="BX85" i="11"/>
  <c r="BW85" i="11"/>
  <c r="BU85" i="11"/>
  <c r="BT85" i="11"/>
  <c r="BS85" i="11"/>
  <c r="BR85" i="11"/>
  <c r="BQ85" i="11"/>
  <c r="BP85" i="11"/>
  <c r="BO85" i="11"/>
  <c r="BN85" i="11"/>
  <c r="BM85" i="11"/>
  <c r="BL85" i="11"/>
  <c r="BK85" i="11"/>
  <c r="BJ85" i="11"/>
  <c r="BI85" i="11"/>
  <c r="BH85" i="11"/>
  <c r="BG85" i="11"/>
  <c r="BE85" i="11"/>
  <c r="BD85" i="11"/>
  <c r="BC85" i="11"/>
  <c r="BB85" i="11"/>
  <c r="BA85" i="11"/>
  <c r="AZ85" i="11"/>
  <c r="AY85" i="11"/>
  <c r="AX85" i="11"/>
  <c r="AW85" i="11"/>
  <c r="AV85" i="11"/>
  <c r="AU85" i="11"/>
  <c r="AT85" i="11"/>
  <c r="AS85" i="11"/>
  <c r="AR85" i="11"/>
  <c r="AQ85" i="11"/>
  <c r="AO85" i="11"/>
  <c r="AN85" i="11"/>
  <c r="AM85" i="11"/>
  <c r="AL85" i="11"/>
  <c r="AK85" i="11"/>
  <c r="AJ85" i="11"/>
  <c r="AI85" i="11"/>
  <c r="AH85" i="11"/>
  <c r="AG85" i="11"/>
  <c r="AF85" i="11"/>
  <c r="AE85" i="11"/>
  <c r="AD85" i="11"/>
  <c r="AC85" i="11"/>
  <c r="AB85" i="11"/>
  <c r="AA85" i="11"/>
  <c r="DA84" i="11"/>
  <c r="CZ84" i="11"/>
  <c r="CY84" i="11"/>
  <c r="CX84" i="11"/>
  <c r="CW84" i="11"/>
  <c r="CV84" i="11"/>
  <c r="CU84" i="11"/>
  <c r="CT84" i="11"/>
  <c r="CS84" i="11"/>
  <c r="CR84" i="11"/>
  <c r="CQ84" i="11"/>
  <c r="CP84" i="11"/>
  <c r="CO84" i="11"/>
  <c r="CN84" i="11"/>
  <c r="CM84" i="11"/>
  <c r="CK84" i="11"/>
  <c r="CJ84" i="11"/>
  <c r="CI84" i="11"/>
  <c r="CH84" i="11"/>
  <c r="CG84" i="11"/>
  <c r="CF84" i="11"/>
  <c r="CE84" i="11"/>
  <c r="CD84" i="11"/>
  <c r="CC84" i="11"/>
  <c r="CB84" i="11"/>
  <c r="CA84" i="11"/>
  <c r="BZ84" i="11"/>
  <c r="BY84" i="11"/>
  <c r="BX84" i="11"/>
  <c r="BW84" i="11"/>
  <c r="BU84" i="11"/>
  <c r="BT84" i="11"/>
  <c r="BS84" i="11"/>
  <c r="BR84" i="11"/>
  <c r="BQ84" i="11"/>
  <c r="BP84" i="11"/>
  <c r="BO84" i="11"/>
  <c r="BN84" i="11"/>
  <c r="BM84" i="11"/>
  <c r="BL84" i="11"/>
  <c r="BK84" i="11"/>
  <c r="BJ84" i="11"/>
  <c r="BI84" i="11"/>
  <c r="BH84" i="11"/>
  <c r="BG84" i="11"/>
  <c r="BE84" i="11"/>
  <c r="BD84" i="11"/>
  <c r="BC84" i="11"/>
  <c r="BB84" i="11"/>
  <c r="BA84" i="11"/>
  <c r="AZ84" i="11"/>
  <c r="AY84" i="11"/>
  <c r="AX84" i="11"/>
  <c r="AW84" i="11"/>
  <c r="AV84" i="11"/>
  <c r="AU84" i="11"/>
  <c r="AT84" i="11"/>
  <c r="AS84" i="11"/>
  <c r="AR84" i="11"/>
  <c r="AQ84" i="11"/>
  <c r="AO84" i="11"/>
  <c r="AN84" i="11"/>
  <c r="AM84" i="11"/>
  <c r="AL84" i="11"/>
  <c r="AK84" i="11"/>
  <c r="AJ84" i="11"/>
  <c r="AI84" i="11"/>
  <c r="AH84" i="11"/>
  <c r="AG84" i="11"/>
  <c r="AF84" i="11"/>
  <c r="AE84" i="11"/>
  <c r="AD84" i="11"/>
  <c r="AC84" i="11"/>
  <c r="AB84" i="11"/>
  <c r="AA84" i="11"/>
  <c r="DA83" i="11"/>
  <c r="CZ83" i="11"/>
  <c r="CY83" i="11"/>
  <c r="CX83" i="11"/>
  <c r="CW83" i="11"/>
  <c r="CV83" i="11"/>
  <c r="CU83" i="11"/>
  <c r="CT83" i="11"/>
  <c r="CS83" i="11"/>
  <c r="CR83" i="11"/>
  <c r="CQ83" i="11"/>
  <c r="CP83" i="11"/>
  <c r="CO83" i="11"/>
  <c r="CN83" i="11"/>
  <c r="CM83" i="11"/>
  <c r="CK83" i="11"/>
  <c r="CJ83" i="11"/>
  <c r="CI83" i="11"/>
  <c r="CH83" i="11"/>
  <c r="CG83" i="11"/>
  <c r="CF83" i="11"/>
  <c r="CE83" i="11"/>
  <c r="CD83" i="11"/>
  <c r="CC83" i="11"/>
  <c r="CB83" i="11"/>
  <c r="CA83" i="11"/>
  <c r="BZ83" i="11"/>
  <c r="BY83" i="11"/>
  <c r="BX83" i="11"/>
  <c r="BW83" i="11"/>
  <c r="BU83" i="11"/>
  <c r="BT83" i="11"/>
  <c r="BS83" i="11"/>
  <c r="BR83" i="11"/>
  <c r="BQ83" i="11"/>
  <c r="BP83" i="11"/>
  <c r="BO83" i="11"/>
  <c r="BN83" i="11"/>
  <c r="BM83" i="11"/>
  <c r="BL83" i="11"/>
  <c r="BK83" i="11"/>
  <c r="BJ83" i="11"/>
  <c r="BI83" i="11"/>
  <c r="BH83" i="11"/>
  <c r="BG83" i="11"/>
  <c r="BE83" i="11"/>
  <c r="BD83" i="11"/>
  <c r="BC83" i="11"/>
  <c r="BB83" i="11"/>
  <c r="BA83" i="11"/>
  <c r="AZ83" i="11"/>
  <c r="AY83" i="11"/>
  <c r="AX83" i="11"/>
  <c r="AW83" i="11"/>
  <c r="AV83" i="11"/>
  <c r="AU83" i="11"/>
  <c r="AT83" i="11"/>
  <c r="AS83" i="11"/>
  <c r="AR83" i="11"/>
  <c r="AQ83" i="11"/>
  <c r="AO83" i="11"/>
  <c r="AN83" i="11"/>
  <c r="AM83" i="11"/>
  <c r="AL83" i="11"/>
  <c r="AK83" i="11"/>
  <c r="AJ83" i="11"/>
  <c r="AI83" i="11"/>
  <c r="AH83" i="11"/>
  <c r="AG83" i="11"/>
  <c r="AF83" i="11"/>
  <c r="AE83" i="11"/>
  <c r="AD83" i="11"/>
  <c r="AC83" i="11"/>
  <c r="AB83" i="11"/>
  <c r="AA83" i="11"/>
  <c r="DA82" i="11"/>
  <c r="CZ82" i="11"/>
  <c r="CY82" i="11"/>
  <c r="CX82" i="11"/>
  <c r="CW82" i="11"/>
  <c r="CV82" i="11"/>
  <c r="CU82" i="11"/>
  <c r="CT82" i="11"/>
  <c r="CS82" i="11"/>
  <c r="CR82" i="11"/>
  <c r="CQ82" i="11"/>
  <c r="CP82" i="11"/>
  <c r="CO82" i="11"/>
  <c r="CN82" i="11"/>
  <c r="CM82" i="11"/>
  <c r="CK82" i="11"/>
  <c r="CJ82" i="11"/>
  <c r="CI82" i="11"/>
  <c r="CH82" i="11"/>
  <c r="CG82" i="11"/>
  <c r="CF82" i="11"/>
  <c r="CE82" i="11"/>
  <c r="CD82" i="11"/>
  <c r="CC82" i="11"/>
  <c r="CB82" i="11"/>
  <c r="CA82" i="11"/>
  <c r="BZ82" i="11"/>
  <c r="BY82" i="11"/>
  <c r="BX82" i="11"/>
  <c r="BW82" i="11"/>
  <c r="BU82" i="11"/>
  <c r="BT82" i="11"/>
  <c r="BS82" i="11"/>
  <c r="BR82" i="11"/>
  <c r="BQ82" i="11"/>
  <c r="BP82" i="11"/>
  <c r="BO82" i="11"/>
  <c r="BN82" i="11"/>
  <c r="BM82" i="11"/>
  <c r="BL82" i="11"/>
  <c r="BK82" i="11"/>
  <c r="BJ82" i="11"/>
  <c r="BI82" i="11"/>
  <c r="BH82" i="11"/>
  <c r="BG82" i="11"/>
  <c r="BE82" i="11"/>
  <c r="BD82" i="11"/>
  <c r="BC82" i="11"/>
  <c r="BB82" i="11"/>
  <c r="BA82" i="11"/>
  <c r="AZ82" i="11"/>
  <c r="AY82" i="11"/>
  <c r="AX82" i="11"/>
  <c r="AW82" i="11"/>
  <c r="AV82" i="11"/>
  <c r="AU82" i="11"/>
  <c r="AT82" i="11"/>
  <c r="AS82" i="11"/>
  <c r="AR82" i="11"/>
  <c r="AQ82" i="11"/>
  <c r="AO82" i="11"/>
  <c r="AN82" i="11"/>
  <c r="AM82" i="11"/>
  <c r="AL82" i="11"/>
  <c r="AK82" i="11"/>
  <c r="AJ82" i="11"/>
  <c r="AI82" i="11"/>
  <c r="AH82" i="11"/>
  <c r="AG82" i="11"/>
  <c r="AF82" i="11"/>
  <c r="AE82" i="11"/>
  <c r="AD82" i="11"/>
  <c r="AC82" i="11"/>
  <c r="AB82" i="11"/>
  <c r="AA82" i="11"/>
  <c r="DA81" i="11"/>
  <c r="CZ81" i="11"/>
  <c r="CY81" i="11"/>
  <c r="CX81" i="11"/>
  <c r="CW81" i="11"/>
  <c r="CV81" i="11"/>
  <c r="CU81" i="11"/>
  <c r="CT81" i="11"/>
  <c r="CS81" i="11"/>
  <c r="CR81" i="11"/>
  <c r="CQ81" i="11"/>
  <c r="CP81" i="11"/>
  <c r="CO81" i="11"/>
  <c r="CN81" i="11"/>
  <c r="CM81" i="11"/>
  <c r="CK81" i="11"/>
  <c r="CJ81" i="11"/>
  <c r="CI81" i="11"/>
  <c r="CH81" i="11"/>
  <c r="CG81" i="11"/>
  <c r="CF81" i="11"/>
  <c r="CE81" i="11"/>
  <c r="CD81" i="11"/>
  <c r="CC81" i="11"/>
  <c r="CB81" i="11"/>
  <c r="CA81" i="11"/>
  <c r="BZ81" i="11"/>
  <c r="BY81" i="11"/>
  <c r="BX81" i="11"/>
  <c r="BW81" i="11"/>
  <c r="BU81" i="11"/>
  <c r="BT81" i="11"/>
  <c r="BS81" i="11"/>
  <c r="BR81" i="11"/>
  <c r="BQ81" i="11"/>
  <c r="BP81" i="11"/>
  <c r="BO81" i="11"/>
  <c r="BN81" i="11"/>
  <c r="BM81" i="11"/>
  <c r="BL81" i="11"/>
  <c r="BK81" i="11"/>
  <c r="BJ81" i="11"/>
  <c r="BI81" i="11"/>
  <c r="BH81" i="11"/>
  <c r="BG81" i="11"/>
  <c r="BE81" i="11"/>
  <c r="BD81" i="11"/>
  <c r="BC81" i="11"/>
  <c r="BB81" i="11"/>
  <c r="BA81" i="11"/>
  <c r="AZ81" i="11"/>
  <c r="AY81" i="11"/>
  <c r="AX81" i="11"/>
  <c r="AW81" i="11"/>
  <c r="AV81" i="11"/>
  <c r="AU81" i="11"/>
  <c r="AT81" i="11"/>
  <c r="AS81" i="11"/>
  <c r="AR81" i="11"/>
  <c r="AQ81" i="11"/>
  <c r="AO81" i="11"/>
  <c r="AN81" i="11"/>
  <c r="AM81" i="11"/>
  <c r="AL81" i="11"/>
  <c r="AK81" i="11"/>
  <c r="AJ81" i="11"/>
  <c r="AI81" i="11"/>
  <c r="AH81" i="11"/>
  <c r="AG81" i="11"/>
  <c r="AF81" i="11"/>
  <c r="AE81" i="11"/>
  <c r="AD81" i="11"/>
  <c r="AC81" i="11"/>
  <c r="AB81" i="11"/>
  <c r="AA81" i="11"/>
  <c r="DA80" i="11"/>
  <c r="CZ80" i="11"/>
  <c r="CY80" i="11"/>
  <c r="CX80" i="11"/>
  <c r="CW80" i="11"/>
  <c r="CV80" i="11"/>
  <c r="CU80" i="11"/>
  <c r="CT80" i="11"/>
  <c r="CS80" i="11"/>
  <c r="CR80" i="11"/>
  <c r="CQ80" i="11"/>
  <c r="CP80" i="11"/>
  <c r="CO80" i="11"/>
  <c r="CN80" i="11"/>
  <c r="CM80" i="11"/>
  <c r="CK80" i="11"/>
  <c r="CJ80" i="11"/>
  <c r="CI80" i="11"/>
  <c r="CH80" i="11"/>
  <c r="CG80" i="11"/>
  <c r="CF80" i="11"/>
  <c r="CE80" i="11"/>
  <c r="CD80" i="11"/>
  <c r="CC80" i="11"/>
  <c r="CB80" i="11"/>
  <c r="CA80" i="11"/>
  <c r="BZ80" i="11"/>
  <c r="BY80" i="11"/>
  <c r="BX80" i="11"/>
  <c r="BW80" i="11"/>
  <c r="BU80" i="11"/>
  <c r="BT80" i="11"/>
  <c r="BS80" i="11"/>
  <c r="BR80" i="11"/>
  <c r="BQ80" i="11"/>
  <c r="BP80" i="11"/>
  <c r="BO80" i="11"/>
  <c r="BN80" i="11"/>
  <c r="BM80" i="11"/>
  <c r="BL80" i="11"/>
  <c r="BK80" i="11"/>
  <c r="BJ80" i="11"/>
  <c r="BI80" i="11"/>
  <c r="BH80" i="11"/>
  <c r="BG80" i="11"/>
  <c r="BE80" i="11"/>
  <c r="BD80" i="11"/>
  <c r="BC80" i="11"/>
  <c r="BB80" i="11"/>
  <c r="BA80" i="11"/>
  <c r="AZ80" i="11"/>
  <c r="AY80" i="11"/>
  <c r="AX80" i="11"/>
  <c r="AW80" i="11"/>
  <c r="AV80" i="11"/>
  <c r="AU80" i="11"/>
  <c r="AT80" i="11"/>
  <c r="AS80" i="11"/>
  <c r="AR80" i="11"/>
  <c r="AQ80" i="11"/>
  <c r="AO80" i="11"/>
  <c r="AN80" i="11"/>
  <c r="AM80" i="11"/>
  <c r="AL80" i="11"/>
  <c r="AK80" i="11"/>
  <c r="AJ80" i="11"/>
  <c r="AI80" i="11"/>
  <c r="AH80" i="11"/>
  <c r="AG80" i="11"/>
  <c r="AF80" i="11"/>
  <c r="AE80" i="11"/>
  <c r="AD80" i="11"/>
  <c r="AC80" i="11"/>
  <c r="AB80" i="11"/>
  <c r="AA80" i="11"/>
  <c r="DA79" i="11"/>
  <c r="CZ79" i="11"/>
  <c r="CY79" i="11"/>
  <c r="CX79" i="11"/>
  <c r="CW79" i="11"/>
  <c r="CV79" i="11"/>
  <c r="CU79" i="11"/>
  <c r="CT79" i="11"/>
  <c r="CS79" i="11"/>
  <c r="CR79" i="11"/>
  <c r="CQ79" i="11"/>
  <c r="CP79" i="11"/>
  <c r="CO79" i="11"/>
  <c r="CN79" i="11"/>
  <c r="CM79" i="11"/>
  <c r="CK79" i="11"/>
  <c r="CJ79" i="11"/>
  <c r="CI79" i="11"/>
  <c r="CH79" i="11"/>
  <c r="CG79" i="11"/>
  <c r="CF79" i="11"/>
  <c r="CE79" i="11"/>
  <c r="CD79" i="11"/>
  <c r="CC79" i="11"/>
  <c r="CB79" i="11"/>
  <c r="CA79" i="11"/>
  <c r="BZ79" i="11"/>
  <c r="BY79" i="11"/>
  <c r="BX79" i="11"/>
  <c r="BW79" i="11"/>
  <c r="BU79" i="11"/>
  <c r="BT79" i="11"/>
  <c r="BS79" i="11"/>
  <c r="BR79" i="11"/>
  <c r="BQ79" i="11"/>
  <c r="BP79" i="11"/>
  <c r="BO79" i="11"/>
  <c r="BN79" i="11"/>
  <c r="BM79" i="11"/>
  <c r="BL79" i="11"/>
  <c r="BK79" i="11"/>
  <c r="BJ79" i="11"/>
  <c r="BI79" i="11"/>
  <c r="BH79" i="11"/>
  <c r="BG79" i="11"/>
  <c r="BE79" i="11"/>
  <c r="BD79" i="11"/>
  <c r="BC79" i="11"/>
  <c r="BB79" i="11"/>
  <c r="BA79" i="11"/>
  <c r="AZ79" i="11"/>
  <c r="AY79" i="11"/>
  <c r="AX79" i="11"/>
  <c r="AW79" i="11"/>
  <c r="AV79" i="11"/>
  <c r="AU79" i="11"/>
  <c r="AT79" i="11"/>
  <c r="AS79" i="11"/>
  <c r="AR79" i="11"/>
  <c r="AQ79" i="11"/>
  <c r="AO79" i="11"/>
  <c r="AN79" i="11"/>
  <c r="AM79" i="11"/>
  <c r="AL79" i="11"/>
  <c r="AK79" i="11"/>
  <c r="AJ79" i="11"/>
  <c r="AI79" i="11"/>
  <c r="AH79" i="11"/>
  <c r="AG79" i="11"/>
  <c r="AF79" i="11"/>
  <c r="AE79" i="11"/>
  <c r="AD79" i="11"/>
  <c r="AC79" i="11"/>
  <c r="AB79" i="11"/>
  <c r="AA79" i="11"/>
  <c r="DA78" i="11"/>
  <c r="CZ78" i="11"/>
  <c r="CY78" i="11"/>
  <c r="CX78" i="11"/>
  <c r="CW78" i="11"/>
  <c r="CV78" i="11"/>
  <c r="CU78" i="11"/>
  <c r="CT78" i="11"/>
  <c r="CS78" i="11"/>
  <c r="CR78" i="11"/>
  <c r="CQ78" i="11"/>
  <c r="CP78" i="11"/>
  <c r="CO78" i="11"/>
  <c r="CN78" i="11"/>
  <c r="CM78" i="11"/>
  <c r="CK78" i="11"/>
  <c r="CJ78" i="11"/>
  <c r="CI78" i="11"/>
  <c r="CH78" i="11"/>
  <c r="CG78" i="11"/>
  <c r="CF78" i="11"/>
  <c r="CE78" i="11"/>
  <c r="CD78" i="11"/>
  <c r="CC78" i="11"/>
  <c r="CB78" i="11"/>
  <c r="CA78" i="11"/>
  <c r="BZ78" i="11"/>
  <c r="BY78" i="11"/>
  <c r="BX78" i="11"/>
  <c r="BW78" i="11"/>
  <c r="BU78" i="11"/>
  <c r="BT78" i="11"/>
  <c r="BS78" i="11"/>
  <c r="BR78" i="11"/>
  <c r="BQ78" i="11"/>
  <c r="BP78" i="11"/>
  <c r="BO78" i="11"/>
  <c r="BN78" i="11"/>
  <c r="BM78" i="11"/>
  <c r="BL78" i="11"/>
  <c r="BK78" i="11"/>
  <c r="BJ78" i="11"/>
  <c r="BI78" i="11"/>
  <c r="BH78" i="11"/>
  <c r="BG78" i="11"/>
  <c r="BE78" i="11"/>
  <c r="BD78" i="11"/>
  <c r="BC78" i="11"/>
  <c r="BB78" i="11"/>
  <c r="BA78" i="11"/>
  <c r="AZ78" i="11"/>
  <c r="AY78" i="11"/>
  <c r="AX78" i="11"/>
  <c r="AW78" i="11"/>
  <c r="AV78" i="11"/>
  <c r="AU78" i="11"/>
  <c r="AT78" i="11"/>
  <c r="AS78" i="11"/>
  <c r="AR78" i="11"/>
  <c r="AQ78" i="11"/>
  <c r="AO78" i="11"/>
  <c r="AN78" i="11"/>
  <c r="AM78" i="11"/>
  <c r="AL78" i="11"/>
  <c r="AK78" i="11"/>
  <c r="AJ78" i="11"/>
  <c r="AI78" i="11"/>
  <c r="AH78" i="11"/>
  <c r="AG78" i="11"/>
  <c r="AF78" i="11"/>
  <c r="AE78" i="11"/>
  <c r="AD78" i="11"/>
  <c r="AC78" i="11"/>
  <c r="AB78" i="11"/>
  <c r="AA78" i="11"/>
  <c r="DA77" i="11"/>
  <c r="CZ77" i="11"/>
  <c r="CY77" i="11"/>
  <c r="CX77" i="11"/>
  <c r="CW77" i="11"/>
  <c r="CV77" i="11"/>
  <c r="CU77" i="11"/>
  <c r="CT77" i="11"/>
  <c r="CS77" i="11"/>
  <c r="CR77" i="11"/>
  <c r="CQ77" i="11"/>
  <c r="CP77" i="11"/>
  <c r="CO77" i="11"/>
  <c r="CN77" i="11"/>
  <c r="CM77" i="11"/>
  <c r="CK77" i="11"/>
  <c r="CJ77" i="11"/>
  <c r="CI77" i="11"/>
  <c r="CH77" i="11"/>
  <c r="CG77" i="11"/>
  <c r="CF77" i="11"/>
  <c r="CE77" i="11"/>
  <c r="CD77" i="11"/>
  <c r="CC77" i="11"/>
  <c r="CB77" i="11"/>
  <c r="CA77" i="11"/>
  <c r="BZ77" i="11"/>
  <c r="BY77" i="11"/>
  <c r="BX77" i="11"/>
  <c r="BW77" i="11"/>
  <c r="BU77" i="11"/>
  <c r="BT77" i="11"/>
  <c r="BS77" i="11"/>
  <c r="BR77" i="11"/>
  <c r="BQ77" i="11"/>
  <c r="BP77" i="11"/>
  <c r="BO77" i="11"/>
  <c r="BN77" i="11"/>
  <c r="BM77" i="11"/>
  <c r="BL77" i="11"/>
  <c r="BK77" i="11"/>
  <c r="BJ77" i="11"/>
  <c r="BI77" i="11"/>
  <c r="BH77" i="11"/>
  <c r="BG77" i="11"/>
  <c r="BE77" i="11"/>
  <c r="BD77" i="11"/>
  <c r="BC77" i="11"/>
  <c r="BB77" i="11"/>
  <c r="BA77" i="11"/>
  <c r="AZ77" i="11"/>
  <c r="AY77" i="11"/>
  <c r="AX77" i="11"/>
  <c r="AW77" i="11"/>
  <c r="AV77" i="11"/>
  <c r="AU77" i="11"/>
  <c r="AT77" i="11"/>
  <c r="AS77" i="11"/>
  <c r="AR77" i="11"/>
  <c r="AQ77" i="11"/>
  <c r="AO77" i="11"/>
  <c r="AN77" i="11"/>
  <c r="AM77" i="11"/>
  <c r="AL77" i="11"/>
  <c r="AK77" i="11"/>
  <c r="AJ77" i="11"/>
  <c r="AI77" i="11"/>
  <c r="AH77" i="11"/>
  <c r="AG77" i="11"/>
  <c r="AF77" i="11"/>
  <c r="AE77" i="11"/>
  <c r="AD77" i="11"/>
  <c r="AC77" i="11"/>
  <c r="AB77" i="11"/>
  <c r="AA77" i="11"/>
  <c r="DA76" i="11"/>
  <c r="CZ76" i="11"/>
  <c r="CY76" i="11"/>
  <c r="CX76" i="11"/>
  <c r="CW76" i="11"/>
  <c r="CV76" i="11"/>
  <c r="CU76" i="11"/>
  <c r="CT76" i="11"/>
  <c r="CS76" i="11"/>
  <c r="CR76" i="11"/>
  <c r="CQ76" i="11"/>
  <c r="CP76" i="11"/>
  <c r="CO76" i="11"/>
  <c r="CN76" i="11"/>
  <c r="CM76" i="11"/>
  <c r="CK76" i="11"/>
  <c r="CJ76" i="11"/>
  <c r="CI76" i="11"/>
  <c r="CH76" i="11"/>
  <c r="CG76" i="11"/>
  <c r="CF76" i="11"/>
  <c r="CE76" i="11"/>
  <c r="CD76" i="11"/>
  <c r="CC76" i="11"/>
  <c r="CB76" i="11"/>
  <c r="CA76" i="11"/>
  <c r="BZ76" i="11"/>
  <c r="BY76" i="11"/>
  <c r="BX76" i="11"/>
  <c r="BW76" i="11"/>
  <c r="BU76" i="11"/>
  <c r="BT76" i="11"/>
  <c r="BS76" i="11"/>
  <c r="BR76" i="11"/>
  <c r="BQ76" i="11"/>
  <c r="BP76" i="11"/>
  <c r="BO76" i="11"/>
  <c r="BN76" i="11"/>
  <c r="BM76" i="11"/>
  <c r="BL76" i="11"/>
  <c r="BK76" i="11"/>
  <c r="BJ76" i="11"/>
  <c r="BI76" i="11"/>
  <c r="BH76" i="11"/>
  <c r="BG76" i="11"/>
  <c r="BE76" i="11"/>
  <c r="BD76" i="11"/>
  <c r="BC76" i="11"/>
  <c r="BB76" i="11"/>
  <c r="BA76" i="11"/>
  <c r="AZ76" i="11"/>
  <c r="AY76" i="11"/>
  <c r="AX76" i="11"/>
  <c r="AW76" i="11"/>
  <c r="AV76" i="11"/>
  <c r="AU76" i="11"/>
  <c r="AT76" i="11"/>
  <c r="AS76" i="11"/>
  <c r="AR76" i="11"/>
  <c r="AQ76" i="11"/>
  <c r="AO76" i="11"/>
  <c r="AN76" i="11"/>
  <c r="AM76" i="11"/>
  <c r="AL76" i="11"/>
  <c r="AK76" i="11"/>
  <c r="AJ76" i="11"/>
  <c r="AI76" i="11"/>
  <c r="AH76" i="11"/>
  <c r="AG76" i="11"/>
  <c r="AF76" i="11"/>
  <c r="AE76" i="11"/>
  <c r="AD76" i="11"/>
  <c r="AC76" i="11"/>
  <c r="AB76" i="11"/>
  <c r="AA76" i="11"/>
  <c r="DA75" i="11"/>
  <c r="CZ75" i="11"/>
  <c r="CY75" i="11"/>
  <c r="CX75" i="11"/>
  <c r="CW75" i="11"/>
  <c r="CV75" i="11"/>
  <c r="CU75" i="11"/>
  <c r="CT75" i="11"/>
  <c r="CS75" i="11"/>
  <c r="CR75" i="11"/>
  <c r="CQ75" i="11"/>
  <c r="CP75" i="11"/>
  <c r="CO75" i="11"/>
  <c r="CN75" i="11"/>
  <c r="CM75" i="11"/>
  <c r="CK75" i="11"/>
  <c r="CJ75" i="11"/>
  <c r="CI75" i="11"/>
  <c r="CH75" i="11"/>
  <c r="CG75" i="11"/>
  <c r="CF75" i="11"/>
  <c r="CE75" i="11"/>
  <c r="CD75" i="11"/>
  <c r="CC75" i="11"/>
  <c r="CB75" i="11"/>
  <c r="CA75" i="11"/>
  <c r="BZ75" i="11"/>
  <c r="BY75" i="11"/>
  <c r="BX75" i="11"/>
  <c r="BW75" i="11"/>
  <c r="BU75" i="11"/>
  <c r="BT75" i="11"/>
  <c r="BS75" i="11"/>
  <c r="BR75" i="11"/>
  <c r="BQ75" i="11"/>
  <c r="BP75" i="11"/>
  <c r="BO75" i="11"/>
  <c r="BN75" i="11"/>
  <c r="BM75" i="11"/>
  <c r="BL75" i="11"/>
  <c r="BK75" i="11"/>
  <c r="BJ75" i="11"/>
  <c r="BI75" i="11"/>
  <c r="BH75" i="11"/>
  <c r="BG75" i="11"/>
  <c r="BE75" i="11"/>
  <c r="BD75" i="11"/>
  <c r="BC75" i="11"/>
  <c r="BB75" i="11"/>
  <c r="BA75" i="11"/>
  <c r="AZ75" i="11"/>
  <c r="AY75" i="11"/>
  <c r="AX75" i="11"/>
  <c r="AW75" i="11"/>
  <c r="AV75" i="11"/>
  <c r="AU75" i="11"/>
  <c r="AT75" i="11"/>
  <c r="AS75" i="11"/>
  <c r="AR75" i="11"/>
  <c r="AQ75" i="11"/>
  <c r="AO75" i="11"/>
  <c r="AN75" i="11"/>
  <c r="AM75" i="11"/>
  <c r="AL75" i="11"/>
  <c r="AK75" i="11"/>
  <c r="AJ75" i="11"/>
  <c r="AI75" i="11"/>
  <c r="AH75" i="11"/>
  <c r="AG75" i="11"/>
  <c r="AF75" i="11"/>
  <c r="AE75" i="11"/>
  <c r="AD75" i="11"/>
  <c r="AC75" i="11"/>
  <c r="AB75" i="11"/>
  <c r="AA75" i="11"/>
  <c r="DA74" i="11"/>
  <c r="CZ74" i="11"/>
  <c r="CY74" i="11"/>
  <c r="CX74" i="11"/>
  <c r="CW74" i="11"/>
  <c r="CV74" i="11"/>
  <c r="CU74" i="11"/>
  <c r="CT74" i="11"/>
  <c r="CS74" i="11"/>
  <c r="CR74" i="11"/>
  <c r="CQ74" i="11"/>
  <c r="CP74" i="11"/>
  <c r="CO74" i="11"/>
  <c r="CN74" i="11"/>
  <c r="CM74" i="11"/>
  <c r="CK74" i="11"/>
  <c r="CJ74" i="11"/>
  <c r="CI74" i="11"/>
  <c r="CH74" i="11"/>
  <c r="CG74" i="11"/>
  <c r="CF74" i="11"/>
  <c r="CE74" i="11"/>
  <c r="CD74" i="11"/>
  <c r="CC74" i="11"/>
  <c r="CB74" i="11"/>
  <c r="CA74" i="11"/>
  <c r="BZ74" i="11"/>
  <c r="BY74" i="11"/>
  <c r="BX74" i="11"/>
  <c r="BW74" i="11"/>
  <c r="BU74" i="11"/>
  <c r="BT74" i="11"/>
  <c r="BS74" i="11"/>
  <c r="BR74" i="11"/>
  <c r="BQ74" i="11"/>
  <c r="BP74" i="11"/>
  <c r="BO74" i="11"/>
  <c r="BN74" i="11"/>
  <c r="BM74" i="11"/>
  <c r="BL74" i="11"/>
  <c r="BK74" i="11"/>
  <c r="BJ74" i="11"/>
  <c r="BI74" i="11"/>
  <c r="BH74" i="11"/>
  <c r="BG74" i="11"/>
  <c r="BE74" i="11"/>
  <c r="BD74" i="11"/>
  <c r="BC74" i="11"/>
  <c r="BB74" i="11"/>
  <c r="BA74" i="11"/>
  <c r="AZ74" i="11"/>
  <c r="AY74" i="11"/>
  <c r="AX74" i="11"/>
  <c r="AW74" i="11"/>
  <c r="AV74" i="11"/>
  <c r="AU74" i="11"/>
  <c r="AT74" i="11"/>
  <c r="AS74" i="11"/>
  <c r="AR74" i="11"/>
  <c r="AQ74" i="11"/>
  <c r="AO74" i="11"/>
  <c r="AN74" i="11"/>
  <c r="AM74" i="11"/>
  <c r="AL74" i="11"/>
  <c r="AK74" i="11"/>
  <c r="AJ74" i="11"/>
  <c r="AI74" i="11"/>
  <c r="AH74" i="11"/>
  <c r="AG74" i="11"/>
  <c r="AF74" i="11"/>
  <c r="AE74" i="11"/>
  <c r="AD74" i="11"/>
  <c r="AC74" i="11"/>
  <c r="AB74" i="11"/>
  <c r="AA74" i="11"/>
  <c r="DA73" i="11"/>
  <c r="CZ73" i="11"/>
  <c r="CY73" i="11"/>
  <c r="CX73" i="11"/>
  <c r="CW73" i="11"/>
  <c r="CV73" i="11"/>
  <c r="CU73" i="11"/>
  <c r="CT73" i="11"/>
  <c r="CS73" i="11"/>
  <c r="CR73" i="11"/>
  <c r="CQ73" i="11"/>
  <c r="CP73" i="11"/>
  <c r="CO73" i="11"/>
  <c r="CN73" i="11"/>
  <c r="CM73" i="11"/>
  <c r="CK73" i="11"/>
  <c r="CJ73" i="11"/>
  <c r="CI73" i="11"/>
  <c r="CH73" i="11"/>
  <c r="CG73" i="11"/>
  <c r="CF73" i="11"/>
  <c r="CE73" i="11"/>
  <c r="CD73" i="11"/>
  <c r="CC73" i="11"/>
  <c r="CB73" i="11"/>
  <c r="CA73" i="11"/>
  <c r="BZ73" i="11"/>
  <c r="BY73" i="11"/>
  <c r="BX73" i="11"/>
  <c r="BW73" i="11"/>
  <c r="BU73" i="11"/>
  <c r="BT73" i="11"/>
  <c r="BS73" i="11"/>
  <c r="BR73" i="11"/>
  <c r="BQ73" i="11"/>
  <c r="BP73" i="11"/>
  <c r="BO73" i="11"/>
  <c r="BN73" i="11"/>
  <c r="BM73" i="11"/>
  <c r="BL73" i="11"/>
  <c r="BK73" i="11"/>
  <c r="BJ73" i="11"/>
  <c r="BI73" i="11"/>
  <c r="BH73" i="11"/>
  <c r="BG73" i="11"/>
  <c r="BE73" i="11"/>
  <c r="BD73" i="11"/>
  <c r="BC73" i="11"/>
  <c r="BB73" i="11"/>
  <c r="BA73" i="11"/>
  <c r="AZ73" i="11"/>
  <c r="AY73" i="11"/>
  <c r="AX73" i="11"/>
  <c r="AW73" i="11"/>
  <c r="AV73" i="11"/>
  <c r="AU73" i="11"/>
  <c r="AT73" i="11"/>
  <c r="AS73" i="11"/>
  <c r="AR73" i="11"/>
  <c r="AQ73" i="11"/>
  <c r="AO73" i="11"/>
  <c r="AN73" i="11"/>
  <c r="AM73" i="11"/>
  <c r="AL73" i="11"/>
  <c r="AK73" i="11"/>
  <c r="AJ73" i="11"/>
  <c r="AI73" i="11"/>
  <c r="AH73" i="11"/>
  <c r="AG73" i="11"/>
  <c r="AF73" i="11"/>
  <c r="AE73" i="11"/>
  <c r="AD73" i="11"/>
  <c r="AC73" i="11"/>
  <c r="AB73" i="11"/>
  <c r="AA73" i="11"/>
  <c r="DA72" i="11"/>
  <c r="CZ72" i="11"/>
  <c r="CY72" i="11"/>
  <c r="CX72" i="11"/>
  <c r="CW72" i="11"/>
  <c r="CV72" i="11"/>
  <c r="CU72" i="11"/>
  <c r="CT72" i="11"/>
  <c r="CS72" i="11"/>
  <c r="CR72" i="11"/>
  <c r="CQ72" i="11"/>
  <c r="CP72" i="11"/>
  <c r="CO72" i="11"/>
  <c r="CN72" i="11"/>
  <c r="CM72" i="11"/>
  <c r="CK72" i="11"/>
  <c r="CJ72" i="11"/>
  <c r="CI72" i="11"/>
  <c r="CH72" i="11"/>
  <c r="CG72" i="11"/>
  <c r="CF72" i="11"/>
  <c r="CE72" i="11"/>
  <c r="CD72" i="11"/>
  <c r="CC72" i="11"/>
  <c r="CB72" i="11"/>
  <c r="CA72" i="11"/>
  <c r="BZ72" i="11"/>
  <c r="BY72" i="11"/>
  <c r="BX72" i="11"/>
  <c r="BW72" i="11"/>
  <c r="BU72" i="11"/>
  <c r="BT72" i="11"/>
  <c r="BS72" i="11"/>
  <c r="BR72" i="11"/>
  <c r="BQ72" i="11"/>
  <c r="BP72" i="11"/>
  <c r="BO72" i="11"/>
  <c r="BN72" i="11"/>
  <c r="BM72" i="11"/>
  <c r="BL72" i="11"/>
  <c r="BK72" i="11"/>
  <c r="BJ72" i="11"/>
  <c r="BI72" i="11"/>
  <c r="BH72" i="11"/>
  <c r="BG72" i="11"/>
  <c r="BE72" i="11"/>
  <c r="BD72" i="11"/>
  <c r="BC72" i="11"/>
  <c r="BB72" i="11"/>
  <c r="BA72" i="11"/>
  <c r="AZ72" i="11"/>
  <c r="AY72" i="11"/>
  <c r="AX72" i="11"/>
  <c r="AW72" i="11"/>
  <c r="AV72" i="11"/>
  <c r="AU72" i="11"/>
  <c r="AT72" i="11"/>
  <c r="AS72" i="11"/>
  <c r="AR72" i="11"/>
  <c r="AQ72" i="11"/>
  <c r="AO72" i="11"/>
  <c r="AN72" i="11"/>
  <c r="AM72" i="11"/>
  <c r="AL72" i="11"/>
  <c r="AK72" i="11"/>
  <c r="AJ72" i="11"/>
  <c r="AI72" i="11"/>
  <c r="AH72" i="11"/>
  <c r="AG72" i="11"/>
  <c r="AF72" i="11"/>
  <c r="AE72" i="11"/>
  <c r="AD72" i="11"/>
  <c r="AC72" i="11"/>
  <c r="AB72" i="11"/>
  <c r="AA72" i="11"/>
  <c r="DA71" i="11"/>
  <c r="CZ71" i="11"/>
  <c r="CY71" i="11"/>
  <c r="CX71" i="11"/>
  <c r="CW71" i="11"/>
  <c r="CV71" i="11"/>
  <c r="CU71" i="11"/>
  <c r="CT71" i="11"/>
  <c r="CS71" i="11"/>
  <c r="CR71" i="11"/>
  <c r="CQ71" i="11"/>
  <c r="CP71" i="11"/>
  <c r="CO71" i="11"/>
  <c r="CN71" i="11"/>
  <c r="CM71" i="11"/>
  <c r="CK71" i="11"/>
  <c r="CJ71" i="11"/>
  <c r="CI71" i="11"/>
  <c r="CH71" i="11"/>
  <c r="CG71" i="11"/>
  <c r="CF71" i="11"/>
  <c r="CE71" i="11"/>
  <c r="CD71" i="11"/>
  <c r="CC71" i="11"/>
  <c r="CB71" i="11"/>
  <c r="CA71" i="11"/>
  <c r="BZ71" i="11"/>
  <c r="BY71" i="11"/>
  <c r="BX71" i="11"/>
  <c r="BW71" i="11"/>
  <c r="BU71" i="11"/>
  <c r="BT71" i="11"/>
  <c r="BS71" i="11"/>
  <c r="BR71" i="11"/>
  <c r="BQ71" i="11"/>
  <c r="BP71" i="11"/>
  <c r="BO71" i="11"/>
  <c r="BN71" i="11"/>
  <c r="BM71" i="11"/>
  <c r="BL71" i="11"/>
  <c r="BK71" i="11"/>
  <c r="BJ71" i="11"/>
  <c r="BI71" i="11"/>
  <c r="BH71" i="11"/>
  <c r="BG71" i="11"/>
  <c r="BE71" i="11"/>
  <c r="BD71" i="11"/>
  <c r="BC71" i="11"/>
  <c r="BB71" i="11"/>
  <c r="BA71" i="11"/>
  <c r="AZ71" i="11"/>
  <c r="AY71" i="11"/>
  <c r="AX71" i="11"/>
  <c r="AW71" i="11"/>
  <c r="AV71" i="11"/>
  <c r="AU71" i="11"/>
  <c r="AT71" i="11"/>
  <c r="AS71" i="11"/>
  <c r="AR71" i="11"/>
  <c r="AQ71" i="11"/>
  <c r="AO71" i="11"/>
  <c r="AN71" i="11"/>
  <c r="AM71" i="11"/>
  <c r="AL71" i="11"/>
  <c r="AK71" i="11"/>
  <c r="AJ71" i="11"/>
  <c r="AI71" i="11"/>
  <c r="AH71" i="11"/>
  <c r="AG71" i="11"/>
  <c r="AF71" i="11"/>
  <c r="AE71" i="11"/>
  <c r="AD71" i="11"/>
  <c r="AC71" i="11"/>
  <c r="AB71" i="11"/>
  <c r="AA71" i="11"/>
  <c r="DA70" i="11"/>
  <c r="CZ70" i="11"/>
  <c r="CY70" i="11"/>
  <c r="CX70" i="11"/>
  <c r="CW70" i="11"/>
  <c r="CV70" i="11"/>
  <c r="CU70" i="11"/>
  <c r="CT70" i="11"/>
  <c r="CS70" i="11"/>
  <c r="CR70" i="11"/>
  <c r="CQ70" i="11"/>
  <c r="CP70" i="11"/>
  <c r="CO70" i="11"/>
  <c r="CN70" i="11"/>
  <c r="CM70" i="11"/>
  <c r="CK70" i="11"/>
  <c r="CJ70" i="11"/>
  <c r="CI70" i="11"/>
  <c r="CH70" i="11"/>
  <c r="CG70" i="11"/>
  <c r="CF70" i="11"/>
  <c r="CE70" i="11"/>
  <c r="CD70" i="11"/>
  <c r="CC70" i="11"/>
  <c r="CB70" i="11"/>
  <c r="CA70" i="11"/>
  <c r="BZ70" i="11"/>
  <c r="BY70" i="11"/>
  <c r="BX70" i="11"/>
  <c r="BW70" i="11"/>
  <c r="BU70" i="11"/>
  <c r="BT70" i="11"/>
  <c r="BS70" i="11"/>
  <c r="BR70" i="11"/>
  <c r="BQ70" i="11"/>
  <c r="BP70" i="11"/>
  <c r="BO70" i="11"/>
  <c r="BN70" i="11"/>
  <c r="BM70" i="11"/>
  <c r="BL70" i="11"/>
  <c r="BK70" i="11"/>
  <c r="BJ70" i="11"/>
  <c r="BI70" i="11"/>
  <c r="BH70" i="11"/>
  <c r="BG70" i="11"/>
  <c r="BE70" i="11"/>
  <c r="BD70" i="11"/>
  <c r="BC70" i="11"/>
  <c r="BB70" i="11"/>
  <c r="BA70" i="11"/>
  <c r="AZ70" i="11"/>
  <c r="AY70" i="11"/>
  <c r="AX70" i="11"/>
  <c r="AW70" i="11"/>
  <c r="AV70" i="11"/>
  <c r="AU70" i="11"/>
  <c r="AT70" i="11"/>
  <c r="AS70" i="11"/>
  <c r="AR70" i="11"/>
  <c r="AQ70" i="11"/>
  <c r="AO70" i="11"/>
  <c r="AN70" i="11"/>
  <c r="AM70" i="11"/>
  <c r="AL70" i="11"/>
  <c r="AK70" i="11"/>
  <c r="AJ70" i="11"/>
  <c r="AI70" i="11"/>
  <c r="AH70" i="11"/>
  <c r="AG70" i="11"/>
  <c r="AF70" i="11"/>
  <c r="AE70" i="11"/>
  <c r="AD70" i="11"/>
  <c r="AC70" i="11"/>
  <c r="AB70" i="11"/>
  <c r="AA70" i="11"/>
  <c r="DA69" i="11"/>
  <c r="CZ69" i="11"/>
  <c r="CY69" i="11"/>
  <c r="CX69" i="11"/>
  <c r="CW69" i="11"/>
  <c r="CV69" i="11"/>
  <c r="CU69" i="11"/>
  <c r="CT69" i="11"/>
  <c r="CS69" i="11"/>
  <c r="CR69" i="11"/>
  <c r="CQ69" i="11"/>
  <c r="CP69" i="11"/>
  <c r="CO69" i="11"/>
  <c r="CN69" i="11"/>
  <c r="CM69" i="11"/>
  <c r="CK69" i="11"/>
  <c r="CJ69" i="11"/>
  <c r="CI69" i="11"/>
  <c r="CH69" i="11"/>
  <c r="CG69" i="11"/>
  <c r="CF69" i="11"/>
  <c r="CE69" i="11"/>
  <c r="CD69" i="11"/>
  <c r="CC69" i="11"/>
  <c r="CB69" i="11"/>
  <c r="CA69" i="11"/>
  <c r="BZ69" i="11"/>
  <c r="BY69" i="11"/>
  <c r="BX69" i="11"/>
  <c r="BW69" i="11"/>
  <c r="BU69" i="11"/>
  <c r="BT69" i="11"/>
  <c r="BS69" i="11"/>
  <c r="BR69" i="11"/>
  <c r="BQ69" i="11"/>
  <c r="BP69" i="11"/>
  <c r="BO69" i="11"/>
  <c r="BN69" i="11"/>
  <c r="BM69" i="11"/>
  <c r="BL69" i="11"/>
  <c r="BK69" i="11"/>
  <c r="BJ69" i="11"/>
  <c r="BI69" i="11"/>
  <c r="BH69" i="11"/>
  <c r="BG69" i="11"/>
  <c r="BE69" i="11"/>
  <c r="BD69" i="11"/>
  <c r="BC69" i="11"/>
  <c r="BB69" i="11"/>
  <c r="BA69" i="11"/>
  <c r="AZ69" i="11"/>
  <c r="AY69" i="11"/>
  <c r="AX69" i="11"/>
  <c r="AW69" i="11"/>
  <c r="AV69" i="11"/>
  <c r="AU69" i="11"/>
  <c r="AT69" i="11"/>
  <c r="AS69" i="11"/>
  <c r="AR69" i="11"/>
  <c r="AQ69" i="11"/>
  <c r="AO69" i="11"/>
  <c r="AN69" i="11"/>
  <c r="AM69" i="11"/>
  <c r="AL69" i="11"/>
  <c r="AK69" i="11"/>
  <c r="AJ69" i="11"/>
  <c r="AI69" i="11"/>
  <c r="AH69" i="11"/>
  <c r="AG69" i="11"/>
  <c r="AF69" i="11"/>
  <c r="AE69" i="11"/>
  <c r="AD69" i="11"/>
  <c r="AC69" i="11"/>
  <c r="AB69" i="11"/>
  <c r="AA69" i="11"/>
  <c r="DA68" i="11"/>
  <c r="CZ68" i="11"/>
  <c r="CY68" i="11"/>
  <c r="CX68" i="11"/>
  <c r="CW68" i="11"/>
  <c r="CV68" i="11"/>
  <c r="CU68" i="11"/>
  <c r="CT68" i="11"/>
  <c r="CS68" i="11"/>
  <c r="CR68" i="11"/>
  <c r="CQ68" i="11"/>
  <c r="CP68" i="11"/>
  <c r="CO68" i="11"/>
  <c r="CN68" i="11"/>
  <c r="CM68" i="11"/>
  <c r="CK68" i="11"/>
  <c r="CJ68" i="11"/>
  <c r="CI68" i="11"/>
  <c r="CH68" i="11"/>
  <c r="CG68" i="11"/>
  <c r="CF68" i="11"/>
  <c r="CE68" i="11"/>
  <c r="CD68" i="11"/>
  <c r="CC68" i="11"/>
  <c r="CB68" i="11"/>
  <c r="CA68" i="11"/>
  <c r="BZ68" i="11"/>
  <c r="BY68" i="11"/>
  <c r="BX68" i="11"/>
  <c r="BW68" i="11"/>
  <c r="BU68" i="11"/>
  <c r="BT68" i="11"/>
  <c r="BS68" i="11"/>
  <c r="BR68" i="11"/>
  <c r="BQ68" i="11"/>
  <c r="BP68" i="11"/>
  <c r="BO68" i="11"/>
  <c r="BN68" i="11"/>
  <c r="BM68" i="11"/>
  <c r="BL68" i="11"/>
  <c r="BK68" i="11"/>
  <c r="BJ68" i="11"/>
  <c r="BI68" i="11"/>
  <c r="BH68" i="11"/>
  <c r="BG68" i="11"/>
  <c r="BE68" i="11"/>
  <c r="BD68" i="11"/>
  <c r="BC68" i="11"/>
  <c r="BB68" i="11"/>
  <c r="BA68" i="11"/>
  <c r="AZ68" i="11"/>
  <c r="AY68" i="11"/>
  <c r="AX68" i="11"/>
  <c r="AW68" i="11"/>
  <c r="AV68" i="11"/>
  <c r="AU68" i="11"/>
  <c r="AT68" i="11"/>
  <c r="AS68" i="11"/>
  <c r="AR68" i="11"/>
  <c r="AQ68" i="11"/>
  <c r="AO68" i="11"/>
  <c r="AN68" i="11"/>
  <c r="AM68" i="11"/>
  <c r="AL68" i="11"/>
  <c r="AK68" i="11"/>
  <c r="AJ68" i="11"/>
  <c r="AI68" i="11"/>
  <c r="AH68" i="11"/>
  <c r="AG68" i="11"/>
  <c r="AF68" i="11"/>
  <c r="AE68" i="11"/>
  <c r="AD68" i="11"/>
  <c r="AC68" i="11"/>
  <c r="AB68" i="11"/>
  <c r="AA68" i="11"/>
  <c r="DA67" i="11"/>
  <c r="CZ67" i="11"/>
  <c r="CY67" i="11"/>
  <c r="CX67" i="11"/>
  <c r="CW67" i="11"/>
  <c r="CV67" i="11"/>
  <c r="CU67" i="11"/>
  <c r="CT67" i="11"/>
  <c r="CS67" i="11"/>
  <c r="CR67" i="11"/>
  <c r="CQ67" i="11"/>
  <c r="CP67" i="11"/>
  <c r="CO67" i="11"/>
  <c r="CN67" i="11"/>
  <c r="CM67" i="11"/>
  <c r="CK67" i="11"/>
  <c r="CJ67" i="11"/>
  <c r="CI67" i="11"/>
  <c r="CH67" i="11"/>
  <c r="CG67" i="11"/>
  <c r="CF67" i="11"/>
  <c r="CE67" i="11"/>
  <c r="CD67" i="11"/>
  <c r="CC67" i="11"/>
  <c r="CB67" i="11"/>
  <c r="CA67" i="11"/>
  <c r="BZ67" i="11"/>
  <c r="BY67" i="11"/>
  <c r="BX67" i="11"/>
  <c r="BW67" i="11"/>
  <c r="BU67" i="11"/>
  <c r="BT67" i="11"/>
  <c r="BS67" i="11"/>
  <c r="BR67" i="11"/>
  <c r="BQ67" i="11"/>
  <c r="BP67" i="11"/>
  <c r="BO67" i="11"/>
  <c r="BN67" i="11"/>
  <c r="BM67" i="11"/>
  <c r="BL67" i="11"/>
  <c r="BK67" i="11"/>
  <c r="BJ67" i="11"/>
  <c r="BI67" i="11"/>
  <c r="BH67" i="11"/>
  <c r="BG67" i="11"/>
  <c r="BE67" i="11"/>
  <c r="BD67" i="11"/>
  <c r="BC67" i="11"/>
  <c r="BB67" i="11"/>
  <c r="BA67" i="11"/>
  <c r="AZ67" i="11"/>
  <c r="AY67" i="11"/>
  <c r="AX67" i="11"/>
  <c r="AW67" i="11"/>
  <c r="AV67" i="11"/>
  <c r="AU67" i="11"/>
  <c r="AT67" i="11"/>
  <c r="AS67" i="11"/>
  <c r="AR67" i="11"/>
  <c r="AQ67" i="11"/>
  <c r="AO67" i="11"/>
  <c r="AN67" i="11"/>
  <c r="AM67" i="11"/>
  <c r="AL67" i="11"/>
  <c r="AK67" i="11"/>
  <c r="AJ67" i="11"/>
  <c r="AI67" i="11"/>
  <c r="AH67" i="11"/>
  <c r="AG67" i="11"/>
  <c r="AF67" i="11"/>
  <c r="AE67" i="11"/>
  <c r="AD67" i="11"/>
  <c r="AC67" i="11"/>
  <c r="AB67" i="11"/>
  <c r="AA67" i="11"/>
  <c r="DA66" i="11"/>
  <c r="CZ66" i="11"/>
  <c r="CY66" i="11"/>
  <c r="CX66" i="11"/>
  <c r="CW66" i="11"/>
  <c r="CV66" i="11"/>
  <c r="CU66" i="11"/>
  <c r="CT66" i="11"/>
  <c r="CS66" i="11"/>
  <c r="CR66" i="11"/>
  <c r="CQ66" i="11"/>
  <c r="CP66" i="11"/>
  <c r="CO66" i="11"/>
  <c r="CN66" i="11"/>
  <c r="CM66" i="11"/>
  <c r="CK66" i="11"/>
  <c r="CJ66" i="11"/>
  <c r="CI66" i="11"/>
  <c r="CH66" i="11"/>
  <c r="CG66" i="11"/>
  <c r="CF66" i="11"/>
  <c r="CE66" i="11"/>
  <c r="CD66" i="11"/>
  <c r="CC66" i="11"/>
  <c r="CB66" i="11"/>
  <c r="CA66" i="11"/>
  <c r="BZ66" i="11"/>
  <c r="BY66" i="11"/>
  <c r="BX66" i="11"/>
  <c r="BW66" i="11"/>
  <c r="BU66" i="11"/>
  <c r="BT66" i="11"/>
  <c r="BS66" i="11"/>
  <c r="BR66" i="11"/>
  <c r="BQ66" i="11"/>
  <c r="BP66" i="11"/>
  <c r="BO66" i="11"/>
  <c r="BN66" i="11"/>
  <c r="BM66" i="11"/>
  <c r="BL66" i="11"/>
  <c r="BK66" i="11"/>
  <c r="BJ66" i="11"/>
  <c r="BI66" i="11"/>
  <c r="BH66" i="11"/>
  <c r="BG66" i="11"/>
  <c r="BE66" i="11"/>
  <c r="BD66" i="11"/>
  <c r="BC66" i="11"/>
  <c r="BB66" i="11"/>
  <c r="BA66" i="11"/>
  <c r="AZ66" i="11"/>
  <c r="AY66" i="11"/>
  <c r="AX66" i="11"/>
  <c r="AW66" i="11"/>
  <c r="AV66" i="11"/>
  <c r="AU66" i="11"/>
  <c r="AT66" i="11"/>
  <c r="AS66" i="11"/>
  <c r="AR66" i="11"/>
  <c r="AQ66" i="11"/>
  <c r="AO66" i="11"/>
  <c r="AN66" i="11"/>
  <c r="AM66" i="11"/>
  <c r="AL66" i="11"/>
  <c r="AK66" i="11"/>
  <c r="AJ66" i="11"/>
  <c r="AI66" i="11"/>
  <c r="AH66" i="11"/>
  <c r="AG66" i="11"/>
  <c r="AF66" i="11"/>
  <c r="AE66" i="11"/>
  <c r="AD66" i="11"/>
  <c r="AC66" i="11"/>
  <c r="AB66" i="11"/>
  <c r="AA66" i="11"/>
  <c r="DA65" i="11"/>
  <c r="CZ65" i="11"/>
  <c r="CY65" i="11"/>
  <c r="CX65" i="11"/>
  <c r="CW65" i="11"/>
  <c r="CV65" i="11"/>
  <c r="CU65" i="11"/>
  <c r="CT65" i="11"/>
  <c r="CS65" i="11"/>
  <c r="CR65" i="11"/>
  <c r="CQ65" i="11"/>
  <c r="CP65" i="11"/>
  <c r="CO65" i="11"/>
  <c r="CN65" i="11"/>
  <c r="CM65" i="11"/>
  <c r="CK65" i="11"/>
  <c r="CJ65" i="11"/>
  <c r="CI65" i="11"/>
  <c r="CH65" i="11"/>
  <c r="CG65" i="11"/>
  <c r="CF65" i="11"/>
  <c r="CE65" i="11"/>
  <c r="CD65" i="11"/>
  <c r="CC65" i="11"/>
  <c r="CB65" i="11"/>
  <c r="CA65" i="11"/>
  <c r="BZ65" i="11"/>
  <c r="BY65" i="11"/>
  <c r="BX65" i="11"/>
  <c r="BW65" i="11"/>
  <c r="BU65" i="11"/>
  <c r="BT65" i="11"/>
  <c r="BS65" i="11"/>
  <c r="BR65" i="11"/>
  <c r="BQ65" i="11"/>
  <c r="BP65" i="11"/>
  <c r="BO65" i="11"/>
  <c r="BN65" i="11"/>
  <c r="BM65" i="11"/>
  <c r="BL65" i="11"/>
  <c r="BK65" i="11"/>
  <c r="BJ65" i="11"/>
  <c r="BI65" i="11"/>
  <c r="BH65" i="11"/>
  <c r="BG65" i="11"/>
  <c r="BE65" i="11"/>
  <c r="BD65" i="11"/>
  <c r="BC65" i="11"/>
  <c r="BB65" i="11"/>
  <c r="BA65" i="11"/>
  <c r="AZ65" i="11"/>
  <c r="AY65" i="11"/>
  <c r="AX65" i="11"/>
  <c r="AW65" i="11"/>
  <c r="AV65" i="11"/>
  <c r="AU65" i="11"/>
  <c r="AT65" i="11"/>
  <c r="AS65" i="11"/>
  <c r="AR65" i="11"/>
  <c r="AQ65" i="11"/>
  <c r="AO65" i="11"/>
  <c r="AN65" i="11"/>
  <c r="AM65" i="11"/>
  <c r="AL65" i="11"/>
  <c r="AK65" i="11"/>
  <c r="AJ65" i="11"/>
  <c r="AI65" i="11"/>
  <c r="AH65" i="11"/>
  <c r="AG65" i="11"/>
  <c r="AF65" i="11"/>
  <c r="AE65" i="11"/>
  <c r="AD65" i="11"/>
  <c r="AC65" i="11"/>
  <c r="AB65" i="11"/>
  <c r="AA65" i="11"/>
  <c r="DA64" i="11"/>
  <c r="CZ64" i="11"/>
  <c r="CY64" i="11"/>
  <c r="CX64" i="11"/>
  <c r="CW64" i="11"/>
  <c r="CV64" i="11"/>
  <c r="CU64" i="11"/>
  <c r="CT64" i="11"/>
  <c r="CS64" i="11"/>
  <c r="CR64" i="11"/>
  <c r="CQ64" i="11"/>
  <c r="CP64" i="11"/>
  <c r="CO64" i="11"/>
  <c r="CN64" i="11"/>
  <c r="CM64" i="11"/>
  <c r="CK64" i="11"/>
  <c r="CJ64" i="11"/>
  <c r="CI64" i="11"/>
  <c r="CH64" i="11"/>
  <c r="CG64" i="11"/>
  <c r="CF64" i="11"/>
  <c r="CE64" i="11"/>
  <c r="CD64" i="11"/>
  <c r="CC64" i="11"/>
  <c r="CB64" i="11"/>
  <c r="CA64" i="11"/>
  <c r="BZ64" i="11"/>
  <c r="BY64" i="11"/>
  <c r="BX64" i="11"/>
  <c r="BW64" i="11"/>
  <c r="BU64" i="11"/>
  <c r="BT64" i="11"/>
  <c r="BS64" i="11"/>
  <c r="BR64" i="11"/>
  <c r="BQ64" i="11"/>
  <c r="BP64" i="11"/>
  <c r="BO64" i="11"/>
  <c r="BN64" i="11"/>
  <c r="BM64" i="11"/>
  <c r="BL64" i="11"/>
  <c r="BK64" i="11"/>
  <c r="BJ64" i="11"/>
  <c r="BI64" i="11"/>
  <c r="BH64" i="11"/>
  <c r="BG64" i="11"/>
  <c r="BE64" i="11"/>
  <c r="BD64" i="11"/>
  <c r="BC64" i="11"/>
  <c r="BB64" i="11"/>
  <c r="BA64" i="11"/>
  <c r="AZ64" i="11"/>
  <c r="AY64" i="11"/>
  <c r="AX64" i="11"/>
  <c r="AW64" i="11"/>
  <c r="AV64" i="11"/>
  <c r="AU64" i="11"/>
  <c r="AT64" i="11"/>
  <c r="AS64" i="11"/>
  <c r="AR64" i="11"/>
  <c r="AQ64" i="11"/>
  <c r="AO64" i="11"/>
  <c r="AN64" i="11"/>
  <c r="AM64" i="11"/>
  <c r="AL64" i="11"/>
  <c r="AK64" i="11"/>
  <c r="AJ64" i="11"/>
  <c r="AI64" i="11"/>
  <c r="AH64" i="11"/>
  <c r="AG64" i="11"/>
  <c r="AF64" i="11"/>
  <c r="AE64" i="11"/>
  <c r="AD64" i="11"/>
  <c r="AC64" i="11"/>
  <c r="AB64" i="11"/>
  <c r="AA64" i="11"/>
  <c r="DA63" i="11"/>
  <c r="CZ63" i="11"/>
  <c r="CY63" i="11"/>
  <c r="CX63" i="11"/>
  <c r="CW63" i="11"/>
  <c r="CV63" i="11"/>
  <c r="CU63" i="11"/>
  <c r="CT63" i="11"/>
  <c r="CS63" i="11"/>
  <c r="CR63" i="11"/>
  <c r="CQ63" i="11"/>
  <c r="CP63" i="11"/>
  <c r="CO63" i="11"/>
  <c r="CN63" i="11"/>
  <c r="CM63" i="11"/>
  <c r="CK63" i="11"/>
  <c r="CJ63" i="11"/>
  <c r="CI63" i="11"/>
  <c r="CH63" i="11"/>
  <c r="CG63" i="11"/>
  <c r="CF63" i="11"/>
  <c r="CE63" i="11"/>
  <c r="CD63" i="11"/>
  <c r="CC63" i="11"/>
  <c r="CB63" i="11"/>
  <c r="CA63" i="11"/>
  <c r="BZ63" i="11"/>
  <c r="BY63" i="11"/>
  <c r="BX63" i="11"/>
  <c r="BW63" i="11"/>
  <c r="BU63" i="11"/>
  <c r="BT63" i="11"/>
  <c r="BS63" i="11"/>
  <c r="BR63" i="11"/>
  <c r="BQ63" i="11"/>
  <c r="BP63" i="11"/>
  <c r="BO63" i="11"/>
  <c r="BN63" i="11"/>
  <c r="BM63" i="11"/>
  <c r="BL63" i="11"/>
  <c r="BK63" i="11"/>
  <c r="BJ63" i="11"/>
  <c r="BI63" i="11"/>
  <c r="BH63" i="11"/>
  <c r="BG63" i="11"/>
  <c r="BE63" i="11"/>
  <c r="BD63" i="11"/>
  <c r="BC63" i="11"/>
  <c r="BB63" i="11"/>
  <c r="BA63" i="11"/>
  <c r="AZ63" i="11"/>
  <c r="AY63" i="11"/>
  <c r="AX63" i="11"/>
  <c r="AW63" i="11"/>
  <c r="AV63" i="11"/>
  <c r="AU63" i="11"/>
  <c r="AT63" i="11"/>
  <c r="AS63" i="11"/>
  <c r="AR63" i="11"/>
  <c r="AQ63" i="11"/>
  <c r="AO63" i="11"/>
  <c r="AN63" i="11"/>
  <c r="AM63" i="11"/>
  <c r="AL63" i="11"/>
  <c r="AK63" i="11"/>
  <c r="AJ63" i="11"/>
  <c r="AI63" i="11"/>
  <c r="AH63" i="11"/>
  <c r="AG63" i="11"/>
  <c r="AF63" i="11"/>
  <c r="AE63" i="11"/>
  <c r="AD63" i="11"/>
  <c r="AC63" i="11"/>
  <c r="AB63" i="11"/>
  <c r="AA63" i="11"/>
  <c r="DA62" i="11"/>
  <c r="CZ62" i="11"/>
  <c r="CY62" i="11"/>
  <c r="CX62" i="11"/>
  <c r="CW62" i="11"/>
  <c r="CV62" i="11"/>
  <c r="CU62" i="11"/>
  <c r="CT62" i="11"/>
  <c r="CS62" i="11"/>
  <c r="CR62" i="11"/>
  <c r="CQ62" i="11"/>
  <c r="CP62" i="11"/>
  <c r="CO62" i="11"/>
  <c r="CN62" i="11"/>
  <c r="CM62" i="11"/>
  <c r="CK62" i="11"/>
  <c r="CJ62" i="11"/>
  <c r="CI62" i="11"/>
  <c r="CH62" i="11"/>
  <c r="CG62" i="11"/>
  <c r="CF62" i="11"/>
  <c r="CE62" i="11"/>
  <c r="CD62" i="11"/>
  <c r="CC62" i="11"/>
  <c r="CB62" i="11"/>
  <c r="CA62" i="11"/>
  <c r="BZ62" i="11"/>
  <c r="BY62" i="11"/>
  <c r="BX62" i="11"/>
  <c r="BW62" i="11"/>
  <c r="BU62" i="11"/>
  <c r="BT62" i="11"/>
  <c r="BS62" i="11"/>
  <c r="BR62" i="11"/>
  <c r="BQ62" i="11"/>
  <c r="BP62" i="11"/>
  <c r="BO62" i="11"/>
  <c r="BN62" i="11"/>
  <c r="BM62" i="11"/>
  <c r="BL62" i="11"/>
  <c r="BK62" i="11"/>
  <c r="BJ62" i="11"/>
  <c r="BI62" i="11"/>
  <c r="BH62" i="11"/>
  <c r="BG62" i="11"/>
  <c r="BE62" i="11"/>
  <c r="BD62" i="11"/>
  <c r="BC62" i="11"/>
  <c r="BB62" i="11"/>
  <c r="BA62" i="11"/>
  <c r="AZ62" i="11"/>
  <c r="AY62" i="11"/>
  <c r="AX62" i="11"/>
  <c r="AW62" i="11"/>
  <c r="AV62" i="11"/>
  <c r="AU62" i="11"/>
  <c r="AT62" i="11"/>
  <c r="AS62" i="11"/>
  <c r="AR62" i="11"/>
  <c r="AQ62" i="11"/>
  <c r="AO62" i="11"/>
  <c r="AN62" i="11"/>
  <c r="AM62" i="11"/>
  <c r="AL62" i="11"/>
  <c r="AK62" i="11"/>
  <c r="AJ62" i="11"/>
  <c r="AI62" i="11"/>
  <c r="AH62" i="11"/>
  <c r="AG62" i="11"/>
  <c r="AF62" i="11"/>
  <c r="AE62" i="11"/>
  <c r="AD62" i="11"/>
  <c r="AC62" i="11"/>
  <c r="AB62" i="11"/>
  <c r="AA62" i="11"/>
  <c r="DA61" i="11"/>
  <c r="CZ61" i="11"/>
  <c r="CY61" i="11"/>
  <c r="CX61" i="11"/>
  <c r="CW61" i="11"/>
  <c r="CV61" i="11"/>
  <c r="CU61" i="11"/>
  <c r="CT61" i="11"/>
  <c r="CS61" i="11"/>
  <c r="CR61" i="11"/>
  <c r="CQ61" i="11"/>
  <c r="CP61" i="11"/>
  <c r="CO61" i="11"/>
  <c r="CN61" i="11"/>
  <c r="CM61" i="11"/>
  <c r="CK61" i="11"/>
  <c r="CJ61" i="11"/>
  <c r="CI61" i="11"/>
  <c r="CH61" i="11"/>
  <c r="CG61" i="11"/>
  <c r="CF61" i="11"/>
  <c r="CE61" i="11"/>
  <c r="CD61" i="11"/>
  <c r="CC61" i="11"/>
  <c r="CB61" i="11"/>
  <c r="CA61" i="11"/>
  <c r="BZ61" i="11"/>
  <c r="BY61" i="11"/>
  <c r="BX61" i="11"/>
  <c r="BW61" i="11"/>
  <c r="BU61" i="11"/>
  <c r="BT61" i="11"/>
  <c r="BS61" i="11"/>
  <c r="BR61" i="11"/>
  <c r="BQ61" i="11"/>
  <c r="BP61" i="11"/>
  <c r="BO61" i="11"/>
  <c r="BN61" i="11"/>
  <c r="BM61" i="11"/>
  <c r="BL61" i="11"/>
  <c r="BK61" i="11"/>
  <c r="BJ61" i="11"/>
  <c r="BI61" i="11"/>
  <c r="BH61" i="11"/>
  <c r="BG61" i="11"/>
  <c r="BE61" i="11"/>
  <c r="BD61" i="11"/>
  <c r="BC61" i="11"/>
  <c r="BB61" i="11"/>
  <c r="BA61" i="11"/>
  <c r="AZ61" i="11"/>
  <c r="AY61" i="11"/>
  <c r="AX61" i="11"/>
  <c r="AW61" i="11"/>
  <c r="AV61" i="11"/>
  <c r="AU61" i="11"/>
  <c r="AT61" i="11"/>
  <c r="AS61" i="11"/>
  <c r="AR61" i="11"/>
  <c r="AQ61" i="11"/>
  <c r="AO61" i="11"/>
  <c r="AN61" i="11"/>
  <c r="AM61" i="11"/>
  <c r="AL61" i="11"/>
  <c r="AK61" i="11"/>
  <c r="AJ61" i="11"/>
  <c r="AI61" i="11"/>
  <c r="AH61" i="11"/>
  <c r="AG61" i="11"/>
  <c r="AF61" i="11"/>
  <c r="AE61" i="11"/>
  <c r="AD61" i="11"/>
  <c r="AC61" i="11"/>
  <c r="AB61" i="11"/>
  <c r="AA61" i="11"/>
  <c r="DA60" i="11"/>
  <c r="CZ60" i="11"/>
  <c r="CY60" i="11"/>
  <c r="CX60" i="11"/>
  <c r="CW60" i="11"/>
  <c r="CV60" i="11"/>
  <c r="CU60" i="11"/>
  <c r="CT60" i="11"/>
  <c r="CS60" i="11"/>
  <c r="CR60" i="11"/>
  <c r="CQ60" i="11"/>
  <c r="CP60" i="11"/>
  <c r="CO60" i="11"/>
  <c r="CN60" i="11"/>
  <c r="CM60" i="11"/>
  <c r="CK60" i="11"/>
  <c r="CJ60" i="11"/>
  <c r="CI60" i="11"/>
  <c r="CH60" i="11"/>
  <c r="CG60" i="11"/>
  <c r="CF60" i="11"/>
  <c r="CE60" i="11"/>
  <c r="CD60" i="11"/>
  <c r="CC60" i="11"/>
  <c r="CB60" i="11"/>
  <c r="CA60" i="11"/>
  <c r="BZ60" i="11"/>
  <c r="BY60" i="11"/>
  <c r="BX60" i="11"/>
  <c r="BW60" i="11"/>
  <c r="BU60" i="11"/>
  <c r="BT60" i="11"/>
  <c r="BS60" i="11"/>
  <c r="BR60" i="11"/>
  <c r="BQ60" i="11"/>
  <c r="BP60" i="11"/>
  <c r="BO60" i="11"/>
  <c r="BN60" i="11"/>
  <c r="BM60" i="11"/>
  <c r="BL60" i="11"/>
  <c r="BK60" i="11"/>
  <c r="BJ60" i="11"/>
  <c r="BI60" i="11"/>
  <c r="BH60" i="11"/>
  <c r="BG60" i="11"/>
  <c r="BE60" i="11"/>
  <c r="BD60" i="11"/>
  <c r="BC60" i="11"/>
  <c r="BB60" i="11"/>
  <c r="BA60" i="11"/>
  <c r="AZ60" i="11"/>
  <c r="AY60" i="11"/>
  <c r="AX60" i="11"/>
  <c r="AW60" i="11"/>
  <c r="AV60" i="11"/>
  <c r="AU60" i="11"/>
  <c r="AT60" i="11"/>
  <c r="AS60" i="11"/>
  <c r="AR60" i="11"/>
  <c r="AQ60" i="11"/>
  <c r="AO60" i="11"/>
  <c r="AN60" i="11"/>
  <c r="AM60" i="11"/>
  <c r="AL60" i="11"/>
  <c r="AK60" i="11"/>
  <c r="AJ60" i="11"/>
  <c r="AI60" i="11"/>
  <c r="AH60" i="11"/>
  <c r="AG60" i="11"/>
  <c r="AF60" i="11"/>
  <c r="AE60" i="11"/>
  <c r="AD60" i="11"/>
  <c r="AC60" i="11"/>
  <c r="AB60" i="11"/>
  <c r="AA60" i="11"/>
  <c r="DA59" i="11"/>
  <c r="CZ59" i="11"/>
  <c r="CY59" i="11"/>
  <c r="CX59" i="11"/>
  <c r="CW59" i="11"/>
  <c r="CV59" i="11"/>
  <c r="CU59" i="11"/>
  <c r="CT59" i="11"/>
  <c r="CS59" i="11"/>
  <c r="CR59" i="11"/>
  <c r="CQ59" i="11"/>
  <c r="CP59" i="11"/>
  <c r="CO59" i="11"/>
  <c r="CN59" i="11"/>
  <c r="CM59" i="11"/>
  <c r="CK59" i="11"/>
  <c r="CJ59" i="11"/>
  <c r="CI59" i="11"/>
  <c r="CH59" i="11"/>
  <c r="CG59" i="11"/>
  <c r="CF59" i="11"/>
  <c r="CE59" i="11"/>
  <c r="CD59" i="11"/>
  <c r="CC59" i="11"/>
  <c r="CB59" i="11"/>
  <c r="CA59" i="11"/>
  <c r="BZ59" i="11"/>
  <c r="BY59" i="11"/>
  <c r="BX59" i="11"/>
  <c r="BW59" i="11"/>
  <c r="BU59" i="11"/>
  <c r="BT59" i="11"/>
  <c r="BS59" i="11"/>
  <c r="BR59" i="11"/>
  <c r="BQ59" i="11"/>
  <c r="BP59" i="11"/>
  <c r="BO59" i="11"/>
  <c r="BN59" i="11"/>
  <c r="BM59" i="11"/>
  <c r="BL59" i="11"/>
  <c r="BK59" i="11"/>
  <c r="BJ59" i="11"/>
  <c r="BI59" i="11"/>
  <c r="BH59" i="11"/>
  <c r="BG59" i="11"/>
  <c r="BE59" i="11"/>
  <c r="BD59" i="11"/>
  <c r="BC59" i="11"/>
  <c r="BB59" i="11"/>
  <c r="BA59" i="11"/>
  <c r="AZ59" i="11"/>
  <c r="AY59" i="11"/>
  <c r="AX59" i="11"/>
  <c r="AW59" i="11"/>
  <c r="AV59" i="11"/>
  <c r="AU59" i="11"/>
  <c r="AT59" i="11"/>
  <c r="AS59" i="11"/>
  <c r="AR59" i="11"/>
  <c r="AQ59" i="11"/>
  <c r="AO59" i="11"/>
  <c r="AN59" i="11"/>
  <c r="AM59" i="11"/>
  <c r="AL59" i="11"/>
  <c r="AK59" i="11"/>
  <c r="AJ59" i="11"/>
  <c r="AI59" i="11"/>
  <c r="AH59" i="11"/>
  <c r="AG59" i="11"/>
  <c r="AF59" i="11"/>
  <c r="AE59" i="11"/>
  <c r="AD59" i="11"/>
  <c r="AC59" i="11"/>
  <c r="AB59" i="11"/>
  <c r="AA59" i="11"/>
  <c r="DA58" i="11"/>
  <c r="CZ58" i="11"/>
  <c r="CY58" i="11"/>
  <c r="CX58" i="11"/>
  <c r="CW58" i="11"/>
  <c r="CV58" i="11"/>
  <c r="CU58" i="11"/>
  <c r="CT58" i="11"/>
  <c r="CS58" i="11"/>
  <c r="CR58" i="11"/>
  <c r="CQ58" i="11"/>
  <c r="CP58" i="11"/>
  <c r="CO58" i="11"/>
  <c r="CN58" i="11"/>
  <c r="CM58" i="11"/>
  <c r="CK58" i="11"/>
  <c r="CJ58" i="11"/>
  <c r="CI58" i="11"/>
  <c r="CH58" i="11"/>
  <c r="CG58" i="11"/>
  <c r="CF58" i="11"/>
  <c r="CE58" i="11"/>
  <c r="CD58" i="11"/>
  <c r="CC58" i="11"/>
  <c r="CB58" i="11"/>
  <c r="CA58" i="11"/>
  <c r="BZ58" i="11"/>
  <c r="BY58" i="11"/>
  <c r="BX58" i="11"/>
  <c r="BW58" i="11"/>
  <c r="BU58" i="11"/>
  <c r="BT58" i="11"/>
  <c r="BS58" i="11"/>
  <c r="BR58" i="11"/>
  <c r="BQ58" i="11"/>
  <c r="BP58" i="11"/>
  <c r="BO58" i="11"/>
  <c r="BN58" i="11"/>
  <c r="BM58" i="11"/>
  <c r="BL58" i="11"/>
  <c r="BK58" i="11"/>
  <c r="BJ58" i="11"/>
  <c r="BI58" i="11"/>
  <c r="BH58" i="11"/>
  <c r="BG58" i="11"/>
  <c r="BE58" i="11"/>
  <c r="BD58" i="11"/>
  <c r="BC58" i="11"/>
  <c r="BB58" i="11"/>
  <c r="BA58" i="11"/>
  <c r="AZ58" i="11"/>
  <c r="AY58" i="11"/>
  <c r="AX58" i="11"/>
  <c r="AW58" i="11"/>
  <c r="AV58" i="11"/>
  <c r="AU58" i="11"/>
  <c r="AT58" i="11"/>
  <c r="AS58" i="11"/>
  <c r="AR58" i="11"/>
  <c r="AQ58" i="11"/>
  <c r="AO58" i="11"/>
  <c r="AN58" i="11"/>
  <c r="AM58" i="11"/>
  <c r="AL58" i="11"/>
  <c r="AK58" i="11"/>
  <c r="AJ58" i="11"/>
  <c r="AI58" i="11"/>
  <c r="AH58" i="11"/>
  <c r="AG58" i="11"/>
  <c r="AF58" i="11"/>
  <c r="AE58" i="11"/>
  <c r="AD58" i="11"/>
  <c r="AC58" i="11"/>
  <c r="AB58" i="11"/>
  <c r="AA58" i="11"/>
  <c r="DA57" i="11"/>
  <c r="CZ57" i="11"/>
  <c r="CY57" i="11"/>
  <c r="CX57" i="11"/>
  <c r="CW57" i="11"/>
  <c r="CV57" i="11"/>
  <c r="CU57" i="11"/>
  <c r="CT57" i="11"/>
  <c r="CS57" i="11"/>
  <c r="CR57" i="11"/>
  <c r="CQ57" i="11"/>
  <c r="CP57" i="11"/>
  <c r="CO57" i="11"/>
  <c r="CN57" i="11"/>
  <c r="CM57" i="11"/>
  <c r="CK57" i="11"/>
  <c r="CJ57" i="11"/>
  <c r="CI57" i="11"/>
  <c r="CH57" i="11"/>
  <c r="CG57" i="11"/>
  <c r="CF57" i="11"/>
  <c r="CE57" i="11"/>
  <c r="CD57" i="11"/>
  <c r="CC57" i="11"/>
  <c r="CB57" i="11"/>
  <c r="CA57" i="11"/>
  <c r="BZ57" i="11"/>
  <c r="BY57" i="11"/>
  <c r="BX57" i="11"/>
  <c r="BW57" i="11"/>
  <c r="BU57" i="11"/>
  <c r="BT57" i="11"/>
  <c r="BS57" i="11"/>
  <c r="BR57" i="11"/>
  <c r="BQ57" i="11"/>
  <c r="BP57" i="11"/>
  <c r="BO57" i="11"/>
  <c r="BN57" i="11"/>
  <c r="BM57" i="11"/>
  <c r="BL57" i="11"/>
  <c r="BK57" i="11"/>
  <c r="BJ57" i="11"/>
  <c r="BI57" i="11"/>
  <c r="BH57" i="11"/>
  <c r="BG57" i="11"/>
  <c r="BE57" i="11"/>
  <c r="BD57" i="11"/>
  <c r="BC57" i="11"/>
  <c r="BB57" i="11"/>
  <c r="BA57" i="11"/>
  <c r="AZ57" i="11"/>
  <c r="AY57" i="11"/>
  <c r="AX57" i="11"/>
  <c r="AW57" i="11"/>
  <c r="AV57" i="11"/>
  <c r="AU57" i="11"/>
  <c r="AT57" i="11"/>
  <c r="AS57" i="11"/>
  <c r="AR57" i="11"/>
  <c r="AQ57" i="11"/>
  <c r="AO57" i="11"/>
  <c r="AN57" i="11"/>
  <c r="AM57" i="11"/>
  <c r="AL57" i="11"/>
  <c r="AK57" i="11"/>
  <c r="AJ57" i="11"/>
  <c r="AI57" i="11"/>
  <c r="AH57" i="11"/>
  <c r="AG57" i="11"/>
  <c r="AF57" i="11"/>
  <c r="AE57" i="11"/>
  <c r="AD57" i="11"/>
  <c r="AC57" i="11"/>
  <c r="AB57" i="11"/>
  <c r="AA57" i="11"/>
  <c r="DA56" i="11"/>
  <c r="CZ56" i="11"/>
  <c r="CY56" i="11"/>
  <c r="CX56" i="11"/>
  <c r="CW56" i="11"/>
  <c r="CV56" i="11"/>
  <c r="CU56" i="11"/>
  <c r="CT56" i="11"/>
  <c r="CS56" i="11"/>
  <c r="CR56" i="11"/>
  <c r="CQ56" i="11"/>
  <c r="CP56" i="11"/>
  <c r="CO56" i="11"/>
  <c r="CN56" i="11"/>
  <c r="CM56" i="11"/>
  <c r="CK56" i="11"/>
  <c r="CJ56" i="11"/>
  <c r="CI56" i="11"/>
  <c r="CH56" i="11"/>
  <c r="CG56" i="11"/>
  <c r="CF56" i="11"/>
  <c r="CE56" i="11"/>
  <c r="CD56" i="11"/>
  <c r="CC56" i="11"/>
  <c r="CB56" i="11"/>
  <c r="CA56" i="11"/>
  <c r="BZ56" i="11"/>
  <c r="BY56" i="11"/>
  <c r="BX56" i="11"/>
  <c r="BW56" i="11"/>
  <c r="BU56" i="11"/>
  <c r="BT56" i="11"/>
  <c r="BS56" i="11"/>
  <c r="BR56" i="11"/>
  <c r="BQ56" i="11"/>
  <c r="BP56" i="11"/>
  <c r="BO56" i="11"/>
  <c r="BN56" i="11"/>
  <c r="BM56" i="11"/>
  <c r="BL56" i="11"/>
  <c r="BK56" i="11"/>
  <c r="BJ56" i="11"/>
  <c r="BI56" i="11"/>
  <c r="BH56" i="11"/>
  <c r="BG56" i="11"/>
  <c r="BE56" i="11"/>
  <c r="BD56" i="11"/>
  <c r="BC56" i="11"/>
  <c r="BB56" i="11"/>
  <c r="BA56" i="11"/>
  <c r="AZ56" i="11"/>
  <c r="AY56" i="11"/>
  <c r="AX56" i="11"/>
  <c r="AW56" i="11"/>
  <c r="AV56" i="11"/>
  <c r="AU56" i="11"/>
  <c r="AT56" i="11"/>
  <c r="AS56" i="11"/>
  <c r="AR56" i="11"/>
  <c r="AQ56" i="11"/>
  <c r="AO56" i="11"/>
  <c r="AN56" i="11"/>
  <c r="AM56" i="11"/>
  <c r="AL56" i="11"/>
  <c r="AK56" i="11"/>
  <c r="AJ56" i="11"/>
  <c r="AI56" i="11"/>
  <c r="AH56" i="11"/>
  <c r="AG56" i="11"/>
  <c r="AF56" i="11"/>
  <c r="AE56" i="11"/>
  <c r="AD56" i="11"/>
  <c r="AC56" i="11"/>
  <c r="AB56" i="11"/>
  <c r="AA56" i="11"/>
  <c r="DA55" i="11"/>
  <c r="CZ55" i="11"/>
  <c r="CY55" i="11"/>
  <c r="CX55" i="11"/>
  <c r="CW55" i="11"/>
  <c r="CV55" i="11"/>
  <c r="CU55" i="11"/>
  <c r="CT55" i="11"/>
  <c r="CS55" i="11"/>
  <c r="CR55" i="11"/>
  <c r="CQ55" i="11"/>
  <c r="CP55" i="11"/>
  <c r="CO55" i="11"/>
  <c r="CN55" i="11"/>
  <c r="CM55" i="11"/>
  <c r="CK55" i="11"/>
  <c r="CJ55" i="11"/>
  <c r="CI55" i="11"/>
  <c r="CH55" i="11"/>
  <c r="CG55" i="11"/>
  <c r="CF55" i="11"/>
  <c r="CE55" i="11"/>
  <c r="CD55" i="11"/>
  <c r="CC55" i="11"/>
  <c r="CB55" i="11"/>
  <c r="CA55" i="11"/>
  <c r="BZ55" i="11"/>
  <c r="BY55" i="11"/>
  <c r="BX55" i="11"/>
  <c r="BW55" i="11"/>
  <c r="BU55" i="11"/>
  <c r="BT55" i="11"/>
  <c r="BS55" i="11"/>
  <c r="BR55" i="11"/>
  <c r="BQ55" i="11"/>
  <c r="BP55" i="11"/>
  <c r="BO55" i="11"/>
  <c r="BN55" i="11"/>
  <c r="BM55" i="11"/>
  <c r="BL55" i="11"/>
  <c r="BK55" i="11"/>
  <c r="BJ55" i="11"/>
  <c r="BI55" i="11"/>
  <c r="BH55" i="11"/>
  <c r="BG55" i="11"/>
  <c r="BE55" i="11"/>
  <c r="BD55" i="11"/>
  <c r="BC55" i="11"/>
  <c r="BB55" i="11"/>
  <c r="BA55" i="11"/>
  <c r="AZ55" i="11"/>
  <c r="AY55" i="11"/>
  <c r="AX55" i="11"/>
  <c r="AW55" i="11"/>
  <c r="AV55" i="11"/>
  <c r="AU55" i="11"/>
  <c r="AT55" i="11"/>
  <c r="AS55" i="11"/>
  <c r="AR55" i="11"/>
  <c r="AQ55" i="11"/>
  <c r="AO55" i="11"/>
  <c r="AN55" i="11"/>
  <c r="AM55" i="11"/>
  <c r="AL55" i="11"/>
  <c r="AK55" i="11"/>
  <c r="AJ55" i="11"/>
  <c r="AI55" i="11"/>
  <c r="AH55" i="11"/>
  <c r="AG55" i="11"/>
  <c r="AF55" i="11"/>
  <c r="AE55" i="11"/>
  <c r="AD55" i="11"/>
  <c r="AC55" i="11"/>
  <c r="AB55" i="11"/>
  <c r="AA55" i="11"/>
  <c r="DA54" i="11"/>
  <c r="CZ54" i="11"/>
  <c r="CY54" i="11"/>
  <c r="CX54" i="11"/>
  <c r="CW54" i="11"/>
  <c r="CV54" i="11"/>
  <c r="CU54" i="11"/>
  <c r="CT54" i="11"/>
  <c r="CS54" i="11"/>
  <c r="CR54" i="11"/>
  <c r="CQ54" i="11"/>
  <c r="CP54" i="11"/>
  <c r="CO54" i="11"/>
  <c r="CN54" i="11"/>
  <c r="CM54" i="11"/>
  <c r="CK54" i="11"/>
  <c r="CJ54" i="11"/>
  <c r="CI54" i="11"/>
  <c r="CH54" i="11"/>
  <c r="CG54" i="11"/>
  <c r="CF54" i="11"/>
  <c r="CE54" i="11"/>
  <c r="CD54" i="11"/>
  <c r="CC54" i="11"/>
  <c r="CB54" i="11"/>
  <c r="CA54" i="11"/>
  <c r="BZ54" i="11"/>
  <c r="BY54" i="11"/>
  <c r="BX54" i="11"/>
  <c r="BW54" i="11"/>
  <c r="BU54" i="11"/>
  <c r="BT54" i="11"/>
  <c r="BS54" i="11"/>
  <c r="BR54" i="11"/>
  <c r="BQ54" i="11"/>
  <c r="BP54" i="11"/>
  <c r="BO54" i="11"/>
  <c r="BN54" i="11"/>
  <c r="BM54" i="11"/>
  <c r="BL54" i="11"/>
  <c r="BK54" i="11"/>
  <c r="BJ54" i="11"/>
  <c r="BI54" i="11"/>
  <c r="BH54" i="11"/>
  <c r="BG54" i="11"/>
  <c r="BE54" i="11"/>
  <c r="BD54" i="11"/>
  <c r="BC54" i="11"/>
  <c r="BB54" i="11"/>
  <c r="BA54" i="11"/>
  <c r="AZ54" i="11"/>
  <c r="AY54" i="11"/>
  <c r="AX54" i="11"/>
  <c r="AW54" i="11"/>
  <c r="AV54" i="11"/>
  <c r="AU54" i="11"/>
  <c r="AT54" i="11"/>
  <c r="AS54" i="11"/>
  <c r="AR54" i="11"/>
  <c r="AQ54" i="11"/>
  <c r="AO54" i="11"/>
  <c r="AN54" i="11"/>
  <c r="AM54" i="11"/>
  <c r="AL54" i="11"/>
  <c r="AK54" i="11"/>
  <c r="AJ54" i="11"/>
  <c r="AI54" i="11"/>
  <c r="AH54" i="11"/>
  <c r="AG54" i="11"/>
  <c r="AF54" i="11"/>
  <c r="AE54" i="11"/>
  <c r="AD54" i="11"/>
  <c r="AC54" i="11"/>
  <c r="AB54" i="11"/>
  <c r="AA54" i="11"/>
  <c r="DA53" i="11"/>
  <c r="CZ53" i="11"/>
  <c r="CY53" i="11"/>
  <c r="CX53" i="11"/>
  <c r="CW53" i="11"/>
  <c r="CV53" i="11"/>
  <c r="CU53" i="11"/>
  <c r="CT53" i="11"/>
  <c r="CS53" i="11"/>
  <c r="CR53" i="11"/>
  <c r="CQ53" i="11"/>
  <c r="CP53" i="11"/>
  <c r="CO53" i="11"/>
  <c r="CN53" i="11"/>
  <c r="CM53" i="11"/>
  <c r="CK53" i="11"/>
  <c r="CJ53" i="11"/>
  <c r="CI53" i="11"/>
  <c r="CH53" i="11"/>
  <c r="CG53" i="11"/>
  <c r="CF53" i="11"/>
  <c r="CE53" i="11"/>
  <c r="CD53" i="11"/>
  <c r="CC53" i="11"/>
  <c r="CB53" i="11"/>
  <c r="CA53" i="11"/>
  <c r="BZ53" i="11"/>
  <c r="BY53" i="11"/>
  <c r="BX53" i="11"/>
  <c r="BW53" i="11"/>
  <c r="BU53" i="11"/>
  <c r="BT53" i="11"/>
  <c r="BS53" i="11"/>
  <c r="BR53" i="11"/>
  <c r="BQ53" i="11"/>
  <c r="BP53" i="11"/>
  <c r="BO53" i="11"/>
  <c r="BN53" i="11"/>
  <c r="BM53" i="11"/>
  <c r="BL53" i="11"/>
  <c r="BK53" i="11"/>
  <c r="BJ53" i="11"/>
  <c r="BI53" i="11"/>
  <c r="BH53" i="11"/>
  <c r="BG53" i="11"/>
  <c r="BE53" i="11"/>
  <c r="BD53" i="11"/>
  <c r="BC53" i="11"/>
  <c r="BB53" i="11"/>
  <c r="BA53" i="11"/>
  <c r="AZ53" i="11"/>
  <c r="AY53" i="11"/>
  <c r="AX53" i="11"/>
  <c r="AW53" i="11"/>
  <c r="AV53" i="11"/>
  <c r="AU53" i="11"/>
  <c r="AT53" i="11"/>
  <c r="AS53" i="11"/>
  <c r="AR53" i="11"/>
  <c r="AQ53" i="11"/>
  <c r="AO53" i="11"/>
  <c r="AN53" i="11"/>
  <c r="AM53" i="11"/>
  <c r="AL53" i="11"/>
  <c r="AK53" i="11"/>
  <c r="AJ53" i="11"/>
  <c r="AI53" i="11"/>
  <c r="AH53" i="11"/>
  <c r="AG53" i="11"/>
  <c r="AF53" i="11"/>
  <c r="AE53" i="11"/>
  <c r="AD53" i="11"/>
  <c r="AC53" i="11"/>
  <c r="AB53" i="11"/>
  <c r="AA53" i="11"/>
  <c r="DA52" i="11"/>
  <c r="CZ52" i="11"/>
  <c r="CY52" i="11"/>
  <c r="CX52" i="11"/>
  <c r="CW52" i="11"/>
  <c r="CV52" i="11"/>
  <c r="CU52" i="11"/>
  <c r="CT52" i="11"/>
  <c r="CS52" i="11"/>
  <c r="CR52" i="11"/>
  <c r="CQ52" i="11"/>
  <c r="CP52" i="11"/>
  <c r="CO52" i="11"/>
  <c r="CN52" i="11"/>
  <c r="CM52" i="11"/>
  <c r="CK52" i="11"/>
  <c r="CJ52" i="11"/>
  <c r="CI52" i="11"/>
  <c r="CH52" i="11"/>
  <c r="CG52" i="11"/>
  <c r="CF52" i="11"/>
  <c r="CE52" i="11"/>
  <c r="CD52" i="11"/>
  <c r="CC52" i="11"/>
  <c r="CB52" i="11"/>
  <c r="CA52" i="11"/>
  <c r="BZ52" i="11"/>
  <c r="BY52" i="11"/>
  <c r="BX52" i="11"/>
  <c r="BW52" i="11"/>
  <c r="BU52" i="11"/>
  <c r="BT52" i="11"/>
  <c r="BS52" i="11"/>
  <c r="BR52" i="11"/>
  <c r="BQ52" i="11"/>
  <c r="BP52" i="11"/>
  <c r="BO52" i="11"/>
  <c r="BN52" i="11"/>
  <c r="BM52" i="11"/>
  <c r="BL52" i="11"/>
  <c r="BK52" i="11"/>
  <c r="BJ52" i="11"/>
  <c r="BI52" i="11"/>
  <c r="BH52" i="11"/>
  <c r="BG52" i="11"/>
  <c r="BE52" i="11"/>
  <c r="BD52" i="11"/>
  <c r="BC52" i="11"/>
  <c r="BB52" i="11"/>
  <c r="BA52" i="11"/>
  <c r="AZ52" i="11"/>
  <c r="AY52" i="11"/>
  <c r="AX52" i="11"/>
  <c r="AW52" i="11"/>
  <c r="AV52" i="11"/>
  <c r="AU52" i="11"/>
  <c r="AT52" i="11"/>
  <c r="AS52" i="11"/>
  <c r="AR52" i="11"/>
  <c r="AQ52" i="11"/>
  <c r="AO52" i="11"/>
  <c r="AN52" i="11"/>
  <c r="AM52" i="11"/>
  <c r="AL52" i="11"/>
  <c r="AK52" i="11"/>
  <c r="AJ52" i="11"/>
  <c r="AI52" i="11"/>
  <c r="AH52" i="11"/>
  <c r="AG52" i="11"/>
  <c r="AF52" i="11"/>
  <c r="AE52" i="11"/>
  <c r="AD52" i="11"/>
  <c r="AC52" i="11"/>
  <c r="AB52" i="11"/>
  <c r="AA52" i="11"/>
  <c r="DA51" i="11"/>
  <c r="CZ51" i="11"/>
  <c r="CY51" i="11"/>
  <c r="CX51" i="11"/>
  <c r="CW51" i="11"/>
  <c r="CV51" i="11"/>
  <c r="CU51" i="11"/>
  <c r="CT51" i="11"/>
  <c r="CS51" i="11"/>
  <c r="CR51" i="11"/>
  <c r="CQ51" i="11"/>
  <c r="CP51" i="11"/>
  <c r="CO51" i="11"/>
  <c r="CN51" i="11"/>
  <c r="CM51" i="11"/>
  <c r="CK51" i="11"/>
  <c r="CJ51" i="11"/>
  <c r="CI51" i="11"/>
  <c r="CH51" i="11"/>
  <c r="CG51" i="11"/>
  <c r="CF51" i="11"/>
  <c r="CE51" i="11"/>
  <c r="CD51" i="11"/>
  <c r="CC51" i="11"/>
  <c r="CB51" i="11"/>
  <c r="CA51" i="11"/>
  <c r="BZ51" i="11"/>
  <c r="BY51" i="11"/>
  <c r="BX51" i="11"/>
  <c r="BW51" i="11"/>
  <c r="BU51" i="11"/>
  <c r="BT51" i="11"/>
  <c r="BS51" i="11"/>
  <c r="BR51" i="11"/>
  <c r="BQ51" i="11"/>
  <c r="BP51" i="11"/>
  <c r="BO51" i="11"/>
  <c r="BN51" i="11"/>
  <c r="BM51" i="11"/>
  <c r="BL51" i="11"/>
  <c r="BK51" i="11"/>
  <c r="BJ51" i="11"/>
  <c r="BI51" i="11"/>
  <c r="BH51" i="11"/>
  <c r="BG51" i="11"/>
  <c r="BE51" i="11"/>
  <c r="BD51" i="11"/>
  <c r="BC51" i="11"/>
  <c r="BB51" i="11"/>
  <c r="BA51" i="11"/>
  <c r="AZ51" i="11"/>
  <c r="AY51" i="11"/>
  <c r="AX51" i="11"/>
  <c r="AW51" i="11"/>
  <c r="AV51" i="11"/>
  <c r="AU51" i="11"/>
  <c r="AT51" i="11"/>
  <c r="AS51" i="11"/>
  <c r="AR51" i="11"/>
  <c r="AQ51" i="11"/>
  <c r="AO51" i="11"/>
  <c r="AN51" i="11"/>
  <c r="AM51" i="11"/>
  <c r="AL51" i="11"/>
  <c r="AK51" i="11"/>
  <c r="AJ51" i="11"/>
  <c r="AI51" i="11"/>
  <c r="AH51" i="11"/>
  <c r="AG51" i="11"/>
  <c r="AF51" i="11"/>
  <c r="AE51" i="11"/>
  <c r="AD51" i="11"/>
  <c r="AC51" i="11"/>
  <c r="AB51" i="11"/>
  <c r="AA51" i="11"/>
  <c r="DA50" i="11"/>
  <c r="CZ50" i="11"/>
  <c r="CY50" i="11"/>
  <c r="CX50" i="11"/>
  <c r="CW50" i="11"/>
  <c r="CV50" i="11"/>
  <c r="CU50" i="11"/>
  <c r="CT50" i="11"/>
  <c r="CS50" i="11"/>
  <c r="CR50" i="11"/>
  <c r="CQ50" i="11"/>
  <c r="CP50" i="11"/>
  <c r="CO50" i="11"/>
  <c r="CN50" i="11"/>
  <c r="CM50" i="11"/>
  <c r="CK50" i="11"/>
  <c r="CJ50" i="11"/>
  <c r="CI50" i="11"/>
  <c r="CH50" i="11"/>
  <c r="CG50" i="11"/>
  <c r="CF50" i="11"/>
  <c r="CE50" i="11"/>
  <c r="CD50" i="11"/>
  <c r="CC50" i="11"/>
  <c r="CB50" i="11"/>
  <c r="CA50" i="11"/>
  <c r="BZ50" i="11"/>
  <c r="BY50" i="11"/>
  <c r="BX50" i="11"/>
  <c r="BW50" i="11"/>
  <c r="BU50" i="11"/>
  <c r="BT50" i="11"/>
  <c r="BS50" i="11"/>
  <c r="BR50" i="11"/>
  <c r="BQ50" i="11"/>
  <c r="BP50" i="11"/>
  <c r="BO50" i="11"/>
  <c r="BN50" i="11"/>
  <c r="BM50" i="11"/>
  <c r="BL50" i="11"/>
  <c r="BK50" i="11"/>
  <c r="BJ50" i="11"/>
  <c r="BI50" i="11"/>
  <c r="BH50" i="11"/>
  <c r="BG50" i="11"/>
  <c r="BE50" i="11"/>
  <c r="BD50" i="11"/>
  <c r="BC50" i="11"/>
  <c r="BB50" i="11"/>
  <c r="BA50" i="11"/>
  <c r="AZ50" i="11"/>
  <c r="AY50" i="11"/>
  <c r="AX50" i="11"/>
  <c r="AW50" i="11"/>
  <c r="AV50" i="11"/>
  <c r="AU50" i="11"/>
  <c r="AT50" i="11"/>
  <c r="AS50" i="11"/>
  <c r="AR50" i="11"/>
  <c r="AQ50" i="11"/>
  <c r="AO50" i="11"/>
  <c r="AN50" i="11"/>
  <c r="AM50" i="11"/>
  <c r="AL50" i="11"/>
  <c r="AK50" i="11"/>
  <c r="AJ50" i="11"/>
  <c r="AI50" i="11"/>
  <c r="AH50" i="11"/>
  <c r="AG50" i="11"/>
  <c r="AF50" i="11"/>
  <c r="AE50" i="11"/>
  <c r="AD50" i="11"/>
  <c r="AC50" i="11"/>
  <c r="AB50" i="11"/>
  <c r="AA50" i="11"/>
  <c r="DA49" i="11"/>
  <c r="CZ49" i="11"/>
  <c r="CY49" i="11"/>
  <c r="CX49" i="11"/>
  <c r="CW49" i="11"/>
  <c r="CV49" i="11"/>
  <c r="CU49" i="11"/>
  <c r="CT49" i="11"/>
  <c r="CS49" i="11"/>
  <c r="CR49" i="11"/>
  <c r="CQ49" i="11"/>
  <c r="CP49" i="11"/>
  <c r="CO49" i="11"/>
  <c r="CN49" i="11"/>
  <c r="CM49" i="11"/>
  <c r="CK49" i="11"/>
  <c r="CJ49" i="11"/>
  <c r="CI49" i="11"/>
  <c r="CH49" i="11"/>
  <c r="CG49" i="11"/>
  <c r="CF49" i="11"/>
  <c r="CE49" i="11"/>
  <c r="CD49" i="11"/>
  <c r="CC49" i="11"/>
  <c r="CB49" i="11"/>
  <c r="CA49" i="11"/>
  <c r="BZ49" i="11"/>
  <c r="BY49" i="11"/>
  <c r="BX49" i="11"/>
  <c r="BW49" i="11"/>
  <c r="BU49" i="11"/>
  <c r="BT49" i="11"/>
  <c r="BS49" i="11"/>
  <c r="BR49" i="11"/>
  <c r="BQ49" i="11"/>
  <c r="BP49" i="11"/>
  <c r="BO49" i="11"/>
  <c r="BN49" i="11"/>
  <c r="BM49" i="11"/>
  <c r="BL49" i="11"/>
  <c r="BK49" i="11"/>
  <c r="BJ49" i="11"/>
  <c r="BI49" i="11"/>
  <c r="BH49" i="11"/>
  <c r="BG49" i="11"/>
  <c r="BE49" i="11"/>
  <c r="BD49" i="11"/>
  <c r="BC49" i="11"/>
  <c r="BB49" i="11"/>
  <c r="BA49" i="11"/>
  <c r="AZ49" i="11"/>
  <c r="AY49" i="11"/>
  <c r="AX49" i="11"/>
  <c r="AW49" i="11"/>
  <c r="AV49" i="11"/>
  <c r="AU49" i="11"/>
  <c r="AT49" i="11"/>
  <c r="AS49" i="11"/>
  <c r="AR49" i="11"/>
  <c r="AQ49" i="11"/>
  <c r="AO49" i="11"/>
  <c r="AN49" i="11"/>
  <c r="AM49" i="11"/>
  <c r="AL49" i="11"/>
  <c r="AK49" i="11"/>
  <c r="AJ49" i="11"/>
  <c r="AI49" i="11"/>
  <c r="AH49" i="11"/>
  <c r="AG49" i="11"/>
  <c r="AF49" i="11"/>
  <c r="AE49" i="11"/>
  <c r="AD49" i="11"/>
  <c r="AC49" i="11"/>
  <c r="AB49" i="11"/>
  <c r="AA49" i="11"/>
  <c r="DA48" i="11"/>
  <c r="CZ48" i="11"/>
  <c r="CY48" i="11"/>
  <c r="CX48" i="11"/>
  <c r="CW48" i="11"/>
  <c r="CV48" i="11"/>
  <c r="CU48" i="11"/>
  <c r="CT48" i="11"/>
  <c r="CS48" i="11"/>
  <c r="CR48" i="11"/>
  <c r="CQ48" i="11"/>
  <c r="CP48" i="11"/>
  <c r="CO48" i="11"/>
  <c r="CN48" i="11"/>
  <c r="CM48" i="11"/>
  <c r="CK48" i="11"/>
  <c r="CJ48" i="11"/>
  <c r="CI48" i="11"/>
  <c r="CH48" i="11"/>
  <c r="CG48" i="11"/>
  <c r="CF48" i="11"/>
  <c r="CE48" i="11"/>
  <c r="CD48" i="11"/>
  <c r="CC48" i="11"/>
  <c r="CB48" i="11"/>
  <c r="CA48" i="11"/>
  <c r="BZ48" i="11"/>
  <c r="BY48" i="11"/>
  <c r="BX48" i="11"/>
  <c r="BW48" i="11"/>
  <c r="BU48" i="11"/>
  <c r="BT48" i="11"/>
  <c r="BS48" i="11"/>
  <c r="BR48" i="11"/>
  <c r="BQ48" i="11"/>
  <c r="BP48" i="11"/>
  <c r="BO48" i="11"/>
  <c r="BN48" i="11"/>
  <c r="BM48" i="11"/>
  <c r="BL48" i="11"/>
  <c r="BK48" i="11"/>
  <c r="BJ48" i="11"/>
  <c r="BI48" i="11"/>
  <c r="BH48" i="11"/>
  <c r="BG48" i="11"/>
  <c r="BE48" i="11"/>
  <c r="BD48" i="11"/>
  <c r="BC48" i="11"/>
  <c r="BB48" i="11"/>
  <c r="BA48" i="11"/>
  <c r="AZ48" i="11"/>
  <c r="AY48" i="11"/>
  <c r="AX48" i="11"/>
  <c r="AW48" i="11"/>
  <c r="AV48" i="11"/>
  <c r="AU48" i="11"/>
  <c r="AT48" i="11"/>
  <c r="AS48" i="11"/>
  <c r="AR48" i="11"/>
  <c r="AQ48" i="11"/>
  <c r="AO48" i="11"/>
  <c r="AN48" i="11"/>
  <c r="AM48" i="11"/>
  <c r="AL48" i="11"/>
  <c r="AK48" i="11"/>
  <c r="AJ48" i="11"/>
  <c r="AI48" i="11"/>
  <c r="AH48" i="11"/>
  <c r="AG48" i="11"/>
  <c r="AF48" i="11"/>
  <c r="AE48" i="11"/>
  <c r="AD48" i="11"/>
  <c r="AC48" i="11"/>
  <c r="AB48" i="11"/>
  <c r="AA48" i="11"/>
  <c r="DA47" i="11"/>
  <c r="CZ47" i="11"/>
  <c r="CY47" i="11"/>
  <c r="CX47" i="11"/>
  <c r="CW47" i="11"/>
  <c r="CV47" i="11"/>
  <c r="CU47" i="11"/>
  <c r="CT47" i="11"/>
  <c r="CS47" i="11"/>
  <c r="CR47" i="11"/>
  <c r="CQ47" i="11"/>
  <c r="CP47" i="11"/>
  <c r="CO47" i="11"/>
  <c r="CN47" i="11"/>
  <c r="CM47" i="11"/>
  <c r="CK47" i="11"/>
  <c r="CJ47" i="11"/>
  <c r="CI47" i="11"/>
  <c r="CH47" i="11"/>
  <c r="CG47" i="11"/>
  <c r="CF47" i="11"/>
  <c r="CE47" i="11"/>
  <c r="CD47" i="11"/>
  <c r="CC47" i="11"/>
  <c r="CB47" i="11"/>
  <c r="CA47" i="11"/>
  <c r="BZ47" i="11"/>
  <c r="BY47" i="11"/>
  <c r="BX47" i="11"/>
  <c r="BW47" i="11"/>
  <c r="BU47" i="11"/>
  <c r="BT47" i="11"/>
  <c r="BS47" i="11"/>
  <c r="BR47" i="11"/>
  <c r="BQ47" i="11"/>
  <c r="BP47" i="11"/>
  <c r="BO47" i="11"/>
  <c r="BN47" i="11"/>
  <c r="BM47" i="11"/>
  <c r="BL47" i="11"/>
  <c r="BK47" i="11"/>
  <c r="BJ47" i="11"/>
  <c r="BI47" i="11"/>
  <c r="BH47" i="11"/>
  <c r="BG47" i="11"/>
  <c r="BE47" i="11"/>
  <c r="BD47" i="11"/>
  <c r="BC47" i="11"/>
  <c r="BB47" i="11"/>
  <c r="BA47" i="11"/>
  <c r="AZ47" i="11"/>
  <c r="AY47" i="11"/>
  <c r="AX47" i="11"/>
  <c r="AW47" i="11"/>
  <c r="AV47" i="11"/>
  <c r="AU47" i="11"/>
  <c r="AT47" i="11"/>
  <c r="AS47" i="11"/>
  <c r="AR47" i="11"/>
  <c r="AQ47" i="11"/>
  <c r="AO47" i="11"/>
  <c r="AN47" i="11"/>
  <c r="AM47" i="11"/>
  <c r="AL47" i="11"/>
  <c r="AK47" i="11"/>
  <c r="AJ47" i="11"/>
  <c r="AI47" i="11"/>
  <c r="AH47" i="11"/>
  <c r="AG47" i="11"/>
  <c r="AF47" i="11"/>
  <c r="AE47" i="11"/>
  <c r="AD47" i="11"/>
  <c r="AC47" i="11"/>
  <c r="AB47" i="11"/>
  <c r="AA47" i="11"/>
  <c r="DA46" i="11"/>
  <c r="CZ46" i="11"/>
  <c r="CY46" i="11"/>
  <c r="CX46" i="11"/>
  <c r="CW46" i="11"/>
  <c r="CV46" i="11"/>
  <c r="CU46" i="11"/>
  <c r="CT46" i="11"/>
  <c r="CS46" i="11"/>
  <c r="CR46" i="11"/>
  <c r="CQ46" i="11"/>
  <c r="CP46" i="11"/>
  <c r="CO46" i="11"/>
  <c r="CN46" i="11"/>
  <c r="CM46" i="11"/>
  <c r="CK46" i="11"/>
  <c r="CJ46" i="11"/>
  <c r="CI46" i="11"/>
  <c r="CH46" i="11"/>
  <c r="CG46" i="11"/>
  <c r="CF46" i="11"/>
  <c r="CE46" i="11"/>
  <c r="CD46" i="11"/>
  <c r="CC46" i="11"/>
  <c r="CB46" i="11"/>
  <c r="CA46" i="11"/>
  <c r="BZ46" i="11"/>
  <c r="BY46" i="11"/>
  <c r="BX46" i="11"/>
  <c r="BW46" i="11"/>
  <c r="BU46" i="11"/>
  <c r="BT46" i="11"/>
  <c r="BS46" i="11"/>
  <c r="BR46" i="11"/>
  <c r="BQ46" i="11"/>
  <c r="BP46" i="11"/>
  <c r="BO46" i="11"/>
  <c r="BN46" i="11"/>
  <c r="BM46" i="11"/>
  <c r="BL46" i="11"/>
  <c r="BK46" i="11"/>
  <c r="BJ46" i="11"/>
  <c r="BI46" i="11"/>
  <c r="BH46" i="11"/>
  <c r="BG46" i="11"/>
  <c r="BE46" i="11"/>
  <c r="BD46" i="11"/>
  <c r="BC46" i="11"/>
  <c r="BB46" i="11"/>
  <c r="BA46" i="11"/>
  <c r="AZ46" i="11"/>
  <c r="AY46" i="11"/>
  <c r="AX46" i="11"/>
  <c r="AW46" i="11"/>
  <c r="AV46" i="11"/>
  <c r="AU46" i="11"/>
  <c r="AT46" i="11"/>
  <c r="AS46" i="11"/>
  <c r="AR46" i="11"/>
  <c r="AQ46" i="11"/>
  <c r="AO46" i="11"/>
  <c r="AN46" i="11"/>
  <c r="AM46" i="11"/>
  <c r="AL46" i="11"/>
  <c r="AK46" i="11"/>
  <c r="AJ46" i="11"/>
  <c r="AI46" i="11"/>
  <c r="AH46" i="11"/>
  <c r="AG46" i="11"/>
  <c r="AF46" i="11"/>
  <c r="AE46" i="11"/>
  <c r="AD46" i="11"/>
  <c r="AC46" i="11"/>
  <c r="AB46" i="11"/>
  <c r="AA46" i="11"/>
  <c r="DA45" i="11"/>
  <c r="CZ45" i="11"/>
  <c r="CY45" i="11"/>
  <c r="CX45" i="11"/>
  <c r="CW45" i="11"/>
  <c r="CV45" i="11"/>
  <c r="CU45" i="11"/>
  <c r="CT45" i="11"/>
  <c r="CS45" i="11"/>
  <c r="CR45" i="11"/>
  <c r="CQ45" i="11"/>
  <c r="CP45" i="11"/>
  <c r="CO45" i="11"/>
  <c r="CN45" i="11"/>
  <c r="CM45" i="11"/>
  <c r="CK45" i="11"/>
  <c r="CJ45" i="11"/>
  <c r="CI45" i="11"/>
  <c r="CH45" i="11"/>
  <c r="CG45" i="11"/>
  <c r="CF45" i="11"/>
  <c r="CE45" i="11"/>
  <c r="CD45" i="11"/>
  <c r="CC45" i="11"/>
  <c r="CB45" i="11"/>
  <c r="CA45" i="11"/>
  <c r="BZ45" i="11"/>
  <c r="BY45" i="11"/>
  <c r="BX45" i="11"/>
  <c r="BW45" i="11"/>
  <c r="BU45" i="11"/>
  <c r="BT45" i="11"/>
  <c r="BS45" i="11"/>
  <c r="BR45" i="11"/>
  <c r="BQ45" i="11"/>
  <c r="BP45" i="11"/>
  <c r="BO45" i="11"/>
  <c r="BN45" i="11"/>
  <c r="BM45" i="11"/>
  <c r="BL45" i="11"/>
  <c r="BK45" i="11"/>
  <c r="BJ45" i="11"/>
  <c r="BI45" i="11"/>
  <c r="BH45" i="11"/>
  <c r="BG45" i="11"/>
  <c r="BE45" i="11"/>
  <c r="BD45" i="11"/>
  <c r="BC45" i="11"/>
  <c r="BB45" i="11"/>
  <c r="BA45" i="11"/>
  <c r="AZ45" i="11"/>
  <c r="AY45" i="11"/>
  <c r="AX45" i="11"/>
  <c r="AW45" i="11"/>
  <c r="AV45" i="11"/>
  <c r="AU45" i="11"/>
  <c r="AT45" i="11"/>
  <c r="AS45" i="11"/>
  <c r="AR45" i="11"/>
  <c r="AQ45" i="11"/>
  <c r="AO45" i="11"/>
  <c r="AN45" i="11"/>
  <c r="AM45" i="11"/>
  <c r="AL45" i="11"/>
  <c r="AK45" i="11"/>
  <c r="AJ45" i="11"/>
  <c r="AI45" i="11"/>
  <c r="AH45" i="11"/>
  <c r="AG45" i="11"/>
  <c r="AF45" i="11"/>
  <c r="AE45" i="11"/>
  <c r="AD45" i="11"/>
  <c r="AC45" i="11"/>
  <c r="AB45" i="11"/>
  <c r="AA45" i="11"/>
  <c r="DA44" i="11"/>
  <c r="CZ44" i="11"/>
  <c r="CY44" i="11"/>
  <c r="CX44" i="11"/>
  <c r="CW44" i="11"/>
  <c r="CV44" i="11"/>
  <c r="CU44" i="11"/>
  <c r="CT44" i="11"/>
  <c r="CS44" i="11"/>
  <c r="CR44" i="11"/>
  <c r="CQ44" i="11"/>
  <c r="CP44" i="11"/>
  <c r="CO44" i="11"/>
  <c r="CN44" i="11"/>
  <c r="CM44" i="11"/>
  <c r="CK44" i="11"/>
  <c r="CJ44" i="11"/>
  <c r="CI44" i="11"/>
  <c r="CH44" i="11"/>
  <c r="CG44" i="11"/>
  <c r="CF44" i="11"/>
  <c r="CE44" i="11"/>
  <c r="CD44" i="11"/>
  <c r="CC44" i="11"/>
  <c r="CB44" i="11"/>
  <c r="CA44" i="11"/>
  <c r="BZ44" i="11"/>
  <c r="BY44" i="11"/>
  <c r="BX44" i="11"/>
  <c r="BW44" i="11"/>
  <c r="BU44" i="11"/>
  <c r="BT44" i="11"/>
  <c r="BS44" i="11"/>
  <c r="BR44" i="11"/>
  <c r="BQ44" i="11"/>
  <c r="BP44" i="11"/>
  <c r="BO44" i="11"/>
  <c r="BN44" i="11"/>
  <c r="BM44" i="11"/>
  <c r="BL44" i="11"/>
  <c r="BK44" i="11"/>
  <c r="BJ44" i="11"/>
  <c r="BI44" i="11"/>
  <c r="BH44" i="11"/>
  <c r="BG44" i="11"/>
  <c r="BE44" i="11"/>
  <c r="BD44" i="11"/>
  <c r="BC44" i="11"/>
  <c r="BB44" i="11"/>
  <c r="BA44" i="11"/>
  <c r="AZ44" i="11"/>
  <c r="AY44" i="11"/>
  <c r="AX44" i="11"/>
  <c r="AW44" i="11"/>
  <c r="AV44" i="11"/>
  <c r="AU44" i="11"/>
  <c r="AT44" i="11"/>
  <c r="AS44" i="11"/>
  <c r="AR44" i="11"/>
  <c r="AQ44" i="11"/>
  <c r="AO44" i="11"/>
  <c r="AN44" i="11"/>
  <c r="AM44" i="11"/>
  <c r="AL44" i="11"/>
  <c r="AK44" i="11"/>
  <c r="AJ44" i="11"/>
  <c r="AI44" i="11"/>
  <c r="AH44" i="11"/>
  <c r="AG44" i="11"/>
  <c r="AF44" i="11"/>
  <c r="AE44" i="11"/>
  <c r="AD44" i="11"/>
  <c r="AC44" i="11"/>
  <c r="AB44" i="11"/>
  <c r="AA44" i="11"/>
  <c r="DA43" i="11"/>
  <c r="CZ43" i="11"/>
  <c r="CY43" i="11"/>
  <c r="CX43" i="11"/>
  <c r="CW43" i="11"/>
  <c r="CV43" i="11"/>
  <c r="CU43" i="11"/>
  <c r="CT43" i="11"/>
  <c r="CS43" i="11"/>
  <c r="CR43" i="11"/>
  <c r="CQ43" i="11"/>
  <c r="CP43" i="11"/>
  <c r="CO43" i="11"/>
  <c r="CN43" i="11"/>
  <c r="CM43" i="11"/>
  <c r="CK43" i="11"/>
  <c r="CJ43" i="11"/>
  <c r="CI43" i="11"/>
  <c r="CH43" i="11"/>
  <c r="CG43" i="11"/>
  <c r="CF43" i="11"/>
  <c r="CE43" i="11"/>
  <c r="CD43" i="11"/>
  <c r="CC43" i="11"/>
  <c r="CB43" i="11"/>
  <c r="CA43" i="11"/>
  <c r="BZ43" i="11"/>
  <c r="BY43" i="11"/>
  <c r="BX43" i="11"/>
  <c r="BW43" i="11"/>
  <c r="BU43" i="11"/>
  <c r="BT43" i="11"/>
  <c r="BS43" i="11"/>
  <c r="BR43" i="11"/>
  <c r="BQ43" i="11"/>
  <c r="BP43" i="11"/>
  <c r="BO43" i="11"/>
  <c r="BN43" i="11"/>
  <c r="BM43" i="11"/>
  <c r="BL43" i="11"/>
  <c r="BK43" i="11"/>
  <c r="BJ43" i="11"/>
  <c r="BI43" i="11"/>
  <c r="BH43" i="11"/>
  <c r="BG43" i="11"/>
  <c r="BE43" i="11"/>
  <c r="BD43" i="11"/>
  <c r="BC43" i="11"/>
  <c r="BB43" i="11"/>
  <c r="BA43" i="11"/>
  <c r="AZ43" i="11"/>
  <c r="AY43" i="11"/>
  <c r="AX43" i="11"/>
  <c r="AW43" i="11"/>
  <c r="AV43" i="11"/>
  <c r="AU43" i="11"/>
  <c r="AT43" i="11"/>
  <c r="AS43" i="11"/>
  <c r="AR43" i="11"/>
  <c r="AQ43" i="11"/>
  <c r="AO43" i="11"/>
  <c r="AN43" i="11"/>
  <c r="AM43" i="11"/>
  <c r="AL43" i="11"/>
  <c r="AK43" i="11"/>
  <c r="AJ43" i="11"/>
  <c r="AI43" i="11"/>
  <c r="AH43" i="11"/>
  <c r="AG43" i="11"/>
  <c r="AF43" i="11"/>
  <c r="AE43" i="11"/>
  <c r="AD43" i="11"/>
  <c r="AC43" i="11"/>
  <c r="AB43" i="11"/>
  <c r="AA43" i="11"/>
  <c r="DA42" i="11"/>
  <c r="CZ42" i="11"/>
  <c r="CY42" i="11"/>
  <c r="CX42" i="11"/>
  <c r="CW42" i="11"/>
  <c r="CV42" i="11"/>
  <c r="CU42" i="11"/>
  <c r="CT42" i="11"/>
  <c r="CS42" i="11"/>
  <c r="CR42" i="11"/>
  <c r="CQ42" i="11"/>
  <c r="CP42" i="11"/>
  <c r="CO42" i="11"/>
  <c r="CN42" i="11"/>
  <c r="CM42" i="11"/>
  <c r="CK42" i="11"/>
  <c r="CJ42" i="11"/>
  <c r="CI42" i="11"/>
  <c r="CH42" i="11"/>
  <c r="CG42" i="11"/>
  <c r="CF42" i="11"/>
  <c r="CE42" i="11"/>
  <c r="CD42" i="11"/>
  <c r="CC42" i="11"/>
  <c r="CB42" i="11"/>
  <c r="CA42" i="11"/>
  <c r="BZ42" i="11"/>
  <c r="BY42" i="11"/>
  <c r="BX42" i="11"/>
  <c r="BW42" i="11"/>
  <c r="BU42" i="11"/>
  <c r="BT42" i="11"/>
  <c r="BS42" i="11"/>
  <c r="BR42" i="11"/>
  <c r="BQ42" i="11"/>
  <c r="BP42" i="11"/>
  <c r="BO42" i="11"/>
  <c r="BN42" i="11"/>
  <c r="BM42" i="11"/>
  <c r="BL42" i="11"/>
  <c r="BK42" i="11"/>
  <c r="BJ42" i="11"/>
  <c r="BI42" i="11"/>
  <c r="BH42" i="11"/>
  <c r="BG42" i="11"/>
  <c r="BE42" i="11"/>
  <c r="BD42" i="11"/>
  <c r="BC42" i="11"/>
  <c r="BB42" i="11"/>
  <c r="BA42" i="11"/>
  <c r="AZ42" i="11"/>
  <c r="AY42" i="11"/>
  <c r="AX42" i="11"/>
  <c r="AW42" i="11"/>
  <c r="AV42" i="11"/>
  <c r="AU42" i="11"/>
  <c r="AT42" i="11"/>
  <c r="AS42" i="11"/>
  <c r="AR42" i="11"/>
  <c r="AQ42" i="11"/>
  <c r="AO42" i="11"/>
  <c r="AN42" i="11"/>
  <c r="AM42" i="11"/>
  <c r="AL42" i="11"/>
  <c r="AK42" i="11"/>
  <c r="AJ42" i="11"/>
  <c r="AI42" i="11"/>
  <c r="AH42" i="11"/>
  <c r="AG42" i="11"/>
  <c r="AF42" i="11"/>
  <c r="AE42" i="11"/>
  <c r="AD42" i="11"/>
  <c r="AC42" i="11"/>
  <c r="AB42" i="11"/>
  <c r="AA42" i="11"/>
  <c r="DA41" i="11"/>
  <c r="CZ41" i="11"/>
  <c r="CY41" i="11"/>
  <c r="CX41" i="11"/>
  <c r="CW41" i="11"/>
  <c r="CV41" i="11"/>
  <c r="CU41" i="11"/>
  <c r="CT41" i="11"/>
  <c r="CS41" i="11"/>
  <c r="CR41" i="11"/>
  <c r="CQ41" i="11"/>
  <c r="CP41" i="11"/>
  <c r="CO41" i="11"/>
  <c r="CN41" i="11"/>
  <c r="CM41" i="11"/>
  <c r="CK41" i="11"/>
  <c r="CJ41" i="11"/>
  <c r="CI41" i="11"/>
  <c r="CH41" i="11"/>
  <c r="CG41" i="11"/>
  <c r="CF41" i="11"/>
  <c r="CE41" i="11"/>
  <c r="CD41" i="11"/>
  <c r="CC41" i="11"/>
  <c r="CB41" i="11"/>
  <c r="CA41" i="11"/>
  <c r="BZ41" i="11"/>
  <c r="BY41" i="11"/>
  <c r="BX41" i="11"/>
  <c r="BW41" i="11"/>
  <c r="BU41" i="11"/>
  <c r="BT41" i="11"/>
  <c r="BS41" i="11"/>
  <c r="BR41" i="11"/>
  <c r="BQ41" i="11"/>
  <c r="BP41" i="11"/>
  <c r="BO41" i="11"/>
  <c r="BN41" i="11"/>
  <c r="BM41" i="11"/>
  <c r="BL41" i="11"/>
  <c r="BK41" i="11"/>
  <c r="BJ41" i="11"/>
  <c r="BI41" i="11"/>
  <c r="BH41" i="11"/>
  <c r="BG41" i="11"/>
  <c r="BE41" i="11"/>
  <c r="BD41" i="11"/>
  <c r="BC41" i="11"/>
  <c r="BB41" i="11"/>
  <c r="BA41" i="11"/>
  <c r="AZ41" i="11"/>
  <c r="AY41" i="11"/>
  <c r="AX41" i="11"/>
  <c r="AW41" i="11"/>
  <c r="AV41" i="11"/>
  <c r="AU41" i="11"/>
  <c r="AT41" i="11"/>
  <c r="AS41" i="11"/>
  <c r="AR41" i="11"/>
  <c r="AQ41" i="11"/>
  <c r="AO41" i="11"/>
  <c r="AN41" i="11"/>
  <c r="AM41" i="11"/>
  <c r="AL41" i="11"/>
  <c r="AK41" i="11"/>
  <c r="AJ41" i="11"/>
  <c r="AI41" i="11"/>
  <c r="AH41" i="11"/>
  <c r="AG41" i="11"/>
  <c r="AF41" i="11"/>
  <c r="AE41" i="11"/>
  <c r="AD41" i="11"/>
  <c r="AC41" i="11"/>
  <c r="AB41" i="11"/>
  <c r="AA41" i="11"/>
  <c r="DA40" i="11"/>
  <c r="CZ40" i="11"/>
  <c r="CY40" i="11"/>
  <c r="CX40" i="11"/>
  <c r="CW40" i="11"/>
  <c r="CV40" i="11"/>
  <c r="CU40" i="11"/>
  <c r="CT40" i="11"/>
  <c r="CS40" i="11"/>
  <c r="CR40" i="11"/>
  <c r="CQ40" i="11"/>
  <c r="CP40" i="11"/>
  <c r="CO40" i="11"/>
  <c r="CN40" i="11"/>
  <c r="CM40" i="11"/>
  <c r="CK40" i="11"/>
  <c r="CJ40" i="11"/>
  <c r="CI40" i="11"/>
  <c r="CH40" i="11"/>
  <c r="CG40" i="11"/>
  <c r="CF40" i="11"/>
  <c r="CE40" i="11"/>
  <c r="CD40" i="11"/>
  <c r="CC40" i="11"/>
  <c r="CB40" i="11"/>
  <c r="CA40" i="11"/>
  <c r="BZ40" i="11"/>
  <c r="BY40" i="11"/>
  <c r="BX40" i="11"/>
  <c r="BW40" i="11"/>
  <c r="BU40" i="11"/>
  <c r="BT40" i="11"/>
  <c r="BS40" i="11"/>
  <c r="BR40" i="11"/>
  <c r="BQ40" i="11"/>
  <c r="BP40" i="11"/>
  <c r="BO40" i="11"/>
  <c r="BN40" i="11"/>
  <c r="BM40" i="11"/>
  <c r="BL40" i="11"/>
  <c r="BK40" i="11"/>
  <c r="BJ40" i="11"/>
  <c r="BI40" i="11"/>
  <c r="BH40" i="11"/>
  <c r="BG40" i="11"/>
  <c r="BE40" i="11"/>
  <c r="BD40" i="11"/>
  <c r="BC40" i="11"/>
  <c r="BB40" i="11"/>
  <c r="BA40" i="11"/>
  <c r="AZ40" i="11"/>
  <c r="AY40" i="11"/>
  <c r="AX40" i="11"/>
  <c r="AW40" i="11"/>
  <c r="AV40" i="11"/>
  <c r="AU40" i="11"/>
  <c r="AT40" i="11"/>
  <c r="AS40" i="11"/>
  <c r="AR40" i="11"/>
  <c r="AQ40" i="11"/>
  <c r="AO40" i="11"/>
  <c r="AN40" i="11"/>
  <c r="AM40" i="11"/>
  <c r="AL40" i="11"/>
  <c r="AK40" i="11"/>
  <c r="AJ40" i="11"/>
  <c r="AI40" i="11"/>
  <c r="AH40" i="11"/>
  <c r="AG40" i="11"/>
  <c r="AF40" i="11"/>
  <c r="AE40" i="11"/>
  <c r="AD40" i="11"/>
  <c r="AC40" i="11"/>
  <c r="AB40" i="11"/>
  <c r="AA40" i="11"/>
  <c r="DA39" i="11"/>
  <c r="CZ39" i="11"/>
  <c r="CY39" i="11"/>
  <c r="CX39" i="11"/>
  <c r="CW39" i="11"/>
  <c r="CV39" i="11"/>
  <c r="CU39" i="11"/>
  <c r="CT39" i="11"/>
  <c r="CS39" i="11"/>
  <c r="CR39" i="11"/>
  <c r="CQ39" i="11"/>
  <c r="CP39" i="11"/>
  <c r="CO39" i="11"/>
  <c r="CN39" i="11"/>
  <c r="CM39" i="11"/>
  <c r="CK39" i="11"/>
  <c r="CJ39" i="11"/>
  <c r="CI39" i="11"/>
  <c r="CH39" i="11"/>
  <c r="CG39" i="11"/>
  <c r="CF39" i="11"/>
  <c r="CE39" i="11"/>
  <c r="CD39" i="11"/>
  <c r="CC39" i="11"/>
  <c r="CB39" i="11"/>
  <c r="CA39" i="11"/>
  <c r="BZ39" i="11"/>
  <c r="BY39" i="11"/>
  <c r="BX39" i="11"/>
  <c r="BW39" i="11"/>
  <c r="BU39" i="11"/>
  <c r="BT39" i="11"/>
  <c r="BS39" i="11"/>
  <c r="BR39" i="11"/>
  <c r="BQ39" i="11"/>
  <c r="BP39" i="11"/>
  <c r="BO39" i="11"/>
  <c r="BN39" i="11"/>
  <c r="BM39" i="11"/>
  <c r="BL39" i="11"/>
  <c r="BK39" i="11"/>
  <c r="BJ39" i="11"/>
  <c r="BI39" i="11"/>
  <c r="BH39" i="11"/>
  <c r="BG39" i="11"/>
  <c r="BE39" i="11"/>
  <c r="BD39" i="11"/>
  <c r="BC39" i="11"/>
  <c r="BB39" i="11"/>
  <c r="BA39" i="11"/>
  <c r="AZ39" i="11"/>
  <c r="AY39" i="11"/>
  <c r="AX39" i="11"/>
  <c r="AW39" i="11"/>
  <c r="AV39" i="11"/>
  <c r="AU39" i="11"/>
  <c r="AT39" i="11"/>
  <c r="AS39" i="11"/>
  <c r="AR39" i="11"/>
  <c r="AQ39" i="11"/>
  <c r="AO39" i="11"/>
  <c r="AN39" i="11"/>
  <c r="AM39" i="11"/>
  <c r="AL39" i="11"/>
  <c r="AK39" i="11"/>
  <c r="AJ39" i="11"/>
  <c r="AI39" i="11"/>
  <c r="AH39" i="11"/>
  <c r="AG39" i="11"/>
  <c r="AF39" i="11"/>
  <c r="AE39" i="11"/>
  <c r="AD39" i="11"/>
  <c r="AC39" i="11"/>
  <c r="AB39" i="11"/>
  <c r="AA39" i="11"/>
  <c r="DA38" i="11"/>
  <c r="CZ38" i="11"/>
  <c r="CY38" i="11"/>
  <c r="CX38" i="11"/>
  <c r="CW38" i="11"/>
  <c r="CV38" i="11"/>
  <c r="CU38" i="11"/>
  <c r="CT38" i="11"/>
  <c r="CS38" i="11"/>
  <c r="CR38" i="11"/>
  <c r="CQ38" i="11"/>
  <c r="CP38" i="11"/>
  <c r="CO38" i="11"/>
  <c r="CN38" i="11"/>
  <c r="CM38" i="11"/>
  <c r="CK38" i="11"/>
  <c r="CJ38" i="11"/>
  <c r="CI38" i="11"/>
  <c r="CH38" i="11"/>
  <c r="CG38" i="11"/>
  <c r="CF38" i="11"/>
  <c r="CE38" i="11"/>
  <c r="CD38" i="11"/>
  <c r="CC38" i="11"/>
  <c r="CB38" i="11"/>
  <c r="CA38" i="11"/>
  <c r="BZ38" i="11"/>
  <c r="BY38" i="11"/>
  <c r="BX38" i="11"/>
  <c r="BW38" i="11"/>
  <c r="BU38" i="11"/>
  <c r="BT38" i="11"/>
  <c r="BS38" i="11"/>
  <c r="BR38" i="11"/>
  <c r="BQ38" i="11"/>
  <c r="BP38" i="11"/>
  <c r="BO38" i="11"/>
  <c r="BN38" i="11"/>
  <c r="BM38" i="11"/>
  <c r="BL38" i="11"/>
  <c r="BK38" i="11"/>
  <c r="BJ38" i="11"/>
  <c r="BI38" i="11"/>
  <c r="BH38" i="11"/>
  <c r="BG38" i="11"/>
  <c r="BE38" i="11"/>
  <c r="BD38" i="11"/>
  <c r="BC38" i="11"/>
  <c r="BB38" i="11"/>
  <c r="BA38" i="11"/>
  <c r="AZ38" i="11"/>
  <c r="AY38" i="11"/>
  <c r="AX38" i="11"/>
  <c r="AW38" i="11"/>
  <c r="AV38" i="11"/>
  <c r="AU38" i="11"/>
  <c r="AT38" i="11"/>
  <c r="AS38" i="11"/>
  <c r="AR38" i="11"/>
  <c r="AQ38" i="11"/>
  <c r="AO38" i="11"/>
  <c r="AN38" i="11"/>
  <c r="AM38" i="11"/>
  <c r="AL38" i="11"/>
  <c r="AK38" i="11"/>
  <c r="AJ38" i="11"/>
  <c r="AI38" i="11"/>
  <c r="AH38" i="11"/>
  <c r="AG38" i="11"/>
  <c r="AF38" i="11"/>
  <c r="AE38" i="11"/>
  <c r="AD38" i="11"/>
  <c r="AC38" i="11"/>
  <c r="AB38" i="11"/>
  <c r="AA38" i="11"/>
  <c r="DA37" i="11"/>
  <c r="CZ37" i="11"/>
  <c r="CY37" i="11"/>
  <c r="CX37" i="11"/>
  <c r="CW37" i="11"/>
  <c r="CV37" i="11"/>
  <c r="CU37" i="11"/>
  <c r="CT37" i="11"/>
  <c r="CS37" i="11"/>
  <c r="CR37" i="11"/>
  <c r="CQ37" i="11"/>
  <c r="CP37" i="11"/>
  <c r="CO37" i="11"/>
  <c r="CN37" i="11"/>
  <c r="CM37" i="11"/>
  <c r="CK37" i="11"/>
  <c r="CJ37" i="11"/>
  <c r="CI37" i="11"/>
  <c r="CH37" i="11"/>
  <c r="CG37" i="11"/>
  <c r="CF37" i="11"/>
  <c r="CE37" i="11"/>
  <c r="CD37" i="11"/>
  <c r="CC37" i="11"/>
  <c r="CB37" i="11"/>
  <c r="CA37" i="11"/>
  <c r="BZ37" i="11"/>
  <c r="BY37" i="11"/>
  <c r="BX37" i="11"/>
  <c r="BW37" i="11"/>
  <c r="BU37" i="11"/>
  <c r="BT37" i="11"/>
  <c r="BS37" i="11"/>
  <c r="BR37" i="11"/>
  <c r="BQ37" i="11"/>
  <c r="BP37" i="11"/>
  <c r="BO37" i="11"/>
  <c r="BN37" i="11"/>
  <c r="BM37" i="11"/>
  <c r="BL37" i="11"/>
  <c r="BK37" i="11"/>
  <c r="BJ37" i="11"/>
  <c r="BI37" i="11"/>
  <c r="BH37" i="11"/>
  <c r="BG37" i="11"/>
  <c r="BE37" i="11"/>
  <c r="BD37" i="11"/>
  <c r="BC37" i="11"/>
  <c r="BB37" i="11"/>
  <c r="BA37" i="11"/>
  <c r="AZ37" i="11"/>
  <c r="AY37" i="11"/>
  <c r="AX37" i="11"/>
  <c r="AW37" i="11"/>
  <c r="AV37" i="11"/>
  <c r="AU37" i="11"/>
  <c r="AT37" i="11"/>
  <c r="AS37" i="11"/>
  <c r="AR37" i="11"/>
  <c r="AQ37" i="11"/>
  <c r="AO37" i="11"/>
  <c r="AN37" i="11"/>
  <c r="AM37" i="11"/>
  <c r="AL37" i="11"/>
  <c r="AK37" i="11"/>
  <c r="AJ37" i="11"/>
  <c r="AI37" i="11"/>
  <c r="AH37" i="11"/>
  <c r="AG37" i="11"/>
  <c r="AF37" i="11"/>
  <c r="AE37" i="11"/>
  <c r="AD37" i="11"/>
  <c r="AC37" i="11"/>
  <c r="AB37" i="11"/>
  <c r="AA37" i="11"/>
  <c r="DA36" i="11"/>
  <c r="CZ36" i="11"/>
  <c r="CY36" i="11"/>
  <c r="CX36" i="11"/>
  <c r="CW36" i="11"/>
  <c r="CV36" i="11"/>
  <c r="CU36" i="11"/>
  <c r="CT36" i="11"/>
  <c r="CS36" i="11"/>
  <c r="CR36" i="11"/>
  <c r="CQ36" i="11"/>
  <c r="CP36" i="11"/>
  <c r="CO36" i="11"/>
  <c r="CN36" i="11"/>
  <c r="CM36" i="11"/>
  <c r="CK36" i="11"/>
  <c r="CJ36" i="11"/>
  <c r="CI36" i="11"/>
  <c r="CH36" i="11"/>
  <c r="CG36" i="11"/>
  <c r="CF36" i="11"/>
  <c r="CE36" i="11"/>
  <c r="CD36" i="11"/>
  <c r="CC36" i="11"/>
  <c r="CB36" i="11"/>
  <c r="CA36" i="11"/>
  <c r="BZ36" i="11"/>
  <c r="BY36" i="11"/>
  <c r="BX36" i="11"/>
  <c r="BW36" i="11"/>
  <c r="BU36" i="11"/>
  <c r="BT36" i="11"/>
  <c r="BS36" i="11"/>
  <c r="BR36" i="11"/>
  <c r="BQ36" i="11"/>
  <c r="BP36" i="11"/>
  <c r="BO36" i="11"/>
  <c r="BN36" i="11"/>
  <c r="BM36" i="11"/>
  <c r="BL36" i="11"/>
  <c r="BK36" i="11"/>
  <c r="BJ36" i="11"/>
  <c r="BI36" i="11"/>
  <c r="BH36" i="11"/>
  <c r="BG36" i="11"/>
  <c r="BE36" i="11"/>
  <c r="BD36" i="11"/>
  <c r="BC36" i="11"/>
  <c r="BB36" i="11"/>
  <c r="BA36" i="11"/>
  <c r="AZ36" i="11"/>
  <c r="AY36" i="11"/>
  <c r="AX36" i="11"/>
  <c r="AW36" i="11"/>
  <c r="AV36" i="11"/>
  <c r="AU36" i="11"/>
  <c r="AT36" i="11"/>
  <c r="AS36" i="11"/>
  <c r="AR36" i="11"/>
  <c r="AQ36" i="11"/>
  <c r="AO36" i="11"/>
  <c r="AN36" i="11"/>
  <c r="AM36" i="11"/>
  <c r="AL36" i="11"/>
  <c r="AK36" i="11"/>
  <c r="AJ36" i="11"/>
  <c r="AI36" i="11"/>
  <c r="AH36" i="11"/>
  <c r="AG36" i="11"/>
  <c r="AF36" i="11"/>
  <c r="AE36" i="11"/>
  <c r="AD36" i="11"/>
  <c r="AC36" i="11"/>
  <c r="AB36" i="11"/>
  <c r="AA36" i="11"/>
  <c r="DA35" i="11"/>
  <c r="CZ35" i="11"/>
  <c r="CY35" i="11"/>
  <c r="CX35" i="11"/>
  <c r="CW35" i="11"/>
  <c r="CV35" i="11"/>
  <c r="CU35" i="11"/>
  <c r="CT35" i="11"/>
  <c r="CS35" i="11"/>
  <c r="CR35" i="11"/>
  <c r="CQ35" i="11"/>
  <c r="CP35" i="11"/>
  <c r="CO35" i="11"/>
  <c r="CN35" i="11"/>
  <c r="CM35" i="11"/>
  <c r="CK35" i="11"/>
  <c r="CJ35" i="11"/>
  <c r="CI35" i="11"/>
  <c r="CH35" i="11"/>
  <c r="CG35" i="11"/>
  <c r="CF35" i="11"/>
  <c r="CE35" i="11"/>
  <c r="CD35" i="11"/>
  <c r="CC35" i="11"/>
  <c r="CB35" i="11"/>
  <c r="CA35" i="11"/>
  <c r="BZ35" i="11"/>
  <c r="BY35" i="11"/>
  <c r="BX35" i="11"/>
  <c r="BW35" i="11"/>
  <c r="BU35" i="11"/>
  <c r="BT35" i="11"/>
  <c r="BS35" i="11"/>
  <c r="BR35" i="11"/>
  <c r="BQ35" i="11"/>
  <c r="BP35" i="11"/>
  <c r="BO35" i="11"/>
  <c r="BN35" i="11"/>
  <c r="BM35" i="11"/>
  <c r="BL35" i="11"/>
  <c r="BK35" i="11"/>
  <c r="BJ35" i="11"/>
  <c r="BI35" i="11"/>
  <c r="BH35" i="11"/>
  <c r="BG35" i="11"/>
  <c r="BE35" i="11"/>
  <c r="BD35" i="11"/>
  <c r="BC35" i="11"/>
  <c r="BB35" i="11"/>
  <c r="BA35" i="11"/>
  <c r="AZ35" i="11"/>
  <c r="AY35" i="11"/>
  <c r="AX35" i="11"/>
  <c r="AW35" i="11"/>
  <c r="AV35" i="11"/>
  <c r="AU35" i="11"/>
  <c r="AT35" i="11"/>
  <c r="AS35" i="11"/>
  <c r="AR35" i="11"/>
  <c r="AQ35" i="11"/>
  <c r="AO35" i="11"/>
  <c r="AN35" i="11"/>
  <c r="AM35" i="11"/>
  <c r="AL35" i="11"/>
  <c r="AK35" i="11"/>
  <c r="AJ35" i="11"/>
  <c r="AI35" i="11"/>
  <c r="AH35" i="11"/>
  <c r="AG35" i="11"/>
  <c r="AF35" i="11"/>
  <c r="AE35" i="11"/>
  <c r="AD35" i="11"/>
  <c r="AC35" i="11"/>
  <c r="AB35" i="11"/>
  <c r="AA35" i="11"/>
  <c r="DA34" i="11"/>
  <c r="CZ34" i="11"/>
  <c r="CY34" i="11"/>
  <c r="CX34" i="11"/>
  <c r="CW34" i="11"/>
  <c r="CV34" i="11"/>
  <c r="CU34" i="11"/>
  <c r="CT34" i="11"/>
  <c r="CS34" i="11"/>
  <c r="CR34" i="11"/>
  <c r="CQ34" i="11"/>
  <c r="CP34" i="11"/>
  <c r="CO34" i="11"/>
  <c r="CN34" i="11"/>
  <c r="CM34" i="11"/>
  <c r="CK34" i="11"/>
  <c r="CJ34" i="11"/>
  <c r="CI34" i="11"/>
  <c r="CH34" i="11"/>
  <c r="CG34" i="11"/>
  <c r="CF34" i="11"/>
  <c r="CE34" i="11"/>
  <c r="CD34" i="11"/>
  <c r="CC34" i="11"/>
  <c r="CB34" i="11"/>
  <c r="CA34" i="11"/>
  <c r="BZ34" i="11"/>
  <c r="BY34" i="11"/>
  <c r="BX34" i="11"/>
  <c r="BW34" i="11"/>
  <c r="BU34" i="11"/>
  <c r="BT34" i="11"/>
  <c r="BS34" i="11"/>
  <c r="BR34" i="11"/>
  <c r="BQ34" i="11"/>
  <c r="BP34" i="11"/>
  <c r="BO34" i="11"/>
  <c r="BN34" i="11"/>
  <c r="BM34" i="11"/>
  <c r="BL34" i="11"/>
  <c r="BK34" i="11"/>
  <c r="BJ34" i="11"/>
  <c r="BI34" i="11"/>
  <c r="BH34" i="11"/>
  <c r="BG34" i="11"/>
  <c r="BE34" i="11"/>
  <c r="BD34" i="11"/>
  <c r="BC34" i="11"/>
  <c r="BB34" i="11"/>
  <c r="BA34" i="11"/>
  <c r="AZ34" i="11"/>
  <c r="AY34" i="11"/>
  <c r="AX34" i="11"/>
  <c r="AW34" i="11"/>
  <c r="AV34" i="11"/>
  <c r="AU34" i="11"/>
  <c r="AT34" i="11"/>
  <c r="AS34" i="11"/>
  <c r="AR34" i="11"/>
  <c r="AQ34" i="11"/>
  <c r="AO34" i="11"/>
  <c r="AN34" i="11"/>
  <c r="AM34" i="11"/>
  <c r="AL34" i="11"/>
  <c r="AK34" i="11"/>
  <c r="AJ34" i="11"/>
  <c r="AI34" i="11"/>
  <c r="AH34" i="11"/>
  <c r="AG34" i="11"/>
  <c r="AF34" i="11"/>
  <c r="AE34" i="11"/>
  <c r="AD34" i="11"/>
  <c r="AC34" i="11"/>
  <c r="AB34" i="11"/>
  <c r="AA34" i="11"/>
  <c r="DA33" i="11"/>
  <c r="CZ33" i="11"/>
  <c r="CY33" i="11"/>
  <c r="CX33" i="11"/>
  <c r="CW33" i="11"/>
  <c r="CV33" i="11"/>
  <c r="CU33" i="11"/>
  <c r="CT33" i="11"/>
  <c r="CS33" i="11"/>
  <c r="CR33" i="11"/>
  <c r="CQ33" i="11"/>
  <c r="CP33" i="11"/>
  <c r="CO33" i="11"/>
  <c r="CN33" i="11"/>
  <c r="CM33" i="11"/>
  <c r="CK33" i="11"/>
  <c r="CJ33" i="11"/>
  <c r="CI33" i="11"/>
  <c r="CH33" i="11"/>
  <c r="CG33" i="11"/>
  <c r="CF33" i="11"/>
  <c r="CE33" i="11"/>
  <c r="CD33" i="11"/>
  <c r="CC33" i="11"/>
  <c r="CB33" i="11"/>
  <c r="CA33" i="11"/>
  <c r="BZ33" i="11"/>
  <c r="BY33" i="11"/>
  <c r="BX33" i="11"/>
  <c r="BW33" i="11"/>
  <c r="BU33" i="11"/>
  <c r="BT33" i="11"/>
  <c r="BS33" i="11"/>
  <c r="BR33" i="11"/>
  <c r="BQ33" i="11"/>
  <c r="BP33" i="11"/>
  <c r="BO33" i="11"/>
  <c r="BN33" i="11"/>
  <c r="BM33" i="11"/>
  <c r="BL33" i="11"/>
  <c r="BK33" i="11"/>
  <c r="BJ33" i="11"/>
  <c r="BI33" i="11"/>
  <c r="BH33" i="11"/>
  <c r="BG33" i="11"/>
  <c r="BE33" i="11"/>
  <c r="BD33" i="11"/>
  <c r="BC33" i="11"/>
  <c r="BB33" i="11"/>
  <c r="BA33" i="11"/>
  <c r="AZ33" i="11"/>
  <c r="AY33" i="11"/>
  <c r="AX33" i="11"/>
  <c r="AW33" i="11"/>
  <c r="AV33" i="11"/>
  <c r="AU33" i="11"/>
  <c r="AT33" i="11"/>
  <c r="AS33" i="11"/>
  <c r="AR33" i="11"/>
  <c r="AQ33" i="11"/>
  <c r="AO33" i="11"/>
  <c r="AN33" i="11"/>
  <c r="AM33" i="11"/>
  <c r="AL33" i="11"/>
  <c r="AK33" i="11"/>
  <c r="AJ33" i="11"/>
  <c r="AI33" i="11"/>
  <c r="AH33" i="11"/>
  <c r="AG33" i="11"/>
  <c r="AF33" i="11"/>
  <c r="AE33" i="11"/>
  <c r="AD33" i="11"/>
  <c r="AC33" i="11"/>
  <c r="AB33" i="11"/>
  <c r="AA33" i="11"/>
  <c r="DA32" i="11"/>
  <c r="CZ32" i="11"/>
  <c r="CY32" i="11"/>
  <c r="CX32" i="11"/>
  <c r="CW32" i="11"/>
  <c r="CV32" i="11"/>
  <c r="CU32" i="11"/>
  <c r="CT32" i="11"/>
  <c r="CS32" i="11"/>
  <c r="CR32" i="11"/>
  <c r="CQ32" i="11"/>
  <c r="CP32" i="11"/>
  <c r="CO32" i="11"/>
  <c r="CN32" i="11"/>
  <c r="CM32" i="11"/>
  <c r="CK32" i="11"/>
  <c r="CJ32" i="11"/>
  <c r="CI32" i="11"/>
  <c r="CH32" i="11"/>
  <c r="CG32" i="11"/>
  <c r="CF32" i="11"/>
  <c r="CE32" i="11"/>
  <c r="CD32" i="11"/>
  <c r="CC32" i="11"/>
  <c r="CB32" i="11"/>
  <c r="CA32" i="11"/>
  <c r="BZ32" i="11"/>
  <c r="BY32" i="11"/>
  <c r="BX32" i="11"/>
  <c r="BW32" i="11"/>
  <c r="BU32" i="11"/>
  <c r="BT32" i="11"/>
  <c r="BS32" i="11"/>
  <c r="BR32" i="11"/>
  <c r="BQ32" i="11"/>
  <c r="BP32" i="11"/>
  <c r="BO32" i="11"/>
  <c r="BN32" i="11"/>
  <c r="BM32" i="11"/>
  <c r="BL32" i="11"/>
  <c r="BK32" i="11"/>
  <c r="BJ32" i="11"/>
  <c r="BI32" i="11"/>
  <c r="BH32" i="11"/>
  <c r="BG32" i="11"/>
  <c r="BE32" i="11"/>
  <c r="BD32" i="11"/>
  <c r="BC32" i="11"/>
  <c r="BB32" i="11"/>
  <c r="BA32" i="11"/>
  <c r="AZ32" i="11"/>
  <c r="AY32" i="11"/>
  <c r="AX32" i="11"/>
  <c r="AW32" i="11"/>
  <c r="AV32" i="11"/>
  <c r="AU32" i="11"/>
  <c r="AT32" i="11"/>
  <c r="AS32" i="11"/>
  <c r="AR32" i="11"/>
  <c r="AQ32" i="11"/>
  <c r="AO32" i="11"/>
  <c r="AN32" i="11"/>
  <c r="AM32" i="11"/>
  <c r="AL32" i="11"/>
  <c r="AK32" i="11"/>
  <c r="AJ32" i="11"/>
  <c r="AI32" i="11"/>
  <c r="AH32" i="11"/>
  <c r="AG32" i="11"/>
  <c r="AF32" i="11"/>
  <c r="AE32" i="11"/>
  <c r="AD32" i="11"/>
  <c r="AC32" i="11"/>
  <c r="AB32" i="11"/>
  <c r="AA32" i="11"/>
  <c r="DA31" i="11"/>
  <c r="CZ31" i="11"/>
  <c r="CY31" i="11"/>
  <c r="CX31" i="11"/>
  <c r="CW31" i="11"/>
  <c r="CV31" i="11"/>
  <c r="CU31" i="11"/>
  <c r="CT31" i="11"/>
  <c r="CS31" i="11"/>
  <c r="CR31" i="11"/>
  <c r="CQ31" i="11"/>
  <c r="CP31" i="11"/>
  <c r="CO31" i="11"/>
  <c r="CN31" i="11"/>
  <c r="CM31" i="11"/>
  <c r="CK31" i="11"/>
  <c r="CJ31" i="11"/>
  <c r="CI31" i="11"/>
  <c r="CH31" i="11"/>
  <c r="CG31" i="11"/>
  <c r="CF31" i="11"/>
  <c r="CE31" i="11"/>
  <c r="CD31" i="11"/>
  <c r="CC31" i="11"/>
  <c r="CB31" i="11"/>
  <c r="CA31" i="11"/>
  <c r="BZ31" i="11"/>
  <c r="BY31" i="11"/>
  <c r="BX31" i="11"/>
  <c r="BW31" i="11"/>
  <c r="BU31" i="11"/>
  <c r="BT31" i="11"/>
  <c r="BS31" i="11"/>
  <c r="BR31" i="11"/>
  <c r="BQ31" i="11"/>
  <c r="BP31" i="11"/>
  <c r="BO31" i="11"/>
  <c r="BN31" i="11"/>
  <c r="BM31" i="11"/>
  <c r="BL31" i="11"/>
  <c r="BK31" i="11"/>
  <c r="BJ31" i="11"/>
  <c r="BI31" i="11"/>
  <c r="BH31" i="11"/>
  <c r="BG31" i="11"/>
  <c r="BE31" i="11"/>
  <c r="BD31" i="11"/>
  <c r="BC31" i="11"/>
  <c r="BB31" i="11"/>
  <c r="BA31" i="11"/>
  <c r="AZ31" i="11"/>
  <c r="AY31" i="11"/>
  <c r="AX31" i="11"/>
  <c r="AW31" i="11"/>
  <c r="AV31" i="11"/>
  <c r="AU31" i="11"/>
  <c r="AT31" i="11"/>
  <c r="AS31" i="11"/>
  <c r="AR31" i="11"/>
  <c r="AQ31" i="11"/>
  <c r="AO31" i="11"/>
  <c r="AN31" i="11"/>
  <c r="AM31" i="11"/>
  <c r="AL31" i="11"/>
  <c r="AK31" i="11"/>
  <c r="AJ31" i="11"/>
  <c r="AI31" i="11"/>
  <c r="AH31" i="11"/>
  <c r="AG31" i="11"/>
  <c r="AF31" i="11"/>
  <c r="AE31" i="11"/>
  <c r="AD31" i="11"/>
  <c r="AC31" i="11"/>
  <c r="AB31" i="11"/>
  <c r="AA31" i="11"/>
  <c r="DA30" i="11"/>
  <c r="CZ30" i="11"/>
  <c r="CY30" i="11"/>
  <c r="CX30" i="11"/>
  <c r="CW30" i="11"/>
  <c r="CV30" i="11"/>
  <c r="CU30" i="11"/>
  <c r="CT30" i="11"/>
  <c r="CS30" i="11"/>
  <c r="CR30" i="11"/>
  <c r="CQ30" i="11"/>
  <c r="CP30" i="11"/>
  <c r="CO30" i="11"/>
  <c r="CN30" i="11"/>
  <c r="CM30" i="11"/>
  <c r="CK30" i="11"/>
  <c r="CJ30" i="11"/>
  <c r="CI30" i="11"/>
  <c r="CH30" i="11"/>
  <c r="CG30" i="11"/>
  <c r="CF30" i="11"/>
  <c r="CE30" i="11"/>
  <c r="CD30" i="11"/>
  <c r="CC30" i="11"/>
  <c r="CB30" i="11"/>
  <c r="CA30" i="11"/>
  <c r="BZ30" i="11"/>
  <c r="BY30" i="11"/>
  <c r="BX30" i="11"/>
  <c r="BW30" i="11"/>
  <c r="BU30" i="11"/>
  <c r="BT30" i="11"/>
  <c r="BS30" i="11"/>
  <c r="BR30" i="11"/>
  <c r="BQ30" i="11"/>
  <c r="BP30" i="11"/>
  <c r="BO30" i="11"/>
  <c r="BN30" i="11"/>
  <c r="BM30" i="11"/>
  <c r="BL30" i="11"/>
  <c r="BK30" i="11"/>
  <c r="BJ30" i="11"/>
  <c r="BI30" i="11"/>
  <c r="BH30" i="11"/>
  <c r="BG30" i="11"/>
  <c r="BE30" i="11"/>
  <c r="BD30" i="11"/>
  <c r="BC30" i="11"/>
  <c r="BB30" i="11"/>
  <c r="BA30" i="11"/>
  <c r="AZ30" i="11"/>
  <c r="AY30" i="11"/>
  <c r="AX30" i="11"/>
  <c r="AW30" i="11"/>
  <c r="AV30" i="11"/>
  <c r="AU30" i="11"/>
  <c r="AT30" i="11"/>
  <c r="AS30" i="11"/>
  <c r="AR30" i="11"/>
  <c r="AQ30" i="11"/>
  <c r="AO30" i="11"/>
  <c r="AN30" i="11"/>
  <c r="AM30" i="11"/>
  <c r="AL30" i="11"/>
  <c r="AK30" i="11"/>
  <c r="AJ30" i="11"/>
  <c r="AI30" i="11"/>
  <c r="AH30" i="11"/>
  <c r="AG30" i="11"/>
  <c r="AF30" i="11"/>
  <c r="AE30" i="11"/>
  <c r="AD30" i="11"/>
  <c r="AC30" i="11"/>
  <c r="AB30" i="11"/>
  <c r="AA30" i="11"/>
  <c r="DA29" i="11"/>
  <c r="CZ29" i="11"/>
  <c r="CY29" i="11"/>
  <c r="CX29" i="11"/>
  <c r="CW29" i="11"/>
  <c r="CV29" i="11"/>
  <c r="CU29" i="11"/>
  <c r="CT29" i="11"/>
  <c r="CS29" i="11"/>
  <c r="CR29" i="11"/>
  <c r="CQ29" i="11"/>
  <c r="CP29" i="11"/>
  <c r="CO29" i="11"/>
  <c r="CN29" i="11"/>
  <c r="CM29" i="11"/>
  <c r="CK29" i="11"/>
  <c r="CJ29" i="11"/>
  <c r="CI29" i="11"/>
  <c r="CH29" i="11"/>
  <c r="CG29" i="11"/>
  <c r="CF29" i="11"/>
  <c r="CE29" i="11"/>
  <c r="CD29" i="11"/>
  <c r="CC29" i="11"/>
  <c r="CB29" i="11"/>
  <c r="CA29" i="11"/>
  <c r="BZ29" i="11"/>
  <c r="BY29" i="11"/>
  <c r="BX29" i="11"/>
  <c r="BW29" i="11"/>
  <c r="BU29" i="11"/>
  <c r="BT29" i="11"/>
  <c r="BS29" i="11"/>
  <c r="BR29" i="11"/>
  <c r="BQ29" i="11"/>
  <c r="BP29" i="11"/>
  <c r="BO29" i="11"/>
  <c r="BN29" i="11"/>
  <c r="BM29" i="11"/>
  <c r="BL29" i="11"/>
  <c r="BK29" i="11"/>
  <c r="BJ29" i="11"/>
  <c r="BI29" i="11"/>
  <c r="BH29" i="11"/>
  <c r="BG29" i="11"/>
  <c r="BE29" i="11"/>
  <c r="BD29" i="11"/>
  <c r="BC29" i="11"/>
  <c r="BB29" i="11"/>
  <c r="BA29" i="11"/>
  <c r="AZ29" i="11"/>
  <c r="AY29" i="11"/>
  <c r="AX29" i="11"/>
  <c r="AW29" i="11"/>
  <c r="AV29" i="11"/>
  <c r="AU29" i="11"/>
  <c r="AT29" i="11"/>
  <c r="AS29" i="11"/>
  <c r="AR29" i="11"/>
  <c r="AQ29" i="11"/>
  <c r="AO29" i="11"/>
  <c r="AN29" i="11"/>
  <c r="AM29" i="11"/>
  <c r="AL29" i="11"/>
  <c r="AK29" i="11"/>
  <c r="AJ29" i="11"/>
  <c r="AI29" i="11"/>
  <c r="AH29" i="11"/>
  <c r="AG29" i="11"/>
  <c r="AF29" i="11"/>
  <c r="AE29" i="11"/>
  <c r="AD29" i="11"/>
  <c r="AC29" i="11"/>
  <c r="AB29" i="11"/>
  <c r="AA29" i="11"/>
  <c r="DA28" i="11"/>
  <c r="CZ28" i="11"/>
  <c r="CY28" i="11"/>
  <c r="CX28" i="11"/>
  <c r="CW28" i="11"/>
  <c r="CV28" i="11"/>
  <c r="CU28" i="11"/>
  <c r="CT28" i="11"/>
  <c r="CS28" i="11"/>
  <c r="CR28" i="11"/>
  <c r="CQ28" i="11"/>
  <c r="CP28" i="11"/>
  <c r="CO28" i="11"/>
  <c r="CN28" i="11"/>
  <c r="CM28" i="11"/>
  <c r="CK28" i="11"/>
  <c r="CJ28" i="11"/>
  <c r="CI28" i="11"/>
  <c r="CH28" i="11"/>
  <c r="CG28" i="11"/>
  <c r="CF28" i="11"/>
  <c r="CE28" i="11"/>
  <c r="CD28" i="11"/>
  <c r="CC28" i="11"/>
  <c r="CB28" i="11"/>
  <c r="CA28" i="11"/>
  <c r="BZ28" i="11"/>
  <c r="BY28" i="11"/>
  <c r="BX28" i="11"/>
  <c r="BW28" i="11"/>
  <c r="BU28" i="11"/>
  <c r="BT28" i="11"/>
  <c r="BS28" i="11"/>
  <c r="BR28" i="11"/>
  <c r="BQ28" i="11"/>
  <c r="BP28" i="11"/>
  <c r="BO28" i="11"/>
  <c r="BN28" i="11"/>
  <c r="BM28" i="11"/>
  <c r="BL28" i="11"/>
  <c r="BK28" i="11"/>
  <c r="BJ28" i="11"/>
  <c r="BI28" i="11"/>
  <c r="BH28" i="11"/>
  <c r="BG28" i="11"/>
  <c r="BE28" i="11"/>
  <c r="BD28" i="11"/>
  <c r="BC28" i="11"/>
  <c r="BB28" i="11"/>
  <c r="BA28" i="11"/>
  <c r="AZ28" i="11"/>
  <c r="AY28" i="11"/>
  <c r="AX28" i="11"/>
  <c r="AW28" i="11"/>
  <c r="AV28" i="11"/>
  <c r="AU28" i="11"/>
  <c r="AT28" i="11"/>
  <c r="AS28" i="11"/>
  <c r="AR28" i="11"/>
  <c r="AQ28" i="11"/>
  <c r="AO28" i="11"/>
  <c r="AN28" i="11"/>
  <c r="AM28" i="11"/>
  <c r="AL28" i="11"/>
  <c r="AK28" i="11"/>
  <c r="AJ28" i="11"/>
  <c r="AI28" i="11"/>
  <c r="AH28" i="11"/>
  <c r="AG28" i="11"/>
  <c r="AF28" i="11"/>
  <c r="AE28" i="11"/>
  <c r="AD28" i="11"/>
  <c r="AC28" i="11"/>
  <c r="AB28" i="11"/>
  <c r="AA28" i="11"/>
  <c r="DA27" i="11"/>
  <c r="CZ27" i="11"/>
  <c r="CY27" i="11"/>
  <c r="CX27" i="11"/>
  <c r="CW27" i="11"/>
  <c r="CV27" i="11"/>
  <c r="CU27" i="11"/>
  <c r="CT27" i="11"/>
  <c r="CS27" i="11"/>
  <c r="CR27" i="11"/>
  <c r="CQ27" i="11"/>
  <c r="CP27" i="11"/>
  <c r="CO27" i="11"/>
  <c r="CN27" i="11"/>
  <c r="CM27" i="11"/>
  <c r="CK27" i="11"/>
  <c r="CJ27" i="11"/>
  <c r="CI27" i="11"/>
  <c r="CH27" i="11"/>
  <c r="CG27" i="11"/>
  <c r="CF27" i="11"/>
  <c r="CE27" i="11"/>
  <c r="CD27" i="11"/>
  <c r="CC27" i="11"/>
  <c r="CB27" i="11"/>
  <c r="CA27" i="11"/>
  <c r="BZ27" i="11"/>
  <c r="BY27" i="11"/>
  <c r="BX27" i="11"/>
  <c r="BW27" i="11"/>
  <c r="BU27" i="11"/>
  <c r="BT27" i="11"/>
  <c r="BS27" i="11"/>
  <c r="BR27" i="11"/>
  <c r="BQ27" i="11"/>
  <c r="BP27" i="11"/>
  <c r="BO27" i="11"/>
  <c r="BN27" i="11"/>
  <c r="BM27" i="11"/>
  <c r="BL27" i="11"/>
  <c r="BK27" i="11"/>
  <c r="BJ27" i="11"/>
  <c r="BI27" i="11"/>
  <c r="BH27" i="11"/>
  <c r="BG27" i="11"/>
  <c r="BE27" i="11"/>
  <c r="BD27" i="11"/>
  <c r="BC27" i="11"/>
  <c r="BB27" i="11"/>
  <c r="BA27" i="11"/>
  <c r="AZ27" i="11"/>
  <c r="AY27" i="11"/>
  <c r="AX27" i="11"/>
  <c r="AW27" i="11"/>
  <c r="AV27" i="11"/>
  <c r="AU27" i="11"/>
  <c r="AT27" i="11"/>
  <c r="AS27" i="11"/>
  <c r="AR27" i="11"/>
  <c r="AQ27" i="11"/>
  <c r="AO27" i="11"/>
  <c r="AN27" i="11"/>
  <c r="AM27" i="11"/>
  <c r="AL27" i="11"/>
  <c r="AK27" i="11"/>
  <c r="AJ27" i="11"/>
  <c r="AI27" i="11"/>
  <c r="AH27" i="11"/>
  <c r="AG27" i="11"/>
  <c r="AF27" i="11"/>
  <c r="AE27" i="11"/>
  <c r="AD27" i="11"/>
  <c r="AC27" i="11"/>
  <c r="AB27" i="11"/>
  <c r="AA27" i="11"/>
  <c r="DA26" i="11"/>
  <c r="CZ26" i="11"/>
  <c r="CY26" i="11"/>
  <c r="CX26" i="11"/>
  <c r="CW26" i="11"/>
  <c r="CV26" i="11"/>
  <c r="CU26" i="11"/>
  <c r="CT26" i="11"/>
  <c r="CS26" i="11"/>
  <c r="CR26" i="11"/>
  <c r="CQ26" i="11"/>
  <c r="CP26" i="11"/>
  <c r="CO26" i="11"/>
  <c r="CN26" i="11"/>
  <c r="CM26" i="11"/>
  <c r="CK26" i="11"/>
  <c r="CJ26" i="11"/>
  <c r="CI26" i="11"/>
  <c r="CH26" i="11"/>
  <c r="CG26" i="11"/>
  <c r="CF26" i="11"/>
  <c r="CE26" i="11"/>
  <c r="CD26" i="11"/>
  <c r="CC26" i="11"/>
  <c r="CB26" i="11"/>
  <c r="CA26" i="11"/>
  <c r="BZ26" i="11"/>
  <c r="BY26" i="11"/>
  <c r="BX26" i="11"/>
  <c r="BW26" i="11"/>
  <c r="BU26" i="11"/>
  <c r="BT26" i="11"/>
  <c r="BS26" i="11"/>
  <c r="BR26" i="11"/>
  <c r="BQ26" i="11"/>
  <c r="BP26" i="11"/>
  <c r="BO26" i="11"/>
  <c r="BN26" i="11"/>
  <c r="BM26" i="11"/>
  <c r="BL26" i="11"/>
  <c r="BK26" i="11"/>
  <c r="BJ26" i="11"/>
  <c r="BI26" i="11"/>
  <c r="BH26" i="11"/>
  <c r="BG26" i="11"/>
  <c r="BE26" i="11"/>
  <c r="BD26" i="11"/>
  <c r="BC26" i="11"/>
  <c r="BB26" i="11"/>
  <c r="BA26" i="11"/>
  <c r="AZ26" i="11"/>
  <c r="AY26" i="11"/>
  <c r="AX26" i="11"/>
  <c r="AW26" i="11"/>
  <c r="AV26" i="11"/>
  <c r="AU26" i="11"/>
  <c r="AT26" i="11"/>
  <c r="AS26" i="11"/>
  <c r="AR26" i="11"/>
  <c r="AQ26" i="11"/>
  <c r="AO26" i="11"/>
  <c r="AN26" i="11"/>
  <c r="AM26" i="11"/>
  <c r="AL26" i="11"/>
  <c r="AK26" i="11"/>
  <c r="AJ26" i="11"/>
  <c r="AI26" i="11"/>
  <c r="AH26" i="11"/>
  <c r="AG26" i="11"/>
  <c r="AF26" i="11"/>
  <c r="AE26" i="11"/>
  <c r="AD26" i="11"/>
  <c r="AC26" i="11"/>
  <c r="AB26" i="11"/>
  <c r="AA26" i="11"/>
  <c r="DA25" i="11"/>
  <c r="CZ25" i="11"/>
  <c r="CY25" i="11"/>
  <c r="CX25" i="11"/>
  <c r="CW25" i="11"/>
  <c r="CV25" i="11"/>
  <c r="CU25" i="11"/>
  <c r="CT25" i="11"/>
  <c r="CS25" i="11"/>
  <c r="CR25" i="11"/>
  <c r="CQ25" i="11"/>
  <c r="CP25" i="11"/>
  <c r="CO25" i="11"/>
  <c r="CN25" i="11"/>
  <c r="CM25" i="11"/>
  <c r="CK25" i="11"/>
  <c r="CJ25" i="11"/>
  <c r="CI25" i="11"/>
  <c r="CH25" i="11"/>
  <c r="CG25" i="11"/>
  <c r="CF25" i="11"/>
  <c r="CE25" i="11"/>
  <c r="CD25" i="11"/>
  <c r="CC25" i="11"/>
  <c r="CB25" i="11"/>
  <c r="CA25" i="11"/>
  <c r="BZ25" i="11"/>
  <c r="BY25" i="11"/>
  <c r="BX25" i="11"/>
  <c r="BW25" i="11"/>
  <c r="BU25" i="11"/>
  <c r="BT25" i="11"/>
  <c r="BS25" i="11"/>
  <c r="BR25" i="11"/>
  <c r="BQ25" i="11"/>
  <c r="BP25" i="11"/>
  <c r="BO25" i="11"/>
  <c r="BN25" i="11"/>
  <c r="BM25" i="11"/>
  <c r="BL25" i="11"/>
  <c r="BK25" i="11"/>
  <c r="BJ25" i="11"/>
  <c r="BI25" i="11"/>
  <c r="BH25" i="11"/>
  <c r="BG25" i="11"/>
  <c r="BE25" i="11"/>
  <c r="BD25" i="11"/>
  <c r="BC25" i="11"/>
  <c r="BB25" i="11"/>
  <c r="BA25" i="11"/>
  <c r="AZ25" i="11"/>
  <c r="AY25" i="11"/>
  <c r="AX25" i="11"/>
  <c r="AW25" i="11"/>
  <c r="AV25" i="11"/>
  <c r="AU25" i="11"/>
  <c r="AT25" i="11"/>
  <c r="AS25" i="11"/>
  <c r="AR25" i="11"/>
  <c r="AQ25" i="11"/>
  <c r="AO25" i="11"/>
  <c r="AN25" i="11"/>
  <c r="AM25" i="11"/>
  <c r="AL25" i="11"/>
  <c r="AK25" i="11"/>
  <c r="AJ25" i="11"/>
  <c r="AI25" i="11"/>
  <c r="AH25" i="11"/>
  <c r="AG25" i="11"/>
  <c r="AF25" i="11"/>
  <c r="AE25" i="11"/>
  <c r="AD25" i="11"/>
  <c r="AC25" i="11"/>
  <c r="AB25" i="11"/>
  <c r="AA25" i="11"/>
  <c r="DA24" i="11"/>
  <c r="CZ24" i="11"/>
  <c r="CY24" i="11"/>
  <c r="CX24" i="11"/>
  <c r="CW24" i="11"/>
  <c r="CV24" i="11"/>
  <c r="CU24" i="11"/>
  <c r="CT24" i="11"/>
  <c r="CS24" i="11"/>
  <c r="CR24" i="11"/>
  <c r="CQ24" i="11"/>
  <c r="CP24" i="11"/>
  <c r="CO24" i="11"/>
  <c r="CN24" i="11"/>
  <c r="CM24" i="11"/>
  <c r="CK24" i="11"/>
  <c r="CJ24" i="11"/>
  <c r="CI24" i="11"/>
  <c r="CH24" i="11"/>
  <c r="CG24" i="11"/>
  <c r="CF24" i="11"/>
  <c r="CE24" i="11"/>
  <c r="CD24" i="11"/>
  <c r="CC24" i="11"/>
  <c r="CB24" i="11"/>
  <c r="CA24" i="11"/>
  <c r="BZ24" i="11"/>
  <c r="BY24" i="11"/>
  <c r="BX24" i="11"/>
  <c r="BW24" i="11"/>
  <c r="BU24" i="11"/>
  <c r="BT24" i="11"/>
  <c r="BS24" i="11"/>
  <c r="BR24" i="11"/>
  <c r="BQ24" i="11"/>
  <c r="BP24" i="11"/>
  <c r="BO24" i="11"/>
  <c r="BN24" i="11"/>
  <c r="BM24" i="11"/>
  <c r="BL24" i="11"/>
  <c r="BK24" i="11"/>
  <c r="BJ24" i="11"/>
  <c r="BI24" i="11"/>
  <c r="BH24" i="11"/>
  <c r="BG24" i="11"/>
  <c r="BE24" i="11"/>
  <c r="BD24" i="11"/>
  <c r="BC24" i="11"/>
  <c r="BB24" i="11"/>
  <c r="BA24" i="11"/>
  <c r="AZ24" i="11"/>
  <c r="AY24" i="11"/>
  <c r="AX24" i="11"/>
  <c r="AW24" i="11"/>
  <c r="AV24" i="11"/>
  <c r="AU24" i="11"/>
  <c r="AT24" i="11"/>
  <c r="AS24" i="11"/>
  <c r="AR24" i="11"/>
  <c r="AQ24" i="11"/>
  <c r="AO24" i="11"/>
  <c r="AN24" i="11"/>
  <c r="AM24" i="11"/>
  <c r="AL24" i="11"/>
  <c r="AK24" i="11"/>
  <c r="AJ24" i="11"/>
  <c r="AI24" i="11"/>
  <c r="AH24" i="11"/>
  <c r="AG24" i="11"/>
  <c r="AF24" i="11"/>
  <c r="AE24" i="11"/>
  <c r="AD24" i="11"/>
  <c r="AC24" i="11"/>
  <c r="AB24" i="11"/>
  <c r="AA24" i="11"/>
  <c r="DA23" i="11"/>
  <c r="CZ23" i="11"/>
  <c r="CY23" i="11"/>
  <c r="CX23" i="11"/>
  <c r="CW23" i="11"/>
  <c r="CV23" i="11"/>
  <c r="CU23" i="11"/>
  <c r="CT23" i="11"/>
  <c r="CS23" i="11"/>
  <c r="CR23" i="11"/>
  <c r="CQ23" i="11"/>
  <c r="CP23" i="11"/>
  <c r="CO23" i="11"/>
  <c r="CN23" i="11"/>
  <c r="CM23" i="11"/>
  <c r="CK23" i="11"/>
  <c r="CJ23" i="11"/>
  <c r="CI23" i="11"/>
  <c r="CH23" i="11"/>
  <c r="CG23" i="11"/>
  <c r="CF23" i="11"/>
  <c r="CE23" i="11"/>
  <c r="CD23" i="11"/>
  <c r="CC23" i="11"/>
  <c r="CB23" i="11"/>
  <c r="CA23" i="11"/>
  <c r="BZ23" i="11"/>
  <c r="BY23" i="11"/>
  <c r="BX23" i="11"/>
  <c r="BW23" i="11"/>
  <c r="BU23" i="11"/>
  <c r="BT23" i="11"/>
  <c r="BS23" i="11"/>
  <c r="BR23" i="11"/>
  <c r="BQ23" i="11"/>
  <c r="BP23" i="11"/>
  <c r="BO23" i="11"/>
  <c r="BN23" i="11"/>
  <c r="BM23" i="11"/>
  <c r="BL23" i="11"/>
  <c r="BK23" i="11"/>
  <c r="BJ23" i="11"/>
  <c r="BI23" i="11"/>
  <c r="BH23" i="11"/>
  <c r="BG23" i="11"/>
  <c r="BE23" i="11"/>
  <c r="BD23" i="11"/>
  <c r="BC23" i="11"/>
  <c r="BB23" i="11"/>
  <c r="BA23" i="11"/>
  <c r="AZ23" i="11"/>
  <c r="AY23" i="11"/>
  <c r="AX23" i="11"/>
  <c r="AW23" i="11"/>
  <c r="AV23" i="11"/>
  <c r="AU23" i="11"/>
  <c r="AT23" i="11"/>
  <c r="AS23" i="11"/>
  <c r="AR23" i="11"/>
  <c r="AQ23" i="11"/>
  <c r="AO23" i="11"/>
  <c r="AN23" i="11"/>
  <c r="AM23" i="11"/>
  <c r="AL23" i="11"/>
  <c r="AK23" i="11"/>
  <c r="AJ23" i="11"/>
  <c r="AI23" i="11"/>
  <c r="AH23" i="11"/>
  <c r="AG23" i="11"/>
  <c r="AF23" i="11"/>
  <c r="AE23" i="11"/>
  <c r="AD23" i="11"/>
  <c r="AC23" i="11"/>
  <c r="AB23" i="11"/>
  <c r="AA23" i="11"/>
  <c r="DA22" i="11"/>
  <c r="CZ22" i="11"/>
  <c r="CY22" i="11"/>
  <c r="CX22" i="11"/>
  <c r="CW22" i="11"/>
  <c r="CV22" i="11"/>
  <c r="CU22" i="11"/>
  <c r="CT22" i="11"/>
  <c r="CS22" i="11"/>
  <c r="CR22" i="11"/>
  <c r="CQ22" i="11"/>
  <c r="CP22" i="11"/>
  <c r="CO22" i="11"/>
  <c r="CN22" i="11"/>
  <c r="CM22" i="11"/>
  <c r="CK22" i="11"/>
  <c r="CJ22" i="11"/>
  <c r="CI22" i="11"/>
  <c r="CH22" i="11"/>
  <c r="CG22" i="11"/>
  <c r="CF22" i="11"/>
  <c r="CE22" i="11"/>
  <c r="CD22" i="11"/>
  <c r="CC22" i="11"/>
  <c r="CB22" i="11"/>
  <c r="CA22" i="11"/>
  <c r="BZ22" i="11"/>
  <c r="BY22" i="11"/>
  <c r="BX22" i="11"/>
  <c r="BW22" i="11"/>
  <c r="BU22" i="11"/>
  <c r="BT22" i="11"/>
  <c r="BS22" i="11"/>
  <c r="BR22" i="11"/>
  <c r="BQ22" i="11"/>
  <c r="BP22" i="11"/>
  <c r="BO22" i="11"/>
  <c r="BN22" i="11"/>
  <c r="BM22" i="11"/>
  <c r="BL22" i="11"/>
  <c r="BK22" i="11"/>
  <c r="BJ22" i="11"/>
  <c r="BI22" i="11"/>
  <c r="BH22" i="11"/>
  <c r="BG22" i="11"/>
  <c r="BE22" i="11"/>
  <c r="BD22" i="11"/>
  <c r="BC22" i="11"/>
  <c r="BB22" i="11"/>
  <c r="BA22" i="11"/>
  <c r="AZ22" i="11"/>
  <c r="AY22" i="11"/>
  <c r="AX22" i="11"/>
  <c r="AW22" i="11"/>
  <c r="AV22" i="11"/>
  <c r="AU22" i="11"/>
  <c r="AT22" i="11"/>
  <c r="AS22" i="11"/>
  <c r="AR22" i="11"/>
  <c r="AQ22" i="11"/>
  <c r="AO22" i="11"/>
  <c r="AN22" i="11"/>
  <c r="AM22" i="11"/>
  <c r="AL22" i="11"/>
  <c r="AK22" i="11"/>
  <c r="AJ22" i="11"/>
  <c r="AI22" i="11"/>
  <c r="AH22" i="11"/>
  <c r="AG22" i="11"/>
  <c r="AF22" i="11"/>
  <c r="AE22" i="11"/>
  <c r="AD22" i="11"/>
  <c r="AC22" i="11"/>
  <c r="AB22" i="11"/>
  <c r="AA22" i="11"/>
  <c r="DA21" i="11"/>
  <c r="CZ21" i="11"/>
  <c r="CY21" i="11"/>
  <c r="CX21" i="11"/>
  <c r="CW21" i="11"/>
  <c r="CV21" i="11"/>
  <c r="CU21" i="11"/>
  <c r="CT21" i="11"/>
  <c r="CS21" i="11"/>
  <c r="CR21" i="11"/>
  <c r="CQ21" i="11"/>
  <c r="CP21" i="11"/>
  <c r="CO21" i="11"/>
  <c r="CN21" i="11"/>
  <c r="CM21" i="11"/>
  <c r="CK21" i="11"/>
  <c r="CJ21" i="11"/>
  <c r="CI21" i="11"/>
  <c r="CH21" i="11"/>
  <c r="CG21" i="11"/>
  <c r="CF21" i="11"/>
  <c r="CE21" i="11"/>
  <c r="CD21" i="11"/>
  <c r="CC21" i="11"/>
  <c r="CB21" i="11"/>
  <c r="CA21" i="11"/>
  <c r="BZ21" i="11"/>
  <c r="BY21" i="11"/>
  <c r="BX21" i="11"/>
  <c r="BW21" i="11"/>
  <c r="BU21" i="11"/>
  <c r="BT21" i="11"/>
  <c r="BS21" i="11"/>
  <c r="BR21" i="11"/>
  <c r="BQ21" i="11"/>
  <c r="BP21" i="11"/>
  <c r="BO21" i="11"/>
  <c r="BN21" i="11"/>
  <c r="BM21" i="11"/>
  <c r="BL21" i="11"/>
  <c r="BK21" i="11"/>
  <c r="BJ21" i="11"/>
  <c r="BI21" i="11"/>
  <c r="BH21" i="11"/>
  <c r="BG21" i="11"/>
  <c r="BE21" i="11"/>
  <c r="BD21" i="11"/>
  <c r="BC21" i="11"/>
  <c r="BB21" i="11"/>
  <c r="BA21" i="11"/>
  <c r="AZ21" i="11"/>
  <c r="AY21" i="11"/>
  <c r="AX21" i="11"/>
  <c r="AW21" i="11"/>
  <c r="AV21" i="11"/>
  <c r="AU21" i="11"/>
  <c r="AT21" i="11"/>
  <c r="AS21" i="11"/>
  <c r="AR21" i="11"/>
  <c r="AQ21" i="11"/>
  <c r="AO21" i="11"/>
  <c r="AN21" i="11"/>
  <c r="AM21" i="11"/>
  <c r="AL21" i="11"/>
  <c r="AK21" i="11"/>
  <c r="AJ21" i="11"/>
  <c r="AI21" i="11"/>
  <c r="AH21" i="11"/>
  <c r="AG21" i="11"/>
  <c r="AF21" i="11"/>
  <c r="AE21" i="11"/>
  <c r="AD21" i="11"/>
  <c r="AC21" i="11"/>
  <c r="AB21" i="11"/>
  <c r="AA21" i="11"/>
  <c r="DA20" i="11"/>
  <c r="CZ20" i="11"/>
  <c r="CY20" i="11"/>
  <c r="CX20" i="11"/>
  <c r="CW20" i="11"/>
  <c r="CV20" i="11"/>
  <c r="CU20" i="11"/>
  <c r="CT20" i="11"/>
  <c r="CS20" i="11"/>
  <c r="CR20" i="11"/>
  <c r="CQ20" i="11"/>
  <c r="CP20" i="11"/>
  <c r="CO20" i="11"/>
  <c r="CN20" i="11"/>
  <c r="CM20" i="11"/>
  <c r="CK20" i="11"/>
  <c r="CJ20" i="11"/>
  <c r="CI20" i="11"/>
  <c r="CH20" i="11"/>
  <c r="CG20" i="11"/>
  <c r="CF20" i="11"/>
  <c r="CE20" i="11"/>
  <c r="CD20" i="11"/>
  <c r="CC20" i="11"/>
  <c r="CB20" i="11"/>
  <c r="CA20" i="11"/>
  <c r="BZ20" i="11"/>
  <c r="BY20" i="11"/>
  <c r="BX20" i="11"/>
  <c r="BW20" i="11"/>
  <c r="BU20" i="11"/>
  <c r="BT20" i="11"/>
  <c r="BS20" i="11"/>
  <c r="BR20" i="11"/>
  <c r="BQ20" i="11"/>
  <c r="BP20" i="11"/>
  <c r="BO20" i="11"/>
  <c r="BN20" i="11"/>
  <c r="BM20" i="11"/>
  <c r="BL20" i="11"/>
  <c r="BK20" i="11"/>
  <c r="BJ20" i="11"/>
  <c r="BI20" i="11"/>
  <c r="BH20" i="11"/>
  <c r="BG20" i="11"/>
  <c r="BE20" i="11"/>
  <c r="BD20" i="11"/>
  <c r="BC20" i="11"/>
  <c r="BB20" i="11"/>
  <c r="BA20" i="11"/>
  <c r="AZ20" i="11"/>
  <c r="AY20" i="11"/>
  <c r="AX20" i="11"/>
  <c r="AW20" i="11"/>
  <c r="AV20" i="11"/>
  <c r="AU20" i="11"/>
  <c r="AT20" i="11"/>
  <c r="AS20" i="11"/>
  <c r="AR20" i="11"/>
  <c r="AQ20" i="11"/>
  <c r="AO20" i="11"/>
  <c r="AN20" i="11"/>
  <c r="AM20" i="11"/>
  <c r="AL20" i="11"/>
  <c r="AK20" i="11"/>
  <c r="AJ20" i="11"/>
  <c r="AI20" i="11"/>
  <c r="AH20" i="11"/>
  <c r="AG20" i="11"/>
  <c r="AF20" i="11"/>
  <c r="AE20" i="11"/>
  <c r="AD20" i="11"/>
  <c r="AC20" i="11"/>
  <c r="AB20" i="11"/>
  <c r="AA20" i="11"/>
  <c r="DA19" i="11"/>
  <c r="CZ19" i="11"/>
  <c r="CY19" i="11"/>
  <c r="CX19" i="11"/>
  <c r="CW19" i="11"/>
  <c r="CV19" i="11"/>
  <c r="CU19" i="11"/>
  <c r="CT19" i="11"/>
  <c r="CS19" i="11"/>
  <c r="CR19" i="11"/>
  <c r="CQ19" i="11"/>
  <c r="CP19" i="11"/>
  <c r="CO19" i="11"/>
  <c r="CN19" i="11"/>
  <c r="CM19" i="11"/>
  <c r="CK19" i="11"/>
  <c r="CJ19" i="11"/>
  <c r="CI19" i="11"/>
  <c r="CH19" i="11"/>
  <c r="CG19" i="11"/>
  <c r="CF19" i="11"/>
  <c r="CE19" i="11"/>
  <c r="CD19" i="11"/>
  <c r="CC19" i="11"/>
  <c r="CB19" i="11"/>
  <c r="CA19" i="11"/>
  <c r="BZ19" i="11"/>
  <c r="BY19" i="11"/>
  <c r="BX19" i="11"/>
  <c r="BW19" i="11"/>
  <c r="BU19" i="11"/>
  <c r="BT19" i="11"/>
  <c r="BS19" i="11"/>
  <c r="BR19" i="11"/>
  <c r="BQ19" i="11"/>
  <c r="BP19" i="11"/>
  <c r="BO19" i="11"/>
  <c r="BN19" i="11"/>
  <c r="BM19" i="11"/>
  <c r="BL19" i="11"/>
  <c r="BK19" i="11"/>
  <c r="BJ19" i="11"/>
  <c r="BI19" i="11"/>
  <c r="BH19" i="11"/>
  <c r="BG19" i="11"/>
  <c r="BE19" i="11"/>
  <c r="BD19" i="11"/>
  <c r="BC19" i="11"/>
  <c r="BB19" i="11"/>
  <c r="BA19" i="11"/>
  <c r="AZ19" i="11"/>
  <c r="AY19" i="11"/>
  <c r="AX19" i="11"/>
  <c r="AW19" i="11"/>
  <c r="AV19" i="11"/>
  <c r="AU19" i="11"/>
  <c r="AT19" i="11"/>
  <c r="AS19" i="11"/>
  <c r="AR19" i="11"/>
  <c r="AQ19" i="11"/>
  <c r="AO19" i="11"/>
  <c r="AN19" i="11"/>
  <c r="AM19" i="11"/>
  <c r="AL19" i="11"/>
  <c r="AK19" i="11"/>
  <c r="AJ19" i="11"/>
  <c r="AI19" i="11"/>
  <c r="AH19" i="11"/>
  <c r="AG19" i="11"/>
  <c r="AF19" i="11"/>
  <c r="AE19" i="11"/>
  <c r="AD19" i="11"/>
  <c r="AC19" i="11"/>
  <c r="AB19" i="11"/>
  <c r="AA19" i="11"/>
  <c r="DA18" i="11"/>
  <c r="CZ18" i="11"/>
  <c r="CY18" i="11"/>
  <c r="CX18" i="11"/>
  <c r="CW18" i="11"/>
  <c r="CV18" i="11"/>
  <c r="CU18" i="11"/>
  <c r="CT18" i="11"/>
  <c r="CS18" i="11"/>
  <c r="CR18" i="11"/>
  <c r="CQ18" i="11"/>
  <c r="CP18" i="11"/>
  <c r="CO18" i="11"/>
  <c r="CN18" i="11"/>
  <c r="CM18" i="11"/>
  <c r="CK18" i="11"/>
  <c r="CJ18" i="11"/>
  <c r="CI18" i="11"/>
  <c r="CH18" i="11"/>
  <c r="CG18" i="11"/>
  <c r="CF18" i="11"/>
  <c r="CE18" i="11"/>
  <c r="CD18" i="11"/>
  <c r="CC18" i="11"/>
  <c r="CB18" i="11"/>
  <c r="CA18" i="11"/>
  <c r="BZ18" i="11"/>
  <c r="BY18" i="11"/>
  <c r="BX18" i="11"/>
  <c r="BW18" i="11"/>
  <c r="BU18" i="11"/>
  <c r="BT18" i="11"/>
  <c r="BS18" i="11"/>
  <c r="BR18" i="11"/>
  <c r="BQ18" i="11"/>
  <c r="BP18" i="11"/>
  <c r="BO18" i="11"/>
  <c r="BN18" i="11"/>
  <c r="BM18" i="11"/>
  <c r="BL18" i="11"/>
  <c r="BK18" i="11"/>
  <c r="BJ18" i="11"/>
  <c r="BI18" i="11"/>
  <c r="BH18" i="11"/>
  <c r="BG18" i="11"/>
  <c r="BE18" i="11"/>
  <c r="BD18" i="11"/>
  <c r="BC18" i="11"/>
  <c r="BB18" i="11"/>
  <c r="BA18" i="11"/>
  <c r="AZ18" i="11"/>
  <c r="AY18" i="11"/>
  <c r="AX18" i="11"/>
  <c r="AW18" i="11"/>
  <c r="AV18" i="11"/>
  <c r="AU18" i="11"/>
  <c r="AT18" i="11"/>
  <c r="AS18" i="11"/>
  <c r="AR18" i="11"/>
  <c r="AQ18" i="11"/>
  <c r="AO18" i="11"/>
  <c r="AN18" i="11"/>
  <c r="AM18" i="11"/>
  <c r="AL18" i="11"/>
  <c r="AK18" i="11"/>
  <c r="AJ18" i="11"/>
  <c r="AI18" i="11"/>
  <c r="AH18" i="11"/>
  <c r="AG18" i="11"/>
  <c r="AF18" i="11"/>
  <c r="AE18" i="11"/>
  <c r="AD18" i="11"/>
  <c r="AC18" i="11"/>
  <c r="AB18" i="11"/>
  <c r="AA18" i="11"/>
  <c r="DA17" i="11"/>
  <c r="CZ17" i="11"/>
  <c r="CY17" i="11"/>
  <c r="CX17" i="11"/>
  <c r="CW17" i="11"/>
  <c r="CV17" i="11"/>
  <c r="CU17" i="11"/>
  <c r="CT17" i="11"/>
  <c r="CS17" i="11"/>
  <c r="CR17" i="11"/>
  <c r="CQ17" i="11"/>
  <c r="CP17" i="11"/>
  <c r="CO17" i="11"/>
  <c r="CN17" i="11"/>
  <c r="CM17" i="11"/>
  <c r="CK17" i="11"/>
  <c r="CJ17" i="11"/>
  <c r="CI17" i="11"/>
  <c r="CH17" i="11"/>
  <c r="CG17" i="11"/>
  <c r="CF17" i="11"/>
  <c r="CE17" i="11"/>
  <c r="CD17" i="11"/>
  <c r="CC17" i="11"/>
  <c r="CB17" i="11"/>
  <c r="CA17" i="11"/>
  <c r="BZ17" i="11"/>
  <c r="BY17" i="11"/>
  <c r="BX17" i="11"/>
  <c r="BW17" i="11"/>
  <c r="BU17" i="11"/>
  <c r="BT17" i="11"/>
  <c r="BS17" i="11"/>
  <c r="BR17" i="11"/>
  <c r="BQ17" i="11"/>
  <c r="BP17" i="11"/>
  <c r="BO17" i="11"/>
  <c r="BN17" i="11"/>
  <c r="BM17" i="11"/>
  <c r="BL17" i="11"/>
  <c r="BK17" i="11"/>
  <c r="BJ17" i="11"/>
  <c r="BI17" i="11"/>
  <c r="BH17" i="11"/>
  <c r="BG17" i="11"/>
  <c r="BE17" i="11"/>
  <c r="BD17" i="11"/>
  <c r="BC17" i="11"/>
  <c r="BB17" i="11"/>
  <c r="BA17" i="11"/>
  <c r="AZ17" i="11"/>
  <c r="AY17" i="11"/>
  <c r="AX17" i="11"/>
  <c r="AW17" i="11"/>
  <c r="AV17" i="11"/>
  <c r="AU17" i="11"/>
  <c r="AT17" i="11"/>
  <c r="AS17" i="11"/>
  <c r="AR17" i="11"/>
  <c r="AQ17" i="11"/>
  <c r="AO17" i="11"/>
  <c r="AN17" i="11"/>
  <c r="AM17" i="11"/>
  <c r="AL17" i="11"/>
  <c r="AK17" i="11"/>
  <c r="AJ17" i="11"/>
  <c r="AI17" i="11"/>
  <c r="AH17" i="11"/>
  <c r="AG17" i="11"/>
  <c r="AF17" i="11"/>
  <c r="AE17" i="11"/>
  <c r="AD17" i="11"/>
  <c r="AC17" i="11"/>
  <c r="AB17" i="11"/>
  <c r="AA17" i="11"/>
  <c r="DA16" i="11"/>
  <c r="CZ16" i="11"/>
  <c r="CY16" i="11"/>
  <c r="CX16" i="11"/>
  <c r="CW16" i="11"/>
  <c r="CV16" i="11"/>
  <c r="CU16" i="11"/>
  <c r="CT16" i="11"/>
  <c r="CS16" i="11"/>
  <c r="CR16" i="11"/>
  <c r="CQ16" i="11"/>
  <c r="CP16" i="11"/>
  <c r="CO16" i="11"/>
  <c r="CN16" i="11"/>
  <c r="CM16" i="11"/>
  <c r="CK16" i="11"/>
  <c r="CJ16" i="11"/>
  <c r="CI16" i="11"/>
  <c r="CH16" i="11"/>
  <c r="CG16" i="11"/>
  <c r="CF16" i="11"/>
  <c r="CE16" i="11"/>
  <c r="CD16" i="11"/>
  <c r="CC16" i="11"/>
  <c r="CB16" i="11"/>
  <c r="CA16" i="11"/>
  <c r="BZ16" i="11"/>
  <c r="BY16" i="11"/>
  <c r="BX16" i="11"/>
  <c r="BW16" i="11"/>
  <c r="BU16" i="11"/>
  <c r="BT16" i="11"/>
  <c r="BS16" i="11"/>
  <c r="BR16" i="11"/>
  <c r="BQ16" i="11"/>
  <c r="BP16" i="11"/>
  <c r="BO16" i="11"/>
  <c r="BN16" i="11"/>
  <c r="BM16" i="11"/>
  <c r="BL16" i="11"/>
  <c r="BK16" i="11"/>
  <c r="BJ16" i="11"/>
  <c r="BI16" i="11"/>
  <c r="BH16" i="11"/>
  <c r="BG16" i="11"/>
  <c r="BE16" i="11"/>
  <c r="BD16" i="11"/>
  <c r="BC16" i="11"/>
  <c r="BB16" i="11"/>
  <c r="BA16" i="11"/>
  <c r="AZ16" i="11"/>
  <c r="AY16" i="11"/>
  <c r="AX16" i="11"/>
  <c r="AW16" i="11"/>
  <c r="AV16" i="11"/>
  <c r="AU16" i="11"/>
  <c r="AT16" i="11"/>
  <c r="AS16" i="11"/>
  <c r="AR16" i="11"/>
  <c r="AQ16" i="11"/>
  <c r="AO16" i="11"/>
  <c r="AN16" i="11"/>
  <c r="AM16" i="11"/>
  <c r="AL16" i="11"/>
  <c r="AK16" i="11"/>
  <c r="AJ16" i="11"/>
  <c r="AI16" i="11"/>
  <c r="AH16" i="11"/>
  <c r="AG16" i="11"/>
  <c r="AF16" i="11"/>
  <c r="AE16" i="11"/>
  <c r="AD16" i="11"/>
  <c r="AC16" i="11"/>
  <c r="AB16" i="11"/>
  <c r="AA16" i="11"/>
  <c r="DA15" i="11"/>
  <c r="CZ15" i="11"/>
  <c r="CY15" i="11"/>
  <c r="CX15" i="11"/>
  <c r="CW15" i="11"/>
  <c r="CV15" i="11"/>
  <c r="CU15" i="11"/>
  <c r="CT15" i="11"/>
  <c r="CS15" i="11"/>
  <c r="CR15" i="11"/>
  <c r="CQ15" i="11"/>
  <c r="CP15" i="11"/>
  <c r="CO15" i="11"/>
  <c r="CN15" i="11"/>
  <c r="CM15" i="11"/>
  <c r="CK15" i="11"/>
  <c r="CJ15" i="11"/>
  <c r="CI15" i="11"/>
  <c r="CH15" i="11"/>
  <c r="CG15" i="11"/>
  <c r="CF15" i="11"/>
  <c r="CE15" i="11"/>
  <c r="CD15" i="11"/>
  <c r="CC15" i="11"/>
  <c r="CB15" i="11"/>
  <c r="CA15" i="11"/>
  <c r="BZ15" i="11"/>
  <c r="BY15" i="11"/>
  <c r="BX15" i="11"/>
  <c r="BW15" i="11"/>
  <c r="BU15" i="11"/>
  <c r="BT15" i="11"/>
  <c r="BS15" i="11"/>
  <c r="BR15" i="11"/>
  <c r="BQ15" i="11"/>
  <c r="BP15" i="11"/>
  <c r="BO15" i="11"/>
  <c r="BN15" i="11"/>
  <c r="BM15" i="11"/>
  <c r="BL15" i="11"/>
  <c r="BK15" i="11"/>
  <c r="BJ15" i="11"/>
  <c r="BI15" i="11"/>
  <c r="BH15" i="11"/>
  <c r="BG15" i="11"/>
  <c r="BE15" i="11"/>
  <c r="BD15" i="11"/>
  <c r="BC15" i="11"/>
  <c r="BB15" i="11"/>
  <c r="BA15" i="11"/>
  <c r="AZ15" i="11"/>
  <c r="AY15" i="11"/>
  <c r="AX15" i="11"/>
  <c r="AW15" i="11"/>
  <c r="AV15" i="11"/>
  <c r="AU15" i="11"/>
  <c r="AT15" i="11"/>
  <c r="AS15" i="11"/>
  <c r="AR15" i="11"/>
  <c r="AQ15" i="11"/>
  <c r="AO15" i="11"/>
  <c r="AN15" i="11"/>
  <c r="AM15" i="11"/>
  <c r="AL15" i="11"/>
  <c r="AK15" i="11"/>
  <c r="AJ15" i="11"/>
  <c r="AI15" i="11"/>
  <c r="AH15" i="11"/>
  <c r="AG15" i="11"/>
  <c r="AF15" i="11"/>
  <c r="AE15" i="11"/>
  <c r="AD15" i="11"/>
  <c r="AC15" i="11"/>
  <c r="AB15" i="11"/>
  <c r="AA15" i="11"/>
  <c r="DA14" i="11"/>
  <c r="CZ14" i="11"/>
  <c r="CY14" i="11"/>
  <c r="CX14" i="11"/>
  <c r="CW14" i="11"/>
  <c r="CV14" i="11"/>
  <c r="CU14" i="11"/>
  <c r="CT14" i="11"/>
  <c r="CS14" i="11"/>
  <c r="CR14" i="11"/>
  <c r="CQ14" i="11"/>
  <c r="CP14" i="11"/>
  <c r="CO14" i="11"/>
  <c r="CN14" i="11"/>
  <c r="CM14" i="11"/>
  <c r="CK14" i="11"/>
  <c r="CJ14" i="11"/>
  <c r="CI14" i="11"/>
  <c r="CH14" i="11"/>
  <c r="CG14" i="11"/>
  <c r="CF14" i="11"/>
  <c r="CE14" i="11"/>
  <c r="CD14" i="11"/>
  <c r="CC14" i="11"/>
  <c r="CB14" i="11"/>
  <c r="CA14" i="11"/>
  <c r="BZ14" i="11"/>
  <c r="BY14" i="11"/>
  <c r="BX14" i="11"/>
  <c r="BW14" i="11"/>
  <c r="BU14" i="11"/>
  <c r="BT14" i="11"/>
  <c r="BS14" i="11"/>
  <c r="BR14" i="11"/>
  <c r="BQ14" i="11"/>
  <c r="BP14" i="11"/>
  <c r="BO14" i="11"/>
  <c r="BN14" i="11"/>
  <c r="BM14" i="11"/>
  <c r="BL14" i="11"/>
  <c r="BK14" i="11"/>
  <c r="BJ14" i="11"/>
  <c r="BI14" i="11"/>
  <c r="BH14" i="11"/>
  <c r="BG14" i="11"/>
  <c r="BE14" i="11"/>
  <c r="BD14" i="11"/>
  <c r="BC14" i="11"/>
  <c r="BB14" i="11"/>
  <c r="BA14" i="11"/>
  <c r="AZ14" i="11"/>
  <c r="AY14" i="11"/>
  <c r="AX14" i="11"/>
  <c r="AW14" i="11"/>
  <c r="AV14" i="11"/>
  <c r="AU14" i="11"/>
  <c r="AT14" i="11"/>
  <c r="AS14" i="11"/>
  <c r="AR14" i="11"/>
  <c r="AQ14" i="11"/>
  <c r="AO14" i="11"/>
  <c r="AN14" i="11"/>
  <c r="AM14" i="11"/>
  <c r="AL14" i="11"/>
  <c r="AK14" i="11"/>
  <c r="AJ14" i="11"/>
  <c r="AI14" i="11"/>
  <c r="AH14" i="11"/>
  <c r="AG14" i="11"/>
  <c r="AF14" i="11"/>
  <c r="AE14" i="11"/>
  <c r="AD14" i="11"/>
  <c r="AC14" i="11"/>
  <c r="AB14" i="11"/>
  <c r="AA14" i="11"/>
  <c r="DA13" i="11"/>
  <c r="CZ13" i="11"/>
  <c r="CY13" i="11"/>
  <c r="CX13" i="11"/>
  <c r="CW13" i="11"/>
  <c r="CV13" i="11"/>
  <c r="CU13" i="11"/>
  <c r="CT13" i="11"/>
  <c r="CS13" i="11"/>
  <c r="CR13" i="11"/>
  <c r="CQ13" i="11"/>
  <c r="CP13" i="11"/>
  <c r="CO13" i="11"/>
  <c r="CN13" i="11"/>
  <c r="CM13" i="11"/>
  <c r="CK13" i="11"/>
  <c r="CJ13" i="11"/>
  <c r="CI13" i="11"/>
  <c r="CH13" i="11"/>
  <c r="CG13" i="11"/>
  <c r="CF13" i="11"/>
  <c r="CE13" i="11"/>
  <c r="CD13" i="11"/>
  <c r="CC13" i="11"/>
  <c r="CB13" i="11"/>
  <c r="CA13" i="11"/>
  <c r="BZ13" i="11"/>
  <c r="BY13" i="11"/>
  <c r="BX13" i="11"/>
  <c r="BW13" i="11"/>
  <c r="BU13" i="11"/>
  <c r="BT13" i="11"/>
  <c r="BS13" i="11"/>
  <c r="BR13" i="11"/>
  <c r="BQ13" i="11"/>
  <c r="BP13" i="11"/>
  <c r="BO13" i="11"/>
  <c r="BN13" i="11"/>
  <c r="BM13" i="11"/>
  <c r="BL13" i="11"/>
  <c r="BK13" i="11"/>
  <c r="BJ13" i="11"/>
  <c r="BI13" i="11"/>
  <c r="BH13" i="11"/>
  <c r="BG13" i="11"/>
  <c r="BE13" i="11"/>
  <c r="BD13" i="11"/>
  <c r="BC13" i="11"/>
  <c r="BB13" i="11"/>
  <c r="BA13" i="11"/>
  <c r="AZ13" i="11"/>
  <c r="AY13" i="11"/>
  <c r="AX13" i="11"/>
  <c r="AW13" i="11"/>
  <c r="AV13" i="11"/>
  <c r="AU13" i="11"/>
  <c r="AT13" i="11"/>
  <c r="AS13" i="11"/>
  <c r="AR13" i="11"/>
  <c r="AQ13" i="11"/>
  <c r="AO13" i="11"/>
  <c r="AN13" i="11"/>
  <c r="AM13" i="11"/>
  <c r="AL13" i="11"/>
  <c r="AK13" i="11"/>
  <c r="AJ13" i="11"/>
  <c r="AI13" i="11"/>
  <c r="AH13" i="11"/>
  <c r="AG13" i="11"/>
  <c r="AF13" i="11"/>
  <c r="AE13" i="11"/>
  <c r="AD13" i="11"/>
  <c r="AC13" i="11"/>
  <c r="AB13" i="11"/>
  <c r="AA13" i="11"/>
  <c r="DA12" i="11"/>
  <c r="CZ12" i="11"/>
  <c r="CY12" i="11"/>
  <c r="CX12" i="11"/>
  <c r="CW12" i="11"/>
  <c r="CV12" i="11"/>
  <c r="CU12" i="11"/>
  <c r="CT12" i="11"/>
  <c r="CS12" i="11"/>
  <c r="CR12" i="11"/>
  <c r="CQ12" i="11"/>
  <c r="CP12" i="11"/>
  <c r="CO12" i="11"/>
  <c r="CN12" i="11"/>
  <c r="CM12" i="11"/>
  <c r="CK12" i="11"/>
  <c r="CJ12" i="11"/>
  <c r="CI12" i="11"/>
  <c r="CH12" i="11"/>
  <c r="CG12" i="11"/>
  <c r="CF12" i="11"/>
  <c r="CE12" i="11"/>
  <c r="CD12" i="11"/>
  <c r="CC12" i="11"/>
  <c r="CB12" i="11"/>
  <c r="CA12" i="11"/>
  <c r="BZ12" i="11"/>
  <c r="BY12" i="11"/>
  <c r="BX12" i="11"/>
  <c r="BW12" i="11"/>
  <c r="BU12" i="11"/>
  <c r="BT12" i="11"/>
  <c r="BS12" i="11"/>
  <c r="BR12" i="11"/>
  <c r="BQ12" i="11"/>
  <c r="BP12" i="11"/>
  <c r="BO12" i="11"/>
  <c r="BN12" i="11"/>
  <c r="BM12" i="11"/>
  <c r="BL12" i="11"/>
  <c r="BK12" i="11"/>
  <c r="BJ12" i="11"/>
  <c r="BI12" i="11"/>
  <c r="BH12" i="11"/>
  <c r="BG12" i="11"/>
  <c r="BE12" i="11"/>
  <c r="BD12" i="11"/>
  <c r="BC12" i="11"/>
  <c r="BB12" i="11"/>
  <c r="BA12" i="11"/>
  <c r="AZ12" i="11"/>
  <c r="AY12" i="11"/>
  <c r="AX12" i="11"/>
  <c r="AW12" i="11"/>
  <c r="AV12" i="11"/>
  <c r="AU12" i="11"/>
  <c r="AT12" i="11"/>
  <c r="AS12" i="11"/>
  <c r="AR12" i="11"/>
  <c r="AQ12" i="11"/>
  <c r="AO12" i="11"/>
  <c r="AN12" i="11"/>
  <c r="AM12" i="11"/>
  <c r="AL12" i="11"/>
  <c r="AK12" i="11"/>
  <c r="AJ12" i="11"/>
  <c r="AI12" i="11"/>
  <c r="AH12" i="11"/>
  <c r="AG12" i="11"/>
  <c r="AF12" i="11"/>
  <c r="AE12" i="11"/>
  <c r="AD12" i="11"/>
  <c r="AC12" i="11"/>
  <c r="AB12" i="11"/>
  <c r="AA12" i="11"/>
  <c r="DA11" i="11"/>
  <c r="CZ11" i="11"/>
  <c r="CY11" i="11"/>
  <c r="CX11" i="11"/>
  <c r="CW11" i="11"/>
  <c r="CV11" i="11"/>
  <c r="CU11" i="11"/>
  <c r="CT11" i="11"/>
  <c r="CS11" i="11"/>
  <c r="CR11" i="11"/>
  <c r="CQ11" i="11"/>
  <c r="CP11" i="11"/>
  <c r="CO11" i="11"/>
  <c r="CN11" i="11"/>
  <c r="CM11" i="11"/>
  <c r="CK11" i="11"/>
  <c r="CJ11" i="11"/>
  <c r="CI11" i="11"/>
  <c r="CH11" i="11"/>
  <c r="CG11" i="11"/>
  <c r="CF11" i="11"/>
  <c r="CE11" i="11"/>
  <c r="CD11" i="11"/>
  <c r="CC11" i="11"/>
  <c r="CB11" i="11"/>
  <c r="CA11" i="11"/>
  <c r="BZ11" i="11"/>
  <c r="BY11" i="11"/>
  <c r="BX11" i="11"/>
  <c r="BW11" i="11"/>
  <c r="BU11" i="11"/>
  <c r="BT11" i="11"/>
  <c r="BS11" i="11"/>
  <c r="BR11" i="11"/>
  <c r="BQ11" i="11"/>
  <c r="BP11" i="11"/>
  <c r="BO11" i="11"/>
  <c r="BN11" i="11"/>
  <c r="BM11" i="11"/>
  <c r="BL11" i="11"/>
  <c r="BK11" i="11"/>
  <c r="BJ11" i="11"/>
  <c r="BI11" i="11"/>
  <c r="BH11" i="11"/>
  <c r="BG11" i="11"/>
  <c r="BE11" i="11"/>
  <c r="BD11" i="11"/>
  <c r="BC11" i="11"/>
  <c r="BB11" i="11"/>
  <c r="BA11" i="11"/>
  <c r="AZ11" i="11"/>
  <c r="AY11" i="11"/>
  <c r="AX11" i="11"/>
  <c r="AW11" i="11"/>
  <c r="AV11" i="11"/>
  <c r="AU11" i="11"/>
  <c r="AT11" i="11"/>
  <c r="AS11" i="11"/>
  <c r="AR11" i="11"/>
  <c r="AQ11" i="11"/>
  <c r="AO11" i="11"/>
  <c r="AN11" i="11"/>
  <c r="AM11" i="11"/>
  <c r="AL11" i="11"/>
  <c r="AK11" i="11"/>
  <c r="AJ11" i="11"/>
  <c r="AI11" i="11"/>
  <c r="AH11" i="11"/>
  <c r="AG11" i="11"/>
  <c r="AF11" i="11"/>
  <c r="AE11" i="11"/>
  <c r="AD11" i="11"/>
  <c r="AC11" i="11"/>
  <c r="AB11" i="11"/>
  <c r="AA11" i="11"/>
  <c r="DA10" i="11"/>
  <c r="CZ10" i="11"/>
  <c r="CY10" i="11"/>
  <c r="CX10" i="11"/>
  <c r="CW10" i="11"/>
  <c r="CV10" i="11"/>
  <c r="CU10" i="11"/>
  <c r="CT10" i="11"/>
  <c r="CS10" i="11"/>
  <c r="CR10" i="11"/>
  <c r="CR4" i="11" s="1"/>
  <c r="I26" i="10" s="1"/>
  <c r="CQ10" i="11"/>
  <c r="CP10" i="11"/>
  <c r="CO10" i="11"/>
  <c r="CN10" i="11"/>
  <c r="CM10" i="11"/>
  <c r="CK10" i="11"/>
  <c r="CJ10" i="11"/>
  <c r="CI10" i="11"/>
  <c r="CH10" i="11"/>
  <c r="CG10" i="11"/>
  <c r="CF10" i="11"/>
  <c r="CE10" i="11"/>
  <c r="CD10" i="11"/>
  <c r="CC10" i="11"/>
  <c r="CB10" i="11"/>
  <c r="CA10" i="11"/>
  <c r="BZ10" i="11"/>
  <c r="BY10" i="11"/>
  <c r="BX10" i="11"/>
  <c r="BW10" i="11"/>
  <c r="BU10" i="11"/>
  <c r="BT10" i="11"/>
  <c r="BS10" i="11"/>
  <c r="BR10" i="11"/>
  <c r="BQ10" i="11"/>
  <c r="BP10" i="11"/>
  <c r="BO10" i="11"/>
  <c r="BN10" i="11"/>
  <c r="BM10" i="11"/>
  <c r="BL10" i="11"/>
  <c r="BK10" i="11"/>
  <c r="BJ10" i="11"/>
  <c r="BI10" i="11"/>
  <c r="BH10" i="11"/>
  <c r="BG10" i="11"/>
  <c r="BE10" i="11"/>
  <c r="BD10" i="11"/>
  <c r="BC10" i="11"/>
  <c r="BB10" i="11"/>
  <c r="BA10" i="11"/>
  <c r="AZ10" i="11"/>
  <c r="AY10" i="11"/>
  <c r="AX10" i="11"/>
  <c r="AW10" i="11"/>
  <c r="AV10" i="11"/>
  <c r="AU10" i="11"/>
  <c r="AT10" i="11"/>
  <c r="AS10" i="11"/>
  <c r="AR10" i="11"/>
  <c r="AQ10" i="11"/>
  <c r="AO10" i="11"/>
  <c r="AN10" i="11"/>
  <c r="AM10" i="11"/>
  <c r="AL10" i="11"/>
  <c r="AK10" i="11"/>
  <c r="AJ10" i="11"/>
  <c r="AI10" i="11"/>
  <c r="AH10" i="11"/>
  <c r="AG10" i="11"/>
  <c r="AF10" i="11"/>
  <c r="AE10" i="11"/>
  <c r="AD10" i="11"/>
  <c r="AC10" i="11"/>
  <c r="AB10" i="11"/>
  <c r="AA10" i="11"/>
  <c r="DA9" i="11"/>
  <c r="CZ9" i="11"/>
  <c r="CY9" i="11"/>
  <c r="CX9" i="11"/>
  <c r="CW9" i="11"/>
  <c r="CV9" i="11"/>
  <c r="CU9" i="11"/>
  <c r="CT9" i="11"/>
  <c r="CS9" i="11"/>
  <c r="CR9" i="11"/>
  <c r="CQ9" i="11"/>
  <c r="CP9" i="11"/>
  <c r="CO9" i="11"/>
  <c r="CN9" i="11"/>
  <c r="CM9" i="11"/>
  <c r="CK9" i="11"/>
  <c r="CJ9" i="11"/>
  <c r="CI9" i="11"/>
  <c r="CH9" i="11"/>
  <c r="CG9" i="11"/>
  <c r="CF9" i="11"/>
  <c r="CE9" i="11"/>
  <c r="CD9" i="11"/>
  <c r="CC9" i="11"/>
  <c r="CB9" i="11"/>
  <c r="CA9" i="11"/>
  <c r="BZ9" i="11"/>
  <c r="BY9" i="11"/>
  <c r="BX9" i="11"/>
  <c r="BW9" i="11"/>
  <c r="BU9" i="11"/>
  <c r="BT9" i="11"/>
  <c r="BS9" i="11"/>
  <c r="BR9" i="11"/>
  <c r="BQ9" i="11"/>
  <c r="BP9" i="11"/>
  <c r="BO9" i="11"/>
  <c r="BN9" i="11"/>
  <c r="BM9" i="11"/>
  <c r="BL9" i="11"/>
  <c r="BK9" i="11"/>
  <c r="BJ9" i="11"/>
  <c r="BI9" i="11"/>
  <c r="BH9" i="11"/>
  <c r="BG9" i="11"/>
  <c r="BE9" i="11"/>
  <c r="BD9" i="11"/>
  <c r="BC9" i="11"/>
  <c r="BB9" i="11"/>
  <c r="BA9" i="11"/>
  <c r="AZ9" i="11"/>
  <c r="AY9" i="11"/>
  <c r="AX9" i="11"/>
  <c r="AW9" i="11"/>
  <c r="AV9" i="11"/>
  <c r="AU9" i="11"/>
  <c r="AT9" i="11"/>
  <c r="AS9" i="11"/>
  <c r="AR9" i="11"/>
  <c r="AQ9" i="11"/>
  <c r="AO9" i="11"/>
  <c r="AN9" i="11"/>
  <c r="AM9" i="11"/>
  <c r="AL9" i="11"/>
  <c r="AK9" i="11"/>
  <c r="AJ9" i="11"/>
  <c r="AI9" i="11"/>
  <c r="AH9" i="11"/>
  <c r="AG9" i="11"/>
  <c r="AF9" i="11"/>
  <c r="AE9" i="11"/>
  <c r="AD9" i="11"/>
  <c r="AC9" i="11"/>
  <c r="AB9" i="11"/>
  <c r="AA9" i="11"/>
  <c r="DA8" i="11"/>
  <c r="CZ8" i="11"/>
  <c r="CY8" i="11"/>
  <c r="CX8" i="11"/>
  <c r="CW8" i="11"/>
  <c r="CV8" i="11"/>
  <c r="CU8" i="11"/>
  <c r="CT8" i="11"/>
  <c r="CS8" i="11"/>
  <c r="CR8" i="11"/>
  <c r="CQ8" i="11"/>
  <c r="CP8" i="11"/>
  <c r="CO8" i="11"/>
  <c r="CN8" i="11"/>
  <c r="CM8" i="11"/>
  <c r="CK8" i="11"/>
  <c r="CJ8" i="11"/>
  <c r="CI8" i="11"/>
  <c r="CH8" i="11"/>
  <c r="CG8" i="11"/>
  <c r="CF8" i="11"/>
  <c r="CE8" i="11"/>
  <c r="CD8" i="11"/>
  <c r="CC8" i="11"/>
  <c r="CB8" i="11"/>
  <c r="CA8" i="11"/>
  <c r="BZ8" i="11"/>
  <c r="BY8" i="11"/>
  <c r="BX8" i="11"/>
  <c r="BW8" i="11"/>
  <c r="BU8" i="11"/>
  <c r="BT8" i="11"/>
  <c r="BS8" i="11"/>
  <c r="BR8" i="11"/>
  <c r="BQ8" i="11"/>
  <c r="BP8" i="11"/>
  <c r="BO8" i="11"/>
  <c r="BN8" i="11"/>
  <c r="BM8" i="11"/>
  <c r="BL8" i="11"/>
  <c r="BK8" i="11"/>
  <c r="BJ8" i="11"/>
  <c r="BI8" i="11"/>
  <c r="BH8" i="11"/>
  <c r="BG8" i="11"/>
  <c r="BE8" i="11"/>
  <c r="BD8" i="11"/>
  <c r="BC8" i="11"/>
  <c r="BB8" i="11"/>
  <c r="BA8" i="11"/>
  <c r="AZ8" i="11"/>
  <c r="AY8" i="11"/>
  <c r="AX8" i="11"/>
  <c r="AW8" i="11"/>
  <c r="AV8" i="11"/>
  <c r="AU8" i="11"/>
  <c r="AT8" i="11"/>
  <c r="AS8" i="11"/>
  <c r="AR8" i="11"/>
  <c r="AQ8" i="11"/>
  <c r="AO8" i="11"/>
  <c r="AN8" i="11"/>
  <c r="AM8" i="11"/>
  <c r="AL8" i="11"/>
  <c r="AK8" i="11"/>
  <c r="AJ8" i="11"/>
  <c r="AI8" i="11"/>
  <c r="AH8" i="11"/>
  <c r="AG8" i="11"/>
  <c r="AF8" i="11"/>
  <c r="AE8" i="11"/>
  <c r="AD8" i="11"/>
  <c r="AC8" i="11"/>
  <c r="AB8" i="11"/>
  <c r="AA8" i="11"/>
  <c r="DA7" i="11"/>
  <c r="CZ7" i="11"/>
  <c r="CY7" i="11"/>
  <c r="CX7" i="11"/>
  <c r="CW7" i="11"/>
  <c r="CV7" i="11"/>
  <c r="CU7" i="11"/>
  <c r="CT7" i="11"/>
  <c r="CS7" i="11"/>
  <c r="CR7" i="11"/>
  <c r="CQ7" i="11"/>
  <c r="CP7" i="11"/>
  <c r="CO7" i="11"/>
  <c r="CN7" i="11"/>
  <c r="CM7" i="11"/>
  <c r="CK7" i="11"/>
  <c r="CJ7" i="11"/>
  <c r="CI7" i="11"/>
  <c r="CH7" i="11"/>
  <c r="CG7" i="11"/>
  <c r="CF7" i="11"/>
  <c r="CE7" i="11"/>
  <c r="CD7" i="11"/>
  <c r="CC7" i="11"/>
  <c r="CB7" i="11"/>
  <c r="CA7" i="11"/>
  <c r="BZ7" i="11"/>
  <c r="BY7" i="11"/>
  <c r="BX7" i="11"/>
  <c r="BW7" i="11"/>
  <c r="BU7" i="11"/>
  <c r="BT7" i="11"/>
  <c r="BS7" i="11"/>
  <c r="BR7" i="11"/>
  <c r="BQ7" i="11"/>
  <c r="BP7" i="11"/>
  <c r="BO7" i="11"/>
  <c r="BN7" i="11"/>
  <c r="BM7" i="11"/>
  <c r="BL7" i="11"/>
  <c r="BK7" i="11"/>
  <c r="BJ7" i="11"/>
  <c r="BI7" i="11"/>
  <c r="BH7" i="11"/>
  <c r="BG7" i="11"/>
  <c r="BE7" i="11"/>
  <c r="BD7" i="11"/>
  <c r="BC7" i="11"/>
  <c r="BB7" i="11"/>
  <c r="BA7" i="11"/>
  <c r="AZ7" i="11"/>
  <c r="AY7" i="11"/>
  <c r="AX7" i="11"/>
  <c r="AW7" i="11"/>
  <c r="AV7" i="11"/>
  <c r="AU7" i="11"/>
  <c r="AT7" i="11"/>
  <c r="AS7" i="11"/>
  <c r="AR7" i="11"/>
  <c r="AQ7" i="11"/>
  <c r="AO7" i="11"/>
  <c r="AN7" i="11"/>
  <c r="AM7" i="11"/>
  <c r="AL7" i="11"/>
  <c r="AK7" i="11"/>
  <c r="AJ7" i="11"/>
  <c r="AI7" i="11"/>
  <c r="AH7" i="11"/>
  <c r="AG7" i="11"/>
  <c r="AF7" i="11"/>
  <c r="AE7" i="11"/>
  <c r="AD7" i="11"/>
  <c r="AC7" i="11"/>
  <c r="AB7" i="11"/>
  <c r="AA7" i="11"/>
  <c r="DA6" i="11"/>
  <c r="CZ6" i="11"/>
  <c r="CY6" i="11"/>
  <c r="CX6" i="11"/>
  <c r="CW6" i="11"/>
  <c r="CV6" i="11"/>
  <c r="CU6" i="11"/>
  <c r="CT6" i="11"/>
  <c r="CS6" i="11"/>
  <c r="CR6" i="11"/>
  <c r="CQ6" i="11"/>
  <c r="CP6" i="11"/>
  <c r="CO6" i="11"/>
  <c r="CN6" i="11"/>
  <c r="CM6" i="11"/>
  <c r="CK6" i="11"/>
  <c r="CJ6" i="11"/>
  <c r="CI6" i="11"/>
  <c r="CH6" i="11"/>
  <c r="CG6" i="11"/>
  <c r="CF6" i="11"/>
  <c r="CE6" i="11"/>
  <c r="CD6" i="11"/>
  <c r="CC6" i="11"/>
  <c r="CB6" i="11"/>
  <c r="CA6" i="11"/>
  <c r="BZ6" i="11"/>
  <c r="BY6" i="11"/>
  <c r="BX6" i="11"/>
  <c r="BW6" i="11"/>
  <c r="BU6" i="11"/>
  <c r="BT6" i="11"/>
  <c r="BS6" i="11"/>
  <c r="BR6" i="11"/>
  <c r="BQ6" i="11"/>
  <c r="BP6" i="11"/>
  <c r="BO6" i="11"/>
  <c r="BN6" i="11"/>
  <c r="BM6" i="11"/>
  <c r="BL6" i="11"/>
  <c r="BK6" i="11"/>
  <c r="BJ6" i="11"/>
  <c r="BI6" i="11"/>
  <c r="BH6" i="11"/>
  <c r="BG6" i="11"/>
  <c r="BE6" i="11"/>
  <c r="BD6" i="11"/>
  <c r="BC6" i="11"/>
  <c r="BB6" i="11"/>
  <c r="BA6" i="11"/>
  <c r="AZ6" i="11"/>
  <c r="AY6" i="11"/>
  <c r="AX6" i="11"/>
  <c r="AW6" i="11"/>
  <c r="AV6" i="11"/>
  <c r="AU6" i="11"/>
  <c r="AT6" i="11"/>
  <c r="AS6" i="11"/>
  <c r="AR6" i="11"/>
  <c r="AQ6" i="11"/>
  <c r="AO6" i="11"/>
  <c r="AN6" i="11"/>
  <c r="Q24" i="10" s="1"/>
  <c r="AM6" i="11"/>
  <c r="AL6" i="11"/>
  <c r="AK6" i="11"/>
  <c r="AJ6" i="11"/>
  <c r="AI6" i="11"/>
  <c r="AH6" i="11"/>
  <c r="AG6" i="11"/>
  <c r="AG4" i="11" s="1"/>
  <c r="J22" i="10" s="1"/>
  <c r="AF6" i="11"/>
  <c r="AF4" i="11" s="1"/>
  <c r="I22" i="10" s="1"/>
  <c r="AE6" i="11"/>
  <c r="AD6" i="11"/>
  <c r="AC6" i="11"/>
  <c r="AB6" i="11"/>
  <c r="AA6" i="11"/>
  <c r="DA5" i="11"/>
  <c r="CZ5" i="11"/>
  <c r="CY5" i="11"/>
  <c r="CX5" i="11"/>
  <c r="CW5" i="11"/>
  <c r="CV5" i="11"/>
  <c r="CU5" i="11"/>
  <c r="CT5" i="11"/>
  <c r="CS5" i="11"/>
  <c r="CR5" i="11"/>
  <c r="CQ5" i="11"/>
  <c r="CP5" i="11"/>
  <c r="CO5" i="11"/>
  <c r="CN5" i="11"/>
  <c r="CM5" i="11"/>
  <c r="CK5" i="11"/>
  <c r="CJ5" i="11"/>
  <c r="CI5" i="11"/>
  <c r="CH5" i="11"/>
  <c r="CG5" i="11"/>
  <c r="CF5" i="11"/>
  <c r="CE5" i="11"/>
  <c r="CE4" i="11" s="1"/>
  <c r="L25" i="10" s="1"/>
  <c r="CD5" i="11"/>
  <c r="CC5" i="11"/>
  <c r="CB5" i="11"/>
  <c r="CA5" i="11"/>
  <c r="BZ5" i="11"/>
  <c r="BY5" i="11"/>
  <c r="BX5" i="11"/>
  <c r="BW5" i="11"/>
  <c r="BU5" i="11"/>
  <c r="BT5" i="11"/>
  <c r="BS5" i="11"/>
  <c r="BR5" i="11"/>
  <c r="BR4" i="11" s="1"/>
  <c r="O24" i="10" s="1"/>
  <c r="BQ5" i="11"/>
  <c r="BP5" i="11"/>
  <c r="BO5" i="11"/>
  <c r="BN5" i="11"/>
  <c r="BM5" i="11"/>
  <c r="BL5" i="11"/>
  <c r="BK5" i="11"/>
  <c r="BJ5" i="11"/>
  <c r="BI5" i="11"/>
  <c r="BH5" i="11"/>
  <c r="BG5" i="11"/>
  <c r="BE5" i="11"/>
  <c r="BE4" i="11" s="1"/>
  <c r="R23" i="10" s="1"/>
  <c r="BD5" i="11"/>
  <c r="BC5" i="11"/>
  <c r="BB5" i="11"/>
  <c r="BA5" i="11"/>
  <c r="AZ5" i="11"/>
  <c r="AY5" i="11"/>
  <c r="AX5" i="11"/>
  <c r="AW5" i="11"/>
  <c r="AV5" i="11"/>
  <c r="AU5" i="11"/>
  <c r="AT5" i="11"/>
  <c r="AS5" i="11"/>
  <c r="AS4" i="11" s="1"/>
  <c r="F23" i="10" s="1"/>
  <c r="AR5" i="11"/>
  <c r="AQ5" i="11"/>
  <c r="AO5" i="11"/>
  <c r="AN5" i="11"/>
  <c r="AM5" i="11"/>
  <c r="AL5" i="11"/>
  <c r="AK5" i="11"/>
  <c r="AJ5" i="11"/>
  <c r="AI5" i="11"/>
  <c r="AH5" i="11"/>
  <c r="AG5" i="11"/>
  <c r="AF5" i="11"/>
  <c r="AE5" i="11"/>
  <c r="AD5" i="11"/>
  <c r="AC5" i="11"/>
  <c r="AB5" i="11"/>
  <c r="AA5" i="11"/>
  <c r="Y4" i="11"/>
  <c r="X4" i="11"/>
  <c r="W4" i="11"/>
  <c r="V4" i="11"/>
  <c r="U4" i="11"/>
  <c r="T4" i="11"/>
  <c r="S4" i="11"/>
  <c r="R4" i="11"/>
  <c r="Q4" i="11"/>
  <c r="P4" i="11"/>
  <c r="O4" i="11"/>
  <c r="N4" i="11"/>
  <c r="M4" i="11"/>
  <c r="L4" i="11"/>
  <c r="K4" i="11"/>
  <c r="J4" i="11"/>
  <c r="I4" i="11"/>
  <c r="H4" i="11"/>
  <c r="G4" i="11"/>
  <c r="F4" i="11"/>
  <c r="E4" i="11"/>
  <c r="Q26" i="10"/>
  <c r="Q25" i="10"/>
  <c r="H10" i="10"/>
  <c r="G10" i="10"/>
  <c r="F10" i="10"/>
  <c r="E10" i="10"/>
  <c r="D10" i="10"/>
  <c r="H9" i="10"/>
  <c r="G9" i="10"/>
  <c r="F9" i="10"/>
  <c r="E9" i="10"/>
  <c r="D9" i="10"/>
  <c r="H8" i="10"/>
  <c r="G8" i="10"/>
  <c r="F8" i="10"/>
  <c r="E8" i="10"/>
  <c r="D8" i="10"/>
  <c r="R26" i="9"/>
  <c r="Q26" i="9"/>
  <c r="M26" i="9"/>
  <c r="L26" i="9"/>
  <c r="K26" i="9"/>
  <c r="I26" i="9"/>
  <c r="H26" i="9"/>
  <c r="G26" i="9"/>
  <c r="F26" i="9"/>
  <c r="R25" i="9"/>
  <c r="R24" i="9"/>
  <c r="R23" i="9"/>
  <c r="R22" i="9"/>
  <c r="R21" i="9"/>
  <c r="B2" i="9"/>
  <c r="A2" i="9"/>
  <c r="A16" i="9" s="1"/>
  <c r="A1" i="9"/>
  <c r="C216" i="8"/>
  <c r="J208" i="8"/>
  <c r="E208" i="8" s="1"/>
  <c r="J206" i="8"/>
  <c r="I206" i="8"/>
  <c r="H206" i="8"/>
  <c r="G206" i="8"/>
  <c r="F206" i="8"/>
  <c r="E206" i="8"/>
  <c r="D206" i="8"/>
  <c r="C206" i="8"/>
  <c r="B206" i="8"/>
  <c r="A206" i="8"/>
  <c r="J205" i="8"/>
  <c r="I205" i="8"/>
  <c r="H205" i="8"/>
  <c r="G205" i="8"/>
  <c r="F205" i="8"/>
  <c r="E205" i="8"/>
  <c r="D205" i="8"/>
  <c r="C205" i="8"/>
  <c r="B205" i="8"/>
  <c r="A205" i="8"/>
  <c r="J204" i="8"/>
  <c r="I204" i="8"/>
  <c r="H204" i="8"/>
  <c r="G204" i="8"/>
  <c r="F204" i="8"/>
  <c r="E204" i="8"/>
  <c r="D204" i="8"/>
  <c r="C204" i="8"/>
  <c r="B204" i="8"/>
  <c r="A204" i="8"/>
  <c r="J203" i="8"/>
  <c r="I203" i="8"/>
  <c r="H203" i="8"/>
  <c r="G203" i="8"/>
  <c r="F203" i="8"/>
  <c r="E203" i="8"/>
  <c r="D203" i="8"/>
  <c r="C203" i="8"/>
  <c r="B203" i="8"/>
  <c r="A203" i="8"/>
  <c r="J202" i="8"/>
  <c r="I202" i="8"/>
  <c r="H202" i="8"/>
  <c r="G202" i="8"/>
  <c r="F202" i="8"/>
  <c r="E202" i="8"/>
  <c r="D202" i="8"/>
  <c r="C202" i="8"/>
  <c r="B202" i="8"/>
  <c r="A202" i="8"/>
  <c r="J201" i="8"/>
  <c r="I201" i="8"/>
  <c r="H201" i="8"/>
  <c r="G201" i="8"/>
  <c r="F201" i="8"/>
  <c r="E201" i="8"/>
  <c r="D201" i="8"/>
  <c r="C201" i="8"/>
  <c r="B201" i="8"/>
  <c r="A201" i="8"/>
  <c r="J200" i="8"/>
  <c r="I200" i="8"/>
  <c r="H200" i="8"/>
  <c r="G200" i="8"/>
  <c r="F200" i="8"/>
  <c r="E200" i="8"/>
  <c r="D200" i="8"/>
  <c r="C200" i="8"/>
  <c r="B200" i="8"/>
  <c r="A200" i="8"/>
  <c r="J199" i="8"/>
  <c r="I199" i="8"/>
  <c r="H199" i="8"/>
  <c r="G199" i="8"/>
  <c r="F199" i="8"/>
  <c r="E199" i="8"/>
  <c r="D199" i="8"/>
  <c r="C199" i="8"/>
  <c r="B199" i="8"/>
  <c r="A199" i="8"/>
  <c r="J198" i="8"/>
  <c r="I198" i="8"/>
  <c r="H198" i="8"/>
  <c r="G198" i="8"/>
  <c r="F198" i="8"/>
  <c r="E198" i="8"/>
  <c r="D198" i="8"/>
  <c r="C198" i="8"/>
  <c r="B198" i="8"/>
  <c r="A198" i="8"/>
  <c r="J197" i="8"/>
  <c r="I197" i="8"/>
  <c r="H197" i="8"/>
  <c r="G197" i="8"/>
  <c r="F197" i="8"/>
  <c r="E197" i="8"/>
  <c r="D197" i="8"/>
  <c r="C197" i="8"/>
  <c r="B197" i="8"/>
  <c r="A197" i="8"/>
  <c r="J196" i="8"/>
  <c r="I196" i="8"/>
  <c r="H196" i="8"/>
  <c r="G196" i="8"/>
  <c r="F196" i="8"/>
  <c r="E196" i="8"/>
  <c r="D196" i="8"/>
  <c r="C196" i="8"/>
  <c r="B196" i="8"/>
  <c r="A196" i="8"/>
  <c r="J195" i="8"/>
  <c r="I195" i="8"/>
  <c r="H195" i="8"/>
  <c r="G195" i="8"/>
  <c r="F195" i="8"/>
  <c r="E195" i="8"/>
  <c r="D195" i="8"/>
  <c r="C195" i="8"/>
  <c r="B195" i="8"/>
  <c r="A195" i="8"/>
  <c r="J194" i="8"/>
  <c r="I194" i="8"/>
  <c r="H194" i="8"/>
  <c r="G194" i="8"/>
  <c r="F194" i="8"/>
  <c r="E194" i="8"/>
  <c r="D194" i="8"/>
  <c r="C194" i="8"/>
  <c r="B194" i="8"/>
  <c r="A194" i="8"/>
  <c r="J193" i="8"/>
  <c r="I193" i="8"/>
  <c r="H193" i="8"/>
  <c r="G193" i="8"/>
  <c r="F193" i="8"/>
  <c r="E193" i="8"/>
  <c r="D193" i="8"/>
  <c r="C193" i="8"/>
  <c r="B193" i="8"/>
  <c r="A193" i="8"/>
  <c r="J192" i="8"/>
  <c r="I192" i="8"/>
  <c r="H192" i="8"/>
  <c r="G192" i="8"/>
  <c r="F192" i="8"/>
  <c r="E192" i="8"/>
  <c r="D192" i="8"/>
  <c r="C192" i="8"/>
  <c r="B192" i="8"/>
  <c r="A192" i="8"/>
  <c r="J191" i="8"/>
  <c r="I191" i="8"/>
  <c r="H191" i="8"/>
  <c r="G191" i="8"/>
  <c r="F191" i="8"/>
  <c r="E191" i="8"/>
  <c r="D191" i="8"/>
  <c r="C191" i="8"/>
  <c r="B191" i="8"/>
  <c r="A191" i="8"/>
  <c r="J190" i="8"/>
  <c r="I190" i="8"/>
  <c r="H190" i="8"/>
  <c r="G190" i="8"/>
  <c r="F190" i="8"/>
  <c r="E190" i="8"/>
  <c r="D190" i="8"/>
  <c r="C190" i="8"/>
  <c r="B190" i="8"/>
  <c r="A190" i="8"/>
  <c r="J189" i="8"/>
  <c r="I189" i="8"/>
  <c r="H189" i="8"/>
  <c r="G189" i="8"/>
  <c r="F189" i="8"/>
  <c r="E189" i="8"/>
  <c r="D189" i="8"/>
  <c r="C189" i="8"/>
  <c r="B189" i="8"/>
  <c r="A189" i="8"/>
  <c r="J188" i="8"/>
  <c r="I188" i="8"/>
  <c r="H188" i="8"/>
  <c r="G188" i="8"/>
  <c r="F188" i="8"/>
  <c r="E188" i="8"/>
  <c r="D188" i="8"/>
  <c r="C188" i="8"/>
  <c r="B188" i="8"/>
  <c r="A188" i="8"/>
  <c r="J187" i="8"/>
  <c r="I187" i="8"/>
  <c r="H187" i="8"/>
  <c r="G187" i="8"/>
  <c r="F187" i="8"/>
  <c r="E187" i="8"/>
  <c r="D187" i="8"/>
  <c r="C187" i="8"/>
  <c r="B187" i="8"/>
  <c r="A187" i="8"/>
  <c r="J186" i="8"/>
  <c r="I186" i="8"/>
  <c r="H186" i="8"/>
  <c r="G186" i="8"/>
  <c r="F186" i="8"/>
  <c r="E186" i="8"/>
  <c r="D186" i="8"/>
  <c r="C186" i="8"/>
  <c r="B186" i="8"/>
  <c r="A186" i="8"/>
  <c r="J185" i="8"/>
  <c r="I185" i="8"/>
  <c r="H185" i="8"/>
  <c r="G185" i="8"/>
  <c r="F185" i="8"/>
  <c r="E185" i="8"/>
  <c r="D185" i="8"/>
  <c r="C185" i="8"/>
  <c r="B185" i="8"/>
  <c r="A185" i="8"/>
  <c r="J184" i="8"/>
  <c r="I184" i="8"/>
  <c r="H184" i="8"/>
  <c r="G184" i="8"/>
  <c r="F184" i="8"/>
  <c r="E184" i="8"/>
  <c r="D184" i="8"/>
  <c r="C184" i="8"/>
  <c r="B184" i="8"/>
  <c r="A184" i="8"/>
  <c r="J183" i="8"/>
  <c r="I183" i="8"/>
  <c r="H183" i="8"/>
  <c r="G183" i="8"/>
  <c r="F183" i="8"/>
  <c r="E183" i="8"/>
  <c r="D183" i="8"/>
  <c r="C183" i="8"/>
  <c r="B183" i="8"/>
  <c r="A183" i="8"/>
  <c r="J182" i="8"/>
  <c r="I182" i="8"/>
  <c r="H182" i="8"/>
  <c r="G182" i="8"/>
  <c r="F182" i="8"/>
  <c r="E182" i="8"/>
  <c r="D182" i="8"/>
  <c r="C182" i="8"/>
  <c r="B182" i="8"/>
  <c r="A182" i="8"/>
  <c r="J181" i="8"/>
  <c r="I181" i="8"/>
  <c r="H181" i="8"/>
  <c r="G181" i="8"/>
  <c r="F181" i="8"/>
  <c r="E181" i="8"/>
  <c r="D181" i="8"/>
  <c r="C181" i="8"/>
  <c r="B181" i="8"/>
  <c r="A181" i="8"/>
  <c r="J180" i="8"/>
  <c r="I180" i="8"/>
  <c r="H180" i="8"/>
  <c r="G180" i="8"/>
  <c r="F180" i="8"/>
  <c r="E180" i="8"/>
  <c r="D180" i="8"/>
  <c r="C180" i="8"/>
  <c r="B180" i="8"/>
  <c r="A180" i="8"/>
  <c r="J179" i="8"/>
  <c r="I179" i="8"/>
  <c r="H179" i="8"/>
  <c r="G179" i="8"/>
  <c r="F179" i="8"/>
  <c r="E179" i="8"/>
  <c r="D179" i="8"/>
  <c r="C179" i="8"/>
  <c r="B179" i="8"/>
  <c r="A179" i="8"/>
  <c r="J178" i="8"/>
  <c r="I178" i="8"/>
  <c r="H178" i="8"/>
  <c r="G178" i="8"/>
  <c r="F178" i="8"/>
  <c r="E178" i="8"/>
  <c r="D178" i="8"/>
  <c r="C178" i="8"/>
  <c r="B178" i="8"/>
  <c r="A178" i="8"/>
  <c r="J177" i="8"/>
  <c r="I177" i="8"/>
  <c r="H177" i="8"/>
  <c r="G177" i="8"/>
  <c r="F177" i="8"/>
  <c r="E177" i="8"/>
  <c r="D177" i="8"/>
  <c r="C177" i="8"/>
  <c r="B177" i="8"/>
  <c r="A177" i="8"/>
  <c r="J176" i="8"/>
  <c r="I176" i="8"/>
  <c r="H176" i="8"/>
  <c r="G176" i="8"/>
  <c r="F176" i="8"/>
  <c r="E176" i="8"/>
  <c r="D176" i="8"/>
  <c r="C176" i="8"/>
  <c r="B176" i="8"/>
  <c r="A176" i="8"/>
  <c r="J175" i="8"/>
  <c r="I175" i="8"/>
  <c r="H175" i="8"/>
  <c r="G175" i="8"/>
  <c r="F175" i="8"/>
  <c r="E175" i="8"/>
  <c r="D175" i="8"/>
  <c r="C175" i="8"/>
  <c r="B175" i="8"/>
  <c r="A175" i="8"/>
  <c r="J174" i="8"/>
  <c r="I174" i="8"/>
  <c r="H174" i="8"/>
  <c r="G174" i="8"/>
  <c r="F174" i="8"/>
  <c r="E174" i="8"/>
  <c r="D174" i="8"/>
  <c r="C174" i="8"/>
  <c r="B174" i="8"/>
  <c r="A174" i="8"/>
  <c r="J173" i="8"/>
  <c r="I173" i="8"/>
  <c r="H173" i="8"/>
  <c r="G173" i="8"/>
  <c r="F173" i="8"/>
  <c r="E173" i="8"/>
  <c r="D173" i="8"/>
  <c r="C173" i="8"/>
  <c r="B173" i="8"/>
  <c r="A173" i="8"/>
  <c r="J172" i="8"/>
  <c r="I172" i="8"/>
  <c r="H172" i="8"/>
  <c r="G172" i="8"/>
  <c r="F172" i="8"/>
  <c r="E172" i="8"/>
  <c r="D172" i="8"/>
  <c r="C172" i="8"/>
  <c r="B172" i="8"/>
  <c r="A172" i="8"/>
  <c r="J171" i="8"/>
  <c r="I171" i="8"/>
  <c r="H171" i="8"/>
  <c r="G171" i="8"/>
  <c r="F171" i="8"/>
  <c r="E171" i="8"/>
  <c r="D171" i="8"/>
  <c r="C171" i="8"/>
  <c r="B171" i="8"/>
  <c r="A171" i="8"/>
  <c r="J170" i="8"/>
  <c r="I170" i="8"/>
  <c r="H170" i="8"/>
  <c r="G170" i="8"/>
  <c r="F170" i="8"/>
  <c r="E170" i="8"/>
  <c r="D170" i="8"/>
  <c r="C170" i="8"/>
  <c r="B170" i="8"/>
  <c r="A170" i="8"/>
  <c r="J169" i="8"/>
  <c r="I169" i="8"/>
  <c r="H169" i="8"/>
  <c r="G169" i="8"/>
  <c r="F169" i="8"/>
  <c r="E169" i="8"/>
  <c r="D169" i="8"/>
  <c r="C169" i="8"/>
  <c r="B169" i="8"/>
  <c r="A169" i="8"/>
  <c r="J168" i="8"/>
  <c r="I168" i="8"/>
  <c r="H168" i="8"/>
  <c r="G168" i="8"/>
  <c r="F168" i="8"/>
  <c r="E168" i="8"/>
  <c r="D168" i="8"/>
  <c r="C168" i="8"/>
  <c r="B168" i="8"/>
  <c r="A168" i="8"/>
  <c r="J167" i="8"/>
  <c r="I167" i="8"/>
  <c r="H167" i="8"/>
  <c r="G167" i="8"/>
  <c r="F167" i="8"/>
  <c r="E167" i="8"/>
  <c r="D167" i="8"/>
  <c r="C167" i="8"/>
  <c r="B167" i="8"/>
  <c r="A167" i="8"/>
  <c r="J166" i="8"/>
  <c r="I166" i="8"/>
  <c r="H166" i="8"/>
  <c r="G166" i="8"/>
  <c r="F166" i="8"/>
  <c r="E166" i="8"/>
  <c r="D166" i="8"/>
  <c r="C166" i="8"/>
  <c r="B166" i="8"/>
  <c r="A166" i="8"/>
  <c r="J165" i="8"/>
  <c r="I165" i="8"/>
  <c r="H165" i="8"/>
  <c r="G165" i="8"/>
  <c r="F165" i="8"/>
  <c r="E165" i="8"/>
  <c r="D165" i="8"/>
  <c r="C165" i="8"/>
  <c r="B165" i="8"/>
  <c r="A165" i="8"/>
  <c r="C164" i="8"/>
  <c r="B164" i="8"/>
  <c r="A164" i="8"/>
  <c r="C163" i="8"/>
  <c r="B163" i="8"/>
  <c r="A163" i="8"/>
  <c r="C162" i="8"/>
  <c r="B162" i="8"/>
  <c r="A162" i="8"/>
  <c r="C161" i="8"/>
  <c r="B161" i="8"/>
  <c r="A161" i="8"/>
  <c r="C160" i="8"/>
  <c r="B160" i="8"/>
  <c r="A160" i="8"/>
  <c r="C159" i="8"/>
  <c r="B159" i="8"/>
  <c r="A159" i="8"/>
  <c r="C158" i="8"/>
  <c r="B158" i="8"/>
  <c r="A158" i="8"/>
  <c r="C157" i="8"/>
  <c r="B157" i="8"/>
  <c r="A157" i="8"/>
  <c r="C156" i="8"/>
  <c r="B156" i="8"/>
  <c r="A156" i="8"/>
  <c r="C155" i="8"/>
  <c r="B155" i="8"/>
  <c r="A155" i="8"/>
  <c r="C154" i="8"/>
  <c r="B154" i="8"/>
  <c r="A154" i="8"/>
  <c r="C153" i="8"/>
  <c r="B153" i="8"/>
  <c r="A153" i="8"/>
  <c r="C152" i="8"/>
  <c r="B152" i="8"/>
  <c r="A152" i="8"/>
  <c r="C151" i="8"/>
  <c r="B151" i="8"/>
  <c r="A151" i="8"/>
  <c r="C150" i="8"/>
  <c r="B150" i="8"/>
  <c r="A150" i="8"/>
  <c r="C149" i="8"/>
  <c r="B149" i="8"/>
  <c r="A149" i="8"/>
  <c r="C148" i="8"/>
  <c r="B148" i="8"/>
  <c r="A148" i="8"/>
  <c r="C147" i="8"/>
  <c r="B147" i="8"/>
  <c r="A147" i="8"/>
  <c r="C146" i="8"/>
  <c r="B146" i="8"/>
  <c r="A146" i="8"/>
  <c r="C145" i="8"/>
  <c r="B145" i="8"/>
  <c r="A145" i="8"/>
  <c r="C144" i="8"/>
  <c r="B144" i="8"/>
  <c r="A144" i="8"/>
  <c r="C143" i="8"/>
  <c r="B143" i="8"/>
  <c r="A143" i="8"/>
  <c r="C142" i="8"/>
  <c r="B142" i="8"/>
  <c r="A142" i="8"/>
  <c r="C141" i="8"/>
  <c r="B141" i="8"/>
  <c r="A141" i="8"/>
  <c r="C140" i="8"/>
  <c r="B140" i="8"/>
  <c r="A140" i="8"/>
  <c r="C139" i="8"/>
  <c r="B139" i="8"/>
  <c r="A139" i="8"/>
  <c r="C138" i="8"/>
  <c r="B138" i="8"/>
  <c r="A138" i="8"/>
  <c r="C137" i="8"/>
  <c r="B137" i="8"/>
  <c r="A137" i="8"/>
  <c r="C136" i="8"/>
  <c r="B136" i="8"/>
  <c r="A136" i="8"/>
  <c r="C135" i="8"/>
  <c r="B135" i="8"/>
  <c r="A135" i="8"/>
  <c r="C134" i="8"/>
  <c r="B134" i="8"/>
  <c r="A134" i="8"/>
  <c r="C133" i="8"/>
  <c r="B133" i="8"/>
  <c r="A133" i="8"/>
  <c r="C132" i="8"/>
  <c r="B132" i="8"/>
  <c r="A132" i="8"/>
  <c r="C131" i="8"/>
  <c r="B131" i="8"/>
  <c r="A131" i="8"/>
  <c r="C130" i="8"/>
  <c r="B130" i="8"/>
  <c r="A130" i="8"/>
  <c r="C129" i="8"/>
  <c r="B129" i="8"/>
  <c r="A129" i="8"/>
  <c r="C128" i="8"/>
  <c r="B128" i="8"/>
  <c r="A128" i="8"/>
  <c r="C127" i="8"/>
  <c r="B127" i="8"/>
  <c r="A127" i="8"/>
  <c r="C126" i="8"/>
  <c r="B126" i="8"/>
  <c r="A126" i="8"/>
  <c r="C125" i="8"/>
  <c r="B125" i="8"/>
  <c r="A125" i="8"/>
  <c r="C124" i="8"/>
  <c r="B124" i="8"/>
  <c r="A124" i="8"/>
  <c r="C123" i="8"/>
  <c r="B123" i="8"/>
  <c r="A123" i="8"/>
  <c r="C122" i="8"/>
  <c r="B122" i="8"/>
  <c r="A122" i="8"/>
  <c r="C121" i="8"/>
  <c r="B121" i="8"/>
  <c r="A121" i="8"/>
  <c r="C120" i="8"/>
  <c r="B120" i="8"/>
  <c r="A120" i="8"/>
  <c r="C119" i="8"/>
  <c r="B119" i="8"/>
  <c r="A119" i="8"/>
  <c r="C118" i="8"/>
  <c r="B118" i="8"/>
  <c r="A118" i="8"/>
  <c r="C117" i="8"/>
  <c r="B117" i="8"/>
  <c r="A117" i="8"/>
  <c r="C116" i="8"/>
  <c r="B116" i="8"/>
  <c r="A116"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C106" i="8"/>
  <c r="B106" i="8"/>
  <c r="A106" i="8"/>
  <c r="C105" i="8"/>
  <c r="B105" i="8"/>
  <c r="A105" i="8"/>
  <c r="C104" i="8"/>
  <c r="B104" i="8"/>
  <c r="A104" i="8"/>
  <c r="C103" i="8"/>
  <c r="B103" i="8"/>
  <c r="A103" i="8"/>
  <c r="C102" i="8"/>
  <c r="B102" i="8"/>
  <c r="A102" i="8"/>
  <c r="C101" i="8"/>
  <c r="B101" i="8"/>
  <c r="A101" i="8"/>
  <c r="C100" i="8"/>
  <c r="B100" i="8"/>
  <c r="A100" i="8"/>
  <c r="C99" i="8"/>
  <c r="B99" i="8"/>
  <c r="A99" i="8"/>
  <c r="C98" i="8"/>
  <c r="B98" i="8"/>
  <c r="A98" i="8"/>
  <c r="C97" i="8"/>
  <c r="B97" i="8"/>
  <c r="A97" i="8"/>
  <c r="C96" i="8"/>
  <c r="B96" i="8"/>
  <c r="A96" i="8"/>
  <c r="C95" i="8"/>
  <c r="B95" i="8"/>
  <c r="A95" i="8"/>
  <c r="C94" i="8"/>
  <c r="B94" i="8"/>
  <c r="A94" i="8"/>
  <c r="C93" i="8"/>
  <c r="B93" i="8"/>
  <c r="A93" i="8"/>
  <c r="C92" i="8"/>
  <c r="B92" i="8"/>
  <c r="A92" i="8"/>
  <c r="C91" i="8"/>
  <c r="B91" i="8"/>
  <c r="A91" i="8"/>
  <c r="C90" i="8"/>
  <c r="B90" i="8"/>
  <c r="A90" i="8"/>
  <c r="C89" i="8"/>
  <c r="B89" i="8"/>
  <c r="A89" i="8"/>
  <c r="C88" i="8"/>
  <c r="B88" i="8"/>
  <c r="A88" i="8"/>
  <c r="C87" i="8"/>
  <c r="B87" i="8"/>
  <c r="A87" i="8"/>
  <c r="C86" i="8"/>
  <c r="B86" i="8"/>
  <c r="A86" i="8"/>
  <c r="C85" i="8"/>
  <c r="B85" i="8"/>
  <c r="A85" i="8"/>
  <c r="C84" i="8"/>
  <c r="B84" i="8"/>
  <c r="A84" i="8"/>
  <c r="C83" i="8"/>
  <c r="B83" i="8"/>
  <c r="A83" i="8"/>
  <c r="C82" i="8"/>
  <c r="B82" i="8"/>
  <c r="A82" i="8"/>
  <c r="C81" i="8"/>
  <c r="B81" i="8"/>
  <c r="A81" i="8"/>
  <c r="C80" i="8"/>
  <c r="B80" i="8"/>
  <c r="A80" i="8"/>
  <c r="C79" i="8"/>
  <c r="B79" i="8"/>
  <c r="A79" i="8"/>
  <c r="C78" i="8"/>
  <c r="B78" i="8"/>
  <c r="A78" i="8"/>
  <c r="C77" i="8"/>
  <c r="B77" i="8"/>
  <c r="A77" i="8"/>
  <c r="C76" i="8"/>
  <c r="B76" i="8"/>
  <c r="A76" i="8"/>
  <c r="C75" i="8"/>
  <c r="B75" i="8"/>
  <c r="A75" i="8"/>
  <c r="C74" i="8"/>
  <c r="B74" i="8"/>
  <c r="A74" i="8"/>
  <c r="C73" i="8"/>
  <c r="B73" i="8"/>
  <c r="A73" i="8"/>
  <c r="C72" i="8"/>
  <c r="B72" i="8"/>
  <c r="A72" i="8"/>
  <c r="C71" i="8"/>
  <c r="B71" i="8"/>
  <c r="A71" i="8"/>
  <c r="C70" i="8"/>
  <c r="B70" i="8"/>
  <c r="A70" i="8"/>
  <c r="C69" i="8"/>
  <c r="B69" i="8"/>
  <c r="A69" i="8"/>
  <c r="C68" i="8"/>
  <c r="B68" i="8"/>
  <c r="A68" i="8"/>
  <c r="C67" i="8"/>
  <c r="B67" i="8"/>
  <c r="A67" i="8"/>
  <c r="C66" i="8"/>
  <c r="B66" i="8"/>
  <c r="A66" i="8"/>
  <c r="C65" i="8"/>
  <c r="B65" i="8"/>
  <c r="A65" i="8"/>
  <c r="C64" i="8"/>
  <c r="B64" i="8"/>
  <c r="A64" i="8"/>
  <c r="C63" i="8"/>
  <c r="B63" i="8"/>
  <c r="A63" i="8"/>
  <c r="C62" i="8"/>
  <c r="B62" i="8"/>
  <c r="A62" i="8"/>
  <c r="I61" i="8"/>
  <c r="C61" i="8"/>
  <c r="B61" i="8"/>
  <c r="A61" i="8"/>
  <c r="I60" i="8"/>
  <c r="C60" i="8"/>
  <c r="B60" i="8"/>
  <c r="A60" i="8"/>
  <c r="I59" i="8"/>
  <c r="C59" i="8"/>
  <c r="B59" i="8"/>
  <c r="A59" i="8"/>
  <c r="I58" i="8"/>
  <c r="C58" i="8"/>
  <c r="B58" i="8"/>
  <c r="A58" i="8"/>
  <c r="I57" i="8"/>
  <c r="C57" i="8"/>
  <c r="B57" i="8"/>
  <c r="A57" i="8"/>
  <c r="I56" i="8"/>
  <c r="C56" i="8"/>
  <c r="B56" i="8"/>
  <c r="A56" i="8"/>
  <c r="I55" i="8"/>
  <c r="C55" i="8"/>
  <c r="B55" i="8"/>
  <c r="A55" i="8"/>
  <c r="I54" i="8"/>
  <c r="C54" i="8"/>
  <c r="B54" i="8"/>
  <c r="A54" i="8"/>
  <c r="I53" i="8"/>
  <c r="C53" i="8"/>
  <c r="B53" i="8"/>
  <c r="A53" i="8"/>
  <c r="I52" i="8"/>
  <c r="C52" i="8"/>
  <c r="B52" i="8"/>
  <c r="A52" i="8"/>
  <c r="I51" i="8"/>
  <c r="C51" i="8"/>
  <c r="B51" i="8"/>
  <c r="A51" i="8"/>
  <c r="I50" i="8"/>
  <c r="C50" i="8"/>
  <c r="B50" i="8"/>
  <c r="A50" i="8"/>
  <c r="I49" i="8"/>
  <c r="C49" i="8"/>
  <c r="B49" i="8"/>
  <c r="A49" i="8"/>
  <c r="I48" i="8"/>
  <c r="C48" i="8"/>
  <c r="B48" i="8"/>
  <c r="A48" i="8"/>
  <c r="I47" i="8"/>
  <c r="C47" i="8"/>
  <c r="B47" i="8"/>
  <c r="A47" i="8"/>
  <c r="I46" i="8"/>
  <c r="C46" i="8"/>
  <c r="B46" i="8"/>
  <c r="A46" i="8"/>
  <c r="I45" i="8"/>
  <c r="C45" i="8"/>
  <c r="B45" i="8"/>
  <c r="A45" i="8"/>
  <c r="I44" i="8"/>
  <c r="C44" i="8"/>
  <c r="B44" i="8"/>
  <c r="A44" i="8"/>
  <c r="I43" i="8"/>
  <c r="C43" i="8"/>
  <c r="B43" i="8"/>
  <c r="A43" i="8"/>
  <c r="I42" i="8"/>
  <c r="C42" i="8"/>
  <c r="B42" i="8"/>
  <c r="A42" i="8"/>
  <c r="I41" i="8"/>
  <c r="C41" i="8"/>
  <c r="B41" i="8"/>
  <c r="A41" i="8"/>
  <c r="I40" i="8"/>
  <c r="C40" i="8"/>
  <c r="B40" i="8"/>
  <c r="A40" i="8"/>
  <c r="I39" i="8"/>
  <c r="C39" i="8"/>
  <c r="B39" i="8"/>
  <c r="A39" i="8"/>
  <c r="I38" i="8"/>
  <c r="C38" i="8"/>
  <c r="B38" i="8"/>
  <c r="A38" i="8"/>
  <c r="I37" i="8"/>
  <c r="C37" i="8"/>
  <c r="B37" i="8"/>
  <c r="A37" i="8"/>
  <c r="I36" i="8"/>
  <c r="C36" i="8"/>
  <c r="B36" i="8"/>
  <c r="A36" i="8"/>
  <c r="I35" i="8"/>
  <c r="C35" i="8"/>
  <c r="B35" i="8"/>
  <c r="A35" i="8"/>
  <c r="I34" i="8"/>
  <c r="C34" i="8"/>
  <c r="B34" i="8"/>
  <c r="A34" i="8"/>
  <c r="J33" i="8"/>
  <c r="I33" i="8"/>
  <c r="C33" i="8"/>
  <c r="B33" i="8"/>
  <c r="A33" i="8"/>
  <c r="I32" i="8"/>
  <c r="C32" i="8"/>
  <c r="B32" i="8"/>
  <c r="A32" i="8"/>
  <c r="I31" i="8"/>
  <c r="C31" i="8"/>
  <c r="B31" i="8"/>
  <c r="A31" i="8"/>
  <c r="I30" i="8"/>
  <c r="C30" i="8"/>
  <c r="B30" i="8"/>
  <c r="A30" i="8"/>
  <c r="I29" i="8"/>
  <c r="C29" i="8"/>
  <c r="B29" i="8"/>
  <c r="A29" i="8"/>
  <c r="I28" i="8"/>
  <c r="C28" i="8"/>
  <c r="B28" i="8"/>
  <c r="A28" i="8"/>
  <c r="I27" i="8"/>
  <c r="C27" i="8"/>
  <c r="B27" i="8"/>
  <c r="A27" i="8"/>
  <c r="I26" i="8"/>
  <c r="C26" i="8"/>
  <c r="B26" i="8"/>
  <c r="A26" i="8"/>
  <c r="N25" i="8"/>
  <c r="I25" i="8"/>
  <c r="C25" i="8"/>
  <c r="B25" i="8"/>
  <c r="A25" i="8"/>
  <c r="O24" i="8"/>
  <c r="I6" i="8" s="1"/>
  <c r="I215" i="8" s="1"/>
  <c r="F14" i="9" s="1"/>
  <c r="I24" i="8"/>
  <c r="C24" i="8"/>
  <c r="B24" i="8"/>
  <c r="A24" i="8"/>
  <c r="I23" i="8"/>
  <c r="C23" i="8"/>
  <c r="B23" i="8"/>
  <c r="A23" i="8"/>
  <c r="I22" i="8"/>
  <c r="C22" i="8"/>
  <c r="B22" i="8"/>
  <c r="A22" i="8"/>
  <c r="I21" i="8"/>
  <c r="C21" i="8"/>
  <c r="B21" i="8"/>
  <c r="A21" i="8"/>
  <c r="I20" i="8"/>
  <c r="C20" i="8"/>
  <c r="B20" i="8"/>
  <c r="A20" i="8"/>
  <c r="I19" i="8"/>
  <c r="C19" i="8"/>
  <c r="B19" i="8"/>
  <c r="A19" i="8"/>
  <c r="I18" i="8"/>
  <c r="C18" i="8"/>
  <c r="B18" i="8"/>
  <c r="A18" i="8"/>
  <c r="I17" i="8"/>
  <c r="C17" i="8"/>
  <c r="B17" i="8"/>
  <c r="A17" i="8"/>
  <c r="I16" i="8"/>
  <c r="C16" i="8"/>
  <c r="B16" i="8"/>
  <c r="A16" i="8"/>
  <c r="I15" i="8"/>
  <c r="C15" i="8"/>
  <c r="B15" i="8"/>
  <c r="A15" i="8"/>
  <c r="I14" i="8"/>
  <c r="C14" i="8"/>
  <c r="B14" i="8"/>
  <c r="A14" i="8"/>
  <c r="I13" i="8"/>
  <c r="C13" i="8"/>
  <c r="B13" i="8"/>
  <c r="A13" i="8"/>
  <c r="I12" i="8"/>
  <c r="C12" i="8"/>
  <c r="B12" i="8"/>
  <c r="A12" i="8"/>
  <c r="I11" i="8"/>
  <c r="C11" i="8"/>
  <c r="B11" i="8"/>
  <c r="A11" i="8"/>
  <c r="I10" i="8"/>
  <c r="C10" i="8"/>
  <c r="B10" i="8"/>
  <c r="A10" i="8"/>
  <c r="I9" i="8"/>
  <c r="C9" i="8"/>
  <c r="B9" i="8"/>
  <c r="A9" i="8"/>
  <c r="I8" i="8"/>
  <c r="C8" i="8"/>
  <c r="B8" i="8"/>
  <c r="A8" i="8"/>
  <c r="I7" i="8"/>
  <c r="C7" i="8"/>
  <c r="B7" i="8"/>
  <c r="A7" i="8"/>
  <c r="O4" i="8"/>
  <c r="O7" i="8" s="1"/>
  <c r="B2" i="8"/>
  <c r="A2" i="8"/>
  <c r="A1" i="8"/>
  <c r="C216" i="7"/>
  <c r="J208" i="7"/>
  <c r="I208" i="7" s="1"/>
  <c r="J206" i="7"/>
  <c r="I206" i="7"/>
  <c r="H206" i="7"/>
  <c r="G206" i="7"/>
  <c r="F206" i="7"/>
  <c r="E206" i="7"/>
  <c r="D206" i="7"/>
  <c r="C206" i="7"/>
  <c r="B206" i="7"/>
  <c r="A206" i="7"/>
  <c r="J205" i="7"/>
  <c r="I205" i="7"/>
  <c r="H205" i="7"/>
  <c r="G205" i="7"/>
  <c r="F205" i="7"/>
  <c r="E205" i="7"/>
  <c r="D205" i="7"/>
  <c r="C205" i="7"/>
  <c r="B205" i="7"/>
  <c r="A205" i="7"/>
  <c r="J204" i="7"/>
  <c r="I204" i="7"/>
  <c r="H204" i="7"/>
  <c r="G204" i="7"/>
  <c r="F204" i="7"/>
  <c r="E204" i="7"/>
  <c r="D204" i="7"/>
  <c r="C204" i="7"/>
  <c r="B204" i="7"/>
  <c r="A204" i="7"/>
  <c r="J203" i="7"/>
  <c r="I203" i="7"/>
  <c r="H203" i="7"/>
  <c r="G203" i="7"/>
  <c r="F203" i="7"/>
  <c r="E203" i="7"/>
  <c r="D203" i="7"/>
  <c r="C203" i="7"/>
  <c r="B203" i="7"/>
  <c r="A203" i="7"/>
  <c r="J202" i="7"/>
  <c r="I202" i="7"/>
  <c r="H202" i="7"/>
  <c r="G202" i="7"/>
  <c r="F202" i="7"/>
  <c r="E202" i="7"/>
  <c r="D202" i="7"/>
  <c r="C202" i="7"/>
  <c r="B202" i="7"/>
  <c r="A202" i="7"/>
  <c r="J201" i="7"/>
  <c r="I201" i="7"/>
  <c r="H201" i="7"/>
  <c r="G201" i="7"/>
  <c r="F201" i="7"/>
  <c r="E201" i="7"/>
  <c r="D201" i="7"/>
  <c r="C201" i="7"/>
  <c r="B201" i="7"/>
  <c r="A201" i="7"/>
  <c r="J200" i="7"/>
  <c r="I200" i="7"/>
  <c r="H200" i="7"/>
  <c r="G200" i="7"/>
  <c r="F200" i="7"/>
  <c r="E200" i="7"/>
  <c r="D200" i="7"/>
  <c r="C200" i="7"/>
  <c r="B200" i="7"/>
  <c r="A200" i="7"/>
  <c r="J199" i="7"/>
  <c r="I199" i="7"/>
  <c r="H199" i="7"/>
  <c r="G199" i="7"/>
  <c r="F199" i="7"/>
  <c r="E199" i="7"/>
  <c r="D199" i="7"/>
  <c r="C199" i="7"/>
  <c r="B199" i="7"/>
  <c r="A199" i="7"/>
  <c r="J198" i="7"/>
  <c r="I198" i="7"/>
  <c r="H198" i="7"/>
  <c r="G198" i="7"/>
  <c r="F198" i="7"/>
  <c r="E198" i="7"/>
  <c r="D198" i="7"/>
  <c r="C198" i="7"/>
  <c r="B198" i="7"/>
  <c r="A198" i="7"/>
  <c r="J197" i="7"/>
  <c r="I197" i="7"/>
  <c r="H197" i="7"/>
  <c r="G197" i="7"/>
  <c r="F197" i="7"/>
  <c r="E197" i="7"/>
  <c r="D197" i="7"/>
  <c r="C197" i="7"/>
  <c r="B197" i="7"/>
  <c r="A197" i="7"/>
  <c r="J196" i="7"/>
  <c r="I196" i="7"/>
  <c r="H196" i="7"/>
  <c r="G196" i="7"/>
  <c r="F196" i="7"/>
  <c r="E196" i="7"/>
  <c r="D196" i="7"/>
  <c r="C196" i="7"/>
  <c r="B196" i="7"/>
  <c r="A196" i="7"/>
  <c r="J195" i="7"/>
  <c r="I195" i="7"/>
  <c r="H195" i="7"/>
  <c r="G195" i="7"/>
  <c r="F195" i="7"/>
  <c r="E195" i="7"/>
  <c r="D195" i="7"/>
  <c r="C195" i="7"/>
  <c r="B195" i="7"/>
  <c r="A195" i="7"/>
  <c r="J194" i="7"/>
  <c r="I194" i="7"/>
  <c r="H194" i="7"/>
  <c r="G194" i="7"/>
  <c r="F194" i="7"/>
  <c r="E194" i="7"/>
  <c r="D194" i="7"/>
  <c r="C194" i="7"/>
  <c r="B194" i="7"/>
  <c r="A194" i="7"/>
  <c r="J193" i="7"/>
  <c r="I193" i="7"/>
  <c r="H193" i="7"/>
  <c r="G193" i="7"/>
  <c r="F193" i="7"/>
  <c r="E193" i="7"/>
  <c r="D193" i="7"/>
  <c r="C193" i="7"/>
  <c r="B193" i="7"/>
  <c r="A193" i="7"/>
  <c r="J192" i="7"/>
  <c r="I192" i="7"/>
  <c r="H192" i="7"/>
  <c r="G192" i="7"/>
  <c r="F192" i="7"/>
  <c r="E192" i="7"/>
  <c r="D192" i="7"/>
  <c r="C192" i="7"/>
  <c r="B192" i="7"/>
  <c r="A192" i="7"/>
  <c r="J191" i="7"/>
  <c r="I191" i="7"/>
  <c r="H191" i="7"/>
  <c r="G191" i="7"/>
  <c r="F191" i="7"/>
  <c r="E191" i="7"/>
  <c r="D191" i="7"/>
  <c r="C191" i="7"/>
  <c r="B191" i="7"/>
  <c r="A191" i="7"/>
  <c r="J190" i="7"/>
  <c r="I190" i="7"/>
  <c r="H190" i="7"/>
  <c r="G190" i="7"/>
  <c r="F190" i="7"/>
  <c r="E190" i="7"/>
  <c r="D190" i="7"/>
  <c r="C190" i="7"/>
  <c r="B190" i="7"/>
  <c r="A190" i="7"/>
  <c r="J189" i="7"/>
  <c r="I189" i="7"/>
  <c r="H189" i="7"/>
  <c r="G189" i="7"/>
  <c r="F189" i="7"/>
  <c r="E189" i="7"/>
  <c r="D189" i="7"/>
  <c r="C189" i="7"/>
  <c r="B189" i="7"/>
  <c r="A189" i="7"/>
  <c r="J188" i="7"/>
  <c r="I188" i="7"/>
  <c r="H188" i="7"/>
  <c r="G188" i="7"/>
  <c r="F188" i="7"/>
  <c r="E188" i="7"/>
  <c r="D188" i="7"/>
  <c r="C188" i="7"/>
  <c r="B188" i="7"/>
  <c r="A188" i="7"/>
  <c r="J187" i="7"/>
  <c r="I187" i="7"/>
  <c r="H187" i="7"/>
  <c r="G187" i="7"/>
  <c r="F187" i="7"/>
  <c r="E187" i="7"/>
  <c r="D187" i="7"/>
  <c r="C187" i="7"/>
  <c r="B187" i="7"/>
  <c r="A187" i="7"/>
  <c r="J186" i="7"/>
  <c r="I186" i="7"/>
  <c r="H186" i="7"/>
  <c r="G186" i="7"/>
  <c r="F186" i="7"/>
  <c r="E186" i="7"/>
  <c r="D186" i="7"/>
  <c r="C186" i="7"/>
  <c r="B186" i="7"/>
  <c r="A186" i="7"/>
  <c r="J185" i="7"/>
  <c r="I185" i="7"/>
  <c r="H185" i="7"/>
  <c r="G185" i="7"/>
  <c r="F185" i="7"/>
  <c r="E185" i="7"/>
  <c r="D185" i="7"/>
  <c r="C185" i="7"/>
  <c r="B185" i="7"/>
  <c r="A185" i="7"/>
  <c r="J184" i="7"/>
  <c r="I184" i="7"/>
  <c r="H184" i="7"/>
  <c r="G184" i="7"/>
  <c r="F184" i="7"/>
  <c r="E184" i="7"/>
  <c r="D184" i="7"/>
  <c r="C184" i="7"/>
  <c r="B184" i="7"/>
  <c r="A184" i="7"/>
  <c r="J183" i="7"/>
  <c r="I183" i="7"/>
  <c r="H183" i="7"/>
  <c r="G183" i="7"/>
  <c r="F183" i="7"/>
  <c r="E183" i="7"/>
  <c r="D183" i="7"/>
  <c r="C183" i="7"/>
  <c r="B183" i="7"/>
  <c r="A183" i="7"/>
  <c r="J182" i="7"/>
  <c r="I182" i="7"/>
  <c r="H182" i="7"/>
  <c r="G182" i="7"/>
  <c r="F182" i="7"/>
  <c r="E182" i="7"/>
  <c r="D182" i="7"/>
  <c r="C182" i="7"/>
  <c r="B182" i="7"/>
  <c r="A182" i="7"/>
  <c r="J181" i="7"/>
  <c r="I181" i="7"/>
  <c r="H181" i="7"/>
  <c r="G181" i="7"/>
  <c r="F181" i="7"/>
  <c r="E181" i="7"/>
  <c r="D181" i="7"/>
  <c r="C181" i="7"/>
  <c r="B181" i="7"/>
  <c r="A181" i="7"/>
  <c r="J180" i="7"/>
  <c r="I180" i="7"/>
  <c r="H180" i="7"/>
  <c r="G180" i="7"/>
  <c r="F180" i="7"/>
  <c r="E180" i="7"/>
  <c r="D180" i="7"/>
  <c r="C180" i="7"/>
  <c r="B180" i="7"/>
  <c r="A180" i="7"/>
  <c r="J179" i="7"/>
  <c r="I179" i="7"/>
  <c r="H179" i="7"/>
  <c r="G179" i="7"/>
  <c r="F179" i="7"/>
  <c r="E179" i="7"/>
  <c r="D179" i="7"/>
  <c r="C179" i="7"/>
  <c r="B179" i="7"/>
  <c r="A179" i="7"/>
  <c r="J178" i="7"/>
  <c r="I178" i="7"/>
  <c r="H178" i="7"/>
  <c r="G178" i="7"/>
  <c r="F178" i="7"/>
  <c r="E178" i="7"/>
  <c r="D178" i="7"/>
  <c r="C178" i="7"/>
  <c r="B178" i="7"/>
  <c r="A178" i="7"/>
  <c r="J177" i="7"/>
  <c r="I177" i="7"/>
  <c r="H177" i="7"/>
  <c r="G177" i="7"/>
  <c r="F177" i="7"/>
  <c r="E177" i="7"/>
  <c r="D177" i="7"/>
  <c r="C177" i="7"/>
  <c r="B177" i="7"/>
  <c r="A177" i="7"/>
  <c r="J176" i="7"/>
  <c r="I176" i="7"/>
  <c r="H176" i="7"/>
  <c r="G176" i="7"/>
  <c r="F176" i="7"/>
  <c r="E176" i="7"/>
  <c r="D176" i="7"/>
  <c r="C176" i="7"/>
  <c r="B176" i="7"/>
  <c r="A176" i="7"/>
  <c r="J175" i="7"/>
  <c r="I175" i="7"/>
  <c r="H175" i="7"/>
  <c r="G175" i="7"/>
  <c r="F175" i="7"/>
  <c r="E175" i="7"/>
  <c r="D175" i="7"/>
  <c r="C175" i="7"/>
  <c r="B175" i="7"/>
  <c r="A175" i="7"/>
  <c r="J174" i="7"/>
  <c r="I174" i="7"/>
  <c r="H174" i="7"/>
  <c r="G174" i="7"/>
  <c r="F174" i="7"/>
  <c r="E174" i="7"/>
  <c r="D174" i="7"/>
  <c r="C174" i="7"/>
  <c r="B174" i="7"/>
  <c r="A174" i="7"/>
  <c r="J173" i="7"/>
  <c r="I173" i="7"/>
  <c r="H173" i="7"/>
  <c r="G173" i="7"/>
  <c r="F173" i="7"/>
  <c r="E173" i="7"/>
  <c r="D173" i="7"/>
  <c r="C173" i="7"/>
  <c r="B173" i="7"/>
  <c r="A173" i="7"/>
  <c r="J172" i="7"/>
  <c r="I172" i="7"/>
  <c r="H172" i="7"/>
  <c r="G172" i="7"/>
  <c r="F172" i="7"/>
  <c r="E172" i="7"/>
  <c r="D172" i="7"/>
  <c r="C172" i="7"/>
  <c r="B172" i="7"/>
  <c r="A172" i="7"/>
  <c r="J171" i="7"/>
  <c r="I171" i="7"/>
  <c r="H171" i="7"/>
  <c r="G171" i="7"/>
  <c r="F171" i="7"/>
  <c r="E171" i="7"/>
  <c r="D171" i="7"/>
  <c r="C171" i="7"/>
  <c r="B171" i="7"/>
  <c r="A171" i="7"/>
  <c r="J170" i="7"/>
  <c r="I170" i="7"/>
  <c r="H170" i="7"/>
  <c r="G170" i="7"/>
  <c r="F170" i="7"/>
  <c r="E170" i="7"/>
  <c r="D170" i="7"/>
  <c r="C170" i="7"/>
  <c r="B170" i="7"/>
  <c r="A170" i="7"/>
  <c r="J169" i="7"/>
  <c r="I169" i="7"/>
  <c r="H169" i="7"/>
  <c r="G169" i="7"/>
  <c r="F169" i="7"/>
  <c r="E169" i="7"/>
  <c r="D169" i="7"/>
  <c r="C169" i="7"/>
  <c r="B169" i="7"/>
  <c r="A169" i="7"/>
  <c r="J168" i="7"/>
  <c r="I168" i="7"/>
  <c r="H168" i="7"/>
  <c r="G168" i="7"/>
  <c r="F168" i="7"/>
  <c r="E168" i="7"/>
  <c r="D168" i="7"/>
  <c r="C168" i="7"/>
  <c r="B168" i="7"/>
  <c r="A168" i="7"/>
  <c r="J167" i="7"/>
  <c r="I167" i="7"/>
  <c r="H167" i="7"/>
  <c r="G167" i="7"/>
  <c r="F167" i="7"/>
  <c r="E167" i="7"/>
  <c r="D167" i="7"/>
  <c r="C167" i="7"/>
  <c r="B167" i="7"/>
  <c r="A167" i="7"/>
  <c r="J166" i="7"/>
  <c r="I166" i="7"/>
  <c r="H166" i="7"/>
  <c r="G166" i="7"/>
  <c r="F166" i="7"/>
  <c r="E166" i="7"/>
  <c r="D166" i="7"/>
  <c r="C166" i="7"/>
  <c r="B166" i="7"/>
  <c r="A166" i="7"/>
  <c r="J165" i="7"/>
  <c r="I165" i="7"/>
  <c r="H165" i="7"/>
  <c r="G165" i="7"/>
  <c r="F165" i="7"/>
  <c r="E165" i="7"/>
  <c r="D165" i="7"/>
  <c r="C165" i="7"/>
  <c r="B165" i="7"/>
  <c r="A165" i="7"/>
  <c r="J164" i="7"/>
  <c r="I164" i="7"/>
  <c r="H164" i="7"/>
  <c r="G164" i="7"/>
  <c r="F164" i="7"/>
  <c r="E164" i="7"/>
  <c r="D164" i="7"/>
  <c r="C164" i="7"/>
  <c r="B164" i="7"/>
  <c r="A164" i="7"/>
  <c r="J163" i="7"/>
  <c r="I163" i="7"/>
  <c r="H163" i="7"/>
  <c r="G163" i="7"/>
  <c r="F163" i="7"/>
  <c r="E163" i="7"/>
  <c r="D163" i="7"/>
  <c r="C163" i="7"/>
  <c r="B163" i="7"/>
  <c r="A163" i="7"/>
  <c r="J162" i="7"/>
  <c r="I162" i="7"/>
  <c r="H162" i="7"/>
  <c r="G162" i="7"/>
  <c r="F162" i="7"/>
  <c r="E162" i="7"/>
  <c r="D162" i="7"/>
  <c r="C162" i="7"/>
  <c r="B162" i="7"/>
  <c r="A162" i="7"/>
  <c r="J161" i="7"/>
  <c r="I161" i="7"/>
  <c r="H161" i="7"/>
  <c r="G161" i="7"/>
  <c r="F161" i="7"/>
  <c r="E161" i="7"/>
  <c r="D161" i="7"/>
  <c r="C161" i="7"/>
  <c r="B161" i="7"/>
  <c r="A161" i="7"/>
  <c r="J160" i="7"/>
  <c r="I160" i="7"/>
  <c r="H160" i="7"/>
  <c r="G160" i="7"/>
  <c r="F160" i="7"/>
  <c r="E160" i="7"/>
  <c r="D160" i="7"/>
  <c r="C160" i="7"/>
  <c r="B160" i="7"/>
  <c r="A160" i="7"/>
  <c r="J159" i="7"/>
  <c r="I159" i="7"/>
  <c r="H159" i="7"/>
  <c r="G159" i="7"/>
  <c r="F159" i="7"/>
  <c r="E159" i="7"/>
  <c r="D159" i="7"/>
  <c r="C159" i="7"/>
  <c r="B159" i="7"/>
  <c r="A159" i="7"/>
  <c r="J158" i="7"/>
  <c r="I158" i="7"/>
  <c r="H158" i="7"/>
  <c r="G158" i="7"/>
  <c r="F158" i="7"/>
  <c r="E158" i="7"/>
  <c r="D158" i="7"/>
  <c r="C158" i="7"/>
  <c r="B158" i="7"/>
  <c r="A158" i="7"/>
  <c r="J157" i="7"/>
  <c r="I157" i="7"/>
  <c r="H157" i="7"/>
  <c r="G157" i="7"/>
  <c r="F157" i="7"/>
  <c r="E157" i="7"/>
  <c r="D157" i="7"/>
  <c r="C157" i="7"/>
  <c r="B157" i="7"/>
  <c r="A157" i="7"/>
  <c r="J156" i="7"/>
  <c r="I156" i="7"/>
  <c r="H156" i="7"/>
  <c r="G156" i="7"/>
  <c r="F156" i="7"/>
  <c r="E156" i="7"/>
  <c r="D156" i="7"/>
  <c r="C156" i="7"/>
  <c r="B156" i="7"/>
  <c r="A156" i="7"/>
  <c r="J155" i="7"/>
  <c r="I155" i="7"/>
  <c r="H155" i="7"/>
  <c r="G155" i="7"/>
  <c r="F155" i="7"/>
  <c r="E155" i="7"/>
  <c r="D155" i="7"/>
  <c r="C155" i="7"/>
  <c r="B155" i="7"/>
  <c r="A155" i="7"/>
  <c r="J154" i="7"/>
  <c r="I154" i="7"/>
  <c r="H154" i="7"/>
  <c r="G154" i="7"/>
  <c r="F154" i="7"/>
  <c r="E154" i="7"/>
  <c r="D154" i="7"/>
  <c r="C154" i="7"/>
  <c r="B154" i="7"/>
  <c r="A154" i="7"/>
  <c r="J153" i="7"/>
  <c r="I153" i="7"/>
  <c r="H153" i="7"/>
  <c r="G153" i="7"/>
  <c r="F153" i="7"/>
  <c r="E153" i="7"/>
  <c r="D153" i="7"/>
  <c r="C153" i="7"/>
  <c r="B153" i="7"/>
  <c r="A153" i="7"/>
  <c r="J152" i="7"/>
  <c r="I152" i="7"/>
  <c r="H152" i="7"/>
  <c r="G152" i="7"/>
  <c r="F152" i="7"/>
  <c r="E152" i="7"/>
  <c r="D152" i="7"/>
  <c r="C152" i="7"/>
  <c r="B152" i="7"/>
  <c r="A152" i="7"/>
  <c r="J151" i="7"/>
  <c r="I151" i="7"/>
  <c r="H151" i="7"/>
  <c r="G151" i="7"/>
  <c r="F151" i="7"/>
  <c r="E151" i="7"/>
  <c r="D151" i="7"/>
  <c r="C151" i="7"/>
  <c r="B151" i="7"/>
  <c r="A151" i="7"/>
  <c r="J150" i="7"/>
  <c r="I150" i="7"/>
  <c r="H150" i="7"/>
  <c r="G150" i="7"/>
  <c r="F150" i="7"/>
  <c r="E150" i="7"/>
  <c r="D150" i="7"/>
  <c r="C150" i="7"/>
  <c r="B150" i="7"/>
  <c r="A150" i="7"/>
  <c r="J149" i="7"/>
  <c r="I149" i="7"/>
  <c r="H149" i="7"/>
  <c r="G149" i="7"/>
  <c r="F149" i="7"/>
  <c r="E149" i="7"/>
  <c r="D149" i="7"/>
  <c r="C149" i="7"/>
  <c r="B149" i="7"/>
  <c r="A149" i="7"/>
  <c r="J148" i="7"/>
  <c r="I148" i="7"/>
  <c r="H148" i="7"/>
  <c r="G148" i="7"/>
  <c r="F148" i="7"/>
  <c r="E148" i="7"/>
  <c r="D148" i="7"/>
  <c r="C148" i="7"/>
  <c r="B148" i="7"/>
  <c r="A148" i="7"/>
  <c r="J147" i="7"/>
  <c r="I147" i="7"/>
  <c r="H147" i="7"/>
  <c r="G147" i="7"/>
  <c r="F147" i="7"/>
  <c r="E147" i="7"/>
  <c r="D147" i="7"/>
  <c r="C147" i="7"/>
  <c r="B147" i="7"/>
  <c r="A147" i="7"/>
  <c r="J146" i="7"/>
  <c r="I146" i="7"/>
  <c r="H146" i="7"/>
  <c r="G146" i="7"/>
  <c r="F146" i="7"/>
  <c r="E146" i="7"/>
  <c r="D146" i="7"/>
  <c r="C146" i="7"/>
  <c r="B146" i="7"/>
  <c r="A146" i="7"/>
  <c r="J145" i="7"/>
  <c r="I145" i="7"/>
  <c r="H145" i="7"/>
  <c r="G145" i="7"/>
  <c r="F145" i="7"/>
  <c r="E145" i="7"/>
  <c r="D145" i="7"/>
  <c r="C145" i="7"/>
  <c r="B145" i="7"/>
  <c r="A145" i="7"/>
  <c r="J144" i="7"/>
  <c r="I144" i="7"/>
  <c r="H144" i="7"/>
  <c r="G144" i="7"/>
  <c r="F144" i="7"/>
  <c r="E144" i="7"/>
  <c r="D144" i="7"/>
  <c r="C144" i="7"/>
  <c r="B144" i="7"/>
  <c r="A144" i="7"/>
  <c r="J143" i="7"/>
  <c r="I143" i="7"/>
  <c r="H143" i="7"/>
  <c r="G143" i="7"/>
  <c r="F143" i="7"/>
  <c r="E143" i="7"/>
  <c r="D143" i="7"/>
  <c r="C143" i="7"/>
  <c r="B143" i="7"/>
  <c r="A143" i="7"/>
  <c r="J142" i="7"/>
  <c r="I142" i="7"/>
  <c r="H142" i="7"/>
  <c r="G142" i="7"/>
  <c r="F142" i="7"/>
  <c r="E142" i="7"/>
  <c r="D142" i="7"/>
  <c r="C142" i="7"/>
  <c r="B142" i="7"/>
  <c r="A142" i="7"/>
  <c r="J141" i="7"/>
  <c r="I141" i="7"/>
  <c r="H141" i="7"/>
  <c r="G141" i="7"/>
  <c r="F141" i="7"/>
  <c r="E141" i="7"/>
  <c r="D141" i="7"/>
  <c r="C141" i="7"/>
  <c r="B141" i="7"/>
  <c r="A141" i="7"/>
  <c r="J140" i="7"/>
  <c r="I140" i="7"/>
  <c r="H140" i="7"/>
  <c r="G140" i="7"/>
  <c r="F140" i="7"/>
  <c r="E140" i="7"/>
  <c r="D140" i="7"/>
  <c r="C140" i="7"/>
  <c r="B140" i="7"/>
  <c r="A140" i="7"/>
  <c r="J139" i="7"/>
  <c r="I139" i="7"/>
  <c r="H139" i="7"/>
  <c r="G139" i="7"/>
  <c r="F139" i="7"/>
  <c r="E139" i="7"/>
  <c r="D139" i="7"/>
  <c r="C139" i="7"/>
  <c r="B139" i="7"/>
  <c r="A139" i="7"/>
  <c r="J138" i="7"/>
  <c r="I138" i="7"/>
  <c r="H138" i="7"/>
  <c r="G138" i="7"/>
  <c r="F138" i="7"/>
  <c r="E138" i="7"/>
  <c r="D138" i="7"/>
  <c r="C138" i="7"/>
  <c r="B138" i="7"/>
  <c r="A138" i="7"/>
  <c r="J137" i="7"/>
  <c r="I137" i="7"/>
  <c r="H137" i="7"/>
  <c r="G137" i="7"/>
  <c r="F137" i="7"/>
  <c r="E137" i="7"/>
  <c r="D137" i="7"/>
  <c r="C137" i="7"/>
  <c r="B137" i="7"/>
  <c r="A137" i="7"/>
  <c r="J136" i="7"/>
  <c r="I136" i="7"/>
  <c r="H136" i="7"/>
  <c r="G136" i="7"/>
  <c r="F136" i="7"/>
  <c r="E136" i="7"/>
  <c r="D136" i="7"/>
  <c r="C136" i="7"/>
  <c r="B136" i="7"/>
  <c r="A136" i="7"/>
  <c r="J135" i="7"/>
  <c r="I135" i="7"/>
  <c r="H135" i="7"/>
  <c r="G135" i="7"/>
  <c r="F135" i="7"/>
  <c r="E135" i="7"/>
  <c r="D135" i="7"/>
  <c r="C135" i="7"/>
  <c r="B135" i="7"/>
  <c r="A135" i="7"/>
  <c r="J134" i="7"/>
  <c r="I134" i="7"/>
  <c r="H134" i="7"/>
  <c r="G134" i="7"/>
  <c r="F134" i="7"/>
  <c r="E134" i="7"/>
  <c r="D134" i="7"/>
  <c r="C134" i="7"/>
  <c r="B134" i="7"/>
  <c r="A134" i="7"/>
  <c r="J133" i="7"/>
  <c r="I133" i="7"/>
  <c r="H133" i="7"/>
  <c r="G133" i="7"/>
  <c r="F133" i="7"/>
  <c r="E133" i="7"/>
  <c r="D133" i="7"/>
  <c r="C133" i="7"/>
  <c r="B133" i="7"/>
  <c r="A133" i="7"/>
  <c r="J132" i="7"/>
  <c r="I132" i="7"/>
  <c r="H132" i="7"/>
  <c r="G132" i="7"/>
  <c r="F132" i="7"/>
  <c r="E132" i="7"/>
  <c r="D132" i="7"/>
  <c r="C132" i="7"/>
  <c r="B132" i="7"/>
  <c r="A132" i="7"/>
  <c r="J131" i="7"/>
  <c r="I131" i="7"/>
  <c r="H131" i="7"/>
  <c r="G131" i="7"/>
  <c r="F131" i="7"/>
  <c r="E131" i="7"/>
  <c r="D131" i="7"/>
  <c r="C131" i="7"/>
  <c r="B131" i="7"/>
  <c r="A131" i="7"/>
  <c r="J130" i="7"/>
  <c r="I130" i="7"/>
  <c r="H130" i="7"/>
  <c r="G130" i="7"/>
  <c r="F130" i="7"/>
  <c r="E130" i="7"/>
  <c r="D130" i="7"/>
  <c r="C130" i="7"/>
  <c r="B130" i="7"/>
  <c r="A130" i="7"/>
  <c r="J129" i="7"/>
  <c r="I129" i="7"/>
  <c r="H129" i="7"/>
  <c r="G129" i="7"/>
  <c r="F129" i="7"/>
  <c r="E129" i="7"/>
  <c r="D129" i="7"/>
  <c r="C129" i="7"/>
  <c r="B129" i="7"/>
  <c r="A129" i="7"/>
  <c r="J128" i="7"/>
  <c r="I128" i="7"/>
  <c r="H128" i="7"/>
  <c r="G128" i="7"/>
  <c r="F128" i="7"/>
  <c r="E128" i="7"/>
  <c r="D128" i="7"/>
  <c r="C128" i="7"/>
  <c r="B128" i="7"/>
  <c r="A128" i="7"/>
  <c r="J127" i="7"/>
  <c r="I127" i="7"/>
  <c r="H127" i="7"/>
  <c r="G127" i="7"/>
  <c r="F127" i="7"/>
  <c r="E127" i="7"/>
  <c r="D127" i="7"/>
  <c r="C127" i="7"/>
  <c r="B127" i="7"/>
  <c r="A127" i="7"/>
  <c r="J126" i="7"/>
  <c r="I126" i="7"/>
  <c r="H126" i="7"/>
  <c r="G126" i="7"/>
  <c r="F126" i="7"/>
  <c r="E126" i="7"/>
  <c r="D126" i="7"/>
  <c r="C126" i="7"/>
  <c r="B126" i="7"/>
  <c r="A126" i="7"/>
  <c r="J125" i="7"/>
  <c r="I125" i="7"/>
  <c r="H125" i="7"/>
  <c r="G125" i="7"/>
  <c r="F125" i="7"/>
  <c r="E125" i="7"/>
  <c r="D125" i="7"/>
  <c r="C125" i="7"/>
  <c r="B125" i="7"/>
  <c r="A125" i="7"/>
  <c r="J124" i="7"/>
  <c r="I124" i="7"/>
  <c r="H124" i="7"/>
  <c r="G124" i="7"/>
  <c r="F124" i="7"/>
  <c r="E124" i="7"/>
  <c r="D124" i="7"/>
  <c r="C124" i="7"/>
  <c r="B124" i="7"/>
  <c r="A124" i="7"/>
  <c r="J123" i="7"/>
  <c r="I123" i="7"/>
  <c r="H123" i="7"/>
  <c r="G123" i="7"/>
  <c r="F123" i="7"/>
  <c r="E123" i="7"/>
  <c r="D123" i="7"/>
  <c r="C123" i="7"/>
  <c r="B123" i="7"/>
  <c r="A123" i="7"/>
  <c r="J122" i="7"/>
  <c r="I122" i="7"/>
  <c r="H122" i="7"/>
  <c r="G122" i="7"/>
  <c r="F122" i="7"/>
  <c r="E122" i="7"/>
  <c r="D122" i="7"/>
  <c r="C122" i="7"/>
  <c r="B122" i="7"/>
  <c r="A122" i="7"/>
  <c r="J121" i="7"/>
  <c r="I121" i="7"/>
  <c r="H121" i="7"/>
  <c r="G121" i="7"/>
  <c r="F121" i="7"/>
  <c r="E121" i="7"/>
  <c r="D121" i="7"/>
  <c r="C121" i="7"/>
  <c r="B121" i="7"/>
  <c r="A121" i="7"/>
  <c r="J120" i="7"/>
  <c r="I120" i="7"/>
  <c r="H120" i="7"/>
  <c r="G120" i="7"/>
  <c r="F120" i="7"/>
  <c r="E120" i="7"/>
  <c r="D120" i="7"/>
  <c r="C120" i="7"/>
  <c r="B120" i="7"/>
  <c r="A120" i="7"/>
  <c r="J119" i="7"/>
  <c r="I119" i="7"/>
  <c r="H119" i="7"/>
  <c r="G119" i="7"/>
  <c r="F119" i="7"/>
  <c r="E119" i="7"/>
  <c r="D119" i="7"/>
  <c r="C119" i="7"/>
  <c r="B119" i="7"/>
  <c r="A119" i="7"/>
  <c r="J118" i="7"/>
  <c r="I118" i="7"/>
  <c r="H118" i="7"/>
  <c r="G118" i="7"/>
  <c r="F118" i="7"/>
  <c r="E118" i="7"/>
  <c r="D118" i="7"/>
  <c r="C118" i="7"/>
  <c r="B118" i="7"/>
  <c r="A118" i="7"/>
  <c r="J117" i="7"/>
  <c r="I117" i="7"/>
  <c r="H117" i="7"/>
  <c r="G117" i="7"/>
  <c r="F117" i="7"/>
  <c r="E117" i="7"/>
  <c r="D117" i="7"/>
  <c r="C117" i="7"/>
  <c r="B117" i="7"/>
  <c r="A117" i="7"/>
  <c r="J116" i="7"/>
  <c r="I116" i="7"/>
  <c r="H116" i="7"/>
  <c r="G116" i="7"/>
  <c r="F116" i="7"/>
  <c r="E116" i="7"/>
  <c r="D116" i="7"/>
  <c r="C116" i="7"/>
  <c r="B116" i="7"/>
  <c r="A116" i="7"/>
  <c r="J115" i="7"/>
  <c r="I115" i="7"/>
  <c r="H115" i="7"/>
  <c r="G115" i="7"/>
  <c r="F115" i="7"/>
  <c r="E115" i="7"/>
  <c r="D115" i="7"/>
  <c r="C115" i="7"/>
  <c r="B115" i="7"/>
  <c r="A115" i="7"/>
  <c r="J114" i="7"/>
  <c r="I114" i="7"/>
  <c r="H114" i="7"/>
  <c r="G114" i="7"/>
  <c r="F114" i="7"/>
  <c r="E114" i="7"/>
  <c r="D114" i="7"/>
  <c r="C114" i="7"/>
  <c r="B114" i="7"/>
  <c r="A114" i="7"/>
  <c r="J113" i="7"/>
  <c r="I113" i="7"/>
  <c r="H113" i="7"/>
  <c r="G113" i="7"/>
  <c r="F113" i="7"/>
  <c r="E113" i="7"/>
  <c r="D113" i="7"/>
  <c r="C113" i="7"/>
  <c r="B113" i="7"/>
  <c r="A113" i="7"/>
  <c r="J112" i="7"/>
  <c r="I112" i="7"/>
  <c r="H112" i="7"/>
  <c r="G112" i="7"/>
  <c r="F112" i="7"/>
  <c r="E112" i="7"/>
  <c r="D112" i="7"/>
  <c r="C112" i="7"/>
  <c r="B112" i="7"/>
  <c r="A112" i="7"/>
  <c r="J111" i="7"/>
  <c r="I111" i="7"/>
  <c r="H111" i="7"/>
  <c r="G111" i="7"/>
  <c r="F111" i="7"/>
  <c r="E111" i="7"/>
  <c r="D111" i="7"/>
  <c r="C111" i="7"/>
  <c r="B111" i="7"/>
  <c r="A111" i="7"/>
  <c r="J110" i="7"/>
  <c r="I110" i="7"/>
  <c r="H110" i="7"/>
  <c r="G110" i="7"/>
  <c r="F110" i="7"/>
  <c r="E110" i="7"/>
  <c r="D110" i="7"/>
  <c r="C110" i="7"/>
  <c r="B110" i="7"/>
  <c r="A110" i="7"/>
  <c r="J109" i="7"/>
  <c r="I109" i="7"/>
  <c r="H109" i="7"/>
  <c r="G109" i="7"/>
  <c r="F109" i="7"/>
  <c r="E109" i="7"/>
  <c r="D109" i="7"/>
  <c r="C109" i="7"/>
  <c r="B109" i="7"/>
  <c r="A109" i="7"/>
  <c r="J108" i="7"/>
  <c r="I108" i="7"/>
  <c r="H108" i="7"/>
  <c r="G108" i="7"/>
  <c r="F108" i="7"/>
  <c r="E108" i="7"/>
  <c r="D108" i="7"/>
  <c r="C108" i="7"/>
  <c r="B108" i="7"/>
  <c r="A108" i="7"/>
  <c r="J107" i="7"/>
  <c r="I107" i="7"/>
  <c r="H107" i="7"/>
  <c r="G107" i="7"/>
  <c r="F107" i="7"/>
  <c r="E107" i="7"/>
  <c r="D107" i="7"/>
  <c r="C107" i="7"/>
  <c r="B107" i="7"/>
  <c r="A107" i="7"/>
  <c r="J106" i="7"/>
  <c r="I106" i="7"/>
  <c r="H106" i="7"/>
  <c r="G106" i="7"/>
  <c r="F106" i="7"/>
  <c r="E106" i="7"/>
  <c r="D106" i="7"/>
  <c r="C106" i="7"/>
  <c r="B106" i="7"/>
  <c r="A106" i="7"/>
  <c r="J105" i="7"/>
  <c r="I105" i="7"/>
  <c r="H105" i="7"/>
  <c r="G105" i="7"/>
  <c r="F105" i="7"/>
  <c r="E105" i="7"/>
  <c r="D105" i="7"/>
  <c r="C105" i="7"/>
  <c r="B105" i="7"/>
  <c r="A105" i="7"/>
  <c r="J104" i="7"/>
  <c r="I104" i="7"/>
  <c r="H104" i="7"/>
  <c r="G104" i="7"/>
  <c r="F104" i="7"/>
  <c r="E104" i="7"/>
  <c r="D104" i="7"/>
  <c r="C104" i="7"/>
  <c r="B104" i="7"/>
  <c r="A104" i="7"/>
  <c r="J103" i="7"/>
  <c r="I103" i="7"/>
  <c r="H103" i="7"/>
  <c r="G103" i="7"/>
  <c r="F103" i="7"/>
  <c r="E103" i="7"/>
  <c r="D103" i="7"/>
  <c r="C103" i="7"/>
  <c r="B103" i="7"/>
  <c r="A103" i="7"/>
  <c r="J102" i="7"/>
  <c r="I102" i="7"/>
  <c r="H102" i="7"/>
  <c r="G102" i="7"/>
  <c r="F102" i="7"/>
  <c r="E102" i="7"/>
  <c r="D102" i="7"/>
  <c r="C102" i="7"/>
  <c r="B102" i="7"/>
  <c r="A102" i="7"/>
  <c r="J101" i="7"/>
  <c r="I101" i="7"/>
  <c r="H101" i="7"/>
  <c r="G101" i="7"/>
  <c r="F101" i="7"/>
  <c r="E101" i="7"/>
  <c r="D101" i="7"/>
  <c r="C101" i="7"/>
  <c r="B101" i="7"/>
  <c r="A101" i="7"/>
  <c r="J100" i="7"/>
  <c r="I100" i="7"/>
  <c r="H100" i="7"/>
  <c r="G100" i="7"/>
  <c r="F100" i="7"/>
  <c r="E100" i="7"/>
  <c r="D100" i="7"/>
  <c r="C100" i="7"/>
  <c r="B100" i="7"/>
  <c r="A100" i="7"/>
  <c r="J99" i="7"/>
  <c r="I99" i="7"/>
  <c r="H99" i="7"/>
  <c r="G99" i="7"/>
  <c r="F99" i="7"/>
  <c r="E99" i="7"/>
  <c r="D99" i="7"/>
  <c r="C99" i="7"/>
  <c r="B99" i="7"/>
  <c r="A99" i="7"/>
  <c r="J98" i="7"/>
  <c r="I98" i="7"/>
  <c r="H98" i="7"/>
  <c r="G98" i="7"/>
  <c r="F98" i="7"/>
  <c r="E98" i="7"/>
  <c r="D98" i="7"/>
  <c r="C98" i="7"/>
  <c r="B98" i="7"/>
  <c r="A98" i="7"/>
  <c r="J97" i="7"/>
  <c r="I97" i="7"/>
  <c r="H97" i="7"/>
  <c r="G97" i="7"/>
  <c r="F97" i="7"/>
  <c r="E97" i="7"/>
  <c r="D97" i="7"/>
  <c r="C97" i="7"/>
  <c r="B97" i="7"/>
  <c r="A97" i="7"/>
  <c r="J96" i="7"/>
  <c r="I96" i="7"/>
  <c r="H96" i="7"/>
  <c r="G96" i="7"/>
  <c r="F96" i="7"/>
  <c r="E96" i="7"/>
  <c r="D96" i="7"/>
  <c r="C96" i="7"/>
  <c r="B96" i="7"/>
  <c r="A96" i="7"/>
  <c r="J95" i="7"/>
  <c r="I95" i="7"/>
  <c r="H95" i="7"/>
  <c r="G95" i="7"/>
  <c r="F95" i="7"/>
  <c r="E95" i="7"/>
  <c r="D95" i="7"/>
  <c r="C95" i="7"/>
  <c r="B95" i="7"/>
  <c r="A95" i="7"/>
  <c r="J94" i="7"/>
  <c r="I94" i="7"/>
  <c r="H94" i="7"/>
  <c r="G94" i="7"/>
  <c r="F94" i="7"/>
  <c r="E94" i="7"/>
  <c r="D94" i="7"/>
  <c r="C94" i="7"/>
  <c r="B94" i="7"/>
  <c r="A94" i="7"/>
  <c r="J93" i="7"/>
  <c r="I93" i="7"/>
  <c r="H93" i="7"/>
  <c r="G93" i="7"/>
  <c r="F93" i="7"/>
  <c r="E93" i="7"/>
  <c r="D93" i="7"/>
  <c r="C93" i="7"/>
  <c r="B93" i="7"/>
  <c r="A93" i="7"/>
  <c r="J92" i="7"/>
  <c r="I92" i="7"/>
  <c r="H92" i="7"/>
  <c r="G92" i="7"/>
  <c r="F92" i="7"/>
  <c r="E92" i="7"/>
  <c r="D92" i="7"/>
  <c r="C92" i="7"/>
  <c r="B92" i="7"/>
  <c r="A92" i="7"/>
  <c r="J91" i="7"/>
  <c r="I91" i="7"/>
  <c r="H91" i="7"/>
  <c r="G91" i="7"/>
  <c r="F91" i="7"/>
  <c r="E91" i="7"/>
  <c r="D91" i="7"/>
  <c r="C91" i="7"/>
  <c r="B91" i="7"/>
  <c r="A91" i="7"/>
  <c r="J90" i="7"/>
  <c r="I90" i="7"/>
  <c r="H90" i="7"/>
  <c r="G90" i="7"/>
  <c r="F90" i="7"/>
  <c r="E90" i="7"/>
  <c r="D90" i="7"/>
  <c r="C90" i="7"/>
  <c r="B90" i="7"/>
  <c r="A90" i="7"/>
  <c r="J89" i="7"/>
  <c r="I89" i="7"/>
  <c r="H89" i="7"/>
  <c r="G89" i="7"/>
  <c r="F89" i="7"/>
  <c r="E89" i="7"/>
  <c r="D89" i="7"/>
  <c r="C89" i="7"/>
  <c r="B89" i="7"/>
  <c r="A89" i="7"/>
  <c r="J88" i="7"/>
  <c r="I88" i="7"/>
  <c r="H88" i="7"/>
  <c r="G88" i="7"/>
  <c r="F88" i="7"/>
  <c r="E88" i="7"/>
  <c r="D88" i="7"/>
  <c r="C88" i="7"/>
  <c r="B88" i="7"/>
  <c r="A88" i="7"/>
  <c r="J87" i="7"/>
  <c r="I87" i="7"/>
  <c r="H87" i="7"/>
  <c r="G87" i="7"/>
  <c r="F87" i="7"/>
  <c r="E87" i="7"/>
  <c r="D87" i="7"/>
  <c r="C87" i="7"/>
  <c r="B87" i="7"/>
  <c r="A87" i="7"/>
  <c r="J86" i="7"/>
  <c r="I86" i="7"/>
  <c r="H86" i="7"/>
  <c r="G86" i="7"/>
  <c r="F86" i="7"/>
  <c r="E86" i="7"/>
  <c r="D86" i="7"/>
  <c r="C86" i="7"/>
  <c r="B86" i="7"/>
  <c r="A86" i="7"/>
  <c r="J85" i="7"/>
  <c r="I85" i="7"/>
  <c r="H85" i="7"/>
  <c r="G85" i="7"/>
  <c r="F85" i="7"/>
  <c r="E85" i="7"/>
  <c r="D85" i="7"/>
  <c r="C85" i="7"/>
  <c r="B85" i="7"/>
  <c r="A85" i="7"/>
  <c r="J84" i="7"/>
  <c r="I84" i="7"/>
  <c r="H84" i="7"/>
  <c r="G84" i="7"/>
  <c r="F84" i="7"/>
  <c r="E84" i="7"/>
  <c r="D84" i="7"/>
  <c r="C84" i="7"/>
  <c r="B84" i="7"/>
  <c r="A84" i="7"/>
  <c r="J83" i="7"/>
  <c r="I83" i="7"/>
  <c r="H83" i="7"/>
  <c r="G83" i="7"/>
  <c r="F83" i="7"/>
  <c r="E83" i="7"/>
  <c r="D83" i="7"/>
  <c r="C83" i="7"/>
  <c r="B83" i="7"/>
  <c r="A83" i="7"/>
  <c r="J82" i="7"/>
  <c r="I82" i="7"/>
  <c r="H82" i="7"/>
  <c r="G82" i="7"/>
  <c r="F82" i="7"/>
  <c r="E82" i="7"/>
  <c r="D82" i="7"/>
  <c r="C82" i="7"/>
  <c r="B82" i="7"/>
  <c r="A82" i="7"/>
  <c r="J81" i="7"/>
  <c r="I81" i="7"/>
  <c r="H81" i="7"/>
  <c r="G81" i="7"/>
  <c r="F81" i="7"/>
  <c r="E81" i="7"/>
  <c r="D81" i="7"/>
  <c r="C81" i="7"/>
  <c r="B81" i="7"/>
  <c r="A81" i="7"/>
  <c r="J80" i="7"/>
  <c r="I80" i="7"/>
  <c r="H80" i="7"/>
  <c r="G80" i="7"/>
  <c r="F80" i="7"/>
  <c r="E80" i="7"/>
  <c r="D80" i="7"/>
  <c r="C80" i="7"/>
  <c r="B80" i="7"/>
  <c r="A80" i="7"/>
  <c r="J79" i="7"/>
  <c r="I79" i="7"/>
  <c r="H79" i="7"/>
  <c r="G79" i="7"/>
  <c r="F79" i="7"/>
  <c r="E79" i="7"/>
  <c r="D79" i="7"/>
  <c r="C79" i="7"/>
  <c r="B79" i="7"/>
  <c r="A79" i="7"/>
  <c r="J78" i="7"/>
  <c r="I78" i="7"/>
  <c r="H78" i="7"/>
  <c r="G78" i="7"/>
  <c r="F78" i="7"/>
  <c r="E78" i="7"/>
  <c r="D78" i="7"/>
  <c r="C78" i="7"/>
  <c r="B78" i="7"/>
  <c r="A78" i="7"/>
  <c r="J77" i="7"/>
  <c r="I77" i="7"/>
  <c r="H77" i="7"/>
  <c r="G77" i="7"/>
  <c r="F77" i="7"/>
  <c r="E77" i="7"/>
  <c r="D77" i="7"/>
  <c r="C77" i="7"/>
  <c r="B77" i="7"/>
  <c r="A77" i="7"/>
  <c r="J76" i="7"/>
  <c r="I76" i="7"/>
  <c r="H76" i="7"/>
  <c r="G76" i="7"/>
  <c r="F76" i="7"/>
  <c r="E76" i="7"/>
  <c r="D76" i="7"/>
  <c r="C76" i="7"/>
  <c r="B76" i="7"/>
  <c r="A76" i="7"/>
  <c r="J75" i="7"/>
  <c r="I75" i="7"/>
  <c r="H75" i="7"/>
  <c r="G75" i="7"/>
  <c r="F75" i="7"/>
  <c r="E75" i="7"/>
  <c r="D75" i="7"/>
  <c r="C75" i="7"/>
  <c r="B75" i="7"/>
  <c r="A75" i="7"/>
  <c r="J74" i="7"/>
  <c r="I74" i="7"/>
  <c r="H74" i="7"/>
  <c r="G74" i="7"/>
  <c r="F74" i="7"/>
  <c r="E74" i="7"/>
  <c r="D74" i="7"/>
  <c r="C74" i="7"/>
  <c r="B74" i="7"/>
  <c r="A74" i="7"/>
  <c r="J73" i="7"/>
  <c r="I73" i="7"/>
  <c r="H73" i="7"/>
  <c r="G73" i="7"/>
  <c r="F73" i="7"/>
  <c r="E73" i="7"/>
  <c r="D73" i="7"/>
  <c r="C73" i="7"/>
  <c r="B73" i="7"/>
  <c r="A73" i="7"/>
  <c r="J72" i="7"/>
  <c r="I72" i="7"/>
  <c r="H72" i="7"/>
  <c r="G72" i="7"/>
  <c r="F72" i="7"/>
  <c r="E72" i="7"/>
  <c r="D72" i="7"/>
  <c r="C72" i="7"/>
  <c r="B72" i="7"/>
  <c r="A72" i="7"/>
  <c r="J71" i="7"/>
  <c r="I71" i="7"/>
  <c r="H71" i="7"/>
  <c r="G71" i="7"/>
  <c r="F71" i="7"/>
  <c r="E71" i="7"/>
  <c r="D71" i="7"/>
  <c r="C71" i="7"/>
  <c r="B71" i="7"/>
  <c r="A71" i="7"/>
  <c r="J70" i="7"/>
  <c r="I70" i="7"/>
  <c r="H70" i="7"/>
  <c r="G70" i="7"/>
  <c r="F70" i="7"/>
  <c r="E70" i="7"/>
  <c r="D70" i="7"/>
  <c r="C70" i="7"/>
  <c r="B70" i="7"/>
  <c r="A70" i="7"/>
  <c r="J69" i="7"/>
  <c r="I69" i="7"/>
  <c r="H69" i="7"/>
  <c r="G69" i="7"/>
  <c r="F69" i="7"/>
  <c r="E69" i="7"/>
  <c r="D69" i="7"/>
  <c r="C69" i="7"/>
  <c r="B69" i="7"/>
  <c r="A69" i="7"/>
  <c r="J68" i="7"/>
  <c r="I68" i="7"/>
  <c r="H68" i="7"/>
  <c r="G68" i="7"/>
  <c r="F68" i="7"/>
  <c r="E68" i="7"/>
  <c r="D68" i="7"/>
  <c r="C68" i="7"/>
  <c r="B68" i="7"/>
  <c r="A68" i="7"/>
  <c r="J67" i="7"/>
  <c r="I67" i="7"/>
  <c r="H67" i="7"/>
  <c r="G67" i="7"/>
  <c r="F67" i="7"/>
  <c r="E67" i="7"/>
  <c r="D67" i="7"/>
  <c r="C67" i="7"/>
  <c r="B67" i="7"/>
  <c r="A67" i="7"/>
  <c r="J66" i="7"/>
  <c r="I66" i="7"/>
  <c r="H66" i="7"/>
  <c r="G66" i="7"/>
  <c r="F66" i="7"/>
  <c r="E66" i="7"/>
  <c r="D66" i="7"/>
  <c r="C66" i="7"/>
  <c r="B66" i="7"/>
  <c r="A66" i="7"/>
  <c r="J65" i="7"/>
  <c r="I65" i="7"/>
  <c r="H65" i="7"/>
  <c r="G65" i="7"/>
  <c r="F65" i="7"/>
  <c r="E65" i="7"/>
  <c r="D65" i="7"/>
  <c r="C65" i="7"/>
  <c r="B65" i="7"/>
  <c r="A65" i="7"/>
  <c r="J64" i="7"/>
  <c r="I64" i="7"/>
  <c r="H64" i="7"/>
  <c r="G64" i="7"/>
  <c r="F64" i="7"/>
  <c r="E64" i="7"/>
  <c r="D64" i="7"/>
  <c r="C64" i="7"/>
  <c r="B64" i="7"/>
  <c r="A64" i="7"/>
  <c r="J63" i="7"/>
  <c r="I63" i="7"/>
  <c r="H63" i="7"/>
  <c r="G63" i="7"/>
  <c r="F63" i="7"/>
  <c r="E63" i="7"/>
  <c r="D63" i="7"/>
  <c r="C63" i="7"/>
  <c r="B63" i="7"/>
  <c r="A63" i="7"/>
  <c r="J62" i="7"/>
  <c r="I62" i="7"/>
  <c r="H62" i="7"/>
  <c r="G62" i="7"/>
  <c r="F62" i="7"/>
  <c r="E62" i="7"/>
  <c r="D62" i="7"/>
  <c r="C62" i="7"/>
  <c r="B62" i="7"/>
  <c r="A62" i="7"/>
  <c r="I61" i="7"/>
  <c r="C61" i="7"/>
  <c r="B61" i="7"/>
  <c r="A61" i="7"/>
  <c r="I60" i="7"/>
  <c r="C60" i="7"/>
  <c r="B60" i="7"/>
  <c r="A60" i="7"/>
  <c r="I59" i="7"/>
  <c r="C59" i="7"/>
  <c r="B59" i="7"/>
  <c r="A59" i="7"/>
  <c r="I58" i="7"/>
  <c r="C58" i="7"/>
  <c r="B58" i="7"/>
  <c r="A58" i="7"/>
  <c r="I57" i="7"/>
  <c r="C57" i="7"/>
  <c r="B57" i="7"/>
  <c r="A57" i="7"/>
  <c r="I56" i="7"/>
  <c r="C56" i="7"/>
  <c r="B56" i="7"/>
  <c r="A56" i="7"/>
  <c r="I55" i="7"/>
  <c r="C55" i="7"/>
  <c r="B55" i="7"/>
  <c r="A55" i="7"/>
  <c r="J54" i="7"/>
  <c r="I54" i="7"/>
  <c r="C54" i="7"/>
  <c r="B54" i="7"/>
  <c r="A54" i="7"/>
  <c r="I53" i="7"/>
  <c r="C53" i="7"/>
  <c r="B53" i="7"/>
  <c r="A53" i="7"/>
  <c r="J52" i="7"/>
  <c r="I52" i="7"/>
  <c r="G52" i="7"/>
  <c r="C52" i="7"/>
  <c r="B52" i="7"/>
  <c r="A52" i="7"/>
  <c r="I51" i="7"/>
  <c r="C51" i="7"/>
  <c r="B51" i="7"/>
  <c r="A51" i="7"/>
  <c r="J50" i="7"/>
  <c r="I50" i="7"/>
  <c r="G50" i="7"/>
  <c r="C50" i="7"/>
  <c r="B50" i="7"/>
  <c r="A50" i="7"/>
  <c r="I49" i="7"/>
  <c r="C49" i="7"/>
  <c r="B49" i="7"/>
  <c r="A49" i="7"/>
  <c r="I48" i="7"/>
  <c r="C48" i="7"/>
  <c r="B48" i="7"/>
  <c r="A48" i="7"/>
  <c r="I47" i="7"/>
  <c r="C47" i="7"/>
  <c r="B47" i="7"/>
  <c r="A47" i="7"/>
  <c r="J46" i="7"/>
  <c r="I46" i="7"/>
  <c r="C46" i="7"/>
  <c r="B46" i="7"/>
  <c r="A46" i="7"/>
  <c r="I45" i="7"/>
  <c r="C45" i="7"/>
  <c r="B45" i="7"/>
  <c r="A45" i="7"/>
  <c r="J44" i="7"/>
  <c r="I44" i="7"/>
  <c r="C44" i="7"/>
  <c r="B44" i="7"/>
  <c r="A44" i="7"/>
  <c r="I43" i="7"/>
  <c r="C43" i="7"/>
  <c r="B43" i="7"/>
  <c r="A43" i="7"/>
  <c r="J42" i="7"/>
  <c r="I42" i="7"/>
  <c r="D42" i="7"/>
  <c r="C42" i="7"/>
  <c r="B42" i="7"/>
  <c r="A42" i="7"/>
  <c r="I41" i="7"/>
  <c r="C41" i="7"/>
  <c r="B41" i="7"/>
  <c r="A41" i="7"/>
  <c r="J40" i="7"/>
  <c r="I40" i="7"/>
  <c r="C40" i="7"/>
  <c r="B40" i="7"/>
  <c r="A40" i="7"/>
  <c r="I39" i="7"/>
  <c r="C39" i="7"/>
  <c r="B39" i="7"/>
  <c r="A39" i="7"/>
  <c r="I38" i="7"/>
  <c r="C38" i="7"/>
  <c r="B38" i="7"/>
  <c r="A38" i="7"/>
  <c r="I37" i="7"/>
  <c r="C37" i="7"/>
  <c r="B37" i="7"/>
  <c r="A37" i="7"/>
  <c r="I36" i="7"/>
  <c r="C36" i="7"/>
  <c r="B36" i="7"/>
  <c r="A36" i="7"/>
  <c r="I35" i="7"/>
  <c r="C35" i="7"/>
  <c r="B35" i="7"/>
  <c r="A35" i="7"/>
  <c r="I34" i="7"/>
  <c r="C34" i="7"/>
  <c r="B34" i="7"/>
  <c r="A34" i="7"/>
  <c r="I33" i="7"/>
  <c r="C33" i="7"/>
  <c r="B33" i="7"/>
  <c r="A33" i="7"/>
  <c r="I32" i="7"/>
  <c r="C32" i="7"/>
  <c r="B32" i="7"/>
  <c r="A32" i="7"/>
  <c r="I31" i="7"/>
  <c r="C31" i="7"/>
  <c r="B31" i="7"/>
  <c r="A31" i="7"/>
  <c r="J30" i="7"/>
  <c r="I30" i="7"/>
  <c r="D30" i="7"/>
  <c r="C30" i="7"/>
  <c r="B30" i="7"/>
  <c r="A30" i="7"/>
  <c r="I29" i="7"/>
  <c r="C29" i="7"/>
  <c r="B29" i="7"/>
  <c r="A29" i="7"/>
  <c r="J28" i="7"/>
  <c r="I28" i="7"/>
  <c r="C28" i="7"/>
  <c r="B28" i="7"/>
  <c r="A28" i="7"/>
  <c r="J27" i="7"/>
  <c r="I27" i="7"/>
  <c r="C27" i="7"/>
  <c r="B27" i="7"/>
  <c r="A27" i="7"/>
  <c r="I26" i="7"/>
  <c r="C26" i="7"/>
  <c r="B26" i="7"/>
  <c r="A26" i="7"/>
  <c r="N25" i="7"/>
  <c r="O22" i="7" s="1"/>
  <c r="J25" i="7"/>
  <c r="I25" i="7"/>
  <c r="C25" i="7"/>
  <c r="B25" i="7"/>
  <c r="A25" i="7"/>
  <c r="O24" i="7"/>
  <c r="P24" i="7" s="1"/>
  <c r="I6" i="7" s="1"/>
  <c r="J24" i="7"/>
  <c r="I24" i="7"/>
  <c r="C24" i="7"/>
  <c r="B24" i="7"/>
  <c r="A24" i="7"/>
  <c r="J23" i="7"/>
  <c r="I23" i="7"/>
  <c r="C23" i="7"/>
  <c r="B23" i="7"/>
  <c r="A23" i="7"/>
  <c r="J22" i="7"/>
  <c r="G22" i="7" s="1"/>
  <c r="I22" i="7"/>
  <c r="C22" i="7"/>
  <c r="B22" i="7"/>
  <c r="A22" i="7"/>
  <c r="J21" i="7"/>
  <c r="I21" i="7"/>
  <c r="D21" i="7"/>
  <c r="C21" i="7"/>
  <c r="B21" i="7"/>
  <c r="A21" i="7"/>
  <c r="I20" i="7"/>
  <c r="C20" i="7"/>
  <c r="B20" i="7"/>
  <c r="A20" i="7"/>
  <c r="O19" i="7"/>
  <c r="I19" i="7"/>
  <c r="D19" i="7"/>
  <c r="C19" i="7"/>
  <c r="B19" i="7"/>
  <c r="A19" i="7"/>
  <c r="I18" i="7"/>
  <c r="C18" i="7"/>
  <c r="B18" i="7"/>
  <c r="A18" i="7"/>
  <c r="I17" i="7"/>
  <c r="C17" i="7"/>
  <c r="B17" i="7"/>
  <c r="A17" i="7"/>
  <c r="I16" i="7"/>
  <c r="C16" i="7"/>
  <c r="B16" i="7"/>
  <c r="A16" i="7"/>
  <c r="I15" i="7"/>
  <c r="C15" i="7"/>
  <c r="B15" i="7"/>
  <c r="A15" i="7"/>
  <c r="J14" i="7"/>
  <c r="D14" i="7" s="1"/>
  <c r="I14" i="7"/>
  <c r="C14" i="7"/>
  <c r="B14" i="7"/>
  <c r="A14" i="7"/>
  <c r="I13" i="7"/>
  <c r="C13" i="7"/>
  <c r="B13" i="7"/>
  <c r="A13" i="7"/>
  <c r="O12" i="7"/>
  <c r="J12" i="7"/>
  <c r="I12" i="7"/>
  <c r="C12" i="7"/>
  <c r="B12" i="7"/>
  <c r="A12" i="7"/>
  <c r="O11" i="7"/>
  <c r="J29" i="7" s="1"/>
  <c r="I11" i="7"/>
  <c r="C11" i="7"/>
  <c r="B11" i="7"/>
  <c r="A11" i="7"/>
  <c r="O10" i="7"/>
  <c r="J19" i="7" s="1"/>
  <c r="I10" i="7"/>
  <c r="C10" i="7"/>
  <c r="B10" i="7"/>
  <c r="A10" i="7"/>
  <c r="O9" i="7"/>
  <c r="I9" i="7"/>
  <c r="C9" i="7"/>
  <c r="B9" i="7"/>
  <c r="A9" i="7"/>
  <c r="O8" i="7"/>
  <c r="I8" i="7"/>
  <c r="C8" i="7"/>
  <c r="B8" i="7"/>
  <c r="A8" i="7"/>
  <c r="O7" i="7"/>
  <c r="J35" i="7" s="1"/>
  <c r="I7" i="7"/>
  <c r="C7" i="7"/>
  <c r="B7" i="7"/>
  <c r="A7" i="7"/>
  <c r="O6" i="7"/>
  <c r="O5" i="7"/>
  <c r="B2" i="7"/>
  <c r="A2" i="7"/>
  <c r="A1" i="7"/>
  <c r="C216" i="6"/>
  <c r="J208" i="6"/>
  <c r="E208" i="6" s="1"/>
  <c r="C206" i="6"/>
  <c r="B206" i="6"/>
  <c r="A206" i="6"/>
  <c r="C205" i="6"/>
  <c r="B205" i="6"/>
  <c r="A205" i="6"/>
  <c r="C204" i="6"/>
  <c r="B204" i="6"/>
  <c r="A204" i="6"/>
  <c r="C203" i="6"/>
  <c r="B203" i="6"/>
  <c r="A203" i="6"/>
  <c r="C202" i="6"/>
  <c r="B202" i="6"/>
  <c r="A202" i="6"/>
  <c r="C201" i="6"/>
  <c r="B201" i="6"/>
  <c r="A201" i="6"/>
  <c r="C200" i="6"/>
  <c r="B200" i="6"/>
  <c r="A200" i="6"/>
  <c r="C199" i="6"/>
  <c r="B199" i="6"/>
  <c r="A199" i="6"/>
  <c r="C198" i="6"/>
  <c r="B198" i="6"/>
  <c r="A198" i="6"/>
  <c r="C197" i="6"/>
  <c r="B197" i="6"/>
  <c r="A197" i="6"/>
  <c r="C196" i="6"/>
  <c r="B196" i="6"/>
  <c r="A196" i="6"/>
  <c r="C195" i="6"/>
  <c r="B195" i="6"/>
  <c r="A195" i="6"/>
  <c r="C194" i="6"/>
  <c r="B194" i="6"/>
  <c r="A194" i="6"/>
  <c r="C193" i="6"/>
  <c r="B193" i="6"/>
  <c r="A193" i="6"/>
  <c r="C192" i="6"/>
  <c r="B192" i="6"/>
  <c r="A192" i="6"/>
  <c r="C191" i="6"/>
  <c r="B191" i="6"/>
  <c r="A191" i="6"/>
  <c r="C190" i="6"/>
  <c r="B190" i="6"/>
  <c r="A190" i="6"/>
  <c r="C189" i="6"/>
  <c r="B189" i="6"/>
  <c r="A189" i="6"/>
  <c r="C188" i="6"/>
  <c r="B188" i="6"/>
  <c r="A188" i="6"/>
  <c r="C187" i="6"/>
  <c r="B187" i="6"/>
  <c r="A187" i="6"/>
  <c r="C186" i="6"/>
  <c r="B186" i="6"/>
  <c r="A186" i="6"/>
  <c r="C185" i="6"/>
  <c r="B185" i="6"/>
  <c r="A185" i="6"/>
  <c r="C184" i="6"/>
  <c r="B184" i="6"/>
  <c r="A184" i="6"/>
  <c r="C183" i="6"/>
  <c r="B183" i="6"/>
  <c r="A183" i="6"/>
  <c r="C182" i="6"/>
  <c r="B182" i="6"/>
  <c r="A182" i="6"/>
  <c r="C181" i="6"/>
  <c r="B181" i="6"/>
  <c r="A181" i="6"/>
  <c r="C180" i="6"/>
  <c r="B180" i="6"/>
  <c r="A180" i="6"/>
  <c r="C179" i="6"/>
  <c r="B179" i="6"/>
  <c r="A179" i="6"/>
  <c r="C178" i="6"/>
  <c r="B178" i="6"/>
  <c r="A178" i="6"/>
  <c r="C177" i="6"/>
  <c r="B177" i="6"/>
  <c r="A177" i="6"/>
  <c r="C176" i="6"/>
  <c r="B176" i="6"/>
  <c r="A176" i="6"/>
  <c r="C175" i="6"/>
  <c r="B175" i="6"/>
  <c r="A175" i="6"/>
  <c r="C174" i="6"/>
  <c r="B174" i="6"/>
  <c r="A174" i="6"/>
  <c r="C173" i="6"/>
  <c r="B173" i="6"/>
  <c r="A173" i="6"/>
  <c r="C172" i="6"/>
  <c r="B172" i="6"/>
  <c r="A172" i="6"/>
  <c r="C171" i="6"/>
  <c r="B171" i="6"/>
  <c r="A171" i="6"/>
  <c r="C170" i="6"/>
  <c r="B170" i="6"/>
  <c r="A170" i="6"/>
  <c r="C169" i="6"/>
  <c r="B169" i="6"/>
  <c r="A169" i="6"/>
  <c r="C168" i="6"/>
  <c r="B168" i="6"/>
  <c r="A168" i="6"/>
  <c r="C167" i="6"/>
  <c r="B167" i="6"/>
  <c r="A167" i="6"/>
  <c r="C166" i="6"/>
  <c r="B166" i="6"/>
  <c r="A166" i="6"/>
  <c r="C165" i="6"/>
  <c r="B165" i="6"/>
  <c r="A165" i="6"/>
  <c r="C164" i="6"/>
  <c r="B164" i="6"/>
  <c r="A164" i="6"/>
  <c r="C163" i="6"/>
  <c r="B163" i="6"/>
  <c r="A163" i="6"/>
  <c r="C162" i="6"/>
  <c r="B162" i="6"/>
  <c r="A162" i="6"/>
  <c r="C161" i="6"/>
  <c r="B161" i="6"/>
  <c r="A161" i="6"/>
  <c r="C160" i="6"/>
  <c r="B160" i="6"/>
  <c r="A160" i="6"/>
  <c r="C159" i="6"/>
  <c r="B159" i="6"/>
  <c r="A159" i="6"/>
  <c r="C158" i="6"/>
  <c r="B158" i="6"/>
  <c r="A158" i="6"/>
  <c r="C157" i="6"/>
  <c r="B157" i="6"/>
  <c r="A157" i="6"/>
  <c r="C156" i="6"/>
  <c r="B156" i="6"/>
  <c r="A156" i="6"/>
  <c r="C155" i="6"/>
  <c r="B155" i="6"/>
  <c r="A155" i="6"/>
  <c r="C154" i="6"/>
  <c r="B154" i="6"/>
  <c r="A154" i="6"/>
  <c r="C153" i="6"/>
  <c r="B153" i="6"/>
  <c r="A153" i="6"/>
  <c r="C152" i="6"/>
  <c r="B152" i="6"/>
  <c r="A152" i="6"/>
  <c r="C151" i="6"/>
  <c r="B151" i="6"/>
  <c r="A151" i="6"/>
  <c r="C150" i="6"/>
  <c r="B150" i="6"/>
  <c r="A150" i="6"/>
  <c r="C149" i="6"/>
  <c r="B149" i="6"/>
  <c r="A149" i="6"/>
  <c r="C148" i="6"/>
  <c r="B148" i="6"/>
  <c r="A148" i="6"/>
  <c r="C147" i="6"/>
  <c r="B147" i="6"/>
  <c r="A147" i="6"/>
  <c r="C146" i="6"/>
  <c r="B146" i="6"/>
  <c r="A146" i="6"/>
  <c r="C145" i="6"/>
  <c r="B145" i="6"/>
  <c r="A145" i="6"/>
  <c r="C144" i="6"/>
  <c r="B144" i="6"/>
  <c r="A144" i="6"/>
  <c r="C143" i="6"/>
  <c r="B143" i="6"/>
  <c r="A143" i="6"/>
  <c r="C142" i="6"/>
  <c r="B142" i="6"/>
  <c r="A142" i="6"/>
  <c r="C141" i="6"/>
  <c r="B141" i="6"/>
  <c r="A141" i="6"/>
  <c r="C140" i="6"/>
  <c r="B140" i="6"/>
  <c r="A140" i="6"/>
  <c r="C139" i="6"/>
  <c r="B139" i="6"/>
  <c r="A139" i="6"/>
  <c r="C138" i="6"/>
  <c r="B138" i="6"/>
  <c r="A138" i="6"/>
  <c r="C137" i="6"/>
  <c r="B137" i="6"/>
  <c r="A137" i="6"/>
  <c r="C136" i="6"/>
  <c r="B136" i="6"/>
  <c r="A136" i="6"/>
  <c r="C135" i="6"/>
  <c r="B135" i="6"/>
  <c r="A135" i="6"/>
  <c r="C134" i="6"/>
  <c r="B134" i="6"/>
  <c r="A134" i="6"/>
  <c r="C133" i="6"/>
  <c r="B133" i="6"/>
  <c r="A133" i="6"/>
  <c r="C132" i="6"/>
  <c r="B132" i="6"/>
  <c r="A132" i="6"/>
  <c r="C131" i="6"/>
  <c r="B131" i="6"/>
  <c r="A131" i="6"/>
  <c r="C130" i="6"/>
  <c r="B130" i="6"/>
  <c r="A130" i="6"/>
  <c r="C129" i="6"/>
  <c r="B129" i="6"/>
  <c r="A129" i="6"/>
  <c r="C128" i="6"/>
  <c r="B128" i="6"/>
  <c r="A128" i="6"/>
  <c r="C127" i="6"/>
  <c r="B127" i="6"/>
  <c r="A127" i="6"/>
  <c r="C126" i="6"/>
  <c r="B126" i="6"/>
  <c r="A126" i="6"/>
  <c r="C125" i="6"/>
  <c r="B125" i="6"/>
  <c r="A125" i="6"/>
  <c r="C124" i="6"/>
  <c r="B124" i="6"/>
  <c r="A124" i="6"/>
  <c r="C123" i="6"/>
  <c r="B123" i="6"/>
  <c r="A123" i="6"/>
  <c r="C122" i="6"/>
  <c r="B122" i="6"/>
  <c r="A122" i="6"/>
  <c r="C121" i="6"/>
  <c r="B121" i="6"/>
  <c r="A121" i="6"/>
  <c r="C120" i="6"/>
  <c r="B120" i="6"/>
  <c r="A120" i="6"/>
  <c r="C119" i="6"/>
  <c r="B119" i="6"/>
  <c r="A119" i="6"/>
  <c r="C118" i="6"/>
  <c r="B118" i="6"/>
  <c r="A118" i="6"/>
  <c r="C117" i="6"/>
  <c r="B117" i="6"/>
  <c r="A117" i="6"/>
  <c r="C116" i="6"/>
  <c r="B116" i="6"/>
  <c r="A116" i="6"/>
  <c r="C115" i="6"/>
  <c r="B115" i="6"/>
  <c r="A115" i="6"/>
  <c r="C114" i="6"/>
  <c r="B114" i="6"/>
  <c r="A114" i="6"/>
  <c r="C113" i="6"/>
  <c r="B113" i="6"/>
  <c r="A113" i="6"/>
  <c r="C112" i="6"/>
  <c r="B112" i="6"/>
  <c r="A112" i="6"/>
  <c r="C111" i="6"/>
  <c r="B111" i="6"/>
  <c r="A111" i="6"/>
  <c r="C110" i="6"/>
  <c r="B110" i="6"/>
  <c r="A110" i="6"/>
  <c r="C109" i="6"/>
  <c r="B109" i="6"/>
  <c r="A109" i="6"/>
  <c r="C108" i="6"/>
  <c r="B108" i="6"/>
  <c r="A108" i="6"/>
  <c r="C107" i="6"/>
  <c r="B107" i="6"/>
  <c r="A107" i="6"/>
  <c r="C106" i="6"/>
  <c r="B106" i="6"/>
  <c r="A106" i="6"/>
  <c r="C105" i="6"/>
  <c r="B105" i="6"/>
  <c r="A105" i="6"/>
  <c r="C104" i="6"/>
  <c r="B104" i="6"/>
  <c r="A104" i="6"/>
  <c r="C103" i="6"/>
  <c r="B103" i="6"/>
  <c r="A103" i="6"/>
  <c r="C102" i="6"/>
  <c r="B102" i="6"/>
  <c r="A102" i="6"/>
  <c r="C101" i="6"/>
  <c r="B101" i="6"/>
  <c r="A101" i="6"/>
  <c r="C100" i="6"/>
  <c r="B100" i="6"/>
  <c r="A100" i="6"/>
  <c r="C99" i="6"/>
  <c r="B99" i="6"/>
  <c r="A99" i="6"/>
  <c r="C98" i="6"/>
  <c r="B98" i="6"/>
  <c r="A98" i="6"/>
  <c r="C97" i="6"/>
  <c r="B97" i="6"/>
  <c r="A97" i="6"/>
  <c r="C96" i="6"/>
  <c r="B96" i="6"/>
  <c r="A96" i="6"/>
  <c r="C95" i="6"/>
  <c r="B95" i="6"/>
  <c r="A95" i="6"/>
  <c r="C94" i="6"/>
  <c r="B94" i="6"/>
  <c r="A94" i="6"/>
  <c r="C93" i="6"/>
  <c r="B93" i="6"/>
  <c r="A93" i="6"/>
  <c r="C92" i="6"/>
  <c r="B92" i="6"/>
  <c r="A92" i="6"/>
  <c r="C91" i="6"/>
  <c r="B91" i="6"/>
  <c r="A91" i="6"/>
  <c r="C90" i="6"/>
  <c r="B90" i="6"/>
  <c r="A90" i="6"/>
  <c r="C89" i="6"/>
  <c r="B89" i="6"/>
  <c r="A89" i="6"/>
  <c r="C88" i="6"/>
  <c r="B88" i="6"/>
  <c r="A88" i="6"/>
  <c r="C87" i="6"/>
  <c r="B87" i="6"/>
  <c r="A87" i="6"/>
  <c r="C86" i="6"/>
  <c r="B86" i="6"/>
  <c r="A86" i="6"/>
  <c r="C85" i="6"/>
  <c r="B85" i="6"/>
  <c r="A85" i="6"/>
  <c r="C84" i="6"/>
  <c r="B84" i="6"/>
  <c r="A84" i="6"/>
  <c r="C83" i="6"/>
  <c r="B83" i="6"/>
  <c r="A83" i="6"/>
  <c r="C82" i="6"/>
  <c r="B82" i="6"/>
  <c r="A82" i="6"/>
  <c r="C81" i="6"/>
  <c r="B81" i="6"/>
  <c r="A81" i="6"/>
  <c r="C80" i="6"/>
  <c r="B80" i="6"/>
  <c r="A80" i="6"/>
  <c r="C79" i="6"/>
  <c r="B79" i="6"/>
  <c r="A79" i="6"/>
  <c r="C78" i="6"/>
  <c r="B78" i="6"/>
  <c r="A78" i="6"/>
  <c r="C77" i="6"/>
  <c r="B77" i="6"/>
  <c r="A77" i="6"/>
  <c r="C76" i="6"/>
  <c r="B76" i="6"/>
  <c r="A76" i="6"/>
  <c r="C75" i="6"/>
  <c r="B75" i="6"/>
  <c r="A75" i="6"/>
  <c r="C74" i="6"/>
  <c r="B74" i="6"/>
  <c r="A74" i="6"/>
  <c r="C73" i="6"/>
  <c r="B73" i="6"/>
  <c r="A73" i="6"/>
  <c r="C72" i="6"/>
  <c r="B72" i="6"/>
  <c r="A72" i="6"/>
  <c r="C71" i="6"/>
  <c r="B71" i="6"/>
  <c r="A71" i="6"/>
  <c r="C70" i="6"/>
  <c r="B70" i="6"/>
  <c r="A70" i="6"/>
  <c r="C69" i="6"/>
  <c r="B69" i="6"/>
  <c r="A69" i="6"/>
  <c r="C68" i="6"/>
  <c r="B68" i="6"/>
  <c r="A68" i="6"/>
  <c r="C67" i="6"/>
  <c r="B67" i="6"/>
  <c r="A67" i="6"/>
  <c r="C66" i="6"/>
  <c r="B66" i="6"/>
  <c r="A66" i="6"/>
  <c r="C65" i="6"/>
  <c r="B65" i="6"/>
  <c r="A65" i="6"/>
  <c r="C64" i="6"/>
  <c r="B64" i="6"/>
  <c r="A64" i="6"/>
  <c r="C63" i="6"/>
  <c r="B63" i="6"/>
  <c r="A63" i="6"/>
  <c r="C62" i="6"/>
  <c r="B62" i="6"/>
  <c r="A62" i="6"/>
  <c r="C61" i="6"/>
  <c r="B61" i="6"/>
  <c r="A61" i="6"/>
  <c r="C60" i="6"/>
  <c r="B60" i="6"/>
  <c r="A60" i="6"/>
  <c r="C59" i="6"/>
  <c r="B59" i="6"/>
  <c r="A59" i="6"/>
  <c r="C58" i="6"/>
  <c r="B58" i="6"/>
  <c r="A58" i="6"/>
  <c r="C57" i="6"/>
  <c r="B57" i="6"/>
  <c r="A57" i="6"/>
  <c r="C56" i="6"/>
  <c r="B56" i="6"/>
  <c r="A56" i="6"/>
  <c r="C55" i="6"/>
  <c r="B55" i="6"/>
  <c r="A55" i="6"/>
  <c r="C54" i="6"/>
  <c r="B54" i="6"/>
  <c r="A54" i="6"/>
  <c r="C53" i="6"/>
  <c r="B53" i="6"/>
  <c r="A53" i="6"/>
  <c r="C52" i="6"/>
  <c r="B52" i="6"/>
  <c r="A52" i="6"/>
  <c r="C51" i="6"/>
  <c r="B51" i="6"/>
  <c r="A51" i="6"/>
  <c r="C50" i="6"/>
  <c r="B50" i="6"/>
  <c r="A50" i="6"/>
  <c r="C49" i="6"/>
  <c r="B49" i="6"/>
  <c r="A49" i="6"/>
  <c r="C48" i="6"/>
  <c r="B48" i="6"/>
  <c r="A48" i="6"/>
  <c r="C47" i="6"/>
  <c r="B47" i="6"/>
  <c r="A47" i="6"/>
  <c r="C46" i="6"/>
  <c r="B46" i="6"/>
  <c r="A46" i="6"/>
  <c r="C45" i="6"/>
  <c r="B45" i="6"/>
  <c r="A45" i="6"/>
  <c r="C44" i="6"/>
  <c r="B44" i="6"/>
  <c r="A44" i="6"/>
  <c r="C43" i="6"/>
  <c r="B43" i="6"/>
  <c r="A43" i="6"/>
  <c r="C42" i="6"/>
  <c r="B42" i="6"/>
  <c r="A42" i="6"/>
  <c r="C41" i="6"/>
  <c r="B41" i="6"/>
  <c r="A41" i="6"/>
  <c r="C40" i="6"/>
  <c r="B40" i="6"/>
  <c r="A40" i="6"/>
  <c r="C39" i="6"/>
  <c r="B39" i="6"/>
  <c r="A39" i="6"/>
  <c r="C38" i="6"/>
  <c r="B38" i="6"/>
  <c r="A38" i="6"/>
  <c r="C37" i="6"/>
  <c r="B37" i="6"/>
  <c r="A37" i="6"/>
  <c r="C36" i="6"/>
  <c r="B36" i="6"/>
  <c r="A36" i="6"/>
  <c r="C35" i="6"/>
  <c r="B35" i="6"/>
  <c r="A35" i="6"/>
  <c r="C34" i="6"/>
  <c r="B34" i="6"/>
  <c r="A34" i="6"/>
  <c r="C33" i="6"/>
  <c r="B33" i="6"/>
  <c r="A33" i="6"/>
  <c r="C32" i="6"/>
  <c r="B32" i="6"/>
  <c r="A32" i="6"/>
  <c r="C31" i="6"/>
  <c r="B31" i="6"/>
  <c r="A31" i="6"/>
  <c r="C30" i="6"/>
  <c r="B30" i="6"/>
  <c r="A30" i="6"/>
  <c r="C29" i="6"/>
  <c r="B29" i="6"/>
  <c r="A29" i="6"/>
  <c r="C28" i="6"/>
  <c r="B28" i="6"/>
  <c r="A28" i="6"/>
  <c r="C27" i="6"/>
  <c r="B27" i="6"/>
  <c r="A27" i="6"/>
  <c r="C26" i="6"/>
  <c r="B26" i="6"/>
  <c r="A26" i="6"/>
  <c r="C25" i="6"/>
  <c r="B25" i="6"/>
  <c r="A25" i="6"/>
  <c r="C24" i="6"/>
  <c r="B24" i="6"/>
  <c r="A24" i="6"/>
  <c r="C23" i="6"/>
  <c r="B23" i="6"/>
  <c r="A23" i="6"/>
  <c r="C22" i="6"/>
  <c r="B22" i="6"/>
  <c r="A22" i="6"/>
  <c r="C21" i="6"/>
  <c r="B21" i="6"/>
  <c r="A21" i="6"/>
  <c r="C20" i="6"/>
  <c r="B20" i="6"/>
  <c r="A20" i="6"/>
  <c r="C19" i="6"/>
  <c r="B19" i="6"/>
  <c r="A19" i="6"/>
  <c r="C18" i="6"/>
  <c r="B18" i="6"/>
  <c r="A18" i="6"/>
  <c r="C17" i="6"/>
  <c r="B17" i="6"/>
  <c r="A17" i="6"/>
  <c r="C16" i="6"/>
  <c r="B16" i="6"/>
  <c r="A16" i="6"/>
  <c r="C15" i="6"/>
  <c r="B15" i="6"/>
  <c r="A15" i="6"/>
  <c r="C14" i="6"/>
  <c r="B14" i="6"/>
  <c r="A14" i="6"/>
  <c r="C13" i="6"/>
  <c r="B13" i="6"/>
  <c r="A13" i="6"/>
  <c r="C12" i="6"/>
  <c r="B12" i="6"/>
  <c r="A12" i="6"/>
  <c r="C11" i="6"/>
  <c r="B11" i="6"/>
  <c r="A11" i="6"/>
  <c r="C10" i="6"/>
  <c r="B10" i="6"/>
  <c r="A10" i="6"/>
  <c r="C9" i="6"/>
  <c r="B9" i="6"/>
  <c r="A9" i="6"/>
  <c r="C8" i="6"/>
  <c r="B8" i="6"/>
  <c r="A8" i="6"/>
  <c r="C7" i="6"/>
  <c r="B7" i="6"/>
  <c r="A7" i="6"/>
  <c r="B2" i="6"/>
  <c r="A2" i="6"/>
  <c r="A1" i="6"/>
  <c r="C216" i="5"/>
  <c r="J208" i="5"/>
  <c r="D208" i="5" s="1"/>
  <c r="C206" i="5"/>
  <c r="B206" i="5"/>
  <c r="A206" i="5"/>
  <c r="C205" i="5"/>
  <c r="B205" i="5"/>
  <c r="A205" i="5"/>
  <c r="C204" i="5"/>
  <c r="B204" i="5"/>
  <c r="A204" i="5"/>
  <c r="C203" i="5"/>
  <c r="B203" i="5"/>
  <c r="A203" i="5"/>
  <c r="C202" i="5"/>
  <c r="B202" i="5"/>
  <c r="A202" i="5"/>
  <c r="C201" i="5"/>
  <c r="B201" i="5"/>
  <c r="A201" i="5"/>
  <c r="C200" i="5"/>
  <c r="B200" i="5"/>
  <c r="A200" i="5"/>
  <c r="D199" i="5"/>
  <c r="C199" i="5"/>
  <c r="B199" i="5"/>
  <c r="A199" i="5"/>
  <c r="C198" i="5"/>
  <c r="B198" i="5"/>
  <c r="A198" i="5"/>
  <c r="C197" i="5"/>
  <c r="B197" i="5"/>
  <c r="A197" i="5"/>
  <c r="C196" i="5"/>
  <c r="B196" i="5"/>
  <c r="A196" i="5"/>
  <c r="C195" i="5"/>
  <c r="B195" i="5"/>
  <c r="A195" i="5"/>
  <c r="C194" i="5"/>
  <c r="B194" i="5"/>
  <c r="A194" i="5"/>
  <c r="C193" i="5"/>
  <c r="B193" i="5"/>
  <c r="A193" i="5"/>
  <c r="F192" i="5"/>
  <c r="C192" i="5"/>
  <c r="B192" i="5"/>
  <c r="A192" i="5"/>
  <c r="D191" i="5"/>
  <c r="C191" i="5"/>
  <c r="B191" i="5"/>
  <c r="A191" i="5"/>
  <c r="C190" i="5"/>
  <c r="B190" i="5"/>
  <c r="A190" i="5"/>
  <c r="C189" i="5"/>
  <c r="B189" i="5"/>
  <c r="A189" i="5"/>
  <c r="C188" i="5"/>
  <c r="B188" i="5"/>
  <c r="A188" i="5"/>
  <c r="F187" i="5"/>
  <c r="D187" i="5"/>
  <c r="C187" i="5"/>
  <c r="B187" i="5"/>
  <c r="A187" i="5"/>
  <c r="C186" i="5"/>
  <c r="B186" i="5"/>
  <c r="A186" i="5"/>
  <c r="C185" i="5"/>
  <c r="B185" i="5"/>
  <c r="A185" i="5"/>
  <c r="C184" i="5"/>
  <c r="B184" i="5"/>
  <c r="A184" i="5"/>
  <c r="C183" i="5"/>
  <c r="B183" i="5"/>
  <c r="A183" i="5"/>
  <c r="C182" i="5"/>
  <c r="B182" i="5"/>
  <c r="A182" i="5"/>
  <c r="C181" i="5"/>
  <c r="B181" i="5"/>
  <c r="A181" i="5"/>
  <c r="E180" i="5"/>
  <c r="C180" i="5"/>
  <c r="B180" i="5"/>
  <c r="A180" i="5"/>
  <c r="C179" i="5"/>
  <c r="B179" i="5"/>
  <c r="A179" i="5"/>
  <c r="C178" i="5"/>
  <c r="B178" i="5"/>
  <c r="A178" i="5"/>
  <c r="C177" i="5"/>
  <c r="B177" i="5"/>
  <c r="A177" i="5"/>
  <c r="C176" i="5"/>
  <c r="B176" i="5"/>
  <c r="A176" i="5"/>
  <c r="C175" i="5"/>
  <c r="B175" i="5"/>
  <c r="A175" i="5"/>
  <c r="C174" i="5"/>
  <c r="B174" i="5"/>
  <c r="A174" i="5"/>
  <c r="C173" i="5"/>
  <c r="B173" i="5"/>
  <c r="A173" i="5"/>
  <c r="C172" i="5"/>
  <c r="B172" i="5"/>
  <c r="A172" i="5"/>
  <c r="C171" i="5"/>
  <c r="B171" i="5"/>
  <c r="A171" i="5"/>
  <c r="C170" i="5"/>
  <c r="B170" i="5"/>
  <c r="A170" i="5"/>
  <c r="C169" i="5"/>
  <c r="B169" i="5"/>
  <c r="A169" i="5"/>
  <c r="C168" i="5"/>
  <c r="B168" i="5"/>
  <c r="A168" i="5"/>
  <c r="C167" i="5"/>
  <c r="B167" i="5"/>
  <c r="A167" i="5"/>
  <c r="C166" i="5"/>
  <c r="B166" i="5"/>
  <c r="A166" i="5"/>
  <c r="C165" i="5"/>
  <c r="B165" i="5"/>
  <c r="A165" i="5"/>
  <c r="C164" i="5"/>
  <c r="B164" i="5"/>
  <c r="A164" i="5"/>
  <c r="C163" i="5"/>
  <c r="B163" i="5"/>
  <c r="A163" i="5"/>
  <c r="C162" i="5"/>
  <c r="B162" i="5"/>
  <c r="A162" i="5"/>
  <c r="C161" i="5"/>
  <c r="B161" i="5"/>
  <c r="A161" i="5"/>
  <c r="F160" i="5"/>
  <c r="C160" i="5"/>
  <c r="B160" i="5"/>
  <c r="A160" i="5"/>
  <c r="C159" i="5"/>
  <c r="B159" i="5"/>
  <c r="A159" i="5"/>
  <c r="C158" i="5"/>
  <c r="B158" i="5"/>
  <c r="A158" i="5"/>
  <c r="C157" i="5"/>
  <c r="B157" i="5"/>
  <c r="A157" i="5"/>
  <c r="C156" i="5"/>
  <c r="B156" i="5"/>
  <c r="A156" i="5"/>
  <c r="C155" i="5"/>
  <c r="B155" i="5"/>
  <c r="A155" i="5"/>
  <c r="C154" i="5"/>
  <c r="B154" i="5"/>
  <c r="A154" i="5"/>
  <c r="C153" i="5"/>
  <c r="B153" i="5"/>
  <c r="A153" i="5"/>
  <c r="C152" i="5"/>
  <c r="B152" i="5"/>
  <c r="A152" i="5"/>
  <c r="C151" i="5"/>
  <c r="B151" i="5"/>
  <c r="A151" i="5"/>
  <c r="C150" i="5"/>
  <c r="B150" i="5"/>
  <c r="A150" i="5"/>
  <c r="C149" i="5"/>
  <c r="B149" i="5"/>
  <c r="A149" i="5"/>
  <c r="C148" i="5"/>
  <c r="B148" i="5"/>
  <c r="A148" i="5"/>
  <c r="C147" i="5"/>
  <c r="B147" i="5"/>
  <c r="A147" i="5"/>
  <c r="C146" i="5"/>
  <c r="B146" i="5"/>
  <c r="A146" i="5"/>
  <c r="C145" i="5"/>
  <c r="B145" i="5"/>
  <c r="A145" i="5"/>
  <c r="C144" i="5"/>
  <c r="B144" i="5"/>
  <c r="A144" i="5"/>
  <c r="C143" i="5"/>
  <c r="B143" i="5"/>
  <c r="A143" i="5"/>
  <c r="C142" i="5"/>
  <c r="B142" i="5"/>
  <c r="A142" i="5"/>
  <c r="C141" i="5"/>
  <c r="B141" i="5"/>
  <c r="A141" i="5"/>
  <c r="C140" i="5"/>
  <c r="B140" i="5"/>
  <c r="A140" i="5"/>
  <c r="C139" i="5"/>
  <c r="B139" i="5"/>
  <c r="A139" i="5"/>
  <c r="C138" i="5"/>
  <c r="B138" i="5"/>
  <c r="A138" i="5"/>
  <c r="C137" i="5"/>
  <c r="B137" i="5"/>
  <c r="A137" i="5"/>
  <c r="C136" i="5"/>
  <c r="B136" i="5"/>
  <c r="A136" i="5"/>
  <c r="C135" i="5"/>
  <c r="B135" i="5"/>
  <c r="A135" i="5"/>
  <c r="C134" i="5"/>
  <c r="B134" i="5"/>
  <c r="A134" i="5"/>
  <c r="C133" i="5"/>
  <c r="B133" i="5"/>
  <c r="A133" i="5"/>
  <c r="E132" i="5"/>
  <c r="C132" i="5"/>
  <c r="B132" i="5"/>
  <c r="A132" i="5"/>
  <c r="C131" i="5"/>
  <c r="B131" i="5"/>
  <c r="A131" i="5"/>
  <c r="C130" i="5"/>
  <c r="B130" i="5"/>
  <c r="A130" i="5"/>
  <c r="C129" i="5"/>
  <c r="B129" i="5"/>
  <c r="A129" i="5"/>
  <c r="C128" i="5"/>
  <c r="B128" i="5"/>
  <c r="A128" i="5"/>
  <c r="C127" i="5"/>
  <c r="B127" i="5"/>
  <c r="A127" i="5"/>
  <c r="C126" i="5"/>
  <c r="B126" i="5"/>
  <c r="A126" i="5"/>
  <c r="C125" i="5"/>
  <c r="B125" i="5"/>
  <c r="A125" i="5"/>
  <c r="C124" i="5"/>
  <c r="B124" i="5"/>
  <c r="A124" i="5"/>
  <c r="C123" i="5"/>
  <c r="B123" i="5"/>
  <c r="A123" i="5"/>
  <c r="C122" i="5"/>
  <c r="B122" i="5"/>
  <c r="A122" i="5"/>
  <c r="C121" i="5"/>
  <c r="B121" i="5"/>
  <c r="A121" i="5"/>
  <c r="C120" i="5"/>
  <c r="B120" i="5"/>
  <c r="A120" i="5"/>
  <c r="C119" i="5"/>
  <c r="B119" i="5"/>
  <c r="A119" i="5"/>
  <c r="C118" i="5"/>
  <c r="B118" i="5"/>
  <c r="A118" i="5"/>
  <c r="E117" i="5"/>
  <c r="C117" i="5"/>
  <c r="B117" i="5"/>
  <c r="A117" i="5"/>
  <c r="C116" i="5"/>
  <c r="B116" i="5"/>
  <c r="A116" i="5"/>
  <c r="C115" i="5"/>
  <c r="B115" i="5"/>
  <c r="A115" i="5"/>
  <c r="C114" i="5"/>
  <c r="B114" i="5"/>
  <c r="A114" i="5"/>
  <c r="C113" i="5"/>
  <c r="B113" i="5"/>
  <c r="A113" i="5"/>
  <c r="C112" i="5"/>
  <c r="B112" i="5"/>
  <c r="A112" i="5"/>
  <c r="C111" i="5"/>
  <c r="B111" i="5"/>
  <c r="A111" i="5"/>
  <c r="C110" i="5"/>
  <c r="B110" i="5"/>
  <c r="A110" i="5"/>
  <c r="C109" i="5"/>
  <c r="B109" i="5"/>
  <c r="A109" i="5"/>
  <c r="C108" i="5"/>
  <c r="B108" i="5"/>
  <c r="A108" i="5"/>
  <c r="C107" i="5"/>
  <c r="B107" i="5"/>
  <c r="A107" i="5"/>
  <c r="C106" i="5"/>
  <c r="B106" i="5"/>
  <c r="A106" i="5"/>
  <c r="C105" i="5"/>
  <c r="B105" i="5"/>
  <c r="A105" i="5"/>
  <c r="C104" i="5"/>
  <c r="B104" i="5"/>
  <c r="A104" i="5"/>
  <c r="C103" i="5"/>
  <c r="B103" i="5"/>
  <c r="A103" i="5"/>
  <c r="C102" i="5"/>
  <c r="B102" i="5"/>
  <c r="A102" i="5"/>
  <c r="C101" i="5"/>
  <c r="B101" i="5"/>
  <c r="A101" i="5"/>
  <c r="C100" i="5"/>
  <c r="B100" i="5"/>
  <c r="A100" i="5"/>
  <c r="C99" i="5"/>
  <c r="B99" i="5"/>
  <c r="A99" i="5"/>
  <c r="C98" i="5"/>
  <c r="B98" i="5"/>
  <c r="A98" i="5"/>
  <c r="C97" i="5"/>
  <c r="B97" i="5"/>
  <c r="A97" i="5"/>
  <c r="C96" i="5"/>
  <c r="B96" i="5"/>
  <c r="A96" i="5"/>
  <c r="D95" i="5"/>
  <c r="C95" i="5"/>
  <c r="B95" i="5"/>
  <c r="A95" i="5"/>
  <c r="C94" i="5"/>
  <c r="B94" i="5"/>
  <c r="A94" i="5"/>
  <c r="C93" i="5"/>
  <c r="B93" i="5"/>
  <c r="A93" i="5"/>
  <c r="C92" i="5"/>
  <c r="B92" i="5"/>
  <c r="A92" i="5"/>
  <c r="C91" i="5"/>
  <c r="B91" i="5"/>
  <c r="A91" i="5"/>
  <c r="C90" i="5"/>
  <c r="B90" i="5"/>
  <c r="A90" i="5"/>
  <c r="C89" i="5"/>
  <c r="B89" i="5"/>
  <c r="A89" i="5"/>
  <c r="C88" i="5"/>
  <c r="B88" i="5"/>
  <c r="A88" i="5"/>
  <c r="C87" i="5"/>
  <c r="B87" i="5"/>
  <c r="A87" i="5"/>
  <c r="C86" i="5"/>
  <c r="B86" i="5"/>
  <c r="A86" i="5"/>
  <c r="C85" i="5"/>
  <c r="B85" i="5"/>
  <c r="A85" i="5"/>
  <c r="C84" i="5"/>
  <c r="B84" i="5"/>
  <c r="A84" i="5"/>
  <c r="C83" i="5"/>
  <c r="B83" i="5"/>
  <c r="A83" i="5"/>
  <c r="C82" i="5"/>
  <c r="B82" i="5"/>
  <c r="A82" i="5"/>
  <c r="C81" i="5"/>
  <c r="B81" i="5"/>
  <c r="A81" i="5"/>
  <c r="C80" i="5"/>
  <c r="B80" i="5"/>
  <c r="A80" i="5"/>
  <c r="C79" i="5"/>
  <c r="B79" i="5"/>
  <c r="A79" i="5"/>
  <c r="C78" i="5"/>
  <c r="B78" i="5"/>
  <c r="A78" i="5"/>
  <c r="C77" i="5"/>
  <c r="B77" i="5"/>
  <c r="A77" i="5"/>
  <c r="C76" i="5"/>
  <c r="B76" i="5"/>
  <c r="A76" i="5"/>
  <c r="C75" i="5"/>
  <c r="B75" i="5"/>
  <c r="A75" i="5"/>
  <c r="C74" i="5"/>
  <c r="B74" i="5"/>
  <c r="A74" i="5"/>
  <c r="C73" i="5"/>
  <c r="B73" i="5"/>
  <c r="A73" i="5"/>
  <c r="C72" i="5"/>
  <c r="B72" i="5"/>
  <c r="A72" i="5"/>
  <c r="C71" i="5"/>
  <c r="B71" i="5"/>
  <c r="A71" i="5"/>
  <c r="C70" i="5"/>
  <c r="B70" i="5"/>
  <c r="A70" i="5"/>
  <c r="C69" i="5"/>
  <c r="B69" i="5"/>
  <c r="A69" i="5"/>
  <c r="C68" i="5"/>
  <c r="B68" i="5"/>
  <c r="A68" i="5"/>
  <c r="C67" i="5"/>
  <c r="B67" i="5"/>
  <c r="A67" i="5"/>
  <c r="C66" i="5"/>
  <c r="B66" i="5"/>
  <c r="A66" i="5"/>
  <c r="C65" i="5"/>
  <c r="B65" i="5"/>
  <c r="A65" i="5"/>
  <c r="C64" i="5"/>
  <c r="B64" i="5"/>
  <c r="A64" i="5"/>
  <c r="C63" i="5"/>
  <c r="B63" i="5"/>
  <c r="A63" i="5"/>
  <c r="C62" i="5"/>
  <c r="B62" i="5"/>
  <c r="A62" i="5"/>
  <c r="C61" i="5"/>
  <c r="B61" i="5"/>
  <c r="A61" i="5"/>
  <c r="C60" i="5"/>
  <c r="B60" i="5"/>
  <c r="A60" i="5"/>
  <c r="C59" i="5"/>
  <c r="B59" i="5"/>
  <c r="A59" i="5"/>
  <c r="C58" i="5"/>
  <c r="B58" i="5"/>
  <c r="A58" i="5"/>
  <c r="C57" i="5"/>
  <c r="B57" i="5"/>
  <c r="A57" i="5"/>
  <c r="C56" i="5"/>
  <c r="B56" i="5"/>
  <c r="A56" i="5"/>
  <c r="C55" i="5"/>
  <c r="B55" i="5"/>
  <c r="A55" i="5"/>
  <c r="C54" i="5"/>
  <c r="B54" i="5"/>
  <c r="A54" i="5"/>
  <c r="C53" i="5"/>
  <c r="B53" i="5"/>
  <c r="A53" i="5"/>
  <c r="C52" i="5"/>
  <c r="B52" i="5"/>
  <c r="A52" i="5"/>
  <c r="C51" i="5"/>
  <c r="B51" i="5"/>
  <c r="A51" i="5"/>
  <c r="C50" i="5"/>
  <c r="B50" i="5"/>
  <c r="A50" i="5"/>
  <c r="C49" i="5"/>
  <c r="B49" i="5"/>
  <c r="A49" i="5"/>
  <c r="C48" i="5"/>
  <c r="B48" i="5"/>
  <c r="A48" i="5"/>
  <c r="C47" i="5"/>
  <c r="B47" i="5"/>
  <c r="A47" i="5"/>
  <c r="C46" i="5"/>
  <c r="B46" i="5"/>
  <c r="A46" i="5"/>
  <c r="E45" i="5"/>
  <c r="C45" i="5"/>
  <c r="B45" i="5"/>
  <c r="A45" i="5"/>
  <c r="C44" i="5"/>
  <c r="B44" i="5"/>
  <c r="A44" i="5"/>
  <c r="C43" i="5"/>
  <c r="B43" i="5"/>
  <c r="A43" i="5"/>
  <c r="C42" i="5"/>
  <c r="B42" i="5"/>
  <c r="A42" i="5"/>
  <c r="C41" i="5"/>
  <c r="B41" i="5"/>
  <c r="A41" i="5"/>
  <c r="C40" i="5"/>
  <c r="B40" i="5"/>
  <c r="A40" i="5"/>
  <c r="C39" i="5"/>
  <c r="B39" i="5"/>
  <c r="A39" i="5"/>
  <c r="C38" i="5"/>
  <c r="B38" i="5"/>
  <c r="A38" i="5"/>
  <c r="C37" i="5"/>
  <c r="B37" i="5"/>
  <c r="A37" i="5"/>
  <c r="C36" i="5"/>
  <c r="B36" i="5"/>
  <c r="A36" i="5"/>
  <c r="C35" i="5"/>
  <c r="B35" i="5"/>
  <c r="A35" i="5"/>
  <c r="C34" i="5"/>
  <c r="B34" i="5"/>
  <c r="A34" i="5"/>
  <c r="C33" i="5"/>
  <c r="B33" i="5"/>
  <c r="A33" i="5"/>
  <c r="C32" i="5"/>
  <c r="B32" i="5"/>
  <c r="A32" i="5"/>
  <c r="C31" i="5"/>
  <c r="B31" i="5"/>
  <c r="A31" i="5"/>
  <c r="D30" i="5"/>
  <c r="C30" i="5"/>
  <c r="B30" i="5"/>
  <c r="A30" i="5"/>
  <c r="C29" i="5"/>
  <c r="B29" i="5"/>
  <c r="A29" i="5"/>
  <c r="C28" i="5"/>
  <c r="B28" i="5"/>
  <c r="A28" i="5"/>
  <c r="C27" i="5"/>
  <c r="B27" i="5"/>
  <c r="A27" i="5"/>
  <c r="C26" i="5"/>
  <c r="B26" i="5"/>
  <c r="A26" i="5"/>
  <c r="C25" i="5"/>
  <c r="B25" i="5"/>
  <c r="A25" i="5"/>
  <c r="C24" i="5"/>
  <c r="B24" i="5"/>
  <c r="A24" i="5"/>
  <c r="C23" i="5"/>
  <c r="B23" i="5"/>
  <c r="A23" i="5"/>
  <c r="C22" i="5"/>
  <c r="B22" i="5"/>
  <c r="A22" i="5"/>
  <c r="C21" i="5"/>
  <c r="B21" i="5"/>
  <c r="A21" i="5"/>
  <c r="C20" i="5"/>
  <c r="B20" i="5"/>
  <c r="A20" i="5"/>
  <c r="C19" i="5"/>
  <c r="B19" i="5"/>
  <c r="A19" i="5"/>
  <c r="C18" i="5"/>
  <c r="B18" i="5"/>
  <c r="A18" i="5"/>
  <c r="C17" i="5"/>
  <c r="B17" i="5"/>
  <c r="A17" i="5"/>
  <c r="C16" i="5"/>
  <c r="B16" i="5"/>
  <c r="A16" i="5"/>
  <c r="C15" i="5"/>
  <c r="B15" i="5"/>
  <c r="A15" i="5"/>
  <c r="C14" i="5"/>
  <c r="B14" i="5"/>
  <c r="A14" i="5"/>
  <c r="C13" i="5"/>
  <c r="B13" i="5"/>
  <c r="A13" i="5"/>
  <c r="C12" i="5"/>
  <c r="B12" i="5"/>
  <c r="A12" i="5"/>
  <c r="C11" i="5"/>
  <c r="B11" i="5"/>
  <c r="A11" i="5"/>
  <c r="C10" i="5"/>
  <c r="B10" i="5"/>
  <c r="A10" i="5"/>
  <c r="C9" i="5"/>
  <c r="B9" i="5"/>
  <c r="A9" i="5"/>
  <c r="C8" i="5"/>
  <c r="B8" i="5"/>
  <c r="A8" i="5"/>
  <c r="C7" i="5"/>
  <c r="B7" i="5"/>
  <c r="A7" i="5"/>
  <c r="B2" i="5"/>
  <c r="A2" i="5"/>
  <c r="A1" i="5"/>
  <c r="S207" i="4"/>
  <c r="E206" i="6" s="1"/>
  <c r="P207" i="4"/>
  <c r="W207" i="4" s="1"/>
  <c r="I206" i="6" s="1"/>
  <c r="O207" i="4"/>
  <c r="V207" i="4" s="1"/>
  <c r="H206" i="6" s="1"/>
  <c r="N207" i="4"/>
  <c r="U207" i="4" s="1"/>
  <c r="G206" i="6" s="1"/>
  <c r="M207" i="4"/>
  <c r="T207" i="4" s="1"/>
  <c r="F206" i="6" s="1"/>
  <c r="L207" i="4"/>
  <c r="K207" i="4"/>
  <c r="R207" i="4" s="1"/>
  <c r="J207" i="4"/>
  <c r="C207" i="4"/>
  <c r="B207" i="4"/>
  <c r="T206" i="4"/>
  <c r="F205" i="6" s="1"/>
  <c r="S206" i="4"/>
  <c r="E205" i="6" s="1"/>
  <c r="P206" i="4"/>
  <c r="W206" i="4" s="1"/>
  <c r="I205" i="6" s="1"/>
  <c r="O206" i="4"/>
  <c r="V206" i="4" s="1"/>
  <c r="H205" i="6" s="1"/>
  <c r="N206" i="4"/>
  <c r="U206" i="4" s="1"/>
  <c r="G205" i="6" s="1"/>
  <c r="M206" i="4"/>
  <c r="L206" i="4"/>
  <c r="K206" i="4"/>
  <c r="J206" i="4"/>
  <c r="C206" i="4"/>
  <c r="B206" i="4"/>
  <c r="R205" i="4"/>
  <c r="D204" i="6" s="1"/>
  <c r="P205" i="4"/>
  <c r="W205" i="4" s="1"/>
  <c r="I204" i="6" s="1"/>
  <c r="O205" i="4"/>
  <c r="V205" i="4" s="1"/>
  <c r="H204" i="6" s="1"/>
  <c r="N205" i="4"/>
  <c r="U205" i="4" s="1"/>
  <c r="G204" i="6" s="1"/>
  <c r="M205" i="4"/>
  <c r="T205" i="4" s="1"/>
  <c r="F204" i="6" s="1"/>
  <c r="L205" i="4"/>
  <c r="K205" i="4"/>
  <c r="J205" i="4"/>
  <c r="C205" i="4"/>
  <c r="B205" i="4"/>
  <c r="P204" i="4"/>
  <c r="W204" i="4" s="1"/>
  <c r="I203" i="6" s="1"/>
  <c r="O204" i="4"/>
  <c r="V204" i="4" s="1"/>
  <c r="H203" i="6" s="1"/>
  <c r="N204" i="4"/>
  <c r="M204" i="4"/>
  <c r="T204" i="4" s="1"/>
  <c r="F203" i="6" s="1"/>
  <c r="L204" i="4"/>
  <c r="S204" i="4" s="1"/>
  <c r="E203" i="6" s="1"/>
  <c r="K204" i="4"/>
  <c r="R204" i="4" s="1"/>
  <c r="J204" i="4"/>
  <c r="C204" i="4"/>
  <c r="B204" i="4"/>
  <c r="T203" i="4"/>
  <c r="F202" i="6" s="1"/>
  <c r="P203" i="4"/>
  <c r="W203" i="4" s="1"/>
  <c r="I202" i="6" s="1"/>
  <c r="O203" i="4"/>
  <c r="V203" i="4" s="1"/>
  <c r="H202" i="6" s="1"/>
  <c r="N203" i="4"/>
  <c r="U203" i="4" s="1"/>
  <c r="G202" i="6" s="1"/>
  <c r="M203" i="4"/>
  <c r="L203" i="4"/>
  <c r="S203" i="4" s="1"/>
  <c r="E202" i="6" s="1"/>
  <c r="K203" i="4"/>
  <c r="J203" i="4"/>
  <c r="C203" i="4"/>
  <c r="B203" i="4"/>
  <c r="S202" i="4"/>
  <c r="E201" i="6" s="1"/>
  <c r="R202" i="4"/>
  <c r="D201" i="6" s="1"/>
  <c r="P202" i="4"/>
  <c r="W202" i="4" s="1"/>
  <c r="I201" i="6" s="1"/>
  <c r="O202" i="4"/>
  <c r="V202" i="4" s="1"/>
  <c r="H201" i="6" s="1"/>
  <c r="N202" i="4"/>
  <c r="U202" i="4" s="1"/>
  <c r="G201" i="6" s="1"/>
  <c r="M202" i="4"/>
  <c r="T202" i="4" s="1"/>
  <c r="F201" i="6" s="1"/>
  <c r="L202" i="4"/>
  <c r="K202" i="4"/>
  <c r="J202" i="4"/>
  <c r="C202" i="4"/>
  <c r="B202" i="4"/>
  <c r="T201" i="4"/>
  <c r="F200" i="6" s="1"/>
  <c r="P201" i="4"/>
  <c r="W201" i="4" s="1"/>
  <c r="I200" i="6" s="1"/>
  <c r="O201" i="4"/>
  <c r="V201" i="4" s="1"/>
  <c r="H200" i="6" s="1"/>
  <c r="N201" i="4"/>
  <c r="U201" i="4" s="1"/>
  <c r="G200" i="6" s="1"/>
  <c r="M201" i="4"/>
  <c r="L201" i="4"/>
  <c r="S201" i="4" s="1"/>
  <c r="E200" i="6" s="1"/>
  <c r="K201" i="4"/>
  <c r="R201" i="4" s="1"/>
  <c r="D200" i="6" s="1"/>
  <c r="J201" i="4"/>
  <c r="C201" i="4"/>
  <c r="B201" i="4"/>
  <c r="P200" i="4"/>
  <c r="W200" i="4" s="1"/>
  <c r="I199" i="6" s="1"/>
  <c r="O200" i="4"/>
  <c r="V200" i="4" s="1"/>
  <c r="H199" i="6" s="1"/>
  <c r="N200" i="4"/>
  <c r="U200" i="4" s="1"/>
  <c r="G199" i="6" s="1"/>
  <c r="M200" i="4"/>
  <c r="T200" i="4" s="1"/>
  <c r="F199" i="6" s="1"/>
  <c r="L200" i="4"/>
  <c r="S200" i="4" s="1"/>
  <c r="E199" i="6" s="1"/>
  <c r="K200" i="4"/>
  <c r="J200" i="4"/>
  <c r="C200" i="4"/>
  <c r="B200" i="4"/>
  <c r="T199" i="4"/>
  <c r="F198" i="6" s="1"/>
  <c r="S199" i="4"/>
  <c r="E198" i="6" s="1"/>
  <c r="P199" i="4"/>
  <c r="W199" i="4" s="1"/>
  <c r="I198" i="6" s="1"/>
  <c r="O199" i="4"/>
  <c r="V199" i="4" s="1"/>
  <c r="H198" i="6" s="1"/>
  <c r="N199" i="4"/>
  <c r="U199" i="4" s="1"/>
  <c r="G198" i="6" s="1"/>
  <c r="M199" i="4"/>
  <c r="L199" i="4"/>
  <c r="K199" i="4"/>
  <c r="R199" i="4" s="1"/>
  <c r="J199" i="4"/>
  <c r="C199" i="4"/>
  <c r="B199" i="4"/>
  <c r="P198" i="4"/>
  <c r="W198" i="4" s="1"/>
  <c r="I197" i="6" s="1"/>
  <c r="O198" i="4"/>
  <c r="V198" i="4" s="1"/>
  <c r="H197" i="6" s="1"/>
  <c r="N198" i="4"/>
  <c r="U198" i="4" s="1"/>
  <c r="G197" i="6" s="1"/>
  <c r="M198" i="4"/>
  <c r="T198" i="4" s="1"/>
  <c r="F197" i="6" s="1"/>
  <c r="L198" i="4"/>
  <c r="S198" i="4" s="1"/>
  <c r="E197" i="6" s="1"/>
  <c r="K198" i="4"/>
  <c r="J198" i="4"/>
  <c r="C198" i="4"/>
  <c r="B198" i="4"/>
  <c r="S197" i="4"/>
  <c r="E196" i="6" s="1"/>
  <c r="P197" i="4"/>
  <c r="W197" i="4" s="1"/>
  <c r="I196" i="6" s="1"/>
  <c r="O197" i="4"/>
  <c r="V197" i="4" s="1"/>
  <c r="H196" i="6" s="1"/>
  <c r="N197" i="4"/>
  <c r="U197" i="4" s="1"/>
  <c r="G196" i="6" s="1"/>
  <c r="M197" i="4"/>
  <c r="T197" i="4" s="1"/>
  <c r="F196" i="6" s="1"/>
  <c r="L197" i="4"/>
  <c r="K197" i="4"/>
  <c r="J197" i="4"/>
  <c r="C197" i="4"/>
  <c r="B197" i="4"/>
  <c r="R196" i="4"/>
  <c r="P196" i="4"/>
  <c r="W196" i="4" s="1"/>
  <c r="I195" i="6" s="1"/>
  <c r="O196" i="4"/>
  <c r="V196" i="4" s="1"/>
  <c r="H195" i="6" s="1"/>
  <c r="N196" i="4"/>
  <c r="U196" i="4" s="1"/>
  <c r="G195" i="6" s="1"/>
  <c r="M196" i="4"/>
  <c r="T196" i="4" s="1"/>
  <c r="F195" i="6" s="1"/>
  <c r="L196" i="4"/>
  <c r="S196" i="4" s="1"/>
  <c r="E195" i="6" s="1"/>
  <c r="K196" i="4"/>
  <c r="J196" i="4"/>
  <c r="C196" i="4"/>
  <c r="B196" i="4"/>
  <c r="P195" i="4"/>
  <c r="W195" i="4" s="1"/>
  <c r="I194" i="6" s="1"/>
  <c r="O195" i="4"/>
  <c r="V195" i="4" s="1"/>
  <c r="H194" i="6" s="1"/>
  <c r="N195" i="4"/>
  <c r="U195" i="4" s="1"/>
  <c r="G194" i="6" s="1"/>
  <c r="M195" i="4"/>
  <c r="T195" i="4" s="1"/>
  <c r="F194" i="6" s="1"/>
  <c r="L195" i="4"/>
  <c r="S195" i="4" s="1"/>
  <c r="E194" i="6" s="1"/>
  <c r="K195" i="4"/>
  <c r="J195" i="4"/>
  <c r="C195" i="4"/>
  <c r="B195" i="4"/>
  <c r="P194" i="4"/>
  <c r="W194" i="4" s="1"/>
  <c r="I193" i="6" s="1"/>
  <c r="O194" i="4"/>
  <c r="V194" i="4" s="1"/>
  <c r="H193" i="6" s="1"/>
  <c r="N194" i="4"/>
  <c r="U194" i="4" s="1"/>
  <c r="G193" i="6" s="1"/>
  <c r="M194" i="4"/>
  <c r="T194" i="4" s="1"/>
  <c r="F193" i="6" s="1"/>
  <c r="L194" i="4"/>
  <c r="S194" i="4" s="1"/>
  <c r="E193" i="6" s="1"/>
  <c r="K194" i="4"/>
  <c r="R194" i="4" s="1"/>
  <c r="D193" i="6" s="1"/>
  <c r="J194" i="4"/>
  <c r="C194" i="4"/>
  <c r="B194" i="4"/>
  <c r="S193" i="4"/>
  <c r="E192" i="6" s="1"/>
  <c r="P193" i="4"/>
  <c r="W193" i="4" s="1"/>
  <c r="I192" i="6" s="1"/>
  <c r="O193" i="4"/>
  <c r="V193" i="4" s="1"/>
  <c r="H192" i="6" s="1"/>
  <c r="N193" i="4"/>
  <c r="U193" i="4" s="1"/>
  <c r="G192" i="6" s="1"/>
  <c r="M193" i="4"/>
  <c r="T193" i="4" s="1"/>
  <c r="F192" i="6" s="1"/>
  <c r="L193" i="4"/>
  <c r="K193" i="4"/>
  <c r="R193" i="4" s="1"/>
  <c r="J193" i="4"/>
  <c r="C193" i="4"/>
  <c r="B193" i="4"/>
  <c r="P192" i="4"/>
  <c r="W192" i="4" s="1"/>
  <c r="I191" i="6" s="1"/>
  <c r="O192" i="4"/>
  <c r="V192" i="4" s="1"/>
  <c r="H191" i="6" s="1"/>
  <c r="N192" i="4"/>
  <c r="U192" i="4" s="1"/>
  <c r="G191" i="6" s="1"/>
  <c r="M192" i="4"/>
  <c r="T192" i="4" s="1"/>
  <c r="F191" i="6" s="1"/>
  <c r="L192" i="4"/>
  <c r="S192" i="4" s="1"/>
  <c r="E191" i="6" s="1"/>
  <c r="K192" i="4"/>
  <c r="J192" i="4"/>
  <c r="C192" i="4"/>
  <c r="B192" i="4"/>
  <c r="P191" i="4"/>
  <c r="W191" i="4" s="1"/>
  <c r="I190" i="6" s="1"/>
  <c r="O191" i="4"/>
  <c r="V191" i="4" s="1"/>
  <c r="H190" i="6" s="1"/>
  <c r="N191" i="4"/>
  <c r="U191" i="4" s="1"/>
  <c r="G190" i="6" s="1"/>
  <c r="M191" i="4"/>
  <c r="T191" i="4" s="1"/>
  <c r="F190" i="6" s="1"/>
  <c r="L191" i="4"/>
  <c r="S191" i="4" s="1"/>
  <c r="E190" i="6" s="1"/>
  <c r="K191" i="4"/>
  <c r="R191" i="4" s="1"/>
  <c r="D190" i="6" s="1"/>
  <c r="J191" i="4"/>
  <c r="C191" i="4"/>
  <c r="B191" i="4"/>
  <c r="T190" i="4"/>
  <c r="F189" i="6" s="1"/>
  <c r="R190" i="4"/>
  <c r="P190" i="4"/>
  <c r="W190" i="4" s="1"/>
  <c r="I189" i="6" s="1"/>
  <c r="O190" i="4"/>
  <c r="V190" i="4" s="1"/>
  <c r="H189" i="6" s="1"/>
  <c r="N190" i="4"/>
  <c r="U190" i="4" s="1"/>
  <c r="G189" i="6" s="1"/>
  <c r="M190" i="4"/>
  <c r="L190" i="4"/>
  <c r="S190" i="4" s="1"/>
  <c r="E189" i="6" s="1"/>
  <c r="K190" i="4"/>
  <c r="J190" i="4"/>
  <c r="C190" i="4"/>
  <c r="B190" i="4"/>
  <c r="P189" i="4"/>
  <c r="W189" i="4" s="1"/>
  <c r="I188" i="6" s="1"/>
  <c r="O189" i="4"/>
  <c r="V189" i="4" s="1"/>
  <c r="H188" i="6" s="1"/>
  <c r="N189" i="4"/>
  <c r="U189" i="4" s="1"/>
  <c r="G188" i="6" s="1"/>
  <c r="M189" i="4"/>
  <c r="T189" i="4" s="1"/>
  <c r="F188" i="6" s="1"/>
  <c r="L189" i="4"/>
  <c r="S189" i="4" s="1"/>
  <c r="E188" i="6" s="1"/>
  <c r="K189" i="4"/>
  <c r="J189" i="4"/>
  <c r="C189" i="4"/>
  <c r="B189" i="4"/>
  <c r="T188" i="4"/>
  <c r="F187" i="6" s="1"/>
  <c r="P188" i="4"/>
  <c r="W188" i="4" s="1"/>
  <c r="I187" i="6" s="1"/>
  <c r="O188" i="4"/>
  <c r="V188" i="4" s="1"/>
  <c r="H187" i="6" s="1"/>
  <c r="N188" i="4"/>
  <c r="U188" i="4" s="1"/>
  <c r="G187" i="6" s="1"/>
  <c r="M188" i="4"/>
  <c r="L188" i="4"/>
  <c r="S188" i="4" s="1"/>
  <c r="E187" i="6" s="1"/>
  <c r="K188" i="4"/>
  <c r="R188" i="4" s="1"/>
  <c r="D187" i="6" s="1"/>
  <c r="J188" i="4"/>
  <c r="C188" i="4"/>
  <c r="B188" i="4"/>
  <c r="S187" i="4"/>
  <c r="E186" i="6" s="1"/>
  <c r="R187" i="4"/>
  <c r="D186" i="6" s="1"/>
  <c r="P187" i="4"/>
  <c r="W187" i="4" s="1"/>
  <c r="I186" i="6" s="1"/>
  <c r="O187" i="4"/>
  <c r="V187" i="4" s="1"/>
  <c r="H186" i="6" s="1"/>
  <c r="N187" i="4"/>
  <c r="U187" i="4" s="1"/>
  <c r="G186" i="6" s="1"/>
  <c r="M187" i="4"/>
  <c r="T187" i="4" s="1"/>
  <c r="L187" i="4"/>
  <c r="K187" i="4"/>
  <c r="J187" i="4"/>
  <c r="C187" i="4"/>
  <c r="B187" i="4"/>
  <c r="P186" i="4"/>
  <c r="W186" i="4" s="1"/>
  <c r="I185" i="6" s="1"/>
  <c r="O186" i="4"/>
  <c r="V186" i="4" s="1"/>
  <c r="H185" i="6" s="1"/>
  <c r="N186" i="4"/>
  <c r="U186" i="4" s="1"/>
  <c r="G185" i="6" s="1"/>
  <c r="M186" i="4"/>
  <c r="T186" i="4" s="1"/>
  <c r="F185" i="6" s="1"/>
  <c r="L186" i="4"/>
  <c r="S186" i="4" s="1"/>
  <c r="E185" i="6" s="1"/>
  <c r="K186" i="4"/>
  <c r="R186" i="4" s="1"/>
  <c r="D185" i="6" s="1"/>
  <c r="J186" i="4"/>
  <c r="C186" i="4"/>
  <c r="B186" i="4"/>
  <c r="R185" i="4"/>
  <c r="P185" i="4"/>
  <c r="W185" i="4" s="1"/>
  <c r="I184" i="6" s="1"/>
  <c r="O185" i="4"/>
  <c r="V185" i="4" s="1"/>
  <c r="H184" i="6" s="1"/>
  <c r="N185" i="4"/>
  <c r="M185" i="4"/>
  <c r="T185" i="4" s="1"/>
  <c r="F184" i="6" s="1"/>
  <c r="L185" i="4"/>
  <c r="S185" i="4" s="1"/>
  <c r="E184" i="6" s="1"/>
  <c r="K185" i="4"/>
  <c r="J185" i="4"/>
  <c r="C185" i="4"/>
  <c r="B185" i="4"/>
  <c r="R184" i="4"/>
  <c r="D183" i="6" s="1"/>
  <c r="P184" i="4"/>
  <c r="W184" i="4" s="1"/>
  <c r="I183" i="6" s="1"/>
  <c r="O184" i="4"/>
  <c r="V184" i="4" s="1"/>
  <c r="H183" i="6" s="1"/>
  <c r="N184" i="4"/>
  <c r="U184" i="4" s="1"/>
  <c r="G183" i="6" s="1"/>
  <c r="M184" i="4"/>
  <c r="T184" i="4" s="1"/>
  <c r="F183" i="6" s="1"/>
  <c r="L184" i="4"/>
  <c r="S184" i="4" s="1"/>
  <c r="E183" i="6" s="1"/>
  <c r="K184" i="4"/>
  <c r="J184" i="4"/>
  <c r="C184" i="4"/>
  <c r="B184" i="4"/>
  <c r="P183" i="4"/>
  <c r="W183" i="4" s="1"/>
  <c r="I182" i="6" s="1"/>
  <c r="O183" i="4"/>
  <c r="V183" i="4" s="1"/>
  <c r="H182" i="6" s="1"/>
  <c r="N183" i="4"/>
  <c r="U183" i="4" s="1"/>
  <c r="G182" i="6" s="1"/>
  <c r="M183" i="4"/>
  <c r="T183" i="4" s="1"/>
  <c r="F182" i="6" s="1"/>
  <c r="L183" i="4"/>
  <c r="S183" i="4" s="1"/>
  <c r="E182" i="6" s="1"/>
  <c r="K183" i="4"/>
  <c r="R183" i="4" s="1"/>
  <c r="D182" i="6" s="1"/>
  <c r="J183" i="4"/>
  <c r="C183" i="4"/>
  <c r="B183" i="4"/>
  <c r="R182" i="4"/>
  <c r="P182" i="4"/>
  <c r="W182" i="4" s="1"/>
  <c r="I181" i="6" s="1"/>
  <c r="O182" i="4"/>
  <c r="V182" i="4" s="1"/>
  <c r="H181" i="6" s="1"/>
  <c r="N182" i="4"/>
  <c r="U182" i="4" s="1"/>
  <c r="G181" i="6" s="1"/>
  <c r="M182" i="4"/>
  <c r="T182" i="4" s="1"/>
  <c r="F181" i="6" s="1"/>
  <c r="L182" i="4"/>
  <c r="S182" i="4" s="1"/>
  <c r="E181" i="6" s="1"/>
  <c r="K182" i="4"/>
  <c r="J182" i="4"/>
  <c r="C182" i="4"/>
  <c r="B182" i="4"/>
  <c r="S181" i="4"/>
  <c r="E180" i="6" s="1"/>
  <c r="P181" i="4"/>
  <c r="W181" i="4" s="1"/>
  <c r="I180" i="6" s="1"/>
  <c r="O181" i="4"/>
  <c r="V181" i="4" s="1"/>
  <c r="H180" i="6" s="1"/>
  <c r="N181" i="4"/>
  <c r="U181" i="4" s="1"/>
  <c r="G180" i="6" s="1"/>
  <c r="M181" i="4"/>
  <c r="T181" i="4" s="1"/>
  <c r="F180" i="6" s="1"/>
  <c r="L181" i="4"/>
  <c r="K181" i="4"/>
  <c r="J181" i="4"/>
  <c r="C181" i="4"/>
  <c r="B181" i="4"/>
  <c r="S180" i="4"/>
  <c r="E179" i="6" s="1"/>
  <c r="P180" i="4"/>
  <c r="W180" i="4" s="1"/>
  <c r="I179" i="6" s="1"/>
  <c r="O180" i="4"/>
  <c r="V180" i="4" s="1"/>
  <c r="H179" i="6" s="1"/>
  <c r="N180" i="4"/>
  <c r="U180" i="4" s="1"/>
  <c r="G179" i="6" s="1"/>
  <c r="M180" i="4"/>
  <c r="T180" i="4" s="1"/>
  <c r="F179" i="6" s="1"/>
  <c r="L180" i="4"/>
  <c r="K180" i="4"/>
  <c r="R180" i="4" s="1"/>
  <c r="J180" i="4"/>
  <c r="C180" i="4"/>
  <c r="B180" i="4"/>
  <c r="U179" i="4"/>
  <c r="G178" i="6" s="1"/>
  <c r="P179" i="4"/>
  <c r="W179" i="4" s="1"/>
  <c r="I178" i="6" s="1"/>
  <c r="O179" i="4"/>
  <c r="V179" i="4" s="1"/>
  <c r="H178" i="6" s="1"/>
  <c r="N179" i="4"/>
  <c r="M179" i="4"/>
  <c r="T179" i="4" s="1"/>
  <c r="F178" i="6" s="1"/>
  <c r="L179" i="4"/>
  <c r="S179" i="4" s="1"/>
  <c r="K179" i="4"/>
  <c r="R179" i="4" s="1"/>
  <c r="D178" i="6" s="1"/>
  <c r="J179" i="4"/>
  <c r="C179" i="4"/>
  <c r="B179" i="4"/>
  <c r="R178" i="4"/>
  <c r="D177" i="6" s="1"/>
  <c r="P178" i="4"/>
  <c r="W178" i="4" s="1"/>
  <c r="I177" i="6" s="1"/>
  <c r="O178" i="4"/>
  <c r="V178" i="4" s="1"/>
  <c r="H177" i="6" s="1"/>
  <c r="N178" i="4"/>
  <c r="U178" i="4" s="1"/>
  <c r="G177" i="6" s="1"/>
  <c r="M178" i="4"/>
  <c r="T178" i="4" s="1"/>
  <c r="F177" i="6" s="1"/>
  <c r="L178" i="4"/>
  <c r="S178" i="4" s="1"/>
  <c r="E177" i="6" s="1"/>
  <c r="K178" i="4"/>
  <c r="J178" i="4"/>
  <c r="C178" i="4"/>
  <c r="B178" i="4"/>
  <c r="T177" i="4"/>
  <c r="F176" i="6" s="1"/>
  <c r="P177" i="4"/>
  <c r="W177" i="4" s="1"/>
  <c r="I176" i="6" s="1"/>
  <c r="O177" i="4"/>
  <c r="V177" i="4" s="1"/>
  <c r="H176" i="6" s="1"/>
  <c r="N177" i="4"/>
  <c r="U177" i="4" s="1"/>
  <c r="G176" i="6" s="1"/>
  <c r="M177" i="4"/>
  <c r="L177" i="4"/>
  <c r="S177" i="4" s="1"/>
  <c r="E176" i="6" s="1"/>
  <c r="K177" i="4"/>
  <c r="R177" i="4" s="1"/>
  <c r="D176" i="6" s="1"/>
  <c r="J177" i="4"/>
  <c r="C177" i="4"/>
  <c r="B177" i="4"/>
  <c r="P176" i="4"/>
  <c r="W176" i="4" s="1"/>
  <c r="I175" i="6" s="1"/>
  <c r="O176" i="4"/>
  <c r="V176" i="4" s="1"/>
  <c r="H175" i="6" s="1"/>
  <c r="N176" i="4"/>
  <c r="U176" i="4" s="1"/>
  <c r="G175" i="6" s="1"/>
  <c r="M176" i="4"/>
  <c r="T176" i="4" s="1"/>
  <c r="F175" i="6" s="1"/>
  <c r="L176" i="4"/>
  <c r="S176" i="4" s="1"/>
  <c r="E175" i="6" s="1"/>
  <c r="K176" i="4"/>
  <c r="J176" i="4"/>
  <c r="C176" i="4"/>
  <c r="B176" i="4"/>
  <c r="P175" i="4"/>
  <c r="W175" i="4" s="1"/>
  <c r="I174" i="6" s="1"/>
  <c r="O175" i="4"/>
  <c r="V175" i="4" s="1"/>
  <c r="H174" i="6" s="1"/>
  <c r="N175" i="4"/>
  <c r="U175" i="4" s="1"/>
  <c r="G174" i="6" s="1"/>
  <c r="M175" i="4"/>
  <c r="T175" i="4" s="1"/>
  <c r="F174" i="6" s="1"/>
  <c r="L175" i="4"/>
  <c r="S175" i="4" s="1"/>
  <c r="E174" i="6" s="1"/>
  <c r="K175" i="4"/>
  <c r="R175" i="4" s="1"/>
  <c r="D174" i="6" s="1"/>
  <c r="J175" i="4"/>
  <c r="C175" i="4"/>
  <c r="B175" i="4"/>
  <c r="P174" i="4"/>
  <c r="W174" i="4" s="1"/>
  <c r="I173" i="6" s="1"/>
  <c r="O174" i="4"/>
  <c r="V174" i="4" s="1"/>
  <c r="H173" i="6" s="1"/>
  <c r="N174" i="4"/>
  <c r="U174" i="4" s="1"/>
  <c r="G173" i="6" s="1"/>
  <c r="M174" i="4"/>
  <c r="T174" i="4" s="1"/>
  <c r="F173" i="6" s="1"/>
  <c r="L174" i="4"/>
  <c r="S174" i="4" s="1"/>
  <c r="E173" i="6" s="1"/>
  <c r="K174" i="4"/>
  <c r="R174" i="4" s="1"/>
  <c r="J174" i="4"/>
  <c r="C174" i="4"/>
  <c r="B174" i="4"/>
  <c r="S173" i="4"/>
  <c r="E172" i="6" s="1"/>
  <c r="P173" i="4"/>
  <c r="W173" i="4" s="1"/>
  <c r="I172" i="6" s="1"/>
  <c r="O173" i="4"/>
  <c r="V173" i="4" s="1"/>
  <c r="H172" i="6" s="1"/>
  <c r="N173" i="4"/>
  <c r="U173" i="4" s="1"/>
  <c r="G172" i="6" s="1"/>
  <c r="M173" i="4"/>
  <c r="T173" i="4" s="1"/>
  <c r="F172" i="6" s="1"/>
  <c r="L173" i="4"/>
  <c r="K173" i="4"/>
  <c r="J173" i="4"/>
  <c r="C173" i="4"/>
  <c r="B173" i="4"/>
  <c r="P172" i="4"/>
  <c r="W172" i="4" s="1"/>
  <c r="I171" i="6" s="1"/>
  <c r="O172" i="4"/>
  <c r="V172" i="4" s="1"/>
  <c r="H171" i="6" s="1"/>
  <c r="N172" i="4"/>
  <c r="U172" i="4" s="1"/>
  <c r="G171" i="6" s="1"/>
  <c r="M172" i="4"/>
  <c r="T172" i="4" s="1"/>
  <c r="F171" i="6" s="1"/>
  <c r="L172" i="4"/>
  <c r="S172" i="4" s="1"/>
  <c r="E171" i="6" s="1"/>
  <c r="K172" i="4"/>
  <c r="R172" i="4" s="1"/>
  <c r="D171" i="6" s="1"/>
  <c r="J172" i="4"/>
  <c r="C172" i="4"/>
  <c r="B172" i="4"/>
  <c r="S171" i="4"/>
  <c r="E170" i="6" s="1"/>
  <c r="P171" i="4"/>
  <c r="W171" i="4" s="1"/>
  <c r="I170" i="6" s="1"/>
  <c r="O171" i="4"/>
  <c r="V171" i="4" s="1"/>
  <c r="H170" i="6" s="1"/>
  <c r="N171" i="4"/>
  <c r="U171" i="4" s="1"/>
  <c r="G170" i="6" s="1"/>
  <c r="M171" i="4"/>
  <c r="T171" i="4" s="1"/>
  <c r="F170" i="6" s="1"/>
  <c r="L171" i="4"/>
  <c r="K171" i="4"/>
  <c r="R171" i="4" s="1"/>
  <c r="D170" i="6" s="1"/>
  <c r="J171" i="4"/>
  <c r="C171" i="4"/>
  <c r="B171" i="4"/>
  <c r="U170" i="4"/>
  <c r="G169" i="6" s="1"/>
  <c r="P170" i="4"/>
  <c r="W170" i="4" s="1"/>
  <c r="I169" i="6" s="1"/>
  <c r="O170" i="4"/>
  <c r="V170" i="4" s="1"/>
  <c r="H169" i="6" s="1"/>
  <c r="N170" i="4"/>
  <c r="M170" i="4"/>
  <c r="T170" i="4" s="1"/>
  <c r="F169" i="6" s="1"/>
  <c r="L170" i="4"/>
  <c r="S170" i="4" s="1"/>
  <c r="E169" i="6" s="1"/>
  <c r="K170" i="4"/>
  <c r="J170" i="4"/>
  <c r="C170" i="4"/>
  <c r="B170" i="4"/>
  <c r="P169" i="4"/>
  <c r="W169" i="4" s="1"/>
  <c r="I168" i="6" s="1"/>
  <c r="O169" i="4"/>
  <c r="V169" i="4" s="1"/>
  <c r="H168" i="6" s="1"/>
  <c r="N169" i="4"/>
  <c r="U169" i="4" s="1"/>
  <c r="G168" i="6" s="1"/>
  <c r="M169" i="4"/>
  <c r="L169" i="4"/>
  <c r="S169" i="4" s="1"/>
  <c r="E168" i="6" s="1"/>
  <c r="K169" i="4"/>
  <c r="R169" i="4" s="1"/>
  <c r="D168" i="6" s="1"/>
  <c r="J169" i="4"/>
  <c r="C169" i="4"/>
  <c r="B169" i="4"/>
  <c r="T168" i="4"/>
  <c r="F167" i="6" s="1"/>
  <c r="P168" i="4"/>
  <c r="W168" i="4" s="1"/>
  <c r="I167" i="6" s="1"/>
  <c r="O168" i="4"/>
  <c r="V168" i="4" s="1"/>
  <c r="H167" i="6" s="1"/>
  <c r="N168" i="4"/>
  <c r="U168" i="4" s="1"/>
  <c r="G167" i="6" s="1"/>
  <c r="M168" i="4"/>
  <c r="L168" i="4"/>
  <c r="S168" i="4" s="1"/>
  <c r="E167" i="6" s="1"/>
  <c r="K168" i="4"/>
  <c r="R168" i="4" s="1"/>
  <c r="J168" i="4"/>
  <c r="C168" i="4"/>
  <c r="B168" i="4"/>
  <c r="P167" i="4"/>
  <c r="W167" i="4" s="1"/>
  <c r="I166" i="6" s="1"/>
  <c r="O167" i="4"/>
  <c r="V167" i="4" s="1"/>
  <c r="H166" i="6" s="1"/>
  <c r="N167" i="4"/>
  <c r="U167" i="4" s="1"/>
  <c r="G166" i="6" s="1"/>
  <c r="M167" i="4"/>
  <c r="T167" i="4" s="1"/>
  <c r="F166" i="6" s="1"/>
  <c r="L167" i="4"/>
  <c r="S167" i="4" s="1"/>
  <c r="E166" i="6" s="1"/>
  <c r="K167" i="4"/>
  <c r="R167" i="4" s="1"/>
  <c r="D166" i="6" s="1"/>
  <c r="J167" i="4"/>
  <c r="C167" i="4"/>
  <c r="B167" i="4"/>
  <c r="S166" i="4"/>
  <c r="E165" i="6" s="1"/>
  <c r="P166" i="4"/>
  <c r="W166" i="4" s="1"/>
  <c r="I165" i="6" s="1"/>
  <c r="O166" i="4"/>
  <c r="V166" i="4" s="1"/>
  <c r="H165" i="6" s="1"/>
  <c r="N166" i="4"/>
  <c r="U166" i="4" s="1"/>
  <c r="G165" i="6" s="1"/>
  <c r="M166" i="4"/>
  <c r="L166" i="4"/>
  <c r="K166" i="4"/>
  <c r="R166" i="4" s="1"/>
  <c r="D165" i="6" s="1"/>
  <c r="J166" i="4"/>
  <c r="C166" i="4"/>
  <c r="B166" i="4"/>
  <c r="T165" i="4"/>
  <c r="F164" i="6" s="1"/>
  <c r="R165" i="4"/>
  <c r="D164" i="6" s="1"/>
  <c r="P165" i="4"/>
  <c r="W165" i="4" s="1"/>
  <c r="I164" i="6" s="1"/>
  <c r="O165" i="4"/>
  <c r="V165" i="4" s="1"/>
  <c r="H164" i="6" s="1"/>
  <c r="N165" i="4"/>
  <c r="U165" i="4" s="1"/>
  <c r="G164" i="6" s="1"/>
  <c r="M165" i="4"/>
  <c r="L165" i="4"/>
  <c r="S165" i="4" s="1"/>
  <c r="E164" i="6" s="1"/>
  <c r="K165" i="4"/>
  <c r="J165" i="4"/>
  <c r="C165" i="4"/>
  <c r="B165" i="4"/>
  <c r="W164" i="4"/>
  <c r="I163" i="6" s="1"/>
  <c r="R164" i="4"/>
  <c r="D163" i="6" s="1"/>
  <c r="P164" i="4"/>
  <c r="O164" i="4"/>
  <c r="V164" i="4" s="1"/>
  <c r="H163" i="6" s="1"/>
  <c r="N164" i="4"/>
  <c r="U164" i="4" s="1"/>
  <c r="G163" i="6" s="1"/>
  <c r="M164" i="4"/>
  <c r="T164" i="4" s="1"/>
  <c r="F163" i="6" s="1"/>
  <c r="L164" i="4"/>
  <c r="S164" i="4" s="1"/>
  <c r="E163" i="6" s="1"/>
  <c r="K164" i="4"/>
  <c r="J164" i="4"/>
  <c r="C164" i="4"/>
  <c r="B164" i="4"/>
  <c r="T163" i="4"/>
  <c r="F162" i="6" s="1"/>
  <c r="P163" i="4"/>
  <c r="W163" i="4" s="1"/>
  <c r="I162" i="6" s="1"/>
  <c r="O163" i="4"/>
  <c r="V163" i="4" s="1"/>
  <c r="H162" i="6" s="1"/>
  <c r="N163" i="4"/>
  <c r="U163" i="4" s="1"/>
  <c r="G162" i="6" s="1"/>
  <c r="M163" i="4"/>
  <c r="L163" i="4"/>
  <c r="S163" i="4" s="1"/>
  <c r="E162" i="6" s="1"/>
  <c r="K163" i="4"/>
  <c r="J163" i="4"/>
  <c r="C163" i="4"/>
  <c r="B163" i="4"/>
  <c r="P162" i="4"/>
  <c r="W162" i="4" s="1"/>
  <c r="I161" i="6" s="1"/>
  <c r="O162" i="4"/>
  <c r="V162" i="4" s="1"/>
  <c r="H161" i="6" s="1"/>
  <c r="N162" i="4"/>
  <c r="U162" i="4" s="1"/>
  <c r="G161" i="6" s="1"/>
  <c r="M162" i="4"/>
  <c r="T162" i="4" s="1"/>
  <c r="F161" i="6" s="1"/>
  <c r="L162" i="4"/>
  <c r="S162" i="4" s="1"/>
  <c r="E161" i="6" s="1"/>
  <c r="K162" i="4"/>
  <c r="J162" i="4"/>
  <c r="C162" i="4"/>
  <c r="B162" i="4"/>
  <c r="P161" i="4"/>
  <c r="W161" i="4" s="1"/>
  <c r="I160" i="6" s="1"/>
  <c r="O161" i="4"/>
  <c r="V161" i="4" s="1"/>
  <c r="H160" i="6" s="1"/>
  <c r="N161" i="4"/>
  <c r="U161" i="4" s="1"/>
  <c r="G160" i="6" s="1"/>
  <c r="M161" i="4"/>
  <c r="T161" i="4" s="1"/>
  <c r="F160" i="6" s="1"/>
  <c r="L161" i="4"/>
  <c r="S161" i="4" s="1"/>
  <c r="E160" i="6" s="1"/>
  <c r="K161" i="4"/>
  <c r="J161" i="4"/>
  <c r="C161" i="4"/>
  <c r="B161" i="4"/>
  <c r="T160" i="4"/>
  <c r="F159" i="6" s="1"/>
  <c r="P160" i="4"/>
  <c r="W160" i="4" s="1"/>
  <c r="I159" i="6" s="1"/>
  <c r="O160" i="4"/>
  <c r="V160" i="4" s="1"/>
  <c r="H159" i="6" s="1"/>
  <c r="N160" i="4"/>
  <c r="U160" i="4" s="1"/>
  <c r="G159" i="6" s="1"/>
  <c r="M160" i="4"/>
  <c r="L160" i="4"/>
  <c r="S160" i="4" s="1"/>
  <c r="E159" i="6" s="1"/>
  <c r="K160" i="4"/>
  <c r="R160" i="4" s="1"/>
  <c r="J160" i="4"/>
  <c r="C160" i="4"/>
  <c r="B160" i="4"/>
  <c r="P159" i="4"/>
  <c r="W159" i="4" s="1"/>
  <c r="I158" i="6" s="1"/>
  <c r="O159" i="4"/>
  <c r="V159" i="4" s="1"/>
  <c r="H158" i="6" s="1"/>
  <c r="N159" i="4"/>
  <c r="U159" i="4" s="1"/>
  <c r="G158" i="6" s="1"/>
  <c r="M159" i="4"/>
  <c r="T159" i="4" s="1"/>
  <c r="F158" i="6" s="1"/>
  <c r="L159" i="4"/>
  <c r="S159" i="4" s="1"/>
  <c r="E158" i="6" s="1"/>
  <c r="K159" i="4"/>
  <c r="J159" i="4"/>
  <c r="C159" i="4"/>
  <c r="B159" i="4"/>
  <c r="R158" i="4"/>
  <c r="P158" i="4"/>
  <c r="W158" i="4" s="1"/>
  <c r="I157" i="6" s="1"/>
  <c r="O158" i="4"/>
  <c r="V158" i="4" s="1"/>
  <c r="H157" i="6" s="1"/>
  <c r="N158" i="4"/>
  <c r="U158" i="4" s="1"/>
  <c r="G157" i="6" s="1"/>
  <c r="M158" i="4"/>
  <c r="T158" i="4" s="1"/>
  <c r="F157" i="6" s="1"/>
  <c r="L158" i="4"/>
  <c r="S158" i="4" s="1"/>
  <c r="E157" i="6" s="1"/>
  <c r="K158" i="4"/>
  <c r="J158" i="4"/>
  <c r="C158" i="4"/>
  <c r="B158" i="4"/>
  <c r="P157" i="4"/>
  <c r="W157" i="4" s="1"/>
  <c r="I156" i="6" s="1"/>
  <c r="O157" i="4"/>
  <c r="V157" i="4" s="1"/>
  <c r="H156" i="6" s="1"/>
  <c r="N157" i="4"/>
  <c r="M157" i="4"/>
  <c r="T157" i="4" s="1"/>
  <c r="F156" i="6" s="1"/>
  <c r="L157" i="4"/>
  <c r="S157" i="4" s="1"/>
  <c r="E156" i="6" s="1"/>
  <c r="K157" i="4"/>
  <c r="R157" i="4" s="1"/>
  <c r="J157" i="4"/>
  <c r="C157" i="4"/>
  <c r="B157" i="4"/>
  <c r="P156" i="4"/>
  <c r="W156" i="4" s="1"/>
  <c r="I155" i="6" s="1"/>
  <c r="O156" i="4"/>
  <c r="V156" i="4" s="1"/>
  <c r="H155" i="6" s="1"/>
  <c r="N156" i="4"/>
  <c r="U156" i="4" s="1"/>
  <c r="G155" i="6" s="1"/>
  <c r="M156" i="4"/>
  <c r="T156" i="4" s="1"/>
  <c r="F155" i="6" s="1"/>
  <c r="L156" i="4"/>
  <c r="S156" i="4" s="1"/>
  <c r="E155" i="6" s="1"/>
  <c r="K156" i="4"/>
  <c r="J156" i="4"/>
  <c r="C156" i="4"/>
  <c r="B156" i="4"/>
  <c r="S155" i="4"/>
  <c r="E154" i="6" s="1"/>
  <c r="P155" i="4"/>
  <c r="W155" i="4" s="1"/>
  <c r="I154" i="6" s="1"/>
  <c r="O155" i="4"/>
  <c r="V155" i="4" s="1"/>
  <c r="H154" i="6" s="1"/>
  <c r="N155" i="4"/>
  <c r="U155" i="4" s="1"/>
  <c r="G154" i="6" s="1"/>
  <c r="M155" i="4"/>
  <c r="T155" i="4" s="1"/>
  <c r="F154" i="6" s="1"/>
  <c r="L155" i="4"/>
  <c r="K155" i="4"/>
  <c r="R155" i="4" s="1"/>
  <c r="D154" i="6" s="1"/>
  <c r="J155" i="4"/>
  <c r="C155" i="4"/>
  <c r="B155" i="4"/>
  <c r="R154" i="4"/>
  <c r="P154" i="4"/>
  <c r="W154" i="4" s="1"/>
  <c r="I153" i="6" s="1"/>
  <c r="O154" i="4"/>
  <c r="V154" i="4" s="1"/>
  <c r="H153" i="6" s="1"/>
  <c r="N154" i="4"/>
  <c r="U154" i="4" s="1"/>
  <c r="G153" i="6" s="1"/>
  <c r="M154" i="4"/>
  <c r="T154" i="4" s="1"/>
  <c r="F153" i="6" s="1"/>
  <c r="L154" i="4"/>
  <c r="S154" i="4" s="1"/>
  <c r="E153" i="6" s="1"/>
  <c r="K154" i="4"/>
  <c r="J154" i="4"/>
  <c r="C154" i="4"/>
  <c r="B154" i="4"/>
  <c r="P153" i="4"/>
  <c r="W153" i="4" s="1"/>
  <c r="I152" i="6" s="1"/>
  <c r="O153" i="4"/>
  <c r="V153" i="4" s="1"/>
  <c r="H152" i="6" s="1"/>
  <c r="N153" i="4"/>
  <c r="U153" i="4" s="1"/>
  <c r="G152" i="6" s="1"/>
  <c r="M153" i="4"/>
  <c r="T153" i="4" s="1"/>
  <c r="F152" i="6" s="1"/>
  <c r="L153" i="4"/>
  <c r="S153" i="4" s="1"/>
  <c r="E152" i="6" s="1"/>
  <c r="K153" i="4"/>
  <c r="R153" i="4" s="1"/>
  <c r="J153" i="4"/>
  <c r="C153" i="4"/>
  <c r="B153" i="4"/>
  <c r="R152" i="4"/>
  <c r="P152" i="4"/>
  <c r="W152" i="4" s="1"/>
  <c r="I151" i="6" s="1"/>
  <c r="O152" i="4"/>
  <c r="V152" i="4" s="1"/>
  <c r="H151" i="6" s="1"/>
  <c r="N152" i="4"/>
  <c r="U152" i="4" s="1"/>
  <c r="G151" i="6" s="1"/>
  <c r="M152" i="4"/>
  <c r="T152" i="4" s="1"/>
  <c r="F151" i="6" s="1"/>
  <c r="L152" i="4"/>
  <c r="S152" i="4" s="1"/>
  <c r="E151" i="6" s="1"/>
  <c r="K152" i="4"/>
  <c r="J152" i="4"/>
  <c r="C152" i="4"/>
  <c r="B152" i="4"/>
  <c r="T151" i="4"/>
  <c r="F150" i="6" s="1"/>
  <c r="P151" i="4"/>
  <c r="W151" i="4" s="1"/>
  <c r="I150" i="6" s="1"/>
  <c r="O151" i="4"/>
  <c r="V151" i="4" s="1"/>
  <c r="H150" i="6" s="1"/>
  <c r="N151" i="4"/>
  <c r="U151" i="4" s="1"/>
  <c r="G150" i="6" s="1"/>
  <c r="M151" i="4"/>
  <c r="L151" i="4"/>
  <c r="S151" i="4" s="1"/>
  <c r="E150" i="6" s="1"/>
  <c r="K151" i="4"/>
  <c r="J151" i="4"/>
  <c r="C151" i="4"/>
  <c r="B151" i="4"/>
  <c r="R150" i="4"/>
  <c r="P150" i="4"/>
  <c r="W150" i="4" s="1"/>
  <c r="I149" i="6" s="1"/>
  <c r="O150" i="4"/>
  <c r="V150" i="4" s="1"/>
  <c r="H149" i="6" s="1"/>
  <c r="N150" i="4"/>
  <c r="U150" i="4" s="1"/>
  <c r="G149" i="6" s="1"/>
  <c r="M150" i="4"/>
  <c r="L150" i="4"/>
  <c r="S150" i="4" s="1"/>
  <c r="E149" i="6" s="1"/>
  <c r="K150" i="4"/>
  <c r="J150" i="4"/>
  <c r="C150" i="4"/>
  <c r="B150" i="4"/>
  <c r="T149" i="4"/>
  <c r="F148" i="6" s="1"/>
  <c r="P149" i="4"/>
  <c r="W149" i="4" s="1"/>
  <c r="I148" i="6" s="1"/>
  <c r="O149" i="4"/>
  <c r="V149" i="4" s="1"/>
  <c r="H148" i="6" s="1"/>
  <c r="N149" i="4"/>
  <c r="U149" i="4" s="1"/>
  <c r="G148" i="6" s="1"/>
  <c r="M149" i="4"/>
  <c r="L149" i="4"/>
  <c r="S149" i="4" s="1"/>
  <c r="E148" i="6" s="1"/>
  <c r="K149" i="4"/>
  <c r="J149" i="4"/>
  <c r="C149" i="4"/>
  <c r="B149" i="4"/>
  <c r="P148" i="4"/>
  <c r="W148" i="4" s="1"/>
  <c r="I147" i="6" s="1"/>
  <c r="O148" i="4"/>
  <c r="V148" i="4" s="1"/>
  <c r="H147" i="6" s="1"/>
  <c r="N148" i="4"/>
  <c r="U148" i="4" s="1"/>
  <c r="G147" i="6" s="1"/>
  <c r="M148" i="4"/>
  <c r="T148" i="4" s="1"/>
  <c r="F147" i="6" s="1"/>
  <c r="L148" i="4"/>
  <c r="S148" i="4" s="1"/>
  <c r="E147" i="6" s="1"/>
  <c r="K148" i="4"/>
  <c r="R148" i="4" s="1"/>
  <c r="J148" i="4"/>
  <c r="C148" i="4"/>
  <c r="B148" i="4"/>
  <c r="T147" i="4"/>
  <c r="F146" i="6" s="1"/>
  <c r="R147" i="4"/>
  <c r="P147" i="4"/>
  <c r="W147" i="4" s="1"/>
  <c r="I146" i="6" s="1"/>
  <c r="O147" i="4"/>
  <c r="V147" i="4" s="1"/>
  <c r="H146" i="6" s="1"/>
  <c r="N147" i="4"/>
  <c r="U147" i="4" s="1"/>
  <c r="G146" i="6" s="1"/>
  <c r="M147" i="4"/>
  <c r="L147" i="4"/>
  <c r="S147" i="4" s="1"/>
  <c r="E146" i="6" s="1"/>
  <c r="K147" i="4"/>
  <c r="J147" i="4"/>
  <c r="C147" i="4"/>
  <c r="B147" i="4"/>
  <c r="P146" i="4"/>
  <c r="W146" i="4" s="1"/>
  <c r="I145" i="6" s="1"/>
  <c r="O146" i="4"/>
  <c r="V146" i="4" s="1"/>
  <c r="H145" i="6" s="1"/>
  <c r="N146" i="4"/>
  <c r="U146" i="4" s="1"/>
  <c r="G145" i="6" s="1"/>
  <c r="M146" i="4"/>
  <c r="T146" i="4" s="1"/>
  <c r="F145" i="6" s="1"/>
  <c r="L146" i="4"/>
  <c r="S146" i="4" s="1"/>
  <c r="E145" i="6" s="1"/>
  <c r="K146" i="4"/>
  <c r="R146" i="4" s="1"/>
  <c r="D145" i="6" s="1"/>
  <c r="J146" i="4"/>
  <c r="C146" i="4"/>
  <c r="B146" i="4"/>
  <c r="S145" i="4"/>
  <c r="E144" i="6" s="1"/>
  <c r="R145" i="4"/>
  <c r="D144" i="6" s="1"/>
  <c r="P145" i="4"/>
  <c r="W145" i="4" s="1"/>
  <c r="I144" i="6" s="1"/>
  <c r="O145" i="4"/>
  <c r="V145" i="4" s="1"/>
  <c r="H144" i="6" s="1"/>
  <c r="N145" i="4"/>
  <c r="U145" i="4" s="1"/>
  <c r="G144" i="6" s="1"/>
  <c r="M145" i="4"/>
  <c r="T145" i="4" s="1"/>
  <c r="F144" i="6" s="1"/>
  <c r="L145" i="4"/>
  <c r="K145" i="4"/>
  <c r="J145" i="4"/>
  <c r="C145" i="4"/>
  <c r="B145" i="4"/>
  <c r="U144" i="4"/>
  <c r="G143" i="6" s="1"/>
  <c r="P144" i="4"/>
  <c r="W144" i="4" s="1"/>
  <c r="I143" i="6" s="1"/>
  <c r="O144" i="4"/>
  <c r="V144" i="4" s="1"/>
  <c r="H143" i="6" s="1"/>
  <c r="N144" i="4"/>
  <c r="M144" i="4"/>
  <c r="T144" i="4" s="1"/>
  <c r="F143" i="6" s="1"/>
  <c r="L144" i="4"/>
  <c r="S144" i="4" s="1"/>
  <c r="E143" i="6" s="1"/>
  <c r="K144" i="4"/>
  <c r="J144" i="4"/>
  <c r="C144" i="4"/>
  <c r="B144" i="4"/>
  <c r="P143" i="4"/>
  <c r="W143" i="4" s="1"/>
  <c r="I142" i="6" s="1"/>
  <c r="O143" i="4"/>
  <c r="V143" i="4" s="1"/>
  <c r="H142" i="6" s="1"/>
  <c r="N143" i="4"/>
  <c r="U143" i="4" s="1"/>
  <c r="G142" i="6" s="1"/>
  <c r="M143" i="4"/>
  <c r="T143" i="4" s="1"/>
  <c r="F142" i="6" s="1"/>
  <c r="L143" i="4"/>
  <c r="K143" i="4"/>
  <c r="R143" i="4" s="1"/>
  <c r="D142" i="6" s="1"/>
  <c r="J143" i="4"/>
  <c r="C143" i="4"/>
  <c r="B143" i="4"/>
  <c r="S142" i="4"/>
  <c r="E141" i="6" s="1"/>
  <c r="R142" i="4"/>
  <c r="P142" i="4"/>
  <c r="W142" i="4" s="1"/>
  <c r="I141" i="6" s="1"/>
  <c r="O142" i="4"/>
  <c r="V142" i="4" s="1"/>
  <c r="H141" i="6" s="1"/>
  <c r="N142" i="4"/>
  <c r="U142" i="4" s="1"/>
  <c r="G141" i="6" s="1"/>
  <c r="M142" i="4"/>
  <c r="T142" i="4" s="1"/>
  <c r="F141" i="6" s="1"/>
  <c r="L142" i="4"/>
  <c r="K142" i="4"/>
  <c r="J142" i="4"/>
  <c r="C142" i="4"/>
  <c r="B142" i="4"/>
  <c r="P141" i="4"/>
  <c r="W141" i="4" s="1"/>
  <c r="I140" i="6" s="1"/>
  <c r="O141" i="4"/>
  <c r="V141" i="4" s="1"/>
  <c r="H140" i="6" s="1"/>
  <c r="N141" i="4"/>
  <c r="U141" i="4" s="1"/>
  <c r="G140" i="6" s="1"/>
  <c r="M141" i="4"/>
  <c r="T141" i="4" s="1"/>
  <c r="F140" i="6" s="1"/>
  <c r="L141" i="4"/>
  <c r="S141" i="4" s="1"/>
  <c r="E140" i="6" s="1"/>
  <c r="K141" i="4"/>
  <c r="R141" i="4" s="1"/>
  <c r="J141" i="4"/>
  <c r="C141" i="4"/>
  <c r="B141" i="4"/>
  <c r="S140" i="4"/>
  <c r="E139" i="6" s="1"/>
  <c r="P140" i="4"/>
  <c r="W140" i="4" s="1"/>
  <c r="I139" i="6" s="1"/>
  <c r="O140" i="4"/>
  <c r="V140" i="4" s="1"/>
  <c r="H139" i="6" s="1"/>
  <c r="N140" i="4"/>
  <c r="U140" i="4" s="1"/>
  <c r="G139" i="6" s="1"/>
  <c r="M140" i="4"/>
  <c r="T140" i="4" s="1"/>
  <c r="F139" i="6" s="1"/>
  <c r="L140" i="4"/>
  <c r="K140" i="4"/>
  <c r="R140" i="4" s="1"/>
  <c r="J140" i="4"/>
  <c r="C140" i="4"/>
  <c r="B140" i="4"/>
  <c r="P139" i="4"/>
  <c r="W139" i="4" s="1"/>
  <c r="I138" i="6" s="1"/>
  <c r="O139" i="4"/>
  <c r="V139" i="4" s="1"/>
  <c r="H138" i="6" s="1"/>
  <c r="N139" i="4"/>
  <c r="U139" i="4" s="1"/>
  <c r="G138" i="6" s="1"/>
  <c r="M139" i="4"/>
  <c r="T139" i="4" s="1"/>
  <c r="F138" i="6" s="1"/>
  <c r="L139" i="4"/>
  <c r="S139" i="4" s="1"/>
  <c r="E138" i="6" s="1"/>
  <c r="K139" i="4"/>
  <c r="J139" i="4"/>
  <c r="C139" i="4"/>
  <c r="B139" i="4"/>
  <c r="P138" i="4"/>
  <c r="W138" i="4" s="1"/>
  <c r="I137" i="6" s="1"/>
  <c r="O138" i="4"/>
  <c r="V138" i="4" s="1"/>
  <c r="H137" i="6" s="1"/>
  <c r="N138" i="4"/>
  <c r="U138" i="4" s="1"/>
  <c r="G137" i="6" s="1"/>
  <c r="M138" i="4"/>
  <c r="T138" i="4" s="1"/>
  <c r="F137" i="6" s="1"/>
  <c r="L138" i="4"/>
  <c r="K138" i="4"/>
  <c r="R138" i="4" s="1"/>
  <c r="D137" i="6" s="1"/>
  <c r="J138" i="4"/>
  <c r="C138" i="4"/>
  <c r="B138" i="4"/>
  <c r="P137" i="4"/>
  <c r="W137" i="4" s="1"/>
  <c r="I136" i="6" s="1"/>
  <c r="O137" i="4"/>
  <c r="V137" i="4" s="1"/>
  <c r="H136" i="6" s="1"/>
  <c r="N137" i="4"/>
  <c r="U137" i="4" s="1"/>
  <c r="G136" i="6" s="1"/>
  <c r="M137" i="4"/>
  <c r="T137" i="4" s="1"/>
  <c r="F136" i="6" s="1"/>
  <c r="L137" i="4"/>
  <c r="S137" i="4" s="1"/>
  <c r="E136" i="6" s="1"/>
  <c r="K137" i="4"/>
  <c r="R137" i="4" s="1"/>
  <c r="J137" i="4"/>
  <c r="C137" i="4"/>
  <c r="B137" i="4"/>
  <c r="P136" i="4"/>
  <c r="W136" i="4" s="1"/>
  <c r="I135" i="6" s="1"/>
  <c r="O136" i="4"/>
  <c r="V136" i="4" s="1"/>
  <c r="H135" i="6" s="1"/>
  <c r="N136" i="4"/>
  <c r="U136" i="4" s="1"/>
  <c r="G135" i="6" s="1"/>
  <c r="M136" i="4"/>
  <c r="T136" i="4" s="1"/>
  <c r="F135" i="6" s="1"/>
  <c r="L136" i="4"/>
  <c r="S136" i="4" s="1"/>
  <c r="K136" i="4"/>
  <c r="R136" i="4" s="1"/>
  <c r="D135" i="6" s="1"/>
  <c r="J136" i="4"/>
  <c r="C136" i="4"/>
  <c r="B136" i="4"/>
  <c r="T135" i="4"/>
  <c r="F134" i="6" s="1"/>
  <c r="P135" i="4"/>
  <c r="W135" i="4" s="1"/>
  <c r="I134" i="6" s="1"/>
  <c r="O135" i="4"/>
  <c r="V135" i="4" s="1"/>
  <c r="H134" i="6" s="1"/>
  <c r="N135" i="4"/>
  <c r="U135" i="4" s="1"/>
  <c r="G134" i="6" s="1"/>
  <c r="M135" i="4"/>
  <c r="L135" i="4"/>
  <c r="K135" i="4"/>
  <c r="R135" i="4" s="1"/>
  <c r="D134" i="6" s="1"/>
  <c r="J135" i="4"/>
  <c r="C135" i="4"/>
  <c r="B135" i="4"/>
  <c r="P134" i="4"/>
  <c r="W134" i="4" s="1"/>
  <c r="I133" i="6" s="1"/>
  <c r="O134" i="4"/>
  <c r="V134" i="4" s="1"/>
  <c r="H133" i="6" s="1"/>
  <c r="N134" i="4"/>
  <c r="U134" i="4" s="1"/>
  <c r="G133" i="6" s="1"/>
  <c r="M134" i="4"/>
  <c r="T134" i="4" s="1"/>
  <c r="F133" i="6" s="1"/>
  <c r="L134" i="4"/>
  <c r="S134" i="4" s="1"/>
  <c r="E133" i="6" s="1"/>
  <c r="K134" i="4"/>
  <c r="R134" i="4" s="1"/>
  <c r="D133" i="6" s="1"/>
  <c r="J134" i="4"/>
  <c r="C134" i="4"/>
  <c r="B134" i="4"/>
  <c r="S133" i="4"/>
  <c r="E132" i="6" s="1"/>
  <c r="P133" i="4"/>
  <c r="W133" i="4" s="1"/>
  <c r="I132" i="6" s="1"/>
  <c r="O133" i="4"/>
  <c r="V133" i="4" s="1"/>
  <c r="H132" i="6" s="1"/>
  <c r="N133" i="4"/>
  <c r="U133" i="4" s="1"/>
  <c r="G132" i="6" s="1"/>
  <c r="M133" i="4"/>
  <c r="T133" i="4" s="1"/>
  <c r="F132" i="6" s="1"/>
  <c r="L133" i="4"/>
  <c r="K133" i="4"/>
  <c r="R133" i="4" s="1"/>
  <c r="J133" i="4"/>
  <c r="C133" i="4"/>
  <c r="B133" i="4"/>
  <c r="P132" i="4"/>
  <c r="W132" i="4" s="1"/>
  <c r="I131" i="6" s="1"/>
  <c r="O132" i="4"/>
  <c r="V132" i="4" s="1"/>
  <c r="H131" i="6" s="1"/>
  <c r="N132" i="4"/>
  <c r="U132" i="4" s="1"/>
  <c r="G131" i="6" s="1"/>
  <c r="M132" i="4"/>
  <c r="T132" i="4" s="1"/>
  <c r="F131" i="6" s="1"/>
  <c r="L132" i="4"/>
  <c r="S132" i="4" s="1"/>
  <c r="E131" i="6" s="1"/>
  <c r="K132" i="4"/>
  <c r="J132" i="4"/>
  <c r="C132" i="4"/>
  <c r="B132" i="4"/>
  <c r="P131" i="4"/>
  <c r="W131" i="4" s="1"/>
  <c r="I130" i="6" s="1"/>
  <c r="O131" i="4"/>
  <c r="V131" i="4" s="1"/>
  <c r="H130" i="6" s="1"/>
  <c r="N131" i="4"/>
  <c r="U131" i="4" s="1"/>
  <c r="G130" i="6" s="1"/>
  <c r="M131" i="4"/>
  <c r="T131" i="4" s="1"/>
  <c r="F130" i="6" s="1"/>
  <c r="L131" i="4"/>
  <c r="S131" i="4" s="1"/>
  <c r="E130" i="6" s="1"/>
  <c r="K131" i="4"/>
  <c r="R131" i="4" s="1"/>
  <c r="J131" i="4"/>
  <c r="C131" i="4"/>
  <c r="B131" i="4"/>
  <c r="P130" i="4"/>
  <c r="W130" i="4" s="1"/>
  <c r="I129" i="6" s="1"/>
  <c r="O130" i="4"/>
  <c r="V130" i="4" s="1"/>
  <c r="H129" i="6" s="1"/>
  <c r="N130" i="4"/>
  <c r="U130" i="4" s="1"/>
  <c r="G129" i="6" s="1"/>
  <c r="M130" i="4"/>
  <c r="T130" i="4" s="1"/>
  <c r="F129" i="6" s="1"/>
  <c r="L130" i="4"/>
  <c r="S130" i="4" s="1"/>
  <c r="E129" i="6" s="1"/>
  <c r="K130" i="4"/>
  <c r="J130" i="4"/>
  <c r="C130" i="4"/>
  <c r="B130" i="4"/>
  <c r="P129" i="4"/>
  <c r="W129" i="4" s="1"/>
  <c r="I128" i="6" s="1"/>
  <c r="O129" i="4"/>
  <c r="V129" i="4" s="1"/>
  <c r="H128" i="6" s="1"/>
  <c r="N129" i="4"/>
  <c r="U129" i="4" s="1"/>
  <c r="G128" i="6" s="1"/>
  <c r="M129" i="4"/>
  <c r="T129" i="4" s="1"/>
  <c r="F128" i="6" s="1"/>
  <c r="L129" i="4"/>
  <c r="S129" i="4" s="1"/>
  <c r="E128" i="6" s="1"/>
  <c r="K129" i="4"/>
  <c r="R129" i="4" s="1"/>
  <c r="D128" i="6" s="1"/>
  <c r="J129" i="4"/>
  <c r="C129" i="4"/>
  <c r="B129" i="4"/>
  <c r="P128" i="4"/>
  <c r="W128" i="4" s="1"/>
  <c r="I127" i="6" s="1"/>
  <c r="O128" i="4"/>
  <c r="V128" i="4" s="1"/>
  <c r="H127" i="6" s="1"/>
  <c r="N128" i="4"/>
  <c r="U128" i="4" s="1"/>
  <c r="G127" i="6" s="1"/>
  <c r="M128" i="4"/>
  <c r="T128" i="4" s="1"/>
  <c r="F127" i="6" s="1"/>
  <c r="L128" i="4"/>
  <c r="S128" i="4" s="1"/>
  <c r="E127" i="6" s="1"/>
  <c r="K128" i="4"/>
  <c r="J128" i="4"/>
  <c r="C128" i="4"/>
  <c r="B128" i="4"/>
  <c r="P127" i="4"/>
  <c r="W127" i="4" s="1"/>
  <c r="I126" i="6" s="1"/>
  <c r="O127" i="4"/>
  <c r="V127" i="4" s="1"/>
  <c r="H126" i="6" s="1"/>
  <c r="N127" i="4"/>
  <c r="U127" i="4" s="1"/>
  <c r="G126" i="6" s="1"/>
  <c r="M127" i="4"/>
  <c r="T127" i="4" s="1"/>
  <c r="F126" i="6" s="1"/>
  <c r="L127" i="4"/>
  <c r="S127" i="4" s="1"/>
  <c r="E126" i="6" s="1"/>
  <c r="K127" i="4"/>
  <c r="R127" i="4" s="1"/>
  <c r="J127" i="4"/>
  <c r="C127" i="4"/>
  <c r="B127" i="4"/>
  <c r="P126" i="4"/>
  <c r="W126" i="4" s="1"/>
  <c r="I125" i="6" s="1"/>
  <c r="O126" i="4"/>
  <c r="V126" i="4" s="1"/>
  <c r="H125" i="6" s="1"/>
  <c r="N126" i="4"/>
  <c r="U126" i="4" s="1"/>
  <c r="G125" i="6" s="1"/>
  <c r="M126" i="4"/>
  <c r="T126" i="4" s="1"/>
  <c r="F125" i="6" s="1"/>
  <c r="L126" i="4"/>
  <c r="S126" i="4" s="1"/>
  <c r="E125" i="6" s="1"/>
  <c r="K126" i="4"/>
  <c r="J126" i="4"/>
  <c r="C126" i="4"/>
  <c r="B126" i="4"/>
  <c r="T125" i="4"/>
  <c r="F124" i="6" s="1"/>
  <c r="P125" i="4"/>
  <c r="W125" i="4" s="1"/>
  <c r="I124" i="6" s="1"/>
  <c r="O125" i="4"/>
  <c r="V125" i="4" s="1"/>
  <c r="H124" i="6" s="1"/>
  <c r="N125" i="4"/>
  <c r="U125" i="4" s="1"/>
  <c r="G124" i="6" s="1"/>
  <c r="M125" i="4"/>
  <c r="L125" i="4"/>
  <c r="S125" i="4" s="1"/>
  <c r="E124" i="6" s="1"/>
  <c r="K125" i="4"/>
  <c r="J125" i="4"/>
  <c r="C125" i="4"/>
  <c r="B125" i="4"/>
  <c r="P124" i="4"/>
  <c r="W124" i="4" s="1"/>
  <c r="I123" i="6" s="1"/>
  <c r="O124" i="4"/>
  <c r="V124" i="4" s="1"/>
  <c r="H123" i="6" s="1"/>
  <c r="N124" i="4"/>
  <c r="U124" i="4" s="1"/>
  <c r="G123" i="6" s="1"/>
  <c r="M124" i="4"/>
  <c r="T124" i="4" s="1"/>
  <c r="F123" i="6" s="1"/>
  <c r="L124" i="4"/>
  <c r="S124" i="4" s="1"/>
  <c r="K124" i="4"/>
  <c r="R124" i="4" s="1"/>
  <c r="D123" i="6" s="1"/>
  <c r="J124" i="4"/>
  <c r="C124" i="4"/>
  <c r="B124" i="4"/>
  <c r="P123" i="4"/>
  <c r="W123" i="4" s="1"/>
  <c r="I122" i="6" s="1"/>
  <c r="O123" i="4"/>
  <c r="V123" i="4" s="1"/>
  <c r="H122" i="6" s="1"/>
  <c r="N123" i="4"/>
  <c r="U123" i="4" s="1"/>
  <c r="G122" i="6" s="1"/>
  <c r="M123" i="4"/>
  <c r="T123" i="4" s="1"/>
  <c r="F122" i="6" s="1"/>
  <c r="L123" i="4"/>
  <c r="S123" i="4" s="1"/>
  <c r="E122" i="6" s="1"/>
  <c r="K123" i="4"/>
  <c r="R123" i="4" s="1"/>
  <c r="J123" i="4"/>
  <c r="C123" i="4"/>
  <c r="B123" i="4"/>
  <c r="P122" i="4"/>
  <c r="W122" i="4" s="1"/>
  <c r="I121" i="6" s="1"/>
  <c r="O122" i="4"/>
  <c r="V122" i="4" s="1"/>
  <c r="H121" i="6" s="1"/>
  <c r="N122" i="4"/>
  <c r="U122" i="4" s="1"/>
  <c r="G121" i="6" s="1"/>
  <c r="M122" i="4"/>
  <c r="T122" i="4" s="1"/>
  <c r="F121" i="6" s="1"/>
  <c r="L122" i="4"/>
  <c r="S122" i="4" s="1"/>
  <c r="E121" i="6" s="1"/>
  <c r="K122" i="4"/>
  <c r="J122" i="4"/>
  <c r="C122" i="4"/>
  <c r="B122" i="4"/>
  <c r="P121" i="4"/>
  <c r="W121" i="4" s="1"/>
  <c r="I120" i="6" s="1"/>
  <c r="O121" i="4"/>
  <c r="V121" i="4" s="1"/>
  <c r="H120" i="6" s="1"/>
  <c r="N121" i="4"/>
  <c r="U121" i="4" s="1"/>
  <c r="G120" i="6" s="1"/>
  <c r="M121" i="4"/>
  <c r="T121" i="4" s="1"/>
  <c r="F120" i="6" s="1"/>
  <c r="L121" i="4"/>
  <c r="S121" i="4" s="1"/>
  <c r="K121" i="4"/>
  <c r="R121" i="4" s="1"/>
  <c r="D120" i="6" s="1"/>
  <c r="J121" i="4"/>
  <c r="C121" i="4"/>
  <c r="B121" i="4"/>
  <c r="R120" i="4"/>
  <c r="P120" i="4"/>
  <c r="W120" i="4" s="1"/>
  <c r="I119" i="6" s="1"/>
  <c r="O120" i="4"/>
  <c r="V120" i="4" s="1"/>
  <c r="H119" i="6" s="1"/>
  <c r="N120" i="4"/>
  <c r="U120" i="4" s="1"/>
  <c r="G119" i="6" s="1"/>
  <c r="M120" i="4"/>
  <c r="T120" i="4" s="1"/>
  <c r="F119" i="6" s="1"/>
  <c r="L120" i="4"/>
  <c r="S120" i="4" s="1"/>
  <c r="E119" i="6" s="1"/>
  <c r="K120" i="4"/>
  <c r="J120" i="4"/>
  <c r="C120" i="4"/>
  <c r="B120" i="4"/>
  <c r="P119" i="4"/>
  <c r="W119" i="4" s="1"/>
  <c r="I118" i="6" s="1"/>
  <c r="O119" i="4"/>
  <c r="V119" i="4" s="1"/>
  <c r="H118" i="6" s="1"/>
  <c r="N119" i="4"/>
  <c r="U119" i="4" s="1"/>
  <c r="G118" i="6" s="1"/>
  <c r="M119" i="4"/>
  <c r="T119" i="4" s="1"/>
  <c r="F118" i="6" s="1"/>
  <c r="L119" i="4"/>
  <c r="S119" i="4" s="1"/>
  <c r="E118" i="6" s="1"/>
  <c r="K119" i="4"/>
  <c r="J119" i="4"/>
  <c r="C119" i="4"/>
  <c r="B119" i="4"/>
  <c r="P118" i="4"/>
  <c r="W118" i="4" s="1"/>
  <c r="I117" i="6" s="1"/>
  <c r="O118" i="4"/>
  <c r="V118" i="4" s="1"/>
  <c r="H117" i="6" s="1"/>
  <c r="N118" i="4"/>
  <c r="M118" i="4"/>
  <c r="T118" i="4" s="1"/>
  <c r="F117" i="6" s="1"/>
  <c r="L118" i="4"/>
  <c r="S118" i="4" s="1"/>
  <c r="E117" i="6" s="1"/>
  <c r="K118" i="4"/>
  <c r="R118" i="4" s="1"/>
  <c r="J118" i="4"/>
  <c r="C118" i="4"/>
  <c r="B118" i="4"/>
  <c r="P117" i="4"/>
  <c r="W117" i="4" s="1"/>
  <c r="I116" i="6" s="1"/>
  <c r="O117" i="4"/>
  <c r="V117" i="4" s="1"/>
  <c r="H116" i="6" s="1"/>
  <c r="N117" i="4"/>
  <c r="U117" i="4" s="1"/>
  <c r="G116" i="6" s="1"/>
  <c r="M117" i="4"/>
  <c r="T117" i="4" s="1"/>
  <c r="F116" i="6" s="1"/>
  <c r="L117" i="4"/>
  <c r="S117" i="4" s="1"/>
  <c r="E116" i="6" s="1"/>
  <c r="K117" i="4"/>
  <c r="R117" i="4" s="1"/>
  <c r="J117" i="4"/>
  <c r="C117" i="4"/>
  <c r="B117" i="4"/>
  <c r="S116" i="4"/>
  <c r="E115" i="6" s="1"/>
  <c r="P116" i="4"/>
  <c r="W116" i="4" s="1"/>
  <c r="I115" i="6" s="1"/>
  <c r="O116" i="4"/>
  <c r="V116" i="4" s="1"/>
  <c r="H115" i="6" s="1"/>
  <c r="N116" i="4"/>
  <c r="U116" i="4" s="1"/>
  <c r="G115" i="6" s="1"/>
  <c r="M116" i="4"/>
  <c r="T116" i="4" s="1"/>
  <c r="F115" i="6" s="1"/>
  <c r="L116" i="4"/>
  <c r="K116" i="4"/>
  <c r="J116" i="4"/>
  <c r="C116" i="4"/>
  <c r="B116" i="4"/>
  <c r="P115" i="4"/>
  <c r="W115" i="4" s="1"/>
  <c r="I114" i="6" s="1"/>
  <c r="O115" i="4"/>
  <c r="V115" i="4" s="1"/>
  <c r="H114" i="6" s="1"/>
  <c r="N115" i="4"/>
  <c r="U115" i="4" s="1"/>
  <c r="G114" i="6" s="1"/>
  <c r="M115" i="4"/>
  <c r="T115" i="4" s="1"/>
  <c r="F114" i="6" s="1"/>
  <c r="L115" i="4"/>
  <c r="S115" i="4" s="1"/>
  <c r="E114" i="6" s="1"/>
  <c r="K115" i="4"/>
  <c r="J115" i="4"/>
  <c r="C115" i="4"/>
  <c r="B115" i="4"/>
  <c r="R114" i="4"/>
  <c r="P114" i="4"/>
  <c r="W114" i="4" s="1"/>
  <c r="I113" i="6" s="1"/>
  <c r="O114" i="4"/>
  <c r="V114" i="4" s="1"/>
  <c r="H113" i="6" s="1"/>
  <c r="N114" i="4"/>
  <c r="U114" i="4" s="1"/>
  <c r="G113" i="6" s="1"/>
  <c r="M114" i="4"/>
  <c r="T114" i="4" s="1"/>
  <c r="F113" i="6" s="1"/>
  <c r="L114" i="4"/>
  <c r="S114" i="4" s="1"/>
  <c r="E113" i="6" s="1"/>
  <c r="K114" i="4"/>
  <c r="J114" i="4"/>
  <c r="C114" i="4"/>
  <c r="B114" i="4"/>
  <c r="U113" i="4"/>
  <c r="G112" i="6" s="1"/>
  <c r="S113" i="4"/>
  <c r="E112" i="6" s="1"/>
  <c r="P113" i="4"/>
  <c r="W113" i="4" s="1"/>
  <c r="I112" i="6" s="1"/>
  <c r="O113" i="4"/>
  <c r="V113" i="4" s="1"/>
  <c r="H112" i="6" s="1"/>
  <c r="N113" i="4"/>
  <c r="M113" i="4"/>
  <c r="T113" i="4" s="1"/>
  <c r="F112" i="6" s="1"/>
  <c r="L113" i="4"/>
  <c r="K113" i="4"/>
  <c r="J113" i="4"/>
  <c r="C113" i="4"/>
  <c r="B113" i="4"/>
  <c r="P112" i="4"/>
  <c r="W112" i="4" s="1"/>
  <c r="I111" i="6" s="1"/>
  <c r="O112" i="4"/>
  <c r="V112" i="4" s="1"/>
  <c r="H111" i="6" s="1"/>
  <c r="N112" i="4"/>
  <c r="U112" i="4" s="1"/>
  <c r="G111" i="6" s="1"/>
  <c r="M112" i="4"/>
  <c r="T112" i="4" s="1"/>
  <c r="F111" i="6" s="1"/>
  <c r="L112" i="4"/>
  <c r="S112" i="4" s="1"/>
  <c r="E111" i="6" s="1"/>
  <c r="K112" i="4"/>
  <c r="J112" i="4"/>
  <c r="C112" i="4"/>
  <c r="B112" i="4"/>
  <c r="R111" i="4"/>
  <c r="P111" i="4"/>
  <c r="W111" i="4" s="1"/>
  <c r="I110" i="6" s="1"/>
  <c r="O111" i="4"/>
  <c r="V111" i="4" s="1"/>
  <c r="H110" i="6" s="1"/>
  <c r="N111" i="4"/>
  <c r="U111" i="4" s="1"/>
  <c r="G110" i="6" s="1"/>
  <c r="M111" i="4"/>
  <c r="T111" i="4" s="1"/>
  <c r="F110" i="6" s="1"/>
  <c r="L111" i="4"/>
  <c r="S111" i="4" s="1"/>
  <c r="E110" i="6" s="1"/>
  <c r="K111" i="4"/>
  <c r="J111" i="4"/>
  <c r="C111" i="4"/>
  <c r="B111" i="4"/>
  <c r="P110" i="4"/>
  <c r="W110" i="4" s="1"/>
  <c r="I109" i="6" s="1"/>
  <c r="O110" i="4"/>
  <c r="V110" i="4" s="1"/>
  <c r="H109" i="6" s="1"/>
  <c r="N110" i="4"/>
  <c r="U110" i="4" s="1"/>
  <c r="G109" i="6" s="1"/>
  <c r="M110" i="4"/>
  <c r="T110" i="4" s="1"/>
  <c r="F109" i="6" s="1"/>
  <c r="L110" i="4"/>
  <c r="S110" i="4" s="1"/>
  <c r="E109" i="6" s="1"/>
  <c r="K110" i="4"/>
  <c r="R110" i="4" s="1"/>
  <c r="D109" i="6" s="1"/>
  <c r="J110" i="4"/>
  <c r="C110" i="4"/>
  <c r="B110" i="4"/>
  <c r="S109" i="4"/>
  <c r="E108" i="6" s="1"/>
  <c r="P109" i="4"/>
  <c r="W109" i="4" s="1"/>
  <c r="I108" i="6" s="1"/>
  <c r="O109" i="4"/>
  <c r="V109" i="4" s="1"/>
  <c r="H108" i="6" s="1"/>
  <c r="N109" i="4"/>
  <c r="U109" i="4" s="1"/>
  <c r="G108" i="6" s="1"/>
  <c r="M109" i="4"/>
  <c r="L109" i="4"/>
  <c r="K109" i="4"/>
  <c r="R109" i="4" s="1"/>
  <c r="D108" i="6" s="1"/>
  <c r="J109" i="4"/>
  <c r="C109" i="4"/>
  <c r="B109" i="4"/>
  <c r="R108" i="4"/>
  <c r="P108" i="4"/>
  <c r="W108" i="4" s="1"/>
  <c r="I107" i="6" s="1"/>
  <c r="O108" i="4"/>
  <c r="V108" i="4" s="1"/>
  <c r="H107" i="6" s="1"/>
  <c r="N108" i="4"/>
  <c r="U108" i="4" s="1"/>
  <c r="G107" i="6" s="1"/>
  <c r="M108" i="4"/>
  <c r="T108" i="4" s="1"/>
  <c r="F107" i="6" s="1"/>
  <c r="L108" i="4"/>
  <c r="S108" i="4" s="1"/>
  <c r="E107" i="6" s="1"/>
  <c r="K108" i="4"/>
  <c r="J108" i="4"/>
  <c r="C108" i="4"/>
  <c r="B108" i="4"/>
  <c r="P107" i="4"/>
  <c r="W107" i="4" s="1"/>
  <c r="I106" i="6" s="1"/>
  <c r="O107" i="4"/>
  <c r="V107" i="4" s="1"/>
  <c r="H106" i="6" s="1"/>
  <c r="N107" i="4"/>
  <c r="U107" i="4" s="1"/>
  <c r="G106" i="6" s="1"/>
  <c r="M107" i="4"/>
  <c r="T107" i="4" s="1"/>
  <c r="F106" i="6" s="1"/>
  <c r="L107" i="4"/>
  <c r="S107" i="4" s="1"/>
  <c r="E106" i="6" s="1"/>
  <c r="K107" i="4"/>
  <c r="R107" i="4" s="1"/>
  <c r="J107" i="4"/>
  <c r="C107" i="4"/>
  <c r="B107" i="4"/>
  <c r="P106" i="4"/>
  <c r="W106" i="4" s="1"/>
  <c r="I105" i="6" s="1"/>
  <c r="O106" i="4"/>
  <c r="V106" i="4" s="1"/>
  <c r="H105" i="6" s="1"/>
  <c r="N106" i="4"/>
  <c r="U106" i="4" s="1"/>
  <c r="G105" i="6" s="1"/>
  <c r="M106" i="4"/>
  <c r="T106" i="4" s="1"/>
  <c r="F105" i="6" s="1"/>
  <c r="L106" i="4"/>
  <c r="S106" i="4" s="1"/>
  <c r="E105" i="6" s="1"/>
  <c r="K106" i="4"/>
  <c r="J106" i="4"/>
  <c r="C106" i="4"/>
  <c r="B106" i="4"/>
  <c r="P105" i="4"/>
  <c r="W105" i="4" s="1"/>
  <c r="I104" i="6" s="1"/>
  <c r="O105" i="4"/>
  <c r="V105" i="4" s="1"/>
  <c r="H104" i="6" s="1"/>
  <c r="N105" i="4"/>
  <c r="U105" i="4" s="1"/>
  <c r="G104" i="6" s="1"/>
  <c r="M105" i="4"/>
  <c r="T105" i="4" s="1"/>
  <c r="F104" i="6" s="1"/>
  <c r="L105" i="4"/>
  <c r="S105" i="4" s="1"/>
  <c r="E104" i="6" s="1"/>
  <c r="K105" i="4"/>
  <c r="J105" i="4"/>
  <c r="C105" i="4"/>
  <c r="B105" i="4"/>
  <c r="P104" i="4"/>
  <c r="W104" i="4" s="1"/>
  <c r="I103" i="6" s="1"/>
  <c r="O104" i="4"/>
  <c r="V104" i="4" s="1"/>
  <c r="H103" i="6" s="1"/>
  <c r="N104" i="4"/>
  <c r="U104" i="4" s="1"/>
  <c r="G103" i="6" s="1"/>
  <c r="M104" i="4"/>
  <c r="T104" i="4" s="1"/>
  <c r="F103" i="6" s="1"/>
  <c r="L104" i="4"/>
  <c r="S104" i="4" s="1"/>
  <c r="E103" i="6" s="1"/>
  <c r="K104" i="4"/>
  <c r="R104" i="4" s="1"/>
  <c r="J104" i="4"/>
  <c r="C104" i="4"/>
  <c r="B104" i="4"/>
  <c r="T103" i="4"/>
  <c r="F102" i="6" s="1"/>
  <c r="P103" i="4"/>
  <c r="W103" i="4" s="1"/>
  <c r="I102" i="6" s="1"/>
  <c r="O103" i="4"/>
  <c r="V103" i="4" s="1"/>
  <c r="H102" i="6" s="1"/>
  <c r="N103" i="4"/>
  <c r="U103" i="4" s="1"/>
  <c r="G102" i="6" s="1"/>
  <c r="M103" i="4"/>
  <c r="L103" i="4"/>
  <c r="S103" i="4" s="1"/>
  <c r="E102" i="6" s="1"/>
  <c r="K103" i="4"/>
  <c r="J103" i="4"/>
  <c r="C103" i="4"/>
  <c r="B103" i="4"/>
  <c r="P102" i="4"/>
  <c r="W102" i="4" s="1"/>
  <c r="I101" i="6" s="1"/>
  <c r="O102" i="4"/>
  <c r="V102" i="4" s="1"/>
  <c r="H101" i="6" s="1"/>
  <c r="N102" i="4"/>
  <c r="U102" i="4" s="1"/>
  <c r="G101" i="6" s="1"/>
  <c r="M102" i="4"/>
  <c r="T102" i="4" s="1"/>
  <c r="F101" i="6" s="1"/>
  <c r="L102" i="4"/>
  <c r="S102" i="4" s="1"/>
  <c r="E101" i="6" s="1"/>
  <c r="K102" i="4"/>
  <c r="J102" i="4"/>
  <c r="C102" i="4"/>
  <c r="B102" i="4"/>
  <c r="P101" i="4"/>
  <c r="W101" i="4" s="1"/>
  <c r="I100" i="6" s="1"/>
  <c r="O101" i="4"/>
  <c r="V101" i="4" s="1"/>
  <c r="H100" i="6" s="1"/>
  <c r="N101" i="4"/>
  <c r="U101" i="4" s="1"/>
  <c r="G100" i="6" s="1"/>
  <c r="M101" i="4"/>
  <c r="T101" i="4" s="1"/>
  <c r="F100" i="6" s="1"/>
  <c r="L101" i="4"/>
  <c r="S101" i="4" s="1"/>
  <c r="E100" i="6" s="1"/>
  <c r="K101" i="4"/>
  <c r="R101" i="4" s="1"/>
  <c r="J101" i="4"/>
  <c r="C101" i="4"/>
  <c r="B101" i="4"/>
  <c r="P100" i="4"/>
  <c r="W100" i="4" s="1"/>
  <c r="I99" i="6" s="1"/>
  <c r="O100" i="4"/>
  <c r="V100" i="4" s="1"/>
  <c r="H99" i="6" s="1"/>
  <c r="N100" i="4"/>
  <c r="U100" i="4" s="1"/>
  <c r="G99" i="6" s="1"/>
  <c r="M100" i="4"/>
  <c r="T100" i="4" s="1"/>
  <c r="F99" i="6" s="1"/>
  <c r="L100" i="4"/>
  <c r="S100" i="4" s="1"/>
  <c r="E99" i="6" s="1"/>
  <c r="K100" i="4"/>
  <c r="R100" i="4" s="1"/>
  <c r="D99" i="6" s="1"/>
  <c r="J100" i="4"/>
  <c r="C100" i="4"/>
  <c r="B100" i="4"/>
  <c r="T99" i="4"/>
  <c r="F98" i="6" s="1"/>
  <c r="R99" i="4"/>
  <c r="D98" i="6" s="1"/>
  <c r="P99" i="4"/>
  <c r="W99" i="4" s="1"/>
  <c r="I98" i="6" s="1"/>
  <c r="O99" i="4"/>
  <c r="V99" i="4" s="1"/>
  <c r="H98" i="6" s="1"/>
  <c r="N99" i="4"/>
  <c r="U99" i="4" s="1"/>
  <c r="G98" i="6" s="1"/>
  <c r="M99" i="4"/>
  <c r="L99" i="4"/>
  <c r="K99" i="4"/>
  <c r="J99" i="4"/>
  <c r="C99" i="4"/>
  <c r="B99" i="4"/>
  <c r="S98" i="4"/>
  <c r="E97" i="6" s="1"/>
  <c r="P98" i="4"/>
  <c r="W98" i="4" s="1"/>
  <c r="I97" i="6" s="1"/>
  <c r="O98" i="4"/>
  <c r="V98" i="4" s="1"/>
  <c r="H97" i="6" s="1"/>
  <c r="N98" i="4"/>
  <c r="U98" i="4" s="1"/>
  <c r="G97" i="6" s="1"/>
  <c r="M98" i="4"/>
  <c r="T98" i="4" s="1"/>
  <c r="F97" i="6" s="1"/>
  <c r="L98" i="4"/>
  <c r="K98" i="4"/>
  <c r="R98" i="4" s="1"/>
  <c r="D97" i="6" s="1"/>
  <c r="J98" i="4"/>
  <c r="C98" i="4"/>
  <c r="B98" i="4"/>
  <c r="P97" i="4"/>
  <c r="W97" i="4" s="1"/>
  <c r="I96" i="6" s="1"/>
  <c r="O97" i="4"/>
  <c r="V97" i="4" s="1"/>
  <c r="H96" i="6" s="1"/>
  <c r="N97" i="4"/>
  <c r="U97" i="4" s="1"/>
  <c r="G96" i="6" s="1"/>
  <c r="M97" i="4"/>
  <c r="T97" i="4" s="1"/>
  <c r="F96" i="6" s="1"/>
  <c r="L97" i="4"/>
  <c r="S97" i="4" s="1"/>
  <c r="E96" i="6" s="1"/>
  <c r="K97" i="4"/>
  <c r="R97" i="4" s="1"/>
  <c r="J97" i="4"/>
  <c r="C97" i="4"/>
  <c r="B97" i="4"/>
  <c r="P96" i="4"/>
  <c r="W96" i="4" s="1"/>
  <c r="I95" i="6" s="1"/>
  <c r="O96" i="4"/>
  <c r="V96" i="4" s="1"/>
  <c r="H95" i="6" s="1"/>
  <c r="N96" i="4"/>
  <c r="U96" i="4" s="1"/>
  <c r="G95" i="6" s="1"/>
  <c r="M96" i="4"/>
  <c r="T96" i="4" s="1"/>
  <c r="F95" i="6" s="1"/>
  <c r="L96" i="4"/>
  <c r="S96" i="4" s="1"/>
  <c r="E95" i="6" s="1"/>
  <c r="K96" i="4"/>
  <c r="J96" i="4"/>
  <c r="C96" i="4"/>
  <c r="B96" i="4"/>
  <c r="P95" i="4"/>
  <c r="W95" i="4" s="1"/>
  <c r="I94" i="6" s="1"/>
  <c r="O95" i="4"/>
  <c r="V95" i="4" s="1"/>
  <c r="H94" i="6" s="1"/>
  <c r="N95" i="4"/>
  <c r="U95" i="4" s="1"/>
  <c r="G94" i="6" s="1"/>
  <c r="M95" i="4"/>
  <c r="T95" i="4" s="1"/>
  <c r="F94" i="6" s="1"/>
  <c r="L95" i="4"/>
  <c r="S95" i="4" s="1"/>
  <c r="E94" i="6" s="1"/>
  <c r="K95" i="4"/>
  <c r="R95" i="4" s="1"/>
  <c r="J95" i="4"/>
  <c r="C95" i="4"/>
  <c r="B95" i="4"/>
  <c r="P94" i="4"/>
  <c r="W94" i="4" s="1"/>
  <c r="I93" i="6" s="1"/>
  <c r="O94" i="4"/>
  <c r="V94" i="4" s="1"/>
  <c r="H93" i="6" s="1"/>
  <c r="N94" i="4"/>
  <c r="U94" i="4" s="1"/>
  <c r="G93" i="6" s="1"/>
  <c r="M94" i="4"/>
  <c r="T94" i="4" s="1"/>
  <c r="F93" i="6" s="1"/>
  <c r="L94" i="4"/>
  <c r="S94" i="4" s="1"/>
  <c r="E93" i="6" s="1"/>
  <c r="K94" i="4"/>
  <c r="R94" i="4" s="1"/>
  <c r="D93" i="6" s="1"/>
  <c r="J94" i="4"/>
  <c r="C94" i="4"/>
  <c r="B94" i="4"/>
  <c r="T93" i="4"/>
  <c r="F92" i="6" s="1"/>
  <c r="P93" i="4"/>
  <c r="W93" i="4" s="1"/>
  <c r="I92" i="6" s="1"/>
  <c r="O93" i="4"/>
  <c r="V93" i="4" s="1"/>
  <c r="H92" i="6" s="1"/>
  <c r="N93" i="4"/>
  <c r="U93" i="4" s="1"/>
  <c r="G92" i="6" s="1"/>
  <c r="M93" i="4"/>
  <c r="L93" i="4"/>
  <c r="S93" i="4" s="1"/>
  <c r="E92" i="6" s="1"/>
  <c r="K93" i="4"/>
  <c r="R93" i="4" s="1"/>
  <c r="D92" i="6" s="1"/>
  <c r="J93" i="4"/>
  <c r="C93" i="4"/>
  <c r="B93" i="4"/>
  <c r="P92" i="4"/>
  <c r="W92" i="4" s="1"/>
  <c r="I91" i="6" s="1"/>
  <c r="O92" i="4"/>
  <c r="V92" i="4" s="1"/>
  <c r="H91" i="6" s="1"/>
  <c r="N92" i="4"/>
  <c r="U92" i="4" s="1"/>
  <c r="G91" i="6" s="1"/>
  <c r="M92" i="4"/>
  <c r="T92" i="4" s="1"/>
  <c r="F91" i="6" s="1"/>
  <c r="L92" i="4"/>
  <c r="S92" i="4" s="1"/>
  <c r="E91" i="6" s="1"/>
  <c r="K92" i="4"/>
  <c r="J92" i="4"/>
  <c r="C92" i="4"/>
  <c r="B92" i="4"/>
  <c r="P91" i="4"/>
  <c r="W91" i="4" s="1"/>
  <c r="I90" i="6" s="1"/>
  <c r="O91" i="4"/>
  <c r="V91" i="4" s="1"/>
  <c r="H90" i="6" s="1"/>
  <c r="N91" i="4"/>
  <c r="U91" i="4" s="1"/>
  <c r="G90" i="6" s="1"/>
  <c r="M91" i="4"/>
  <c r="T91" i="4" s="1"/>
  <c r="F90" i="6" s="1"/>
  <c r="L91" i="4"/>
  <c r="S91" i="4" s="1"/>
  <c r="E90" i="6" s="1"/>
  <c r="K91" i="4"/>
  <c r="R91" i="4" s="1"/>
  <c r="J91" i="4"/>
  <c r="C91" i="4"/>
  <c r="B91" i="4"/>
  <c r="S90" i="4"/>
  <c r="E89" i="6" s="1"/>
  <c r="P90" i="4"/>
  <c r="W90" i="4" s="1"/>
  <c r="I89" i="6" s="1"/>
  <c r="O90" i="4"/>
  <c r="V90" i="4" s="1"/>
  <c r="H89" i="6" s="1"/>
  <c r="N90" i="4"/>
  <c r="U90" i="4" s="1"/>
  <c r="G89" i="6" s="1"/>
  <c r="M90" i="4"/>
  <c r="T90" i="4" s="1"/>
  <c r="F89" i="6" s="1"/>
  <c r="L90" i="4"/>
  <c r="K90" i="4"/>
  <c r="R90" i="4" s="1"/>
  <c r="D89" i="6" s="1"/>
  <c r="J90" i="4"/>
  <c r="C90" i="4"/>
  <c r="B90" i="4"/>
  <c r="P89" i="4"/>
  <c r="W89" i="4" s="1"/>
  <c r="I88" i="6" s="1"/>
  <c r="O89" i="4"/>
  <c r="V89" i="4" s="1"/>
  <c r="H88" i="6" s="1"/>
  <c r="N89" i="4"/>
  <c r="U89" i="4" s="1"/>
  <c r="G88" i="6" s="1"/>
  <c r="M89" i="4"/>
  <c r="T89" i="4" s="1"/>
  <c r="F88" i="6" s="1"/>
  <c r="L89" i="4"/>
  <c r="S89" i="4" s="1"/>
  <c r="E88" i="6" s="1"/>
  <c r="K89" i="4"/>
  <c r="J89" i="4"/>
  <c r="C89" i="4"/>
  <c r="B89" i="4"/>
  <c r="S88" i="4"/>
  <c r="P88" i="4"/>
  <c r="W88" i="4" s="1"/>
  <c r="I87" i="6" s="1"/>
  <c r="O88" i="4"/>
  <c r="V88" i="4" s="1"/>
  <c r="H87" i="6" s="1"/>
  <c r="N88" i="4"/>
  <c r="U88" i="4" s="1"/>
  <c r="G87" i="6" s="1"/>
  <c r="M88" i="4"/>
  <c r="T88" i="4" s="1"/>
  <c r="F87" i="6" s="1"/>
  <c r="L88" i="4"/>
  <c r="K88" i="4"/>
  <c r="R88" i="4" s="1"/>
  <c r="D87" i="6" s="1"/>
  <c r="J88" i="4"/>
  <c r="C88" i="4"/>
  <c r="B88" i="4"/>
  <c r="T87" i="4"/>
  <c r="F86" i="6" s="1"/>
  <c r="P87" i="4"/>
  <c r="W87" i="4" s="1"/>
  <c r="I86" i="6" s="1"/>
  <c r="O87" i="4"/>
  <c r="V87" i="4" s="1"/>
  <c r="H86" i="6" s="1"/>
  <c r="N87" i="4"/>
  <c r="U87" i="4" s="1"/>
  <c r="G86" i="6" s="1"/>
  <c r="M87" i="4"/>
  <c r="L87" i="4"/>
  <c r="S87" i="4" s="1"/>
  <c r="E86" i="6" s="1"/>
  <c r="K87" i="4"/>
  <c r="R87" i="4" s="1"/>
  <c r="J87" i="4"/>
  <c r="C87" i="4"/>
  <c r="B87" i="4"/>
  <c r="T86" i="4"/>
  <c r="F85" i="6" s="1"/>
  <c r="P86" i="4"/>
  <c r="W86" i="4" s="1"/>
  <c r="I85" i="6" s="1"/>
  <c r="O86" i="4"/>
  <c r="V86" i="4" s="1"/>
  <c r="H85" i="6" s="1"/>
  <c r="N86" i="4"/>
  <c r="U86" i="4" s="1"/>
  <c r="G85" i="6" s="1"/>
  <c r="M86" i="4"/>
  <c r="L86" i="4"/>
  <c r="S86" i="4" s="1"/>
  <c r="E85" i="6" s="1"/>
  <c r="K86" i="4"/>
  <c r="J86" i="4"/>
  <c r="C86" i="4"/>
  <c r="B86" i="4"/>
  <c r="P85" i="4"/>
  <c r="W85" i="4" s="1"/>
  <c r="I84" i="6" s="1"/>
  <c r="O85" i="4"/>
  <c r="V85" i="4" s="1"/>
  <c r="H84" i="6" s="1"/>
  <c r="N85" i="4"/>
  <c r="U85" i="4" s="1"/>
  <c r="G84" i="6" s="1"/>
  <c r="M85" i="4"/>
  <c r="T85" i="4" s="1"/>
  <c r="F84" i="6" s="1"/>
  <c r="L85" i="4"/>
  <c r="S85" i="4" s="1"/>
  <c r="K85" i="4"/>
  <c r="R85" i="4" s="1"/>
  <c r="D84" i="6" s="1"/>
  <c r="J85" i="4"/>
  <c r="C85" i="4"/>
  <c r="B85" i="4"/>
  <c r="P84" i="4"/>
  <c r="W84" i="4" s="1"/>
  <c r="I83" i="6" s="1"/>
  <c r="O84" i="4"/>
  <c r="V84" i="4" s="1"/>
  <c r="H83" i="6" s="1"/>
  <c r="N84" i="4"/>
  <c r="U84" i="4" s="1"/>
  <c r="G83" i="6" s="1"/>
  <c r="M84" i="4"/>
  <c r="T84" i="4" s="1"/>
  <c r="F83" i="6" s="1"/>
  <c r="L84" i="4"/>
  <c r="S84" i="4" s="1"/>
  <c r="E83" i="6" s="1"/>
  <c r="K84" i="4"/>
  <c r="J84" i="4"/>
  <c r="C84" i="4"/>
  <c r="B84" i="4"/>
  <c r="P83" i="4"/>
  <c r="W83" i="4" s="1"/>
  <c r="I82" i="6" s="1"/>
  <c r="O83" i="4"/>
  <c r="V83" i="4" s="1"/>
  <c r="H82" i="6" s="1"/>
  <c r="N83" i="4"/>
  <c r="U83" i="4" s="1"/>
  <c r="G82" i="6" s="1"/>
  <c r="M83" i="4"/>
  <c r="T83" i="4" s="1"/>
  <c r="F82" i="6" s="1"/>
  <c r="L83" i="4"/>
  <c r="S83" i="4" s="1"/>
  <c r="E82" i="6" s="1"/>
  <c r="K83" i="4"/>
  <c r="J83" i="4"/>
  <c r="C83" i="4"/>
  <c r="B83" i="4"/>
  <c r="P82" i="4"/>
  <c r="W82" i="4" s="1"/>
  <c r="I81" i="6" s="1"/>
  <c r="O82" i="4"/>
  <c r="V82" i="4" s="1"/>
  <c r="H81" i="6" s="1"/>
  <c r="N82" i="4"/>
  <c r="U82" i="4" s="1"/>
  <c r="G81" i="6" s="1"/>
  <c r="M82" i="4"/>
  <c r="T82" i="4" s="1"/>
  <c r="F81" i="6" s="1"/>
  <c r="L82" i="4"/>
  <c r="S82" i="4" s="1"/>
  <c r="E81" i="6" s="1"/>
  <c r="K82" i="4"/>
  <c r="R82" i="4" s="1"/>
  <c r="J82" i="4"/>
  <c r="C82" i="4"/>
  <c r="B82" i="4"/>
  <c r="P81" i="4"/>
  <c r="W81" i="4" s="1"/>
  <c r="I80" i="6" s="1"/>
  <c r="O81" i="4"/>
  <c r="V81" i="4" s="1"/>
  <c r="H80" i="6" s="1"/>
  <c r="N81" i="4"/>
  <c r="U81" i="4" s="1"/>
  <c r="G80" i="6" s="1"/>
  <c r="M81" i="4"/>
  <c r="T81" i="4" s="1"/>
  <c r="F80" i="6" s="1"/>
  <c r="L81" i="4"/>
  <c r="S81" i="4" s="1"/>
  <c r="E80" i="6" s="1"/>
  <c r="K81" i="4"/>
  <c r="R81" i="4" s="1"/>
  <c r="J81" i="4"/>
  <c r="C81" i="4"/>
  <c r="B81" i="4"/>
  <c r="P80" i="4"/>
  <c r="W80" i="4" s="1"/>
  <c r="I79" i="6" s="1"/>
  <c r="O80" i="4"/>
  <c r="V80" i="4" s="1"/>
  <c r="H79" i="6" s="1"/>
  <c r="N80" i="4"/>
  <c r="U80" i="4" s="1"/>
  <c r="G79" i="6" s="1"/>
  <c r="M80" i="4"/>
  <c r="T80" i="4" s="1"/>
  <c r="F79" i="6" s="1"/>
  <c r="L80" i="4"/>
  <c r="S80" i="4" s="1"/>
  <c r="E79" i="6" s="1"/>
  <c r="K80" i="4"/>
  <c r="J80" i="4"/>
  <c r="C80" i="4"/>
  <c r="B80" i="4"/>
  <c r="P79" i="4"/>
  <c r="W79" i="4" s="1"/>
  <c r="I78" i="6" s="1"/>
  <c r="O79" i="4"/>
  <c r="V79" i="4" s="1"/>
  <c r="H78" i="6" s="1"/>
  <c r="N79" i="4"/>
  <c r="U79" i="4" s="1"/>
  <c r="G78" i="6" s="1"/>
  <c r="M79" i="4"/>
  <c r="T79" i="4" s="1"/>
  <c r="F78" i="6" s="1"/>
  <c r="L79" i="4"/>
  <c r="S79" i="4" s="1"/>
  <c r="E78" i="6" s="1"/>
  <c r="K79" i="4"/>
  <c r="J79" i="4"/>
  <c r="C79" i="4"/>
  <c r="B79" i="4"/>
  <c r="P78" i="4"/>
  <c r="W78" i="4" s="1"/>
  <c r="I77" i="6" s="1"/>
  <c r="O78" i="4"/>
  <c r="V78" i="4" s="1"/>
  <c r="H77" i="6" s="1"/>
  <c r="N78" i="4"/>
  <c r="U78" i="4" s="1"/>
  <c r="G77" i="6" s="1"/>
  <c r="M78" i="4"/>
  <c r="T78" i="4" s="1"/>
  <c r="F77" i="6" s="1"/>
  <c r="L78" i="4"/>
  <c r="S78" i="4" s="1"/>
  <c r="E77" i="6" s="1"/>
  <c r="K78" i="4"/>
  <c r="R78" i="4" s="1"/>
  <c r="J78" i="4"/>
  <c r="C78" i="4"/>
  <c r="B78" i="4"/>
  <c r="P77" i="4"/>
  <c r="W77" i="4" s="1"/>
  <c r="I76" i="6" s="1"/>
  <c r="O77" i="4"/>
  <c r="V77" i="4" s="1"/>
  <c r="H76" i="6" s="1"/>
  <c r="N77" i="4"/>
  <c r="U77" i="4" s="1"/>
  <c r="G76" i="6" s="1"/>
  <c r="M77" i="4"/>
  <c r="T77" i="4" s="1"/>
  <c r="F76" i="6" s="1"/>
  <c r="L77" i="4"/>
  <c r="S77" i="4" s="1"/>
  <c r="E76" i="6" s="1"/>
  <c r="K77" i="4"/>
  <c r="J77" i="4"/>
  <c r="C77" i="4"/>
  <c r="B77" i="4"/>
  <c r="P76" i="4"/>
  <c r="W76" i="4" s="1"/>
  <c r="I75" i="6" s="1"/>
  <c r="O76" i="4"/>
  <c r="V76" i="4" s="1"/>
  <c r="H75" i="6" s="1"/>
  <c r="N76" i="4"/>
  <c r="U76" i="4" s="1"/>
  <c r="G75" i="6" s="1"/>
  <c r="M76" i="4"/>
  <c r="T76" i="4" s="1"/>
  <c r="F75" i="6" s="1"/>
  <c r="L76" i="4"/>
  <c r="S76" i="4" s="1"/>
  <c r="E75" i="6" s="1"/>
  <c r="K76" i="4"/>
  <c r="J76" i="4"/>
  <c r="C76" i="4"/>
  <c r="B76" i="4"/>
  <c r="T75" i="4"/>
  <c r="F74" i="6" s="1"/>
  <c r="P75" i="4"/>
  <c r="W75" i="4" s="1"/>
  <c r="I74" i="6" s="1"/>
  <c r="O75" i="4"/>
  <c r="V75" i="4" s="1"/>
  <c r="H74" i="6" s="1"/>
  <c r="N75" i="4"/>
  <c r="U75" i="4" s="1"/>
  <c r="G74" i="6" s="1"/>
  <c r="M75" i="4"/>
  <c r="L75" i="4"/>
  <c r="S75" i="4" s="1"/>
  <c r="E74" i="6" s="1"/>
  <c r="K75" i="4"/>
  <c r="R75" i="4" s="1"/>
  <c r="J75" i="4"/>
  <c r="C75" i="4"/>
  <c r="B75" i="4"/>
  <c r="P74" i="4"/>
  <c r="W74" i="4" s="1"/>
  <c r="I73" i="6" s="1"/>
  <c r="O74" i="4"/>
  <c r="V74" i="4" s="1"/>
  <c r="H73" i="6" s="1"/>
  <c r="N74" i="4"/>
  <c r="U74" i="4" s="1"/>
  <c r="G73" i="6" s="1"/>
  <c r="M74" i="4"/>
  <c r="T74" i="4" s="1"/>
  <c r="F73" i="6" s="1"/>
  <c r="L74" i="4"/>
  <c r="S74" i="4" s="1"/>
  <c r="E73" i="6" s="1"/>
  <c r="K74" i="4"/>
  <c r="R74" i="4" s="1"/>
  <c r="D73" i="6" s="1"/>
  <c r="J74" i="4"/>
  <c r="C74" i="4"/>
  <c r="B74" i="4"/>
  <c r="V73" i="4"/>
  <c r="H72" i="6" s="1"/>
  <c r="P73" i="4"/>
  <c r="W73" i="4" s="1"/>
  <c r="I72" i="6" s="1"/>
  <c r="O73" i="4"/>
  <c r="N73" i="4"/>
  <c r="U73" i="4" s="1"/>
  <c r="G72" i="6" s="1"/>
  <c r="M73" i="4"/>
  <c r="L73" i="4"/>
  <c r="S73" i="4" s="1"/>
  <c r="E72" i="6" s="1"/>
  <c r="K73" i="4"/>
  <c r="R73" i="4" s="1"/>
  <c r="D72" i="6" s="1"/>
  <c r="J73" i="4"/>
  <c r="C73" i="4"/>
  <c r="B73" i="4"/>
  <c r="P72" i="4"/>
  <c r="W72" i="4" s="1"/>
  <c r="I71" i="6" s="1"/>
  <c r="O72" i="4"/>
  <c r="V72" i="4" s="1"/>
  <c r="H71" i="6" s="1"/>
  <c r="N72" i="4"/>
  <c r="U72" i="4" s="1"/>
  <c r="G71" i="6" s="1"/>
  <c r="M72" i="4"/>
  <c r="T72" i="4" s="1"/>
  <c r="F71" i="6" s="1"/>
  <c r="L72" i="4"/>
  <c r="S72" i="4" s="1"/>
  <c r="E71" i="6" s="1"/>
  <c r="K72" i="4"/>
  <c r="R72" i="4" s="1"/>
  <c r="J72" i="4"/>
  <c r="C72" i="4"/>
  <c r="B72" i="4"/>
  <c r="P71" i="4"/>
  <c r="W71" i="4" s="1"/>
  <c r="I70" i="6" s="1"/>
  <c r="O71" i="4"/>
  <c r="V71" i="4" s="1"/>
  <c r="H70" i="6" s="1"/>
  <c r="N71" i="4"/>
  <c r="U71" i="4" s="1"/>
  <c r="G70" i="6" s="1"/>
  <c r="M71" i="4"/>
  <c r="T71" i="4" s="1"/>
  <c r="F70" i="6" s="1"/>
  <c r="L71" i="4"/>
  <c r="S71" i="4" s="1"/>
  <c r="E70" i="6" s="1"/>
  <c r="K71" i="4"/>
  <c r="J71" i="4"/>
  <c r="C71" i="4"/>
  <c r="B71" i="4"/>
  <c r="P70" i="4"/>
  <c r="W70" i="4" s="1"/>
  <c r="I69" i="6" s="1"/>
  <c r="O70" i="4"/>
  <c r="V70" i="4" s="1"/>
  <c r="H69" i="6" s="1"/>
  <c r="N70" i="4"/>
  <c r="U70" i="4" s="1"/>
  <c r="G69" i="6" s="1"/>
  <c r="M70" i="4"/>
  <c r="T70" i="4" s="1"/>
  <c r="F69" i="6" s="1"/>
  <c r="L70" i="4"/>
  <c r="S70" i="4" s="1"/>
  <c r="E69" i="6" s="1"/>
  <c r="K70" i="4"/>
  <c r="J70" i="4"/>
  <c r="C70" i="4"/>
  <c r="B70" i="4"/>
  <c r="P69" i="4"/>
  <c r="W69" i="4" s="1"/>
  <c r="I68" i="6" s="1"/>
  <c r="O69" i="4"/>
  <c r="V69" i="4" s="1"/>
  <c r="H68" i="6" s="1"/>
  <c r="N69" i="4"/>
  <c r="U69" i="4" s="1"/>
  <c r="G68" i="6" s="1"/>
  <c r="M69" i="4"/>
  <c r="T69" i="4" s="1"/>
  <c r="F68" i="6" s="1"/>
  <c r="L69" i="4"/>
  <c r="S69" i="4" s="1"/>
  <c r="E68" i="6" s="1"/>
  <c r="K69" i="4"/>
  <c r="J69" i="4"/>
  <c r="C69" i="4"/>
  <c r="B69" i="4"/>
  <c r="P68" i="4"/>
  <c r="W68" i="4" s="1"/>
  <c r="I67" i="6" s="1"/>
  <c r="O68" i="4"/>
  <c r="V68" i="4" s="1"/>
  <c r="H67" i="6" s="1"/>
  <c r="N68" i="4"/>
  <c r="U68" i="4" s="1"/>
  <c r="G67" i="6" s="1"/>
  <c r="M68" i="4"/>
  <c r="T68" i="4" s="1"/>
  <c r="F67" i="6" s="1"/>
  <c r="L68" i="4"/>
  <c r="S68" i="4" s="1"/>
  <c r="E67" i="6" s="1"/>
  <c r="K68" i="4"/>
  <c r="R68" i="4" s="1"/>
  <c r="J68" i="4"/>
  <c r="C68" i="4"/>
  <c r="B68" i="4"/>
  <c r="P67" i="4"/>
  <c r="W67" i="4" s="1"/>
  <c r="I66" i="6" s="1"/>
  <c r="O67" i="4"/>
  <c r="V67" i="4" s="1"/>
  <c r="H66" i="6" s="1"/>
  <c r="N67" i="4"/>
  <c r="U67" i="4" s="1"/>
  <c r="G66" i="6" s="1"/>
  <c r="M67" i="4"/>
  <c r="T67" i="4" s="1"/>
  <c r="F66" i="6" s="1"/>
  <c r="L67" i="4"/>
  <c r="S67" i="4" s="1"/>
  <c r="E66" i="6" s="1"/>
  <c r="K67" i="4"/>
  <c r="J67" i="4"/>
  <c r="C67" i="4"/>
  <c r="B67" i="4"/>
  <c r="P66" i="4"/>
  <c r="W66" i="4" s="1"/>
  <c r="I65" i="6" s="1"/>
  <c r="O66" i="4"/>
  <c r="V66" i="4" s="1"/>
  <c r="H65" i="6" s="1"/>
  <c r="N66" i="4"/>
  <c r="U66" i="4" s="1"/>
  <c r="G65" i="6" s="1"/>
  <c r="M66" i="4"/>
  <c r="T66" i="4" s="1"/>
  <c r="F65" i="6" s="1"/>
  <c r="L66" i="4"/>
  <c r="S66" i="4" s="1"/>
  <c r="E65" i="6" s="1"/>
  <c r="K66" i="4"/>
  <c r="J66" i="4"/>
  <c r="C66" i="4"/>
  <c r="B66" i="4"/>
  <c r="V65" i="4"/>
  <c r="H64" i="6" s="1"/>
  <c r="P65" i="4"/>
  <c r="W65" i="4" s="1"/>
  <c r="I64" i="6" s="1"/>
  <c r="O65" i="4"/>
  <c r="N65" i="4"/>
  <c r="U65" i="4" s="1"/>
  <c r="G64" i="6" s="1"/>
  <c r="M65" i="4"/>
  <c r="T65" i="4" s="1"/>
  <c r="F64" i="6" s="1"/>
  <c r="L65" i="4"/>
  <c r="S65" i="4" s="1"/>
  <c r="E64" i="6" s="1"/>
  <c r="K65" i="4"/>
  <c r="R65" i="4" s="1"/>
  <c r="J65" i="4"/>
  <c r="C65" i="4"/>
  <c r="B65" i="4"/>
  <c r="P64" i="4"/>
  <c r="W64" i="4" s="1"/>
  <c r="I63" i="6" s="1"/>
  <c r="O64" i="4"/>
  <c r="V64" i="4" s="1"/>
  <c r="H63" i="6" s="1"/>
  <c r="N64" i="4"/>
  <c r="U64" i="4" s="1"/>
  <c r="G63" i="6" s="1"/>
  <c r="M64" i="4"/>
  <c r="T64" i="4" s="1"/>
  <c r="F63" i="6" s="1"/>
  <c r="L64" i="4"/>
  <c r="S64" i="4" s="1"/>
  <c r="E63" i="6" s="1"/>
  <c r="K64" i="4"/>
  <c r="R64" i="4" s="1"/>
  <c r="D63" i="6" s="1"/>
  <c r="J64" i="4"/>
  <c r="C64" i="4"/>
  <c r="B64" i="4"/>
  <c r="P63" i="4"/>
  <c r="W63" i="4" s="1"/>
  <c r="I62" i="6" s="1"/>
  <c r="O63" i="4"/>
  <c r="V63" i="4" s="1"/>
  <c r="H62" i="6" s="1"/>
  <c r="N63" i="4"/>
  <c r="U63" i="4" s="1"/>
  <c r="G62" i="6" s="1"/>
  <c r="M63" i="4"/>
  <c r="T63" i="4" s="1"/>
  <c r="F62" i="6" s="1"/>
  <c r="L63" i="4"/>
  <c r="K63" i="4"/>
  <c r="R63" i="4" s="1"/>
  <c r="D62" i="6" s="1"/>
  <c r="J63" i="4"/>
  <c r="C63" i="4"/>
  <c r="B63" i="4"/>
  <c r="P62" i="4"/>
  <c r="W62" i="4" s="1"/>
  <c r="I61" i="6" s="1"/>
  <c r="O62" i="4"/>
  <c r="V62" i="4" s="1"/>
  <c r="H61" i="6" s="1"/>
  <c r="N62" i="4"/>
  <c r="U62" i="4" s="1"/>
  <c r="G61" i="6" s="1"/>
  <c r="M62" i="4"/>
  <c r="T62" i="4" s="1"/>
  <c r="F61" i="6" s="1"/>
  <c r="L62" i="4"/>
  <c r="S62" i="4" s="1"/>
  <c r="E61" i="6" s="1"/>
  <c r="K62" i="4"/>
  <c r="R62" i="4" s="1"/>
  <c r="D61" i="6" s="1"/>
  <c r="J62" i="4"/>
  <c r="C62" i="4"/>
  <c r="B62" i="4"/>
  <c r="P61" i="4"/>
  <c r="W61" i="4" s="1"/>
  <c r="I60" i="6" s="1"/>
  <c r="O61" i="4"/>
  <c r="V61" i="4" s="1"/>
  <c r="H60" i="6" s="1"/>
  <c r="N61" i="4"/>
  <c r="U61" i="4" s="1"/>
  <c r="G60" i="6" s="1"/>
  <c r="M61" i="4"/>
  <c r="T61" i="4" s="1"/>
  <c r="F60" i="6" s="1"/>
  <c r="L61" i="4"/>
  <c r="S61" i="4" s="1"/>
  <c r="E60" i="6" s="1"/>
  <c r="K61" i="4"/>
  <c r="J61" i="4"/>
  <c r="C61" i="4"/>
  <c r="B61" i="4"/>
  <c r="P60" i="4"/>
  <c r="W60" i="4" s="1"/>
  <c r="I59" i="6" s="1"/>
  <c r="O60" i="4"/>
  <c r="V60" i="4" s="1"/>
  <c r="H59" i="6" s="1"/>
  <c r="N60" i="4"/>
  <c r="U60" i="4" s="1"/>
  <c r="G59" i="6" s="1"/>
  <c r="M60" i="4"/>
  <c r="T60" i="4" s="1"/>
  <c r="F59" i="6" s="1"/>
  <c r="L60" i="4"/>
  <c r="S60" i="4" s="1"/>
  <c r="E59" i="6" s="1"/>
  <c r="K60" i="4"/>
  <c r="J60" i="4"/>
  <c r="C60" i="4"/>
  <c r="B60" i="4"/>
  <c r="W59" i="4"/>
  <c r="I58" i="6" s="1"/>
  <c r="P59" i="4"/>
  <c r="O59" i="4"/>
  <c r="V59" i="4" s="1"/>
  <c r="H58" i="6" s="1"/>
  <c r="N59" i="4"/>
  <c r="U59" i="4" s="1"/>
  <c r="G58" i="6" s="1"/>
  <c r="M59" i="4"/>
  <c r="T59" i="4" s="1"/>
  <c r="F58" i="6" s="1"/>
  <c r="L59" i="4"/>
  <c r="S59" i="4" s="1"/>
  <c r="E58" i="6" s="1"/>
  <c r="K59" i="4"/>
  <c r="R59" i="4" s="1"/>
  <c r="J59" i="4"/>
  <c r="C59" i="4"/>
  <c r="B59" i="4"/>
  <c r="P58" i="4"/>
  <c r="W58" i="4" s="1"/>
  <c r="I57" i="6" s="1"/>
  <c r="O58" i="4"/>
  <c r="V58" i="4" s="1"/>
  <c r="H57" i="6" s="1"/>
  <c r="N58" i="4"/>
  <c r="U58" i="4" s="1"/>
  <c r="G57" i="6" s="1"/>
  <c r="M58" i="4"/>
  <c r="T58" i="4" s="1"/>
  <c r="F57" i="6" s="1"/>
  <c r="L58" i="4"/>
  <c r="S58" i="4" s="1"/>
  <c r="E57" i="6" s="1"/>
  <c r="K58" i="4"/>
  <c r="J58" i="4"/>
  <c r="C58" i="4"/>
  <c r="B58" i="4"/>
  <c r="R57" i="4"/>
  <c r="D56" i="6" s="1"/>
  <c r="P57" i="4"/>
  <c r="W57" i="4" s="1"/>
  <c r="I56" i="6" s="1"/>
  <c r="O57" i="4"/>
  <c r="V57" i="4" s="1"/>
  <c r="H56" i="6" s="1"/>
  <c r="N57" i="4"/>
  <c r="U57" i="4" s="1"/>
  <c r="G56" i="6" s="1"/>
  <c r="M57" i="4"/>
  <c r="T57" i="4" s="1"/>
  <c r="F56" i="6" s="1"/>
  <c r="L57" i="4"/>
  <c r="S57" i="4" s="1"/>
  <c r="E56" i="6" s="1"/>
  <c r="K57" i="4"/>
  <c r="J57" i="4"/>
  <c r="C57" i="4"/>
  <c r="B57" i="4"/>
  <c r="P56" i="4"/>
  <c r="W56" i="4" s="1"/>
  <c r="I55" i="6" s="1"/>
  <c r="O56" i="4"/>
  <c r="V56" i="4" s="1"/>
  <c r="H55" i="6" s="1"/>
  <c r="N56" i="4"/>
  <c r="U56" i="4" s="1"/>
  <c r="G55" i="6" s="1"/>
  <c r="M56" i="4"/>
  <c r="T56" i="4" s="1"/>
  <c r="F55" i="6" s="1"/>
  <c r="L56" i="4"/>
  <c r="S56" i="4" s="1"/>
  <c r="E55" i="6" s="1"/>
  <c r="K56" i="4"/>
  <c r="J56" i="4"/>
  <c r="C56" i="4"/>
  <c r="B56" i="4"/>
  <c r="P55" i="4"/>
  <c r="W55" i="4" s="1"/>
  <c r="I54" i="6" s="1"/>
  <c r="O55" i="4"/>
  <c r="V55" i="4" s="1"/>
  <c r="H54" i="6" s="1"/>
  <c r="N55" i="4"/>
  <c r="U55" i="4" s="1"/>
  <c r="G54" i="6" s="1"/>
  <c r="M55" i="4"/>
  <c r="T55" i="4" s="1"/>
  <c r="F54" i="6" s="1"/>
  <c r="L55" i="4"/>
  <c r="S55" i="4" s="1"/>
  <c r="E54" i="6" s="1"/>
  <c r="K55" i="4"/>
  <c r="R55" i="4" s="1"/>
  <c r="J55" i="4"/>
  <c r="C55" i="4"/>
  <c r="B55" i="4"/>
  <c r="P54" i="4"/>
  <c r="W54" i="4" s="1"/>
  <c r="I53" i="6" s="1"/>
  <c r="O54" i="4"/>
  <c r="V54" i="4" s="1"/>
  <c r="H53" i="6" s="1"/>
  <c r="N54" i="4"/>
  <c r="U54" i="4" s="1"/>
  <c r="G53" i="6" s="1"/>
  <c r="M54" i="4"/>
  <c r="T54" i="4" s="1"/>
  <c r="F53" i="6" s="1"/>
  <c r="L54" i="4"/>
  <c r="S54" i="4" s="1"/>
  <c r="E53" i="6" s="1"/>
  <c r="K54" i="4"/>
  <c r="R54" i="4" s="1"/>
  <c r="D53" i="6" s="1"/>
  <c r="J54" i="4"/>
  <c r="C54" i="4"/>
  <c r="B54" i="4"/>
  <c r="T53" i="4"/>
  <c r="F52" i="6" s="1"/>
  <c r="P53" i="4"/>
  <c r="W53" i="4" s="1"/>
  <c r="I52" i="6" s="1"/>
  <c r="O53" i="4"/>
  <c r="V53" i="4" s="1"/>
  <c r="H52" i="6" s="1"/>
  <c r="N53" i="4"/>
  <c r="U53" i="4" s="1"/>
  <c r="G52" i="6" s="1"/>
  <c r="M53" i="4"/>
  <c r="L53" i="4"/>
  <c r="S53" i="4" s="1"/>
  <c r="E52" i="6" s="1"/>
  <c r="K53" i="4"/>
  <c r="J53" i="4"/>
  <c r="C53" i="4"/>
  <c r="B53" i="4"/>
  <c r="S52" i="4"/>
  <c r="P52" i="4"/>
  <c r="W52" i="4" s="1"/>
  <c r="I51" i="6" s="1"/>
  <c r="O52" i="4"/>
  <c r="V52" i="4" s="1"/>
  <c r="H51" i="6" s="1"/>
  <c r="N52" i="4"/>
  <c r="U52" i="4" s="1"/>
  <c r="G51" i="6" s="1"/>
  <c r="M52" i="4"/>
  <c r="T52" i="4" s="1"/>
  <c r="F51" i="6" s="1"/>
  <c r="L52" i="4"/>
  <c r="K52" i="4"/>
  <c r="R52" i="4" s="1"/>
  <c r="D51" i="6" s="1"/>
  <c r="J52" i="4"/>
  <c r="C52" i="4"/>
  <c r="B52" i="4"/>
  <c r="R51" i="4"/>
  <c r="P51" i="4"/>
  <c r="W51" i="4" s="1"/>
  <c r="I50" i="6" s="1"/>
  <c r="O51" i="4"/>
  <c r="V51" i="4" s="1"/>
  <c r="H50" i="6" s="1"/>
  <c r="N51" i="4"/>
  <c r="U51" i="4" s="1"/>
  <c r="G50" i="6" s="1"/>
  <c r="M51" i="4"/>
  <c r="T51" i="4" s="1"/>
  <c r="F50" i="6" s="1"/>
  <c r="L51" i="4"/>
  <c r="S51" i="4" s="1"/>
  <c r="E50" i="6" s="1"/>
  <c r="K51" i="4"/>
  <c r="J51" i="4"/>
  <c r="C51" i="4"/>
  <c r="B51" i="4"/>
  <c r="T50" i="4"/>
  <c r="F49" i="6" s="1"/>
  <c r="P50" i="4"/>
  <c r="W50" i="4" s="1"/>
  <c r="I49" i="6" s="1"/>
  <c r="O50" i="4"/>
  <c r="V50" i="4" s="1"/>
  <c r="H49" i="6" s="1"/>
  <c r="N50" i="4"/>
  <c r="U50" i="4" s="1"/>
  <c r="G49" i="6" s="1"/>
  <c r="M50" i="4"/>
  <c r="L50" i="4"/>
  <c r="S50" i="4" s="1"/>
  <c r="E49" i="6" s="1"/>
  <c r="K50" i="4"/>
  <c r="J50" i="4"/>
  <c r="C50" i="4"/>
  <c r="B50" i="4"/>
  <c r="P49" i="4"/>
  <c r="W49" i="4" s="1"/>
  <c r="I48" i="6" s="1"/>
  <c r="O49" i="4"/>
  <c r="V49" i="4" s="1"/>
  <c r="H48" i="6" s="1"/>
  <c r="N49" i="4"/>
  <c r="U49" i="4" s="1"/>
  <c r="G48" i="6" s="1"/>
  <c r="M49" i="4"/>
  <c r="T49" i="4" s="1"/>
  <c r="F48" i="6" s="1"/>
  <c r="L49" i="4"/>
  <c r="S49" i="4" s="1"/>
  <c r="K49" i="4"/>
  <c r="R49" i="4" s="1"/>
  <c r="D48" i="6" s="1"/>
  <c r="J49" i="4"/>
  <c r="C49" i="4"/>
  <c r="B49" i="4"/>
  <c r="S48" i="4"/>
  <c r="E47" i="6" s="1"/>
  <c r="P48" i="4"/>
  <c r="W48" i="4" s="1"/>
  <c r="I47" i="6" s="1"/>
  <c r="O48" i="4"/>
  <c r="V48" i="4" s="1"/>
  <c r="H47" i="6" s="1"/>
  <c r="N48" i="4"/>
  <c r="U48" i="4" s="1"/>
  <c r="G47" i="6" s="1"/>
  <c r="M48" i="4"/>
  <c r="T48" i="4" s="1"/>
  <c r="F47" i="6" s="1"/>
  <c r="L48" i="4"/>
  <c r="K48" i="4"/>
  <c r="R48" i="4" s="1"/>
  <c r="J48" i="4"/>
  <c r="C48" i="4"/>
  <c r="B48" i="4"/>
  <c r="P47" i="4"/>
  <c r="W47" i="4" s="1"/>
  <c r="I46" i="6" s="1"/>
  <c r="O47" i="4"/>
  <c r="V47" i="4" s="1"/>
  <c r="H46" i="6" s="1"/>
  <c r="N47" i="4"/>
  <c r="U47" i="4" s="1"/>
  <c r="G46" i="6" s="1"/>
  <c r="M47" i="4"/>
  <c r="T47" i="4" s="1"/>
  <c r="F46" i="6" s="1"/>
  <c r="L47" i="4"/>
  <c r="S47" i="4" s="1"/>
  <c r="E46" i="6" s="1"/>
  <c r="K47" i="4"/>
  <c r="J47" i="4"/>
  <c r="C47" i="4"/>
  <c r="B47" i="4"/>
  <c r="W46" i="4"/>
  <c r="I45" i="6" s="1"/>
  <c r="P46" i="4"/>
  <c r="O46" i="4"/>
  <c r="V46" i="4" s="1"/>
  <c r="H45" i="6" s="1"/>
  <c r="N46" i="4"/>
  <c r="U46" i="4" s="1"/>
  <c r="G45" i="6" s="1"/>
  <c r="M46" i="4"/>
  <c r="T46" i="4" s="1"/>
  <c r="F45" i="6" s="1"/>
  <c r="L46" i="4"/>
  <c r="S46" i="4" s="1"/>
  <c r="E45" i="6" s="1"/>
  <c r="K46" i="4"/>
  <c r="R46" i="4" s="1"/>
  <c r="J46" i="4"/>
  <c r="C46" i="4"/>
  <c r="B46" i="4"/>
  <c r="P45" i="4"/>
  <c r="W45" i="4" s="1"/>
  <c r="I44" i="6" s="1"/>
  <c r="O45" i="4"/>
  <c r="V45" i="4" s="1"/>
  <c r="H44" i="6" s="1"/>
  <c r="N45" i="4"/>
  <c r="U45" i="4" s="1"/>
  <c r="G44" i="6" s="1"/>
  <c r="M45" i="4"/>
  <c r="T45" i="4" s="1"/>
  <c r="F44" i="6" s="1"/>
  <c r="L45" i="4"/>
  <c r="S45" i="4" s="1"/>
  <c r="E44" i="6" s="1"/>
  <c r="K45" i="4"/>
  <c r="R45" i="4" s="1"/>
  <c r="J45" i="4"/>
  <c r="C45" i="4"/>
  <c r="B45" i="4"/>
  <c r="U44" i="4"/>
  <c r="G43" i="6" s="1"/>
  <c r="T44" i="4"/>
  <c r="F43" i="6" s="1"/>
  <c r="P44" i="4"/>
  <c r="W44" i="4" s="1"/>
  <c r="I43" i="6" s="1"/>
  <c r="O44" i="4"/>
  <c r="V44" i="4" s="1"/>
  <c r="H43" i="6" s="1"/>
  <c r="N44" i="4"/>
  <c r="M44" i="4"/>
  <c r="L44" i="4"/>
  <c r="S44" i="4" s="1"/>
  <c r="E43" i="6" s="1"/>
  <c r="K44" i="4"/>
  <c r="J44" i="4"/>
  <c r="C44" i="4"/>
  <c r="B44" i="4"/>
  <c r="W43" i="4"/>
  <c r="I42" i="6" s="1"/>
  <c r="P43" i="4"/>
  <c r="O43" i="4"/>
  <c r="V43" i="4" s="1"/>
  <c r="H42" i="6" s="1"/>
  <c r="N43" i="4"/>
  <c r="U43" i="4" s="1"/>
  <c r="G42" i="6" s="1"/>
  <c r="M43" i="4"/>
  <c r="T43" i="4" s="1"/>
  <c r="F42" i="6" s="1"/>
  <c r="L43" i="4"/>
  <c r="S43" i="4" s="1"/>
  <c r="E42" i="6" s="1"/>
  <c r="K43" i="4"/>
  <c r="J43" i="4"/>
  <c r="C43" i="4"/>
  <c r="B43" i="4"/>
  <c r="R42" i="4"/>
  <c r="P42" i="4"/>
  <c r="W42" i="4" s="1"/>
  <c r="I41" i="6" s="1"/>
  <c r="O42" i="4"/>
  <c r="V42" i="4" s="1"/>
  <c r="H41" i="6" s="1"/>
  <c r="N42" i="4"/>
  <c r="U42" i="4" s="1"/>
  <c r="G41" i="6" s="1"/>
  <c r="M42" i="4"/>
  <c r="T42" i="4" s="1"/>
  <c r="F41" i="6" s="1"/>
  <c r="L42" i="4"/>
  <c r="S42" i="4" s="1"/>
  <c r="E41" i="6" s="1"/>
  <c r="K42" i="4"/>
  <c r="J42" i="4"/>
  <c r="C42" i="4"/>
  <c r="B42" i="4"/>
  <c r="U41" i="4"/>
  <c r="G40" i="6" s="1"/>
  <c r="T41" i="4"/>
  <c r="F40" i="6" s="1"/>
  <c r="P41" i="4"/>
  <c r="W41" i="4" s="1"/>
  <c r="I40" i="6" s="1"/>
  <c r="O41" i="4"/>
  <c r="V41" i="4" s="1"/>
  <c r="H40" i="6" s="1"/>
  <c r="N41" i="4"/>
  <c r="M41" i="4"/>
  <c r="L41" i="4"/>
  <c r="S41" i="4" s="1"/>
  <c r="E40" i="6" s="1"/>
  <c r="K41" i="4"/>
  <c r="J41" i="4"/>
  <c r="C41" i="4"/>
  <c r="B41" i="4"/>
  <c r="P40" i="4"/>
  <c r="W40" i="4" s="1"/>
  <c r="I39" i="6" s="1"/>
  <c r="O40" i="4"/>
  <c r="V40" i="4" s="1"/>
  <c r="H39" i="6" s="1"/>
  <c r="N40" i="4"/>
  <c r="U40" i="4" s="1"/>
  <c r="G39" i="6" s="1"/>
  <c r="M40" i="4"/>
  <c r="T40" i="4" s="1"/>
  <c r="F39" i="6" s="1"/>
  <c r="L40" i="4"/>
  <c r="S40" i="4" s="1"/>
  <c r="E39" i="6" s="1"/>
  <c r="K40" i="4"/>
  <c r="J40" i="4"/>
  <c r="C40" i="4"/>
  <c r="B40" i="4"/>
  <c r="P39" i="4"/>
  <c r="W39" i="4" s="1"/>
  <c r="I38" i="6" s="1"/>
  <c r="O39" i="4"/>
  <c r="V39" i="4" s="1"/>
  <c r="H38" i="6" s="1"/>
  <c r="N39" i="4"/>
  <c r="U39" i="4" s="1"/>
  <c r="G38" i="6" s="1"/>
  <c r="M39" i="4"/>
  <c r="T39" i="4" s="1"/>
  <c r="F38" i="6" s="1"/>
  <c r="L39" i="4"/>
  <c r="S39" i="4" s="1"/>
  <c r="E38" i="6" s="1"/>
  <c r="K39" i="4"/>
  <c r="R39" i="4" s="1"/>
  <c r="J39" i="4"/>
  <c r="C39" i="4"/>
  <c r="B39" i="4"/>
  <c r="T38" i="4"/>
  <c r="F37" i="6" s="1"/>
  <c r="S38" i="4"/>
  <c r="E37" i="6" s="1"/>
  <c r="P38" i="4"/>
  <c r="W38" i="4" s="1"/>
  <c r="I37" i="6" s="1"/>
  <c r="O38" i="4"/>
  <c r="V38" i="4" s="1"/>
  <c r="H37" i="6" s="1"/>
  <c r="N38" i="4"/>
  <c r="U38" i="4" s="1"/>
  <c r="G37" i="6" s="1"/>
  <c r="M38" i="4"/>
  <c r="L38" i="4"/>
  <c r="K38" i="4"/>
  <c r="R38" i="4" s="1"/>
  <c r="D37" i="6" s="1"/>
  <c r="J38" i="4"/>
  <c r="C38" i="4"/>
  <c r="B38" i="4"/>
  <c r="S37" i="4"/>
  <c r="E36" i="6" s="1"/>
  <c r="P37" i="4"/>
  <c r="W37" i="4" s="1"/>
  <c r="I36" i="6" s="1"/>
  <c r="O37" i="4"/>
  <c r="V37" i="4" s="1"/>
  <c r="H36" i="6" s="1"/>
  <c r="N37" i="4"/>
  <c r="U37" i="4" s="1"/>
  <c r="G36" i="6" s="1"/>
  <c r="M37" i="4"/>
  <c r="L37" i="4"/>
  <c r="K37" i="4"/>
  <c r="R37" i="4" s="1"/>
  <c r="D36" i="6" s="1"/>
  <c r="J37" i="4"/>
  <c r="C37" i="4"/>
  <c r="B37" i="4"/>
  <c r="P36" i="4"/>
  <c r="W36" i="4" s="1"/>
  <c r="I35" i="6" s="1"/>
  <c r="O36" i="4"/>
  <c r="V36" i="4" s="1"/>
  <c r="H35" i="6" s="1"/>
  <c r="N36" i="4"/>
  <c r="U36" i="4" s="1"/>
  <c r="G35" i="6" s="1"/>
  <c r="M36" i="4"/>
  <c r="T36" i="4" s="1"/>
  <c r="F35" i="6" s="1"/>
  <c r="L36" i="4"/>
  <c r="S36" i="4" s="1"/>
  <c r="E35" i="6" s="1"/>
  <c r="K36" i="4"/>
  <c r="R36" i="4" s="1"/>
  <c r="J36" i="4"/>
  <c r="C36" i="4"/>
  <c r="B36" i="4"/>
  <c r="T35" i="4"/>
  <c r="F34" i="6" s="1"/>
  <c r="P35" i="4"/>
  <c r="W35" i="4" s="1"/>
  <c r="I34" i="6" s="1"/>
  <c r="O35" i="4"/>
  <c r="V35" i="4" s="1"/>
  <c r="H34" i="6" s="1"/>
  <c r="N35" i="4"/>
  <c r="U35" i="4" s="1"/>
  <c r="G34" i="6" s="1"/>
  <c r="M35" i="4"/>
  <c r="L35" i="4"/>
  <c r="S35" i="4" s="1"/>
  <c r="E34" i="6" s="1"/>
  <c r="K35" i="4"/>
  <c r="J35" i="4"/>
  <c r="C35" i="4"/>
  <c r="B35" i="4"/>
  <c r="P34" i="4"/>
  <c r="W34" i="4" s="1"/>
  <c r="I33" i="6" s="1"/>
  <c r="O34" i="4"/>
  <c r="V34" i="4" s="1"/>
  <c r="H33" i="6" s="1"/>
  <c r="N34" i="4"/>
  <c r="U34" i="4" s="1"/>
  <c r="G33" i="6" s="1"/>
  <c r="M34" i="4"/>
  <c r="T34" i="4" s="1"/>
  <c r="F33" i="6" s="1"/>
  <c r="L34" i="4"/>
  <c r="S34" i="4" s="1"/>
  <c r="E33" i="6" s="1"/>
  <c r="K34" i="4"/>
  <c r="J34" i="4"/>
  <c r="C34" i="4"/>
  <c r="B34" i="4"/>
  <c r="P33" i="4"/>
  <c r="W33" i="4" s="1"/>
  <c r="I32" i="6" s="1"/>
  <c r="O33" i="4"/>
  <c r="V33" i="4" s="1"/>
  <c r="H32" i="6" s="1"/>
  <c r="N33" i="4"/>
  <c r="U33" i="4" s="1"/>
  <c r="G32" i="6" s="1"/>
  <c r="M33" i="4"/>
  <c r="T33" i="4" s="1"/>
  <c r="F32" i="6" s="1"/>
  <c r="L33" i="4"/>
  <c r="S33" i="4" s="1"/>
  <c r="E32" i="6" s="1"/>
  <c r="K33" i="4"/>
  <c r="J33" i="4"/>
  <c r="C33" i="4"/>
  <c r="B33" i="4"/>
  <c r="P32" i="4"/>
  <c r="W32" i="4" s="1"/>
  <c r="I31" i="6" s="1"/>
  <c r="O32" i="4"/>
  <c r="V32" i="4" s="1"/>
  <c r="H31" i="6" s="1"/>
  <c r="N32" i="4"/>
  <c r="U32" i="4" s="1"/>
  <c r="G31" i="6" s="1"/>
  <c r="M32" i="4"/>
  <c r="T32" i="4" s="1"/>
  <c r="F31" i="6" s="1"/>
  <c r="L32" i="4"/>
  <c r="S32" i="4" s="1"/>
  <c r="E31" i="6" s="1"/>
  <c r="K32" i="4"/>
  <c r="R32" i="4" s="1"/>
  <c r="J32" i="4"/>
  <c r="C32" i="4"/>
  <c r="B32" i="4"/>
  <c r="T31" i="4"/>
  <c r="F30" i="6" s="1"/>
  <c r="P31" i="4"/>
  <c r="W31" i="4" s="1"/>
  <c r="I30" i="6" s="1"/>
  <c r="O31" i="4"/>
  <c r="V31" i="4" s="1"/>
  <c r="H30" i="6" s="1"/>
  <c r="N31" i="4"/>
  <c r="U31" i="4" s="1"/>
  <c r="G30" i="6" s="1"/>
  <c r="M31" i="4"/>
  <c r="L31" i="4"/>
  <c r="S31" i="4" s="1"/>
  <c r="E30" i="6" s="1"/>
  <c r="K31" i="4"/>
  <c r="J31" i="4"/>
  <c r="C31" i="4"/>
  <c r="B31" i="4"/>
  <c r="P30" i="4"/>
  <c r="W30" i="4" s="1"/>
  <c r="I29" i="6" s="1"/>
  <c r="O30" i="4"/>
  <c r="V30" i="4" s="1"/>
  <c r="H29" i="6" s="1"/>
  <c r="N30" i="4"/>
  <c r="U30" i="4" s="1"/>
  <c r="G29" i="6" s="1"/>
  <c r="M30" i="4"/>
  <c r="T30" i="4" s="1"/>
  <c r="F29" i="6" s="1"/>
  <c r="L30" i="4"/>
  <c r="S30" i="4" s="1"/>
  <c r="E29" i="6" s="1"/>
  <c r="K30" i="4"/>
  <c r="J30" i="4"/>
  <c r="C30" i="4"/>
  <c r="B30" i="4"/>
  <c r="T29" i="4"/>
  <c r="F28" i="6" s="1"/>
  <c r="P29" i="4"/>
  <c r="W29" i="4" s="1"/>
  <c r="I28" i="6" s="1"/>
  <c r="O29" i="4"/>
  <c r="V29" i="4" s="1"/>
  <c r="H28" i="6" s="1"/>
  <c r="N29" i="4"/>
  <c r="U29" i="4" s="1"/>
  <c r="G28" i="6" s="1"/>
  <c r="M29" i="4"/>
  <c r="L29" i="4"/>
  <c r="S29" i="4" s="1"/>
  <c r="E28" i="6" s="1"/>
  <c r="K29" i="4"/>
  <c r="R29" i="4" s="1"/>
  <c r="J29" i="4"/>
  <c r="C29" i="4"/>
  <c r="B29" i="4"/>
  <c r="S28" i="4"/>
  <c r="E27" i="6" s="1"/>
  <c r="P28" i="4"/>
  <c r="W28" i="4" s="1"/>
  <c r="I27" i="6" s="1"/>
  <c r="O28" i="4"/>
  <c r="V28" i="4" s="1"/>
  <c r="H27" i="6" s="1"/>
  <c r="N28" i="4"/>
  <c r="M28" i="4"/>
  <c r="T28" i="4" s="1"/>
  <c r="F27" i="6" s="1"/>
  <c r="L28" i="4"/>
  <c r="K28" i="4"/>
  <c r="R28" i="4" s="1"/>
  <c r="D27" i="6" s="1"/>
  <c r="J28" i="4"/>
  <c r="C28" i="4"/>
  <c r="B28" i="4"/>
  <c r="P27" i="4"/>
  <c r="W27" i="4" s="1"/>
  <c r="I26" i="6" s="1"/>
  <c r="O27" i="4"/>
  <c r="V27" i="4" s="1"/>
  <c r="H26" i="6" s="1"/>
  <c r="N27" i="4"/>
  <c r="U27" i="4" s="1"/>
  <c r="G26" i="6" s="1"/>
  <c r="M27" i="4"/>
  <c r="T27" i="4" s="1"/>
  <c r="F26" i="6" s="1"/>
  <c r="L27" i="4"/>
  <c r="K27" i="4"/>
  <c r="R27" i="4" s="1"/>
  <c r="D26" i="6" s="1"/>
  <c r="J27" i="4"/>
  <c r="C27" i="4"/>
  <c r="B27" i="4"/>
  <c r="S26" i="4"/>
  <c r="E25" i="6" s="1"/>
  <c r="P26" i="4"/>
  <c r="W26" i="4" s="1"/>
  <c r="I25" i="6" s="1"/>
  <c r="O26" i="4"/>
  <c r="V26" i="4" s="1"/>
  <c r="H25" i="6" s="1"/>
  <c r="N26" i="4"/>
  <c r="U26" i="4" s="1"/>
  <c r="G25" i="6" s="1"/>
  <c r="M26" i="4"/>
  <c r="T26" i="4" s="1"/>
  <c r="F25" i="6" s="1"/>
  <c r="L26" i="4"/>
  <c r="K26" i="4"/>
  <c r="R26" i="4" s="1"/>
  <c r="D25" i="6" s="1"/>
  <c r="J26" i="4"/>
  <c r="C26" i="4"/>
  <c r="B26" i="4"/>
  <c r="S25" i="4"/>
  <c r="E24" i="6" s="1"/>
  <c r="P25" i="4"/>
  <c r="W25" i="4" s="1"/>
  <c r="I24" i="6" s="1"/>
  <c r="O25" i="4"/>
  <c r="V25" i="4" s="1"/>
  <c r="H24" i="6" s="1"/>
  <c r="N25" i="4"/>
  <c r="U25" i="4" s="1"/>
  <c r="G24" i="6" s="1"/>
  <c r="M25" i="4"/>
  <c r="T25" i="4" s="1"/>
  <c r="F24" i="6" s="1"/>
  <c r="L25" i="4"/>
  <c r="K25" i="4"/>
  <c r="R25" i="4" s="1"/>
  <c r="J25" i="4"/>
  <c r="C25" i="4"/>
  <c r="B25" i="4"/>
  <c r="P24" i="4"/>
  <c r="W24" i="4" s="1"/>
  <c r="I23" i="6" s="1"/>
  <c r="O24" i="4"/>
  <c r="V24" i="4" s="1"/>
  <c r="H23" i="6" s="1"/>
  <c r="N24" i="4"/>
  <c r="U24" i="4" s="1"/>
  <c r="G23" i="6" s="1"/>
  <c r="M24" i="4"/>
  <c r="T24" i="4" s="1"/>
  <c r="F23" i="6" s="1"/>
  <c r="L24" i="4"/>
  <c r="S24" i="4" s="1"/>
  <c r="E23" i="6" s="1"/>
  <c r="K24" i="4"/>
  <c r="J24" i="4"/>
  <c r="C24" i="4"/>
  <c r="B24" i="4"/>
  <c r="P23" i="4"/>
  <c r="W23" i="4" s="1"/>
  <c r="I22" i="6" s="1"/>
  <c r="O23" i="4"/>
  <c r="V23" i="4" s="1"/>
  <c r="H22" i="6" s="1"/>
  <c r="N23" i="4"/>
  <c r="U23" i="4" s="1"/>
  <c r="G22" i="6" s="1"/>
  <c r="M23" i="4"/>
  <c r="T23" i="4" s="1"/>
  <c r="F22" i="6" s="1"/>
  <c r="L23" i="4"/>
  <c r="S23" i="4" s="1"/>
  <c r="E22" i="6" s="1"/>
  <c r="K23" i="4"/>
  <c r="R23" i="4" s="1"/>
  <c r="J23" i="4"/>
  <c r="C23" i="4"/>
  <c r="B23" i="4"/>
  <c r="P22" i="4"/>
  <c r="W22" i="4" s="1"/>
  <c r="I21" i="6" s="1"/>
  <c r="O22" i="4"/>
  <c r="V22" i="4" s="1"/>
  <c r="H21" i="6" s="1"/>
  <c r="N22" i="4"/>
  <c r="M22" i="4"/>
  <c r="T22" i="4" s="1"/>
  <c r="F21" i="6" s="1"/>
  <c r="L22" i="4"/>
  <c r="S22" i="4" s="1"/>
  <c r="E21" i="6" s="1"/>
  <c r="K22" i="4"/>
  <c r="R22" i="4" s="1"/>
  <c r="J22" i="4"/>
  <c r="C22" i="4"/>
  <c r="B22" i="4"/>
  <c r="P21" i="4"/>
  <c r="W21" i="4" s="1"/>
  <c r="I20" i="6" s="1"/>
  <c r="O21" i="4"/>
  <c r="V21" i="4" s="1"/>
  <c r="H20" i="6" s="1"/>
  <c r="N21" i="4"/>
  <c r="U21" i="4" s="1"/>
  <c r="G20" i="6" s="1"/>
  <c r="M21" i="4"/>
  <c r="T21" i="4" s="1"/>
  <c r="F20" i="6" s="1"/>
  <c r="L21" i="4"/>
  <c r="S21" i="4" s="1"/>
  <c r="E20" i="6" s="1"/>
  <c r="K21" i="4"/>
  <c r="R21" i="4" s="1"/>
  <c r="D20" i="6" s="1"/>
  <c r="J21" i="4"/>
  <c r="C21" i="4"/>
  <c r="B21" i="4"/>
  <c r="P20" i="4"/>
  <c r="W20" i="4" s="1"/>
  <c r="I19" i="6" s="1"/>
  <c r="O20" i="4"/>
  <c r="V20" i="4" s="1"/>
  <c r="H19" i="6" s="1"/>
  <c r="N20" i="4"/>
  <c r="U20" i="4" s="1"/>
  <c r="G19" i="6" s="1"/>
  <c r="M20" i="4"/>
  <c r="T20" i="4" s="1"/>
  <c r="F19" i="6" s="1"/>
  <c r="L20" i="4"/>
  <c r="S20" i="4" s="1"/>
  <c r="E19" i="6" s="1"/>
  <c r="K20" i="4"/>
  <c r="J20" i="4"/>
  <c r="C20" i="4"/>
  <c r="B20" i="4"/>
  <c r="T19" i="4"/>
  <c r="F18" i="6" s="1"/>
  <c r="P19" i="4"/>
  <c r="W19" i="4" s="1"/>
  <c r="I18" i="6" s="1"/>
  <c r="O19" i="4"/>
  <c r="V19" i="4" s="1"/>
  <c r="H18" i="6" s="1"/>
  <c r="N19" i="4"/>
  <c r="U19" i="4" s="1"/>
  <c r="G18" i="6" s="1"/>
  <c r="M19" i="4"/>
  <c r="L19" i="4"/>
  <c r="S19" i="4" s="1"/>
  <c r="E18" i="6" s="1"/>
  <c r="K19" i="4"/>
  <c r="R19" i="4" s="1"/>
  <c r="J19" i="4"/>
  <c r="C19" i="4"/>
  <c r="B19" i="4"/>
  <c r="P18" i="4"/>
  <c r="W18" i="4" s="1"/>
  <c r="I17" i="6" s="1"/>
  <c r="O18" i="4"/>
  <c r="V18" i="4" s="1"/>
  <c r="H17" i="6" s="1"/>
  <c r="N18" i="4"/>
  <c r="U18" i="4" s="1"/>
  <c r="G17" i="6" s="1"/>
  <c r="M18" i="4"/>
  <c r="T18" i="4" s="1"/>
  <c r="F17" i="6" s="1"/>
  <c r="L18" i="4"/>
  <c r="S18" i="4" s="1"/>
  <c r="E17" i="6" s="1"/>
  <c r="K18" i="4"/>
  <c r="J18" i="4"/>
  <c r="C18" i="4"/>
  <c r="B18" i="4"/>
  <c r="P17" i="4"/>
  <c r="W17" i="4" s="1"/>
  <c r="I16" i="6" s="1"/>
  <c r="O17" i="4"/>
  <c r="V17" i="4" s="1"/>
  <c r="H16" i="6" s="1"/>
  <c r="N17" i="4"/>
  <c r="U17" i="4" s="1"/>
  <c r="G16" i="6" s="1"/>
  <c r="M17" i="4"/>
  <c r="T17" i="4" s="1"/>
  <c r="F16" i="6" s="1"/>
  <c r="L17" i="4"/>
  <c r="S17" i="4" s="1"/>
  <c r="E16" i="6" s="1"/>
  <c r="K17" i="4"/>
  <c r="J17" i="4"/>
  <c r="C17" i="4"/>
  <c r="B17" i="4"/>
  <c r="P16" i="4"/>
  <c r="W16" i="4" s="1"/>
  <c r="I15" i="6" s="1"/>
  <c r="O16" i="4"/>
  <c r="V16" i="4" s="1"/>
  <c r="H15" i="6" s="1"/>
  <c r="N16" i="4"/>
  <c r="U16" i="4" s="1"/>
  <c r="G15" i="6" s="1"/>
  <c r="M16" i="4"/>
  <c r="T16" i="4" s="1"/>
  <c r="F15" i="6" s="1"/>
  <c r="L16" i="4"/>
  <c r="S16" i="4" s="1"/>
  <c r="K16" i="4"/>
  <c r="R16" i="4" s="1"/>
  <c r="D15" i="6" s="1"/>
  <c r="J16" i="4"/>
  <c r="C16" i="4"/>
  <c r="B16" i="4"/>
  <c r="P15" i="4"/>
  <c r="W15" i="4" s="1"/>
  <c r="I14" i="6" s="1"/>
  <c r="O15" i="4"/>
  <c r="V15" i="4" s="1"/>
  <c r="H14" i="6" s="1"/>
  <c r="N15" i="4"/>
  <c r="U15" i="4" s="1"/>
  <c r="G14" i="6" s="1"/>
  <c r="M15" i="4"/>
  <c r="T15" i="4" s="1"/>
  <c r="F14" i="6" s="1"/>
  <c r="L15" i="4"/>
  <c r="S15" i="4" s="1"/>
  <c r="E14" i="6" s="1"/>
  <c r="K15" i="4"/>
  <c r="J15" i="4"/>
  <c r="C15" i="4"/>
  <c r="B15" i="4"/>
  <c r="P14" i="4"/>
  <c r="W14" i="4" s="1"/>
  <c r="I13" i="6" s="1"/>
  <c r="O14" i="4"/>
  <c r="V14" i="4" s="1"/>
  <c r="H13" i="6" s="1"/>
  <c r="N14" i="4"/>
  <c r="U14" i="4" s="1"/>
  <c r="G13" i="6" s="1"/>
  <c r="M14" i="4"/>
  <c r="T14" i="4" s="1"/>
  <c r="F13" i="6" s="1"/>
  <c r="L14" i="4"/>
  <c r="S14" i="4" s="1"/>
  <c r="E13" i="6" s="1"/>
  <c r="K14" i="4"/>
  <c r="J14" i="4"/>
  <c r="C14" i="4"/>
  <c r="B14" i="4"/>
  <c r="P13" i="4"/>
  <c r="W13" i="4" s="1"/>
  <c r="I12" i="6" s="1"/>
  <c r="O13" i="4"/>
  <c r="V13" i="4" s="1"/>
  <c r="H12" i="6" s="1"/>
  <c r="N13" i="4"/>
  <c r="U13" i="4" s="1"/>
  <c r="G12" i="6" s="1"/>
  <c r="M13" i="4"/>
  <c r="T13" i="4" s="1"/>
  <c r="F12" i="6" s="1"/>
  <c r="L13" i="4"/>
  <c r="S13" i="4" s="1"/>
  <c r="K13" i="4"/>
  <c r="R13" i="4" s="1"/>
  <c r="D12" i="6" s="1"/>
  <c r="J13" i="4"/>
  <c r="C13" i="4"/>
  <c r="B13" i="4"/>
  <c r="P12" i="4"/>
  <c r="W12" i="4" s="1"/>
  <c r="I11" i="6" s="1"/>
  <c r="O12" i="4"/>
  <c r="V12" i="4" s="1"/>
  <c r="H11" i="6" s="1"/>
  <c r="N12" i="4"/>
  <c r="U12" i="4" s="1"/>
  <c r="G11" i="6" s="1"/>
  <c r="M12" i="4"/>
  <c r="T12" i="4" s="1"/>
  <c r="F11" i="6" s="1"/>
  <c r="L12" i="4"/>
  <c r="S12" i="4" s="1"/>
  <c r="E11" i="6" s="1"/>
  <c r="K12" i="4"/>
  <c r="R12" i="4" s="1"/>
  <c r="J12" i="4"/>
  <c r="C12" i="4"/>
  <c r="B12" i="4"/>
  <c r="P11" i="4"/>
  <c r="W11" i="4" s="1"/>
  <c r="I10" i="6" s="1"/>
  <c r="O11" i="4"/>
  <c r="V11" i="4" s="1"/>
  <c r="H10" i="6" s="1"/>
  <c r="N11" i="4"/>
  <c r="U11" i="4" s="1"/>
  <c r="G10" i="6" s="1"/>
  <c r="M11" i="4"/>
  <c r="T11" i="4" s="1"/>
  <c r="F10" i="6" s="1"/>
  <c r="L11" i="4"/>
  <c r="S11" i="4" s="1"/>
  <c r="E10" i="6" s="1"/>
  <c r="K11" i="4"/>
  <c r="J11" i="4"/>
  <c r="C11" i="4"/>
  <c r="B11" i="4"/>
  <c r="P10" i="4"/>
  <c r="W10" i="4" s="1"/>
  <c r="I9" i="6" s="1"/>
  <c r="O10" i="4"/>
  <c r="V10" i="4" s="1"/>
  <c r="H9" i="6" s="1"/>
  <c r="N10" i="4"/>
  <c r="U10" i="4" s="1"/>
  <c r="G9" i="6" s="1"/>
  <c r="M10" i="4"/>
  <c r="T10" i="4" s="1"/>
  <c r="F9" i="6" s="1"/>
  <c r="L10" i="4"/>
  <c r="S10" i="4" s="1"/>
  <c r="E9" i="6" s="1"/>
  <c r="K10" i="4"/>
  <c r="R10" i="4" s="1"/>
  <c r="J10" i="4"/>
  <c r="C10" i="4"/>
  <c r="B10" i="4"/>
  <c r="R9" i="4"/>
  <c r="P9" i="4"/>
  <c r="W9" i="4" s="1"/>
  <c r="I8" i="6" s="1"/>
  <c r="O9" i="4"/>
  <c r="V9" i="4" s="1"/>
  <c r="H8" i="6" s="1"/>
  <c r="N9" i="4"/>
  <c r="U9" i="4" s="1"/>
  <c r="G8" i="6" s="1"/>
  <c r="M9" i="4"/>
  <c r="T9" i="4" s="1"/>
  <c r="F8" i="6" s="1"/>
  <c r="L9" i="4"/>
  <c r="S9" i="4" s="1"/>
  <c r="E8" i="6" s="1"/>
  <c r="K9" i="4"/>
  <c r="J9" i="4"/>
  <c r="C9" i="4"/>
  <c r="B9" i="4"/>
  <c r="S8" i="4"/>
  <c r="E7" i="6" s="1"/>
  <c r="P8" i="4"/>
  <c r="W8" i="4" s="1"/>
  <c r="I7" i="6" s="1"/>
  <c r="O8" i="4"/>
  <c r="V8" i="4" s="1"/>
  <c r="H7" i="6" s="1"/>
  <c r="N8" i="4"/>
  <c r="U8" i="4" s="1"/>
  <c r="G7" i="6" s="1"/>
  <c r="M8" i="4"/>
  <c r="T8" i="4" s="1"/>
  <c r="F7" i="6" s="1"/>
  <c r="L8" i="4"/>
  <c r="K8" i="4"/>
  <c r="J8" i="4"/>
  <c r="C8" i="4"/>
  <c r="B8" i="4"/>
  <c r="P7" i="4"/>
  <c r="W7" i="4" s="1"/>
  <c r="I6" i="6" s="1"/>
  <c r="O7" i="4"/>
  <c r="V7" i="4" s="1"/>
  <c r="H6" i="6" s="1"/>
  <c r="C26" i="1" s="1"/>
  <c r="N7" i="4"/>
  <c r="U7" i="4" s="1"/>
  <c r="G6" i="6" s="1"/>
  <c r="M7" i="4"/>
  <c r="T7" i="4" s="1"/>
  <c r="F6" i="6" s="1"/>
  <c r="L7" i="4"/>
  <c r="S7" i="4" s="1"/>
  <c r="E6" i="6" s="1"/>
  <c r="K7" i="4"/>
  <c r="J7" i="4"/>
  <c r="F4" i="4"/>
  <c r="C4" i="4"/>
  <c r="A2" i="4"/>
  <c r="P207" i="3"/>
  <c r="I206" i="5" s="1"/>
  <c r="O207" i="3"/>
  <c r="H206" i="5" s="1"/>
  <c r="N207" i="3"/>
  <c r="G206" i="5" s="1"/>
  <c r="M207" i="3"/>
  <c r="F206" i="5" s="1"/>
  <c r="L207" i="3"/>
  <c r="E206" i="5" s="1"/>
  <c r="K207" i="3"/>
  <c r="J207" i="3"/>
  <c r="C207" i="3"/>
  <c r="B207" i="3"/>
  <c r="A207" i="3"/>
  <c r="P206" i="3"/>
  <c r="I205" i="5" s="1"/>
  <c r="O206" i="3"/>
  <c r="H205" i="5" s="1"/>
  <c r="N206" i="3"/>
  <c r="G205" i="5" s="1"/>
  <c r="M206" i="3"/>
  <c r="F205" i="5" s="1"/>
  <c r="L206" i="3"/>
  <c r="E205" i="5" s="1"/>
  <c r="K206" i="3"/>
  <c r="D205" i="5" s="1"/>
  <c r="J206" i="3"/>
  <c r="C206" i="3"/>
  <c r="B206" i="3"/>
  <c r="A206" i="3"/>
  <c r="P205" i="3"/>
  <c r="I204" i="5" s="1"/>
  <c r="O205" i="3"/>
  <c r="H204" i="5" s="1"/>
  <c r="N205" i="3"/>
  <c r="G204" i="5" s="1"/>
  <c r="M205" i="3"/>
  <c r="F204" i="5" s="1"/>
  <c r="L205" i="3"/>
  <c r="E204" i="5" s="1"/>
  <c r="K205" i="3"/>
  <c r="D204" i="5" s="1"/>
  <c r="J205" i="3"/>
  <c r="C205" i="3"/>
  <c r="B205" i="3"/>
  <c r="A205" i="3"/>
  <c r="P204" i="3"/>
  <c r="I203" i="5" s="1"/>
  <c r="O204" i="3"/>
  <c r="H203" i="5" s="1"/>
  <c r="N204" i="3"/>
  <c r="G203" i="5" s="1"/>
  <c r="M204" i="3"/>
  <c r="F203" i="5" s="1"/>
  <c r="L204" i="3"/>
  <c r="E203" i="5" s="1"/>
  <c r="K204" i="3"/>
  <c r="D203" i="5" s="1"/>
  <c r="J204" i="3"/>
  <c r="C204" i="3"/>
  <c r="B204" i="3"/>
  <c r="A204" i="3"/>
  <c r="P203" i="3"/>
  <c r="I202" i="5" s="1"/>
  <c r="O203" i="3"/>
  <c r="H202" i="5" s="1"/>
  <c r="N203" i="3"/>
  <c r="G202" i="5" s="1"/>
  <c r="M203" i="3"/>
  <c r="F202" i="5" s="1"/>
  <c r="L203" i="3"/>
  <c r="E202" i="5" s="1"/>
  <c r="K203" i="3"/>
  <c r="D202" i="5" s="1"/>
  <c r="J203" i="3"/>
  <c r="C203" i="3"/>
  <c r="B203" i="3"/>
  <c r="A203" i="3"/>
  <c r="P202" i="3"/>
  <c r="I201" i="5" s="1"/>
  <c r="O202" i="3"/>
  <c r="H201" i="5" s="1"/>
  <c r="N202" i="3"/>
  <c r="G201" i="5" s="1"/>
  <c r="M202" i="3"/>
  <c r="F201" i="5" s="1"/>
  <c r="L202" i="3"/>
  <c r="E201" i="5" s="1"/>
  <c r="K202" i="3"/>
  <c r="D201" i="5" s="1"/>
  <c r="J202" i="3"/>
  <c r="C202" i="3"/>
  <c r="B202" i="3"/>
  <c r="A202" i="3"/>
  <c r="P201" i="3"/>
  <c r="I200" i="5" s="1"/>
  <c r="O201" i="3"/>
  <c r="H200" i="5" s="1"/>
  <c r="N201" i="3"/>
  <c r="G200" i="5" s="1"/>
  <c r="M201" i="3"/>
  <c r="F200" i="5" s="1"/>
  <c r="L201" i="3"/>
  <c r="E200" i="5" s="1"/>
  <c r="K201" i="3"/>
  <c r="D200" i="5" s="1"/>
  <c r="J201" i="3"/>
  <c r="C201" i="3"/>
  <c r="B201" i="3"/>
  <c r="A201" i="3"/>
  <c r="P200" i="3"/>
  <c r="I199" i="5" s="1"/>
  <c r="O200" i="3"/>
  <c r="H199" i="5" s="1"/>
  <c r="N200" i="3"/>
  <c r="G199" i="5" s="1"/>
  <c r="M200" i="3"/>
  <c r="F199" i="5" s="1"/>
  <c r="L200" i="3"/>
  <c r="E199" i="5" s="1"/>
  <c r="K200" i="3"/>
  <c r="J200" i="3"/>
  <c r="C200" i="3"/>
  <c r="B200" i="3"/>
  <c r="A200" i="3"/>
  <c r="P199" i="3"/>
  <c r="I198" i="5" s="1"/>
  <c r="O199" i="3"/>
  <c r="H198" i="5" s="1"/>
  <c r="N199" i="3"/>
  <c r="G198" i="5" s="1"/>
  <c r="M199" i="3"/>
  <c r="F198" i="5" s="1"/>
  <c r="L199" i="3"/>
  <c r="E198" i="5" s="1"/>
  <c r="K199" i="3"/>
  <c r="D198" i="5" s="1"/>
  <c r="J199" i="3"/>
  <c r="C199" i="3"/>
  <c r="B199" i="3"/>
  <c r="A199" i="3"/>
  <c r="P198" i="3"/>
  <c r="I197" i="5" s="1"/>
  <c r="O198" i="3"/>
  <c r="H197" i="5" s="1"/>
  <c r="N198" i="3"/>
  <c r="G197" i="5" s="1"/>
  <c r="M198" i="3"/>
  <c r="F197" i="5" s="1"/>
  <c r="L198" i="3"/>
  <c r="E197" i="5" s="1"/>
  <c r="K198" i="3"/>
  <c r="J198" i="3"/>
  <c r="C198" i="3"/>
  <c r="B198" i="3"/>
  <c r="A198" i="3"/>
  <c r="P197" i="3"/>
  <c r="I196" i="5" s="1"/>
  <c r="O197" i="3"/>
  <c r="H196" i="5" s="1"/>
  <c r="N197" i="3"/>
  <c r="G196" i="5" s="1"/>
  <c r="M197" i="3"/>
  <c r="F196" i="5" s="1"/>
  <c r="L197" i="3"/>
  <c r="E196" i="5" s="1"/>
  <c r="K197" i="3"/>
  <c r="D196" i="5" s="1"/>
  <c r="J197" i="3"/>
  <c r="C197" i="3"/>
  <c r="B197" i="3"/>
  <c r="A197" i="3"/>
  <c r="P196" i="3"/>
  <c r="I195" i="5" s="1"/>
  <c r="O196" i="3"/>
  <c r="H195" i="5" s="1"/>
  <c r="N196" i="3"/>
  <c r="G195" i="5" s="1"/>
  <c r="M196" i="3"/>
  <c r="F195" i="5" s="1"/>
  <c r="L196" i="3"/>
  <c r="E195" i="5" s="1"/>
  <c r="K196" i="3"/>
  <c r="J196" i="3"/>
  <c r="C196" i="3"/>
  <c r="B196" i="3"/>
  <c r="A196" i="3"/>
  <c r="P195" i="3"/>
  <c r="I194" i="5" s="1"/>
  <c r="O195" i="3"/>
  <c r="H194" i="5" s="1"/>
  <c r="N195" i="3"/>
  <c r="G194" i="5" s="1"/>
  <c r="M195" i="3"/>
  <c r="F194" i="5" s="1"/>
  <c r="L195" i="3"/>
  <c r="K195" i="3"/>
  <c r="D194" i="5" s="1"/>
  <c r="J195" i="3"/>
  <c r="C195" i="3"/>
  <c r="B195" i="3"/>
  <c r="A195" i="3"/>
  <c r="P194" i="3"/>
  <c r="I193" i="5" s="1"/>
  <c r="O194" i="3"/>
  <c r="H193" i="5" s="1"/>
  <c r="N194" i="3"/>
  <c r="G193" i="5" s="1"/>
  <c r="M194" i="3"/>
  <c r="F193" i="5" s="1"/>
  <c r="L194" i="3"/>
  <c r="E193" i="5" s="1"/>
  <c r="K194" i="3"/>
  <c r="J194" i="3"/>
  <c r="C194" i="3"/>
  <c r="B194" i="3"/>
  <c r="A194" i="3"/>
  <c r="P193" i="3"/>
  <c r="I192" i="5" s="1"/>
  <c r="O193" i="3"/>
  <c r="H192" i="5" s="1"/>
  <c r="N193" i="3"/>
  <c r="G192" i="5" s="1"/>
  <c r="M193" i="3"/>
  <c r="L193" i="3"/>
  <c r="E192" i="5" s="1"/>
  <c r="K193" i="3"/>
  <c r="D192" i="5" s="1"/>
  <c r="J193" i="3"/>
  <c r="C193" i="3"/>
  <c r="B193" i="3"/>
  <c r="A193" i="3"/>
  <c r="P192" i="3"/>
  <c r="I191" i="5" s="1"/>
  <c r="O192" i="3"/>
  <c r="H191" i="5" s="1"/>
  <c r="N192" i="3"/>
  <c r="G191" i="5" s="1"/>
  <c r="M192" i="3"/>
  <c r="F191" i="5" s="1"/>
  <c r="L192" i="3"/>
  <c r="E191" i="5" s="1"/>
  <c r="K192" i="3"/>
  <c r="J192" i="3"/>
  <c r="C192" i="3"/>
  <c r="B192" i="3"/>
  <c r="A192" i="3"/>
  <c r="P191" i="3"/>
  <c r="I190" i="5" s="1"/>
  <c r="O191" i="3"/>
  <c r="H190" i="5" s="1"/>
  <c r="N191" i="3"/>
  <c r="G190" i="5" s="1"/>
  <c r="M191" i="3"/>
  <c r="F190" i="5" s="1"/>
  <c r="L191" i="3"/>
  <c r="E190" i="5" s="1"/>
  <c r="K191" i="3"/>
  <c r="D190" i="5" s="1"/>
  <c r="J191" i="3"/>
  <c r="C191" i="3"/>
  <c r="B191" i="3"/>
  <c r="A191" i="3"/>
  <c r="P190" i="3"/>
  <c r="I189" i="5" s="1"/>
  <c r="O190" i="3"/>
  <c r="H189" i="5" s="1"/>
  <c r="N190" i="3"/>
  <c r="G189" i="5" s="1"/>
  <c r="M190" i="3"/>
  <c r="F189" i="5" s="1"/>
  <c r="L190" i="3"/>
  <c r="E189" i="5" s="1"/>
  <c r="K190" i="3"/>
  <c r="D189" i="5" s="1"/>
  <c r="J190" i="3"/>
  <c r="C190" i="3"/>
  <c r="B190" i="3"/>
  <c r="A190" i="3"/>
  <c r="P189" i="3"/>
  <c r="I188" i="5" s="1"/>
  <c r="O189" i="3"/>
  <c r="H188" i="5" s="1"/>
  <c r="N189" i="3"/>
  <c r="G188" i="5" s="1"/>
  <c r="M189" i="3"/>
  <c r="F188" i="5" s="1"/>
  <c r="L189" i="3"/>
  <c r="E188" i="5" s="1"/>
  <c r="K189" i="3"/>
  <c r="D188" i="5" s="1"/>
  <c r="J189" i="3"/>
  <c r="C189" i="3"/>
  <c r="B189" i="3"/>
  <c r="A189" i="3"/>
  <c r="P188" i="3"/>
  <c r="I187" i="5" s="1"/>
  <c r="O188" i="3"/>
  <c r="H187" i="5" s="1"/>
  <c r="N188" i="3"/>
  <c r="G187" i="5" s="1"/>
  <c r="M188" i="3"/>
  <c r="L188" i="3"/>
  <c r="E187" i="5" s="1"/>
  <c r="K188" i="3"/>
  <c r="J188" i="3"/>
  <c r="C188" i="3"/>
  <c r="B188" i="3"/>
  <c r="A188" i="3"/>
  <c r="P187" i="3"/>
  <c r="I186" i="5" s="1"/>
  <c r="O187" i="3"/>
  <c r="H186" i="5" s="1"/>
  <c r="N187" i="3"/>
  <c r="G186" i="5" s="1"/>
  <c r="M187" i="3"/>
  <c r="F186" i="5" s="1"/>
  <c r="L187" i="3"/>
  <c r="E186" i="5" s="1"/>
  <c r="K187" i="3"/>
  <c r="D186" i="5" s="1"/>
  <c r="J187" i="3"/>
  <c r="C187" i="3"/>
  <c r="B187" i="3"/>
  <c r="A187" i="3"/>
  <c r="P186" i="3"/>
  <c r="I185" i="5" s="1"/>
  <c r="O186" i="3"/>
  <c r="H185" i="5" s="1"/>
  <c r="N186" i="3"/>
  <c r="G185" i="5" s="1"/>
  <c r="M186" i="3"/>
  <c r="F185" i="5" s="1"/>
  <c r="L186" i="3"/>
  <c r="E185" i="5" s="1"/>
  <c r="K186" i="3"/>
  <c r="J186" i="3"/>
  <c r="C186" i="3"/>
  <c r="B186" i="3"/>
  <c r="A186" i="3"/>
  <c r="P185" i="3"/>
  <c r="I184" i="5" s="1"/>
  <c r="O185" i="3"/>
  <c r="H184" i="5" s="1"/>
  <c r="N185" i="3"/>
  <c r="G184" i="5" s="1"/>
  <c r="M185" i="3"/>
  <c r="F184" i="5" s="1"/>
  <c r="L185" i="3"/>
  <c r="E184" i="5" s="1"/>
  <c r="K185" i="3"/>
  <c r="J185" i="3"/>
  <c r="C185" i="3"/>
  <c r="B185" i="3"/>
  <c r="A185" i="3"/>
  <c r="P184" i="3"/>
  <c r="I183" i="5" s="1"/>
  <c r="O184" i="3"/>
  <c r="H183" i="5" s="1"/>
  <c r="N184" i="3"/>
  <c r="G183" i="5" s="1"/>
  <c r="M184" i="3"/>
  <c r="F183" i="5" s="1"/>
  <c r="L184" i="3"/>
  <c r="K184" i="3"/>
  <c r="D183" i="5" s="1"/>
  <c r="J184" i="3"/>
  <c r="C184" i="3"/>
  <c r="B184" i="3"/>
  <c r="A184" i="3"/>
  <c r="P183" i="3"/>
  <c r="I182" i="5" s="1"/>
  <c r="O183" i="3"/>
  <c r="H182" i="5" s="1"/>
  <c r="N183" i="3"/>
  <c r="G182" i="5" s="1"/>
  <c r="M183" i="3"/>
  <c r="F182" i="5" s="1"/>
  <c r="L183" i="3"/>
  <c r="E182" i="5" s="1"/>
  <c r="K183" i="3"/>
  <c r="J183" i="3"/>
  <c r="C183" i="3"/>
  <c r="B183" i="3"/>
  <c r="A183" i="3"/>
  <c r="P182" i="3"/>
  <c r="I181" i="5" s="1"/>
  <c r="O182" i="3"/>
  <c r="H181" i="5" s="1"/>
  <c r="N182" i="3"/>
  <c r="G181" i="5" s="1"/>
  <c r="M182" i="3"/>
  <c r="F181" i="5" s="1"/>
  <c r="L182" i="3"/>
  <c r="E181" i="5" s="1"/>
  <c r="K182" i="3"/>
  <c r="D181" i="5" s="1"/>
  <c r="J182" i="3"/>
  <c r="C182" i="3"/>
  <c r="B182" i="3"/>
  <c r="A182" i="3"/>
  <c r="P181" i="3"/>
  <c r="I180" i="5" s="1"/>
  <c r="O181" i="3"/>
  <c r="H180" i="5" s="1"/>
  <c r="N181" i="3"/>
  <c r="G180" i="5" s="1"/>
  <c r="M181" i="3"/>
  <c r="F180" i="5" s="1"/>
  <c r="L181" i="3"/>
  <c r="K181" i="3"/>
  <c r="D180" i="5" s="1"/>
  <c r="J181" i="3"/>
  <c r="C181" i="3"/>
  <c r="B181" i="3"/>
  <c r="A181" i="3"/>
  <c r="P180" i="3"/>
  <c r="I179" i="5" s="1"/>
  <c r="O180" i="3"/>
  <c r="H179" i="5" s="1"/>
  <c r="N180" i="3"/>
  <c r="G179" i="5" s="1"/>
  <c r="M180" i="3"/>
  <c r="F179" i="5" s="1"/>
  <c r="L180" i="3"/>
  <c r="E179" i="5" s="1"/>
  <c r="K180" i="3"/>
  <c r="D179" i="5" s="1"/>
  <c r="J180" i="3"/>
  <c r="C180" i="3"/>
  <c r="B180" i="3"/>
  <c r="A180" i="3"/>
  <c r="P179" i="3"/>
  <c r="I178" i="5" s="1"/>
  <c r="O179" i="3"/>
  <c r="H178" i="5" s="1"/>
  <c r="N179" i="3"/>
  <c r="G178" i="5" s="1"/>
  <c r="M179" i="3"/>
  <c r="F178" i="5" s="1"/>
  <c r="L179" i="3"/>
  <c r="E178" i="5" s="1"/>
  <c r="K179" i="3"/>
  <c r="D178" i="5" s="1"/>
  <c r="J179" i="3"/>
  <c r="C179" i="3"/>
  <c r="B179" i="3"/>
  <c r="A179" i="3"/>
  <c r="P178" i="3"/>
  <c r="I177" i="5" s="1"/>
  <c r="O178" i="3"/>
  <c r="H177" i="5" s="1"/>
  <c r="N178" i="3"/>
  <c r="G177" i="5" s="1"/>
  <c r="M178" i="3"/>
  <c r="F177" i="5" s="1"/>
  <c r="L178" i="3"/>
  <c r="E177" i="5" s="1"/>
  <c r="K178" i="3"/>
  <c r="D177" i="5" s="1"/>
  <c r="J178" i="3"/>
  <c r="C178" i="3"/>
  <c r="B178" i="3"/>
  <c r="A178" i="3"/>
  <c r="P177" i="3"/>
  <c r="I176" i="5" s="1"/>
  <c r="O177" i="3"/>
  <c r="H176" i="5" s="1"/>
  <c r="N177" i="3"/>
  <c r="G176" i="5" s="1"/>
  <c r="M177" i="3"/>
  <c r="F176" i="5" s="1"/>
  <c r="L177" i="3"/>
  <c r="E176" i="5" s="1"/>
  <c r="K177" i="3"/>
  <c r="D176" i="5" s="1"/>
  <c r="J177" i="3"/>
  <c r="C177" i="3"/>
  <c r="B177" i="3"/>
  <c r="A177" i="3"/>
  <c r="P176" i="3"/>
  <c r="I175" i="5" s="1"/>
  <c r="O176" i="3"/>
  <c r="H175" i="5" s="1"/>
  <c r="N176" i="3"/>
  <c r="G175" i="5" s="1"/>
  <c r="M176" i="3"/>
  <c r="F175" i="5" s="1"/>
  <c r="L176" i="3"/>
  <c r="E175" i="5" s="1"/>
  <c r="K176" i="3"/>
  <c r="J176" i="3"/>
  <c r="C176" i="3"/>
  <c r="B176" i="3"/>
  <c r="A176" i="3"/>
  <c r="P175" i="3"/>
  <c r="I174" i="5" s="1"/>
  <c r="O175" i="3"/>
  <c r="H174" i="5" s="1"/>
  <c r="N175" i="3"/>
  <c r="G174" i="5" s="1"/>
  <c r="M175" i="3"/>
  <c r="F174" i="5" s="1"/>
  <c r="L175" i="3"/>
  <c r="E174" i="5" s="1"/>
  <c r="K175" i="3"/>
  <c r="J175" i="3"/>
  <c r="C175" i="3"/>
  <c r="B175" i="3"/>
  <c r="A175" i="3"/>
  <c r="P174" i="3"/>
  <c r="I173" i="5" s="1"/>
  <c r="O174" i="3"/>
  <c r="H173" i="5" s="1"/>
  <c r="N174" i="3"/>
  <c r="G173" i="5" s="1"/>
  <c r="M174" i="3"/>
  <c r="F173" i="5" s="1"/>
  <c r="L174" i="3"/>
  <c r="E173" i="5" s="1"/>
  <c r="K174" i="3"/>
  <c r="J174" i="3"/>
  <c r="C174" i="3"/>
  <c r="B174" i="3"/>
  <c r="A174" i="3"/>
  <c r="P173" i="3"/>
  <c r="I172" i="5" s="1"/>
  <c r="O173" i="3"/>
  <c r="H172" i="5" s="1"/>
  <c r="N173" i="3"/>
  <c r="G172" i="5" s="1"/>
  <c r="M173" i="3"/>
  <c r="F172" i="5" s="1"/>
  <c r="L173" i="3"/>
  <c r="K173" i="3"/>
  <c r="D172" i="5" s="1"/>
  <c r="J173" i="3"/>
  <c r="C173" i="3"/>
  <c r="B173" i="3"/>
  <c r="A173" i="3"/>
  <c r="P172" i="3"/>
  <c r="I171" i="5" s="1"/>
  <c r="O172" i="3"/>
  <c r="H171" i="5" s="1"/>
  <c r="N172" i="3"/>
  <c r="G171" i="5" s="1"/>
  <c r="M172" i="3"/>
  <c r="F171" i="5" s="1"/>
  <c r="L172" i="3"/>
  <c r="E171" i="5" s="1"/>
  <c r="K172" i="3"/>
  <c r="J172" i="3"/>
  <c r="C172" i="3"/>
  <c r="B172" i="3"/>
  <c r="A172" i="3"/>
  <c r="P171" i="3"/>
  <c r="I170" i="5" s="1"/>
  <c r="O171" i="3"/>
  <c r="H170" i="5" s="1"/>
  <c r="N171" i="3"/>
  <c r="G170" i="5" s="1"/>
  <c r="M171" i="3"/>
  <c r="F170" i="5" s="1"/>
  <c r="L171" i="3"/>
  <c r="E170" i="5" s="1"/>
  <c r="K171" i="3"/>
  <c r="D170" i="5" s="1"/>
  <c r="J171" i="3"/>
  <c r="C171" i="3"/>
  <c r="B171" i="3"/>
  <c r="A171" i="3"/>
  <c r="P170" i="3"/>
  <c r="I169" i="5" s="1"/>
  <c r="O170" i="3"/>
  <c r="H169" i="5" s="1"/>
  <c r="N170" i="3"/>
  <c r="M170" i="3"/>
  <c r="F169" i="5" s="1"/>
  <c r="L170" i="3"/>
  <c r="E169" i="5" s="1"/>
  <c r="K170" i="3"/>
  <c r="D169" i="5" s="1"/>
  <c r="J170" i="3"/>
  <c r="C170" i="3"/>
  <c r="B170" i="3"/>
  <c r="A170" i="3"/>
  <c r="P169" i="3"/>
  <c r="I168" i="5" s="1"/>
  <c r="O169" i="3"/>
  <c r="H168" i="5" s="1"/>
  <c r="N169" i="3"/>
  <c r="G168" i="5" s="1"/>
  <c r="M169" i="3"/>
  <c r="F168" i="5" s="1"/>
  <c r="L169" i="3"/>
  <c r="E168" i="5" s="1"/>
  <c r="K169" i="3"/>
  <c r="D168" i="5" s="1"/>
  <c r="J169" i="3"/>
  <c r="C169" i="3"/>
  <c r="B169" i="3"/>
  <c r="A169" i="3"/>
  <c r="P168" i="3"/>
  <c r="I167" i="5" s="1"/>
  <c r="O168" i="3"/>
  <c r="H167" i="5" s="1"/>
  <c r="N168" i="3"/>
  <c r="G167" i="5" s="1"/>
  <c r="M168" i="3"/>
  <c r="F167" i="5" s="1"/>
  <c r="L168" i="3"/>
  <c r="E167" i="5" s="1"/>
  <c r="K168" i="3"/>
  <c r="D167" i="5" s="1"/>
  <c r="J168" i="3"/>
  <c r="C168" i="3"/>
  <c r="B168" i="3"/>
  <c r="A168" i="3"/>
  <c r="P167" i="3"/>
  <c r="I166" i="5" s="1"/>
  <c r="O167" i="3"/>
  <c r="H166" i="5" s="1"/>
  <c r="N167" i="3"/>
  <c r="G166" i="5" s="1"/>
  <c r="M167" i="3"/>
  <c r="F166" i="5" s="1"/>
  <c r="L167" i="3"/>
  <c r="E166" i="5" s="1"/>
  <c r="K167" i="3"/>
  <c r="D166" i="5" s="1"/>
  <c r="J167" i="3"/>
  <c r="C167" i="3"/>
  <c r="B167" i="3"/>
  <c r="A167" i="3"/>
  <c r="P166" i="3"/>
  <c r="I165" i="5" s="1"/>
  <c r="O166" i="3"/>
  <c r="H165" i="5" s="1"/>
  <c r="N166" i="3"/>
  <c r="G165" i="5" s="1"/>
  <c r="M166" i="3"/>
  <c r="F165" i="5" s="1"/>
  <c r="L166" i="3"/>
  <c r="E165" i="5" s="1"/>
  <c r="K166" i="3"/>
  <c r="D165" i="5" s="1"/>
  <c r="J166" i="3"/>
  <c r="C166" i="3"/>
  <c r="B166" i="3"/>
  <c r="A166" i="3"/>
  <c r="P165" i="3"/>
  <c r="I164" i="5" s="1"/>
  <c r="O165" i="3"/>
  <c r="H164" i="5" s="1"/>
  <c r="N165" i="3"/>
  <c r="G164" i="5" s="1"/>
  <c r="M165" i="3"/>
  <c r="F164" i="5" s="1"/>
  <c r="L165" i="3"/>
  <c r="E164" i="5" s="1"/>
  <c r="K165" i="3"/>
  <c r="D164" i="5" s="1"/>
  <c r="J165" i="3"/>
  <c r="C165" i="3"/>
  <c r="B165" i="3"/>
  <c r="A165" i="3"/>
  <c r="P164" i="3"/>
  <c r="I163" i="5" s="1"/>
  <c r="O164" i="3"/>
  <c r="H163" i="5" s="1"/>
  <c r="N164" i="3"/>
  <c r="G163" i="5" s="1"/>
  <c r="M164" i="3"/>
  <c r="F163" i="5" s="1"/>
  <c r="L164" i="3"/>
  <c r="E163" i="5" s="1"/>
  <c r="K164" i="3"/>
  <c r="J164" i="3"/>
  <c r="C164" i="3"/>
  <c r="B164" i="3"/>
  <c r="A164" i="3"/>
  <c r="P163" i="3"/>
  <c r="I162" i="5" s="1"/>
  <c r="O163" i="3"/>
  <c r="H162" i="5" s="1"/>
  <c r="N163" i="3"/>
  <c r="G162" i="5" s="1"/>
  <c r="M163" i="3"/>
  <c r="F162" i="5" s="1"/>
  <c r="L163" i="3"/>
  <c r="E162" i="5" s="1"/>
  <c r="K163" i="3"/>
  <c r="J163" i="3"/>
  <c r="C163" i="3"/>
  <c r="B163" i="3"/>
  <c r="A163" i="3"/>
  <c r="P162" i="3"/>
  <c r="I161" i="5" s="1"/>
  <c r="O162" i="3"/>
  <c r="H161" i="5" s="1"/>
  <c r="N162" i="3"/>
  <c r="G161" i="5" s="1"/>
  <c r="M162" i="3"/>
  <c r="F161" i="5" s="1"/>
  <c r="L162" i="3"/>
  <c r="E161" i="5" s="1"/>
  <c r="K162" i="3"/>
  <c r="J162" i="3"/>
  <c r="C162" i="3"/>
  <c r="B162" i="3"/>
  <c r="A162" i="3"/>
  <c r="P161" i="3"/>
  <c r="I160" i="5" s="1"/>
  <c r="O161" i="3"/>
  <c r="H160" i="5" s="1"/>
  <c r="N161" i="3"/>
  <c r="G160" i="5" s="1"/>
  <c r="M161" i="3"/>
  <c r="L161" i="3"/>
  <c r="E160" i="5" s="1"/>
  <c r="K161" i="3"/>
  <c r="D160" i="5" s="1"/>
  <c r="J161" i="3"/>
  <c r="C161" i="3"/>
  <c r="B161" i="3"/>
  <c r="A161" i="3"/>
  <c r="P160" i="3"/>
  <c r="I159" i="5" s="1"/>
  <c r="O160" i="3"/>
  <c r="H159" i="5" s="1"/>
  <c r="N160" i="3"/>
  <c r="G159" i="5" s="1"/>
  <c r="M160" i="3"/>
  <c r="F159" i="5" s="1"/>
  <c r="L160" i="3"/>
  <c r="E159" i="5" s="1"/>
  <c r="K160" i="3"/>
  <c r="D159" i="5" s="1"/>
  <c r="J160" i="3"/>
  <c r="C160" i="3"/>
  <c r="B160" i="3"/>
  <c r="A160" i="3"/>
  <c r="P159" i="3"/>
  <c r="I158" i="5" s="1"/>
  <c r="O159" i="3"/>
  <c r="H158" i="5" s="1"/>
  <c r="N159" i="3"/>
  <c r="G158" i="5" s="1"/>
  <c r="M159" i="3"/>
  <c r="F158" i="5" s="1"/>
  <c r="L159" i="3"/>
  <c r="E158" i="5" s="1"/>
  <c r="K159" i="3"/>
  <c r="D158" i="5" s="1"/>
  <c r="J159" i="3"/>
  <c r="C159" i="3"/>
  <c r="B159" i="3"/>
  <c r="A159" i="3"/>
  <c r="P158" i="3"/>
  <c r="I157" i="5" s="1"/>
  <c r="O158" i="3"/>
  <c r="H157" i="5" s="1"/>
  <c r="N158" i="3"/>
  <c r="G157" i="5" s="1"/>
  <c r="M158" i="3"/>
  <c r="F157" i="5" s="1"/>
  <c r="L158" i="3"/>
  <c r="E157" i="5" s="1"/>
  <c r="K158" i="3"/>
  <c r="D157" i="5" s="1"/>
  <c r="J158" i="3"/>
  <c r="C158" i="3"/>
  <c r="B158" i="3"/>
  <c r="A158" i="3"/>
  <c r="P157" i="3"/>
  <c r="I156" i="5" s="1"/>
  <c r="O157" i="3"/>
  <c r="H156" i="5" s="1"/>
  <c r="N157" i="3"/>
  <c r="G156" i="5" s="1"/>
  <c r="M157" i="3"/>
  <c r="F156" i="5" s="1"/>
  <c r="L157" i="3"/>
  <c r="E156" i="5" s="1"/>
  <c r="K157" i="3"/>
  <c r="D156" i="5" s="1"/>
  <c r="J157" i="3"/>
  <c r="C157" i="3"/>
  <c r="B157" i="3"/>
  <c r="A157" i="3"/>
  <c r="P156" i="3"/>
  <c r="I155" i="5" s="1"/>
  <c r="O156" i="3"/>
  <c r="H155" i="5" s="1"/>
  <c r="N156" i="3"/>
  <c r="G155" i="5" s="1"/>
  <c r="M156" i="3"/>
  <c r="F155" i="5" s="1"/>
  <c r="L156" i="3"/>
  <c r="E155" i="5" s="1"/>
  <c r="K156" i="3"/>
  <c r="D155" i="5" s="1"/>
  <c r="J156" i="3"/>
  <c r="C156" i="3"/>
  <c r="B156" i="3"/>
  <c r="A156" i="3"/>
  <c r="P155" i="3"/>
  <c r="I154" i="5" s="1"/>
  <c r="O155" i="3"/>
  <c r="H154" i="5" s="1"/>
  <c r="N155" i="3"/>
  <c r="G154" i="5" s="1"/>
  <c r="M155" i="3"/>
  <c r="F154" i="5" s="1"/>
  <c r="L155" i="3"/>
  <c r="E154" i="5" s="1"/>
  <c r="K155" i="3"/>
  <c r="D154" i="5" s="1"/>
  <c r="J155" i="3"/>
  <c r="C155" i="3"/>
  <c r="B155" i="3"/>
  <c r="A155" i="3"/>
  <c r="P154" i="3"/>
  <c r="I153" i="5" s="1"/>
  <c r="O154" i="3"/>
  <c r="H153" i="5" s="1"/>
  <c r="N154" i="3"/>
  <c r="G153" i="5" s="1"/>
  <c r="M154" i="3"/>
  <c r="F153" i="5" s="1"/>
  <c r="L154" i="3"/>
  <c r="E153" i="5" s="1"/>
  <c r="K154" i="3"/>
  <c r="D153" i="5" s="1"/>
  <c r="J154" i="3"/>
  <c r="C154" i="3"/>
  <c r="B154" i="3"/>
  <c r="A154" i="3"/>
  <c r="P153" i="3"/>
  <c r="I152" i="5" s="1"/>
  <c r="O153" i="3"/>
  <c r="H152" i="5" s="1"/>
  <c r="N153" i="3"/>
  <c r="G152" i="5" s="1"/>
  <c r="M153" i="3"/>
  <c r="F152" i="5" s="1"/>
  <c r="L153" i="3"/>
  <c r="E152" i="5" s="1"/>
  <c r="K153" i="3"/>
  <c r="J153" i="3"/>
  <c r="C153" i="3"/>
  <c r="B153" i="3"/>
  <c r="A153" i="3"/>
  <c r="P152" i="3"/>
  <c r="I151" i="5" s="1"/>
  <c r="O152" i="3"/>
  <c r="H151" i="5" s="1"/>
  <c r="N152" i="3"/>
  <c r="G151" i="5" s="1"/>
  <c r="M152" i="3"/>
  <c r="F151" i="5" s="1"/>
  <c r="L152" i="3"/>
  <c r="E151" i="5" s="1"/>
  <c r="K152" i="3"/>
  <c r="J152" i="3"/>
  <c r="C152" i="3"/>
  <c r="B152" i="3"/>
  <c r="A152" i="3"/>
  <c r="P151" i="3"/>
  <c r="I150" i="5" s="1"/>
  <c r="O151" i="3"/>
  <c r="H150" i="5" s="1"/>
  <c r="N151" i="3"/>
  <c r="G150" i="5" s="1"/>
  <c r="M151" i="3"/>
  <c r="F150" i="5" s="1"/>
  <c r="L151" i="3"/>
  <c r="E150" i="5" s="1"/>
  <c r="K151" i="3"/>
  <c r="J151" i="3"/>
  <c r="C151" i="3"/>
  <c r="B151" i="3"/>
  <c r="A151" i="3"/>
  <c r="P150" i="3"/>
  <c r="I149" i="5" s="1"/>
  <c r="O150" i="3"/>
  <c r="H149" i="5" s="1"/>
  <c r="N150" i="3"/>
  <c r="G149" i="5" s="1"/>
  <c r="M150" i="3"/>
  <c r="F149" i="5" s="1"/>
  <c r="L150" i="3"/>
  <c r="E149" i="5" s="1"/>
  <c r="K150" i="3"/>
  <c r="J150" i="3"/>
  <c r="C150" i="3"/>
  <c r="B150" i="3"/>
  <c r="A150" i="3"/>
  <c r="P149" i="3"/>
  <c r="I148" i="5" s="1"/>
  <c r="O149" i="3"/>
  <c r="H148" i="5" s="1"/>
  <c r="N149" i="3"/>
  <c r="G148" i="5" s="1"/>
  <c r="M149" i="3"/>
  <c r="F148" i="5" s="1"/>
  <c r="L149" i="3"/>
  <c r="E148" i="5" s="1"/>
  <c r="K149" i="3"/>
  <c r="D148" i="5" s="1"/>
  <c r="J149" i="3"/>
  <c r="C149" i="3"/>
  <c r="B149" i="3"/>
  <c r="A149" i="3"/>
  <c r="P148" i="3"/>
  <c r="I147" i="5" s="1"/>
  <c r="O148" i="3"/>
  <c r="H147" i="5" s="1"/>
  <c r="N148" i="3"/>
  <c r="G147" i="5" s="1"/>
  <c r="M148" i="3"/>
  <c r="F147" i="5" s="1"/>
  <c r="L148" i="3"/>
  <c r="E147" i="5" s="1"/>
  <c r="K148" i="3"/>
  <c r="D147" i="5" s="1"/>
  <c r="J148" i="3"/>
  <c r="C148" i="3"/>
  <c r="B148" i="3"/>
  <c r="A148" i="3"/>
  <c r="P147" i="3"/>
  <c r="O147" i="3"/>
  <c r="H146" i="5" s="1"/>
  <c r="N147" i="3"/>
  <c r="G146" i="5" s="1"/>
  <c r="M147" i="3"/>
  <c r="F146" i="5" s="1"/>
  <c r="L147" i="3"/>
  <c r="E146" i="5" s="1"/>
  <c r="K147" i="3"/>
  <c r="D146" i="5" s="1"/>
  <c r="J147" i="3"/>
  <c r="C147" i="3"/>
  <c r="B147" i="3"/>
  <c r="A147" i="3"/>
  <c r="P146" i="3"/>
  <c r="I145" i="5" s="1"/>
  <c r="O146" i="3"/>
  <c r="H145" i="5" s="1"/>
  <c r="N146" i="3"/>
  <c r="G145" i="5" s="1"/>
  <c r="M146" i="3"/>
  <c r="F145" i="5" s="1"/>
  <c r="L146" i="3"/>
  <c r="E145" i="5" s="1"/>
  <c r="K146" i="3"/>
  <c r="D145" i="5" s="1"/>
  <c r="J146" i="3"/>
  <c r="C146" i="3"/>
  <c r="B146" i="3"/>
  <c r="A146" i="3"/>
  <c r="P145" i="3"/>
  <c r="I144" i="5" s="1"/>
  <c r="O145" i="3"/>
  <c r="H144" i="5" s="1"/>
  <c r="N145" i="3"/>
  <c r="G144" i="5" s="1"/>
  <c r="M145" i="3"/>
  <c r="F144" i="5" s="1"/>
  <c r="L145" i="3"/>
  <c r="E144" i="5" s="1"/>
  <c r="K145" i="3"/>
  <c r="D144" i="5" s="1"/>
  <c r="J145" i="3"/>
  <c r="C145" i="3"/>
  <c r="B145" i="3"/>
  <c r="A145" i="3"/>
  <c r="P144" i="3"/>
  <c r="I143" i="5" s="1"/>
  <c r="O144" i="3"/>
  <c r="H143" i="5" s="1"/>
  <c r="N144" i="3"/>
  <c r="G143" i="5" s="1"/>
  <c r="M144" i="3"/>
  <c r="F143" i="5" s="1"/>
  <c r="L144" i="3"/>
  <c r="E143" i="5" s="1"/>
  <c r="K144" i="3"/>
  <c r="D143" i="5" s="1"/>
  <c r="J144" i="3"/>
  <c r="C144" i="3"/>
  <c r="B144" i="3"/>
  <c r="A144" i="3"/>
  <c r="P143" i="3"/>
  <c r="I142" i="5" s="1"/>
  <c r="O143" i="3"/>
  <c r="H142" i="5" s="1"/>
  <c r="N143" i="3"/>
  <c r="G142" i="5" s="1"/>
  <c r="M143" i="3"/>
  <c r="F142" i="5" s="1"/>
  <c r="L143" i="3"/>
  <c r="E142" i="5" s="1"/>
  <c r="K143" i="3"/>
  <c r="J143" i="3"/>
  <c r="C143" i="3"/>
  <c r="B143" i="3"/>
  <c r="A143" i="3"/>
  <c r="P142" i="3"/>
  <c r="I141" i="5" s="1"/>
  <c r="O142" i="3"/>
  <c r="H141" i="5" s="1"/>
  <c r="N142" i="3"/>
  <c r="G141" i="5" s="1"/>
  <c r="M142" i="3"/>
  <c r="F141" i="5" s="1"/>
  <c r="L142" i="3"/>
  <c r="E141" i="5" s="1"/>
  <c r="K142" i="3"/>
  <c r="J142" i="3"/>
  <c r="C142" i="3"/>
  <c r="B142" i="3"/>
  <c r="A142" i="3"/>
  <c r="P141" i="3"/>
  <c r="I140" i="5" s="1"/>
  <c r="O141" i="3"/>
  <c r="H140" i="5" s="1"/>
  <c r="N141" i="3"/>
  <c r="G140" i="5" s="1"/>
  <c r="M141" i="3"/>
  <c r="F140" i="5" s="1"/>
  <c r="L141" i="3"/>
  <c r="E140" i="5" s="1"/>
  <c r="K141" i="3"/>
  <c r="J141" i="3"/>
  <c r="C141" i="3"/>
  <c r="B141" i="3"/>
  <c r="A141" i="3"/>
  <c r="P140" i="3"/>
  <c r="I139" i="5" s="1"/>
  <c r="O140" i="3"/>
  <c r="H139" i="5" s="1"/>
  <c r="N140" i="3"/>
  <c r="G139" i="5" s="1"/>
  <c r="M140" i="3"/>
  <c r="F139" i="5" s="1"/>
  <c r="L140" i="3"/>
  <c r="E139" i="5" s="1"/>
  <c r="K140" i="3"/>
  <c r="J140" i="3"/>
  <c r="C140" i="3"/>
  <c r="B140" i="3"/>
  <c r="A140" i="3"/>
  <c r="P139" i="3"/>
  <c r="I138" i="5" s="1"/>
  <c r="O139" i="3"/>
  <c r="H138" i="5" s="1"/>
  <c r="N139" i="3"/>
  <c r="G138" i="5" s="1"/>
  <c r="M139" i="3"/>
  <c r="F138" i="5" s="1"/>
  <c r="L139" i="3"/>
  <c r="K139" i="3"/>
  <c r="D138" i="5" s="1"/>
  <c r="J139" i="3"/>
  <c r="C139" i="3"/>
  <c r="B139" i="3"/>
  <c r="A139" i="3"/>
  <c r="P138" i="3"/>
  <c r="I137" i="5" s="1"/>
  <c r="O138" i="3"/>
  <c r="H137" i="5" s="1"/>
  <c r="N138" i="3"/>
  <c r="G137" i="5" s="1"/>
  <c r="M138" i="3"/>
  <c r="F137" i="5" s="1"/>
  <c r="L138" i="3"/>
  <c r="E137" i="5" s="1"/>
  <c r="K138" i="3"/>
  <c r="J138" i="3"/>
  <c r="C138" i="3"/>
  <c r="B138" i="3"/>
  <c r="A138" i="3"/>
  <c r="P137" i="3"/>
  <c r="I136" i="5" s="1"/>
  <c r="O137" i="3"/>
  <c r="H136" i="5" s="1"/>
  <c r="N137" i="3"/>
  <c r="G136" i="5" s="1"/>
  <c r="M137" i="3"/>
  <c r="F136" i="5" s="1"/>
  <c r="L137" i="3"/>
  <c r="E136" i="5" s="1"/>
  <c r="K137" i="3"/>
  <c r="D136" i="5" s="1"/>
  <c r="J137" i="3"/>
  <c r="C137" i="3"/>
  <c r="B137" i="3"/>
  <c r="A137" i="3"/>
  <c r="P136" i="3"/>
  <c r="I135" i="5" s="1"/>
  <c r="O136" i="3"/>
  <c r="H135" i="5" s="1"/>
  <c r="N136" i="3"/>
  <c r="G135" i="5" s="1"/>
  <c r="M136" i="3"/>
  <c r="F135" i="5" s="1"/>
  <c r="L136" i="3"/>
  <c r="E135" i="5" s="1"/>
  <c r="K136" i="3"/>
  <c r="D135" i="5" s="1"/>
  <c r="J136" i="3"/>
  <c r="C136" i="3"/>
  <c r="B136" i="3"/>
  <c r="A136" i="3"/>
  <c r="P135" i="3"/>
  <c r="I134" i="5" s="1"/>
  <c r="O135" i="3"/>
  <c r="H134" i="5" s="1"/>
  <c r="N135" i="3"/>
  <c r="G134" i="5" s="1"/>
  <c r="M135" i="3"/>
  <c r="F134" i="5" s="1"/>
  <c r="L135" i="3"/>
  <c r="E134" i="5" s="1"/>
  <c r="K135" i="3"/>
  <c r="D134" i="5" s="1"/>
  <c r="J135" i="3"/>
  <c r="C135" i="3"/>
  <c r="B135" i="3"/>
  <c r="A135" i="3"/>
  <c r="P134" i="3"/>
  <c r="I133" i="5" s="1"/>
  <c r="O134" i="3"/>
  <c r="H133" i="5" s="1"/>
  <c r="N134" i="3"/>
  <c r="G133" i="5" s="1"/>
  <c r="M134" i="3"/>
  <c r="F133" i="5" s="1"/>
  <c r="L134" i="3"/>
  <c r="E133" i="5" s="1"/>
  <c r="K134" i="3"/>
  <c r="D133" i="5" s="1"/>
  <c r="J134" i="3"/>
  <c r="C134" i="3"/>
  <c r="B134" i="3"/>
  <c r="A134" i="3"/>
  <c r="P133" i="3"/>
  <c r="I132" i="5" s="1"/>
  <c r="O133" i="3"/>
  <c r="H132" i="5" s="1"/>
  <c r="N133" i="3"/>
  <c r="G132" i="5" s="1"/>
  <c r="M133" i="3"/>
  <c r="F132" i="5" s="1"/>
  <c r="L133" i="3"/>
  <c r="K133" i="3"/>
  <c r="D132" i="5" s="1"/>
  <c r="J133" i="3"/>
  <c r="C133" i="3"/>
  <c r="B133" i="3"/>
  <c r="A133" i="3"/>
  <c r="P132" i="3"/>
  <c r="I131" i="5" s="1"/>
  <c r="O132" i="3"/>
  <c r="H131" i="5" s="1"/>
  <c r="N132" i="3"/>
  <c r="G131" i="5" s="1"/>
  <c r="M132" i="3"/>
  <c r="F131" i="5" s="1"/>
  <c r="L132" i="3"/>
  <c r="K132" i="3"/>
  <c r="D131" i="5" s="1"/>
  <c r="J132" i="3"/>
  <c r="C132" i="3"/>
  <c r="B132" i="3"/>
  <c r="A132" i="3"/>
  <c r="P131" i="3"/>
  <c r="I130" i="5" s="1"/>
  <c r="O131" i="3"/>
  <c r="H130" i="5" s="1"/>
  <c r="N131" i="3"/>
  <c r="G130" i="5" s="1"/>
  <c r="M131" i="3"/>
  <c r="F130" i="5" s="1"/>
  <c r="L131" i="3"/>
  <c r="E130" i="5" s="1"/>
  <c r="K131" i="3"/>
  <c r="J131" i="3"/>
  <c r="C131" i="3"/>
  <c r="B131" i="3"/>
  <c r="A131" i="3"/>
  <c r="P130" i="3"/>
  <c r="I129" i="5" s="1"/>
  <c r="O130" i="3"/>
  <c r="H129" i="5" s="1"/>
  <c r="N130" i="3"/>
  <c r="G129" i="5" s="1"/>
  <c r="M130" i="3"/>
  <c r="F129" i="5" s="1"/>
  <c r="L130" i="3"/>
  <c r="E129" i="5" s="1"/>
  <c r="K130" i="3"/>
  <c r="J130" i="3"/>
  <c r="C130" i="3"/>
  <c r="B130" i="3"/>
  <c r="A130" i="3"/>
  <c r="P129" i="3"/>
  <c r="I128" i="5" s="1"/>
  <c r="O129" i="3"/>
  <c r="H128" i="5" s="1"/>
  <c r="N129" i="3"/>
  <c r="G128" i="5" s="1"/>
  <c r="M129" i="3"/>
  <c r="F128" i="5" s="1"/>
  <c r="L129" i="3"/>
  <c r="E128" i="5" s="1"/>
  <c r="K129" i="3"/>
  <c r="J129" i="3"/>
  <c r="C129" i="3"/>
  <c r="B129" i="3"/>
  <c r="A129" i="3"/>
  <c r="P128" i="3"/>
  <c r="I127" i="5" s="1"/>
  <c r="O128" i="3"/>
  <c r="H127" i="5" s="1"/>
  <c r="N128" i="3"/>
  <c r="G127" i="5" s="1"/>
  <c r="M128" i="3"/>
  <c r="F127" i="5" s="1"/>
  <c r="L128" i="3"/>
  <c r="K128" i="3"/>
  <c r="D127" i="5" s="1"/>
  <c r="J128" i="3"/>
  <c r="C128" i="3"/>
  <c r="B128" i="3"/>
  <c r="A128" i="3"/>
  <c r="P127" i="3"/>
  <c r="I126" i="5" s="1"/>
  <c r="O127" i="3"/>
  <c r="H126" i="5" s="1"/>
  <c r="N127" i="3"/>
  <c r="G126" i="5" s="1"/>
  <c r="M127" i="3"/>
  <c r="F126" i="5" s="1"/>
  <c r="L127" i="3"/>
  <c r="E126" i="5" s="1"/>
  <c r="K127" i="3"/>
  <c r="J127" i="3"/>
  <c r="C127" i="3"/>
  <c r="B127" i="3"/>
  <c r="A127" i="3"/>
  <c r="P126" i="3"/>
  <c r="I125" i="5" s="1"/>
  <c r="O126" i="3"/>
  <c r="H125" i="5" s="1"/>
  <c r="N126" i="3"/>
  <c r="G125" i="5" s="1"/>
  <c r="M126" i="3"/>
  <c r="F125" i="5" s="1"/>
  <c r="L126" i="3"/>
  <c r="E125" i="5" s="1"/>
  <c r="K126" i="3"/>
  <c r="J126" i="3"/>
  <c r="C126" i="3"/>
  <c r="B126" i="3"/>
  <c r="A126" i="3"/>
  <c r="P125" i="3"/>
  <c r="I124" i="5" s="1"/>
  <c r="O125" i="3"/>
  <c r="H124" i="5" s="1"/>
  <c r="N125" i="3"/>
  <c r="G124" i="5" s="1"/>
  <c r="M125" i="3"/>
  <c r="F124" i="5" s="1"/>
  <c r="L125" i="3"/>
  <c r="E124" i="5" s="1"/>
  <c r="K125" i="3"/>
  <c r="D124" i="5" s="1"/>
  <c r="J125" i="3"/>
  <c r="C125" i="3"/>
  <c r="B125" i="3"/>
  <c r="A125" i="3"/>
  <c r="P124" i="3"/>
  <c r="I123" i="5" s="1"/>
  <c r="O124" i="3"/>
  <c r="H123" i="5" s="1"/>
  <c r="N124" i="3"/>
  <c r="G123" i="5" s="1"/>
  <c r="M124" i="3"/>
  <c r="F123" i="5" s="1"/>
  <c r="L124" i="3"/>
  <c r="E123" i="5" s="1"/>
  <c r="K124" i="3"/>
  <c r="D123" i="5" s="1"/>
  <c r="J124" i="3"/>
  <c r="C124" i="3"/>
  <c r="B124" i="3"/>
  <c r="A124" i="3"/>
  <c r="P123" i="3"/>
  <c r="I122" i="5" s="1"/>
  <c r="O123" i="3"/>
  <c r="H122" i="5" s="1"/>
  <c r="N123" i="3"/>
  <c r="G122" i="5" s="1"/>
  <c r="M123" i="3"/>
  <c r="F122" i="5" s="1"/>
  <c r="L123" i="3"/>
  <c r="E122" i="5" s="1"/>
  <c r="K123" i="3"/>
  <c r="D122" i="5" s="1"/>
  <c r="J123" i="3"/>
  <c r="C123" i="3"/>
  <c r="B123" i="3"/>
  <c r="A123" i="3"/>
  <c r="P122" i="3"/>
  <c r="I121" i="5" s="1"/>
  <c r="O122" i="3"/>
  <c r="H121" i="5" s="1"/>
  <c r="N122" i="3"/>
  <c r="G121" i="5" s="1"/>
  <c r="M122" i="3"/>
  <c r="F121" i="5" s="1"/>
  <c r="L122" i="3"/>
  <c r="E121" i="5" s="1"/>
  <c r="K122" i="3"/>
  <c r="D121" i="5" s="1"/>
  <c r="J122" i="3"/>
  <c r="C122" i="3"/>
  <c r="B122" i="3"/>
  <c r="A122" i="3"/>
  <c r="P121" i="3"/>
  <c r="I120" i="5" s="1"/>
  <c r="O121" i="3"/>
  <c r="H120" i="5" s="1"/>
  <c r="N121" i="3"/>
  <c r="G120" i="5" s="1"/>
  <c r="M121" i="3"/>
  <c r="F120" i="5" s="1"/>
  <c r="L121" i="3"/>
  <c r="E120" i="5" s="1"/>
  <c r="K121" i="3"/>
  <c r="D120" i="5" s="1"/>
  <c r="J121" i="3"/>
  <c r="C121" i="3"/>
  <c r="B121" i="3"/>
  <c r="A121" i="3"/>
  <c r="P120" i="3"/>
  <c r="I119" i="5" s="1"/>
  <c r="O120" i="3"/>
  <c r="H119" i="5" s="1"/>
  <c r="N120" i="3"/>
  <c r="G119" i="5" s="1"/>
  <c r="M120" i="3"/>
  <c r="F119" i="5" s="1"/>
  <c r="L120" i="3"/>
  <c r="K120" i="3"/>
  <c r="D119" i="5" s="1"/>
  <c r="J120" i="3"/>
  <c r="C120" i="3"/>
  <c r="B120" i="3"/>
  <c r="A120" i="3"/>
  <c r="P119" i="3"/>
  <c r="I118" i="5" s="1"/>
  <c r="O119" i="3"/>
  <c r="H118" i="5" s="1"/>
  <c r="N119" i="3"/>
  <c r="G118" i="5" s="1"/>
  <c r="M119" i="3"/>
  <c r="F118" i="5" s="1"/>
  <c r="L119" i="3"/>
  <c r="E118" i="5" s="1"/>
  <c r="K119" i="3"/>
  <c r="J119" i="3"/>
  <c r="C119" i="3"/>
  <c r="B119" i="3"/>
  <c r="A119" i="3"/>
  <c r="P118" i="3"/>
  <c r="I117" i="5" s="1"/>
  <c r="O118" i="3"/>
  <c r="H117" i="5" s="1"/>
  <c r="N118" i="3"/>
  <c r="G117" i="5" s="1"/>
  <c r="M118" i="3"/>
  <c r="F117" i="5" s="1"/>
  <c r="L118" i="3"/>
  <c r="K118" i="3"/>
  <c r="J118" i="3"/>
  <c r="C118" i="3"/>
  <c r="B118" i="3"/>
  <c r="A118" i="3"/>
  <c r="P117" i="3"/>
  <c r="I116" i="5" s="1"/>
  <c r="O117" i="3"/>
  <c r="H116" i="5" s="1"/>
  <c r="N117" i="3"/>
  <c r="G116" i="5" s="1"/>
  <c r="M117" i="3"/>
  <c r="F116" i="5" s="1"/>
  <c r="L117" i="3"/>
  <c r="K117" i="3"/>
  <c r="D116" i="5" s="1"/>
  <c r="J117" i="3"/>
  <c r="C117" i="3"/>
  <c r="B117" i="3"/>
  <c r="A117" i="3"/>
  <c r="P116" i="3"/>
  <c r="I115" i="5" s="1"/>
  <c r="O116" i="3"/>
  <c r="H115" i="5" s="1"/>
  <c r="N116" i="3"/>
  <c r="G115" i="5" s="1"/>
  <c r="M116" i="3"/>
  <c r="F115" i="5" s="1"/>
  <c r="L116" i="3"/>
  <c r="E115" i="5" s="1"/>
  <c r="K116" i="3"/>
  <c r="J116" i="3"/>
  <c r="C116" i="3"/>
  <c r="B116" i="3"/>
  <c r="A116" i="3"/>
  <c r="P115" i="3"/>
  <c r="I114" i="5" s="1"/>
  <c r="O115" i="3"/>
  <c r="H114" i="5" s="1"/>
  <c r="N115" i="3"/>
  <c r="G114" i="5" s="1"/>
  <c r="M115" i="3"/>
  <c r="F114" i="5" s="1"/>
  <c r="L115" i="3"/>
  <c r="E114" i="5" s="1"/>
  <c r="K115" i="3"/>
  <c r="D114" i="5" s="1"/>
  <c r="J115" i="3"/>
  <c r="C115" i="3"/>
  <c r="B115" i="3"/>
  <c r="A115" i="3"/>
  <c r="P114" i="3"/>
  <c r="I113" i="5" s="1"/>
  <c r="O114" i="3"/>
  <c r="H113" i="5" s="1"/>
  <c r="N114" i="3"/>
  <c r="G113" i="5" s="1"/>
  <c r="M114" i="3"/>
  <c r="F113" i="5" s="1"/>
  <c r="L114" i="3"/>
  <c r="E113" i="5" s="1"/>
  <c r="K114" i="3"/>
  <c r="D113" i="5" s="1"/>
  <c r="J114" i="3"/>
  <c r="C114" i="3"/>
  <c r="B114" i="3"/>
  <c r="A114" i="3"/>
  <c r="P113" i="3"/>
  <c r="I112" i="5" s="1"/>
  <c r="O113" i="3"/>
  <c r="H112" i="5" s="1"/>
  <c r="N113" i="3"/>
  <c r="G112" i="5" s="1"/>
  <c r="M113" i="3"/>
  <c r="F112" i="5" s="1"/>
  <c r="L113" i="3"/>
  <c r="E112" i="5" s="1"/>
  <c r="K113" i="3"/>
  <c r="D112" i="5" s="1"/>
  <c r="J113" i="3"/>
  <c r="C113" i="3"/>
  <c r="B113" i="3"/>
  <c r="A113" i="3"/>
  <c r="P112" i="3"/>
  <c r="I111" i="5" s="1"/>
  <c r="O112" i="3"/>
  <c r="H111" i="5" s="1"/>
  <c r="N112" i="3"/>
  <c r="G111" i="5" s="1"/>
  <c r="M112" i="3"/>
  <c r="F111" i="5" s="1"/>
  <c r="L112" i="3"/>
  <c r="E111" i="5" s="1"/>
  <c r="K112" i="3"/>
  <c r="D111" i="5" s="1"/>
  <c r="J112" i="3"/>
  <c r="C112" i="3"/>
  <c r="B112" i="3"/>
  <c r="A112" i="3"/>
  <c r="P111" i="3"/>
  <c r="I110" i="5" s="1"/>
  <c r="O111" i="3"/>
  <c r="H110" i="5" s="1"/>
  <c r="N111" i="3"/>
  <c r="G110" i="5" s="1"/>
  <c r="M111" i="3"/>
  <c r="F110" i="5" s="1"/>
  <c r="L111" i="3"/>
  <c r="E110" i="5" s="1"/>
  <c r="K111" i="3"/>
  <c r="D110" i="5" s="1"/>
  <c r="J111" i="3"/>
  <c r="C111" i="3"/>
  <c r="B111" i="3"/>
  <c r="A111" i="3"/>
  <c r="P110" i="3"/>
  <c r="I109" i="5" s="1"/>
  <c r="O110" i="3"/>
  <c r="H109" i="5" s="1"/>
  <c r="N110" i="3"/>
  <c r="G109" i="5" s="1"/>
  <c r="M110" i="3"/>
  <c r="F109" i="5" s="1"/>
  <c r="L110" i="3"/>
  <c r="E109" i="5" s="1"/>
  <c r="K110" i="3"/>
  <c r="D109" i="5" s="1"/>
  <c r="J110" i="3"/>
  <c r="C110" i="3"/>
  <c r="B110" i="3"/>
  <c r="A110" i="3"/>
  <c r="P109" i="3"/>
  <c r="I108" i="5" s="1"/>
  <c r="O109" i="3"/>
  <c r="H108" i="5" s="1"/>
  <c r="N109" i="3"/>
  <c r="G108" i="5" s="1"/>
  <c r="M109" i="3"/>
  <c r="F108" i="5" s="1"/>
  <c r="L109" i="3"/>
  <c r="E108" i="5" s="1"/>
  <c r="K109" i="3"/>
  <c r="J109" i="3"/>
  <c r="C109" i="3"/>
  <c r="B109" i="3"/>
  <c r="A109" i="3"/>
  <c r="P108" i="3"/>
  <c r="I107" i="5" s="1"/>
  <c r="O108" i="3"/>
  <c r="H107" i="5" s="1"/>
  <c r="N108" i="3"/>
  <c r="G107" i="5" s="1"/>
  <c r="M108" i="3"/>
  <c r="F107" i="5" s="1"/>
  <c r="L108" i="3"/>
  <c r="K108" i="3"/>
  <c r="D107" i="5" s="1"/>
  <c r="J108" i="3"/>
  <c r="C108" i="3"/>
  <c r="B108" i="3"/>
  <c r="A108" i="3"/>
  <c r="P107" i="3"/>
  <c r="I106" i="5" s="1"/>
  <c r="O107" i="3"/>
  <c r="H106" i="5" s="1"/>
  <c r="N107" i="3"/>
  <c r="G106" i="5" s="1"/>
  <c r="M107" i="3"/>
  <c r="F106" i="5" s="1"/>
  <c r="L107" i="3"/>
  <c r="E106" i="5" s="1"/>
  <c r="K107" i="3"/>
  <c r="J107" i="3"/>
  <c r="C107" i="3"/>
  <c r="B107" i="3"/>
  <c r="A107" i="3"/>
  <c r="P106" i="3"/>
  <c r="I105" i="5" s="1"/>
  <c r="O106" i="3"/>
  <c r="H105" i="5" s="1"/>
  <c r="N106" i="3"/>
  <c r="G105" i="5" s="1"/>
  <c r="M106" i="3"/>
  <c r="F105" i="5" s="1"/>
  <c r="L106" i="3"/>
  <c r="K106" i="3"/>
  <c r="D105" i="5" s="1"/>
  <c r="J106" i="3"/>
  <c r="C106" i="3"/>
  <c r="B106" i="3"/>
  <c r="A106" i="3"/>
  <c r="P105" i="3"/>
  <c r="I104" i="5" s="1"/>
  <c r="O105" i="3"/>
  <c r="H104" i="5" s="1"/>
  <c r="N105" i="3"/>
  <c r="G104" i="5" s="1"/>
  <c r="M105" i="3"/>
  <c r="F104" i="5" s="1"/>
  <c r="L105" i="3"/>
  <c r="E104" i="5" s="1"/>
  <c r="K105" i="3"/>
  <c r="J105" i="3"/>
  <c r="C105" i="3"/>
  <c r="B105" i="3"/>
  <c r="A105" i="3"/>
  <c r="P104" i="3"/>
  <c r="I103" i="5" s="1"/>
  <c r="O104" i="3"/>
  <c r="H103" i="5" s="1"/>
  <c r="N104" i="3"/>
  <c r="G103" i="5" s="1"/>
  <c r="M104" i="3"/>
  <c r="F103" i="5" s="1"/>
  <c r="L104" i="3"/>
  <c r="E103" i="5" s="1"/>
  <c r="K104" i="3"/>
  <c r="D103" i="5" s="1"/>
  <c r="J104" i="3"/>
  <c r="C104" i="3"/>
  <c r="B104" i="3"/>
  <c r="A104" i="3"/>
  <c r="P103" i="3"/>
  <c r="I102" i="5" s="1"/>
  <c r="O103" i="3"/>
  <c r="H102" i="5" s="1"/>
  <c r="N103" i="3"/>
  <c r="G102" i="5" s="1"/>
  <c r="M103" i="3"/>
  <c r="F102" i="5" s="1"/>
  <c r="L103" i="3"/>
  <c r="E102" i="5" s="1"/>
  <c r="K103" i="3"/>
  <c r="D102" i="5" s="1"/>
  <c r="J103" i="3"/>
  <c r="C103" i="3"/>
  <c r="B103" i="3"/>
  <c r="A103" i="3"/>
  <c r="P102" i="3"/>
  <c r="I101" i="5" s="1"/>
  <c r="O102" i="3"/>
  <c r="H101" i="5" s="1"/>
  <c r="N102" i="3"/>
  <c r="G101" i="5" s="1"/>
  <c r="M102" i="3"/>
  <c r="F101" i="5" s="1"/>
  <c r="L102" i="3"/>
  <c r="E101" i="5" s="1"/>
  <c r="K102" i="3"/>
  <c r="J102" i="3"/>
  <c r="C102" i="3"/>
  <c r="B102" i="3"/>
  <c r="A102" i="3"/>
  <c r="P101" i="3"/>
  <c r="I100" i="5" s="1"/>
  <c r="O101" i="3"/>
  <c r="H100" i="5" s="1"/>
  <c r="N101" i="3"/>
  <c r="G100" i="5" s="1"/>
  <c r="M101" i="3"/>
  <c r="F100" i="5" s="1"/>
  <c r="L101" i="3"/>
  <c r="E100" i="5" s="1"/>
  <c r="K101" i="3"/>
  <c r="D100" i="5" s="1"/>
  <c r="J101" i="3"/>
  <c r="C101" i="3"/>
  <c r="B101" i="3"/>
  <c r="A101" i="3"/>
  <c r="P100" i="3"/>
  <c r="I99" i="5" s="1"/>
  <c r="O100" i="3"/>
  <c r="H99" i="5" s="1"/>
  <c r="N100" i="3"/>
  <c r="G99" i="5" s="1"/>
  <c r="M100" i="3"/>
  <c r="F99" i="5" s="1"/>
  <c r="L100" i="3"/>
  <c r="E99" i="5" s="1"/>
  <c r="K100" i="3"/>
  <c r="D99" i="5" s="1"/>
  <c r="J100" i="3"/>
  <c r="C100" i="3"/>
  <c r="B100" i="3"/>
  <c r="A100" i="3"/>
  <c r="P99" i="3"/>
  <c r="I98" i="5" s="1"/>
  <c r="O99" i="3"/>
  <c r="H98" i="5" s="1"/>
  <c r="N99" i="3"/>
  <c r="G98" i="5" s="1"/>
  <c r="M99" i="3"/>
  <c r="F98" i="5" s="1"/>
  <c r="L99" i="3"/>
  <c r="E98" i="5" s="1"/>
  <c r="K99" i="3"/>
  <c r="D98" i="5" s="1"/>
  <c r="J99" i="3"/>
  <c r="C99" i="3"/>
  <c r="B99" i="3"/>
  <c r="A99" i="3"/>
  <c r="P98" i="3"/>
  <c r="I97" i="5" s="1"/>
  <c r="O98" i="3"/>
  <c r="H97" i="5" s="1"/>
  <c r="N98" i="3"/>
  <c r="G97" i="5" s="1"/>
  <c r="M98" i="3"/>
  <c r="F97" i="5" s="1"/>
  <c r="L98" i="3"/>
  <c r="E97" i="5" s="1"/>
  <c r="K98" i="3"/>
  <c r="J98" i="3"/>
  <c r="C98" i="3"/>
  <c r="B98" i="3"/>
  <c r="A98" i="3"/>
  <c r="P97" i="3"/>
  <c r="I96" i="5" s="1"/>
  <c r="O97" i="3"/>
  <c r="H96" i="5" s="1"/>
  <c r="N97" i="3"/>
  <c r="G96" i="5" s="1"/>
  <c r="M97" i="3"/>
  <c r="F96" i="5" s="1"/>
  <c r="L97" i="3"/>
  <c r="E96" i="5" s="1"/>
  <c r="K97" i="3"/>
  <c r="J97" i="3"/>
  <c r="C97" i="3"/>
  <c r="B97" i="3"/>
  <c r="A97" i="3"/>
  <c r="P96" i="3"/>
  <c r="I95" i="5" s="1"/>
  <c r="O96" i="3"/>
  <c r="H95" i="5" s="1"/>
  <c r="N96" i="3"/>
  <c r="G95" i="5" s="1"/>
  <c r="M96" i="3"/>
  <c r="L96" i="3"/>
  <c r="E95" i="5" s="1"/>
  <c r="K96" i="3"/>
  <c r="J96" i="3"/>
  <c r="C96" i="3"/>
  <c r="B96" i="3"/>
  <c r="A96" i="3"/>
  <c r="P95" i="3"/>
  <c r="I94" i="5" s="1"/>
  <c r="O95" i="3"/>
  <c r="H94" i="5" s="1"/>
  <c r="N95" i="3"/>
  <c r="G94" i="5" s="1"/>
  <c r="M95" i="3"/>
  <c r="F94" i="5" s="1"/>
  <c r="L95" i="3"/>
  <c r="K95" i="3"/>
  <c r="D94" i="5" s="1"/>
  <c r="J95" i="3"/>
  <c r="C95" i="3"/>
  <c r="B95" i="3"/>
  <c r="A95" i="3"/>
  <c r="P94" i="3"/>
  <c r="I93" i="5" s="1"/>
  <c r="O94" i="3"/>
  <c r="H93" i="5" s="1"/>
  <c r="N94" i="3"/>
  <c r="G93" i="5" s="1"/>
  <c r="M94" i="3"/>
  <c r="F93" i="5" s="1"/>
  <c r="L94" i="3"/>
  <c r="E93" i="5" s="1"/>
  <c r="K94" i="3"/>
  <c r="J94" i="3"/>
  <c r="C94" i="3"/>
  <c r="B94" i="3"/>
  <c r="A94" i="3"/>
  <c r="P93" i="3"/>
  <c r="I92" i="5" s="1"/>
  <c r="O93" i="3"/>
  <c r="H92" i="5" s="1"/>
  <c r="N93" i="3"/>
  <c r="G92" i="5" s="1"/>
  <c r="M93" i="3"/>
  <c r="F92" i="5" s="1"/>
  <c r="L93" i="3"/>
  <c r="E92" i="5" s="1"/>
  <c r="K93" i="3"/>
  <c r="D92" i="5" s="1"/>
  <c r="J93" i="3"/>
  <c r="C93" i="3"/>
  <c r="B93" i="3"/>
  <c r="A93" i="3"/>
  <c r="P92" i="3"/>
  <c r="I91" i="5" s="1"/>
  <c r="O92" i="3"/>
  <c r="H91" i="5" s="1"/>
  <c r="N92" i="3"/>
  <c r="G91" i="5" s="1"/>
  <c r="M92" i="3"/>
  <c r="F91" i="5" s="1"/>
  <c r="L92" i="3"/>
  <c r="E91" i="5" s="1"/>
  <c r="K92" i="3"/>
  <c r="D91" i="5" s="1"/>
  <c r="J92" i="3"/>
  <c r="C92" i="3"/>
  <c r="B92" i="3"/>
  <c r="A92" i="3"/>
  <c r="P91" i="3"/>
  <c r="I90" i="5" s="1"/>
  <c r="O91" i="3"/>
  <c r="H90" i="5" s="1"/>
  <c r="N91" i="3"/>
  <c r="G90" i="5" s="1"/>
  <c r="M91" i="3"/>
  <c r="F90" i="5" s="1"/>
  <c r="L91" i="3"/>
  <c r="E90" i="5" s="1"/>
  <c r="K91" i="3"/>
  <c r="D90" i="5" s="1"/>
  <c r="J91" i="3"/>
  <c r="C91" i="3"/>
  <c r="B91" i="3"/>
  <c r="A91" i="3"/>
  <c r="P90" i="3"/>
  <c r="I89" i="5" s="1"/>
  <c r="O90" i="3"/>
  <c r="H89" i="5" s="1"/>
  <c r="N90" i="3"/>
  <c r="G89" i="5" s="1"/>
  <c r="M90" i="3"/>
  <c r="F89" i="5" s="1"/>
  <c r="L90" i="3"/>
  <c r="E89" i="5" s="1"/>
  <c r="K90" i="3"/>
  <c r="J90" i="3"/>
  <c r="C90" i="3"/>
  <c r="B90" i="3"/>
  <c r="A90" i="3"/>
  <c r="P89" i="3"/>
  <c r="I88" i="5" s="1"/>
  <c r="O89" i="3"/>
  <c r="H88" i="5" s="1"/>
  <c r="N89" i="3"/>
  <c r="G88" i="5" s="1"/>
  <c r="M89" i="3"/>
  <c r="F88" i="5" s="1"/>
  <c r="L89" i="3"/>
  <c r="E88" i="5" s="1"/>
  <c r="K89" i="3"/>
  <c r="D88" i="5" s="1"/>
  <c r="J89" i="3"/>
  <c r="C89" i="3"/>
  <c r="B89" i="3"/>
  <c r="A89" i="3"/>
  <c r="P88" i="3"/>
  <c r="I87" i="5" s="1"/>
  <c r="O88" i="3"/>
  <c r="H87" i="5" s="1"/>
  <c r="N88" i="3"/>
  <c r="G87" i="5" s="1"/>
  <c r="M88" i="3"/>
  <c r="F87" i="5" s="1"/>
  <c r="L88" i="3"/>
  <c r="E87" i="5" s="1"/>
  <c r="K88" i="3"/>
  <c r="D87" i="5" s="1"/>
  <c r="J88" i="3"/>
  <c r="C88" i="3"/>
  <c r="B88" i="3"/>
  <c r="A88" i="3"/>
  <c r="P87" i="3"/>
  <c r="I86" i="5" s="1"/>
  <c r="O87" i="3"/>
  <c r="H86" i="5" s="1"/>
  <c r="N87" i="3"/>
  <c r="G86" i="5" s="1"/>
  <c r="M87" i="3"/>
  <c r="F86" i="5" s="1"/>
  <c r="L87" i="3"/>
  <c r="E86" i="5" s="1"/>
  <c r="K87" i="3"/>
  <c r="J87" i="3"/>
  <c r="C87" i="3"/>
  <c r="B87" i="3"/>
  <c r="A87" i="3"/>
  <c r="P86" i="3"/>
  <c r="I85" i="5" s="1"/>
  <c r="O86" i="3"/>
  <c r="H85" i="5" s="1"/>
  <c r="N86" i="3"/>
  <c r="G85" i="5" s="1"/>
  <c r="M86" i="3"/>
  <c r="F85" i="5" s="1"/>
  <c r="L86" i="3"/>
  <c r="E85" i="5" s="1"/>
  <c r="K86" i="3"/>
  <c r="J86" i="3"/>
  <c r="C86" i="3"/>
  <c r="B86" i="3"/>
  <c r="A86" i="3"/>
  <c r="P85" i="3"/>
  <c r="I84" i="5" s="1"/>
  <c r="O85" i="3"/>
  <c r="H84" i="5" s="1"/>
  <c r="N85" i="3"/>
  <c r="G84" i="5" s="1"/>
  <c r="M85" i="3"/>
  <c r="F84" i="5" s="1"/>
  <c r="L85" i="3"/>
  <c r="E84" i="5" s="1"/>
  <c r="K85" i="3"/>
  <c r="D84" i="5" s="1"/>
  <c r="J85" i="3"/>
  <c r="C85" i="3"/>
  <c r="B85" i="3"/>
  <c r="A85" i="3"/>
  <c r="P84" i="3"/>
  <c r="I83" i="5" s="1"/>
  <c r="O84" i="3"/>
  <c r="H83" i="5" s="1"/>
  <c r="N84" i="3"/>
  <c r="G83" i="5" s="1"/>
  <c r="M84" i="3"/>
  <c r="F83" i="5" s="1"/>
  <c r="L84" i="3"/>
  <c r="K84" i="3"/>
  <c r="D83" i="5" s="1"/>
  <c r="J84" i="3"/>
  <c r="C84" i="3"/>
  <c r="B84" i="3"/>
  <c r="A84" i="3"/>
  <c r="P83" i="3"/>
  <c r="I82" i="5" s="1"/>
  <c r="O83" i="3"/>
  <c r="H82" i="5" s="1"/>
  <c r="N83" i="3"/>
  <c r="G82" i="5" s="1"/>
  <c r="M83" i="3"/>
  <c r="F82" i="5" s="1"/>
  <c r="L83" i="3"/>
  <c r="E82" i="5" s="1"/>
  <c r="K83" i="3"/>
  <c r="J83" i="3"/>
  <c r="C83" i="3"/>
  <c r="B83" i="3"/>
  <c r="A83" i="3"/>
  <c r="P82" i="3"/>
  <c r="I81" i="5" s="1"/>
  <c r="O82" i="3"/>
  <c r="H81" i="5" s="1"/>
  <c r="N82" i="3"/>
  <c r="G81" i="5" s="1"/>
  <c r="M82" i="3"/>
  <c r="F81" i="5" s="1"/>
  <c r="L82" i="3"/>
  <c r="E81" i="5" s="1"/>
  <c r="K82" i="3"/>
  <c r="D81" i="5" s="1"/>
  <c r="J82" i="3"/>
  <c r="C82" i="3"/>
  <c r="B82" i="3"/>
  <c r="A82" i="3"/>
  <c r="P81" i="3"/>
  <c r="I80" i="5" s="1"/>
  <c r="O81" i="3"/>
  <c r="H80" i="5" s="1"/>
  <c r="N81" i="3"/>
  <c r="G80" i="5" s="1"/>
  <c r="M81" i="3"/>
  <c r="F80" i="5" s="1"/>
  <c r="L81" i="3"/>
  <c r="E80" i="5" s="1"/>
  <c r="K81" i="3"/>
  <c r="D80" i="5" s="1"/>
  <c r="J81" i="3"/>
  <c r="C81" i="3"/>
  <c r="B81" i="3"/>
  <c r="A81" i="3"/>
  <c r="P80" i="3"/>
  <c r="I79" i="5" s="1"/>
  <c r="O80" i="3"/>
  <c r="H79" i="5" s="1"/>
  <c r="N80" i="3"/>
  <c r="G79" i="5" s="1"/>
  <c r="M80" i="3"/>
  <c r="F79" i="5" s="1"/>
  <c r="L80" i="3"/>
  <c r="E79" i="5" s="1"/>
  <c r="K80" i="3"/>
  <c r="D79" i="5" s="1"/>
  <c r="J80" i="3"/>
  <c r="C80" i="3"/>
  <c r="B80" i="3"/>
  <c r="A80" i="3"/>
  <c r="P79" i="3"/>
  <c r="I78" i="5" s="1"/>
  <c r="O79" i="3"/>
  <c r="H78" i="5" s="1"/>
  <c r="N79" i="3"/>
  <c r="G78" i="5" s="1"/>
  <c r="M79" i="3"/>
  <c r="F78" i="5" s="1"/>
  <c r="L79" i="3"/>
  <c r="E78" i="5" s="1"/>
  <c r="K79" i="3"/>
  <c r="D78" i="5" s="1"/>
  <c r="J79" i="3"/>
  <c r="C79" i="3"/>
  <c r="B79" i="3"/>
  <c r="A79" i="3"/>
  <c r="P78" i="3"/>
  <c r="I77" i="5" s="1"/>
  <c r="O78" i="3"/>
  <c r="H77" i="5" s="1"/>
  <c r="N78" i="3"/>
  <c r="G77" i="5" s="1"/>
  <c r="M78" i="3"/>
  <c r="F77" i="5" s="1"/>
  <c r="L78" i="3"/>
  <c r="E77" i="5" s="1"/>
  <c r="K78" i="3"/>
  <c r="D77" i="5" s="1"/>
  <c r="J78" i="3"/>
  <c r="C78" i="3"/>
  <c r="B78" i="3"/>
  <c r="A78" i="3"/>
  <c r="P77" i="3"/>
  <c r="I76" i="5" s="1"/>
  <c r="O77" i="3"/>
  <c r="H76" i="5" s="1"/>
  <c r="N77" i="3"/>
  <c r="G76" i="5" s="1"/>
  <c r="M77" i="3"/>
  <c r="F76" i="5" s="1"/>
  <c r="L77" i="3"/>
  <c r="E76" i="5" s="1"/>
  <c r="K77" i="3"/>
  <c r="D76" i="5" s="1"/>
  <c r="J77" i="3"/>
  <c r="C77" i="3"/>
  <c r="B77" i="3"/>
  <c r="A77" i="3"/>
  <c r="P76" i="3"/>
  <c r="I75" i="5" s="1"/>
  <c r="O76" i="3"/>
  <c r="H75" i="5" s="1"/>
  <c r="N76" i="3"/>
  <c r="G75" i="5" s="1"/>
  <c r="M76" i="3"/>
  <c r="F75" i="5" s="1"/>
  <c r="L76" i="3"/>
  <c r="E75" i="5" s="1"/>
  <c r="K76" i="3"/>
  <c r="D75" i="5" s="1"/>
  <c r="J76" i="3"/>
  <c r="C76" i="3"/>
  <c r="B76" i="3"/>
  <c r="A76" i="3"/>
  <c r="P75" i="3"/>
  <c r="I74" i="5" s="1"/>
  <c r="O75" i="3"/>
  <c r="H74" i="5" s="1"/>
  <c r="N75" i="3"/>
  <c r="G74" i="5" s="1"/>
  <c r="M75" i="3"/>
  <c r="F74" i="5" s="1"/>
  <c r="L75" i="3"/>
  <c r="E74" i="5" s="1"/>
  <c r="K75" i="3"/>
  <c r="J75" i="3"/>
  <c r="C75" i="3"/>
  <c r="B75" i="3"/>
  <c r="A75" i="3"/>
  <c r="P74" i="3"/>
  <c r="I73" i="5" s="1"/>
  <c r="O74" i="3"/>
  <c r="H73" i="5" s="1"/>
  <c r="N74" i="3"/>
  <c r="G73" i="5" s="1"/>
  <c r="M74" i="3"/>
  <c r="F73" i="5" s="1"/>
  <c r="L74" i="3"/>
  <c r="E73" i="5" s="1"/>
  <c r="K74" i="3"/>
  <c r="J74" i="3"/>
  <c r="C74" i="3"/>
  <c r="B74" i="3"/>
  <c r="A74" i="3"/>
  <c r="P73" i="3"/>
  <c r="I72" i="5" s="1"/>
  <c r="O73" i="3"/>
  <c r="H72" i="5" s="1"/>
  <c r="N73" i="3"/>
  <c r="G72" i="5" s="1"/>
  <c r="M73" i="3"/>
  <c r="F72" i="5" s="1"/>
  <c r="L73" i="3"/>
  <c r="E72" i="5" s="1"/>
  <c r="K73" i="3"/>
  <c r="J73" i="3"/>
  <c r="C73" i="3"/>
  <c r="B73" i="3"/>
  <c r="A73" i="3"/>
  <c r="P72" i="3"/>
  <c r="I71" i="5" s="1"/>
  <c r="O72" i="3"/>
  <c r="H71" i="5" s="1"/>
  <c r="N72" i="3"/>
  <c r="G71" i="5" s="1"/>
  <c r="M72" i="3"/>
  <c r="F71" i="5" s="1"/>
  <c r="L72" i="3"/>
  <c r="K72" i="3"/>
  <c r="D71" i="5" s="1"/>
  <c r="J72" i="3"/>
  <c r="C72" i="3"/>
  <c r="B72" i="3"/>
  <c r="A72" i="3"/>
  <c r="P71" i="3"/>
  <c r="I70" i="5" s="1"/>
  <c r="O71" i="3"/>
  <c r="H70" i="5" s="1"/>
  <c r="N71" i="3"/>
  <c r="G70" i="5" s="1"/>
  <c r="M71" i="3"/>
  <c r="F70" i="5" s="1"/>
  <c r="L71" i="3"/>
  <c r="E70" i="5" s="1"/>
  <c r="K71" i="3"/>
  <c r="J71" i="3"/>
  <c r="C71" i="3"/>
  <c r="B71" i="3"/>
  <c r="A71" i="3"/>
  <c r="P70" i="3"/>
  <c r="I69" i="5" s="1"/>
  <c r="O70" i="3"/>
  <c r="H69" i="5" s="1"/>
  <c r="N70" i="3"/>
  <c r="G69" i="5" s="1"/>
  <c r="M70" i="3"/>
  <c r="F69" i="5" s="1"/>
  <c r="L70" i="3"/>
  <c r="E69" i="5" s="1"/>
  <c r="K70" i="3"/>
  <c r="D69" i="5" s="1"/>
  <c r="J70" i="3"/>
  <c r="C70" i="3"/>
  <c r="B70" i="3"/>
  <c r="A70" i="3"/>
  <c r="P69" i="3"/>
  <c r="I68" i="5" s="1"/>
  <c r="O69" i="3"/>
  <c r="H68" i="5" s="1"/>
  <c r="N69" i="3"/>
  <c r="G68" i="5" s="1"/>
  <c r="M69" i="3"/>
  <c r="F68" i="5" s="1"/>
  <c r="L69" i="3"/>
  <c r="E68" i="5" s="1"/>
  <c r="K69" i="3"/>
  <c r="D68" i="5" s="1"/>
  <c r="J69" i="3"/>
  <c r="C69" i="3"/>
  <c r="B69" i="3"/>
  <c r="A69" i="3"/>
  <c r="P68" i="3"/>
  <c r="I67" i="5" s="1"/>
  <c r="O68" i="3"/>
  <c r="H67" i="5" s="1"/>
  <c r="N68" i="3"/>
  <c r="G67" i="5" s="1"/>
  <c r="M68" i="3"/>
  <c r="F67" i="5" s="1"/>
  <c r="L68" i="3"/>
  <c r="E67" i="5" s="1"/>
  <c r="K68" i="3"/>
  <c r="D67" i="5" s="1"/>
  <c r="J68" i="3"/>
  <c r="C68" i="3"/>
  <c r="B68" i="3"/>
  <c r="A68" i="3"/>
  <c r="P67" i="3"/>
  <c r="I66" i="5" s="1"/>
  <c r="O67" i="3"/>
  <c r="H66" i="5" s="1"/>
  <c r="N67" i="3"/>
  <c r="G66" i="5" s="1"/>
  <c r="M67" i="3"/>
  <c r="F66" i="5" s="1"/>
  <c r="L67" i="3"/>
  <c r="E66" i="5" s="1"/>
  <c r="K67" i="3"/>
  <c r="D66" i="5" s="1"/>
  <c r="J67" i="3"/>
  <c r="C67" i="3"/>
  <c r="B67" i="3"/>
  <c r="A67" i="3"/>
  <c r="P66" i="3"/>
  <c r="I65" i="5" s="1"/>
  <c r="O66" i="3"/>
  <c r="H65" i="5" s="1"/>
  <c r="N66" i="3"/>
  <c r="G65" i="5" s="1"/>
  <c r="M66" i="3"/>
  <c r="F65" i="5" s="1"/>
  <c r="L66" i="3"/>
  <c r="E65" i="5" s="1"/>
  <c r="K66" i="3"/>
  <c r="D65" i="5" s="1"/>
  <c r="J66" i="3"/>
  <c r="C66" i="3"/>
  <c r="B66" i="3"/>
  <c r="A66" i="3"/>
  <c r="P65" i="3"/>
  <c r="I64" i="5" s="1"/>
  <c r="O65" i="3"/>
  <c r="H64" i="5" s="1"/>
  <c r="N65" i="3"/>
  <c r="G64" i="5" s="1"/>
  <c r="M65" i="3"/>
  <c r="F64" i="5" s="1"/>
  <c r="L65" i="3"/>
  <c r="E64" i="5" s="1"/>
  <c r="K65" i="3"/>
  <c r="D64" i="5" s="1"/>
  <c r="J65" i="3"/>
  <c r="C65" i="3"/>
  <c r="B65" i="3"/>
  <c r="A65" i="3"/>
  <c r="P64" i="3"/>
  <c r="I63" i="5" s="1"/>
  <c r="O64" i="3"/>
  <c r="H63" i="5" s="1"/>
  <c r="N64" i="3"/>
  <c r="G63" i="5" s="1"/>
  <c r="M64" i="3"/>
  <c r="F63" i="5" s="1"/>
  <c r="L64" i="3"/>
  <c r="E63" i="5" s="1"/>
  <c r="K64" i="3"/>
  <c r="D63" i="5" s="1"/>
  <c r="J64" i="3"/>
  <c r="C64" i="3"/>
  <c r="B64" i="3"/>
  <c r="A64" i="3"/>
  <c r="P63" i="3"/>
  <c r="I62" i="5" s="1"/>
  <c r="O63" i="3"/>
  <c r="H62" i="5" s="1"/>
  <c r="N63" i="3"/>
  <c r="G62" i="5" s="1"/>
  <c r="M63" i="3"/>
  <c r="F62" i="5" s="1"/>
  <c r="L63" i="3"/>
  <c r="E62" i="5" s="1"/>
  <c r="K63" i="3"/>
  <c r="J63" i="3"/>
  <c r="C63" i="3"/>
  <c r="B63" i="3"/>
  <c r="A63" i="3"/>
  <c r="P62" i="3"/>
  <c r="I61" i="5" s="1"/>
  <c r="O62" i="3"/>
  <c r="H61" i="5" s="1"/>
  <c r="N62" i="3"/>
  <c r="G61" i="5" s="1"/>
  <c r="M62" i="3"/>
  <c r="F61" i="5" s="1"/>
  <c r="L62" i="3"/>
  <c r="E61" i="5" s="1"/>
  <c r="K62" i="3"/>
  <c r="J62" i="3"/>
  <c r="C62" i="3"/>
  <c r="B62" i="3"/>
  <c r="A62" i="3"/>
  <c r="P61" i="3"/>
  <c r="I60" i="5" s="1"/>
  <c r="O61" i="3"/>
  <c r="H60" i="5" s="1"/>
  <c r="N61" i="3"/>
  <c r="G60" i="5" s="1"/>
  <c r="M61" i="3"/>
  <c r="F60" i="5" s="1"/>
  <c r="L61" i="3"/>
  <c r="E60" i="5" s="1"/>
  <c r="K61" i="3"/>
  <c r="J61" i="3"/>
  <c r="C61" i="3"/>
  <c r="B61" i="3"/>
  <c r="A61" i="3"/>
  <c r="P60" i="3"/>
  <c r="I59" i="5" s="1"/>
  <c r="O60" i="3"/>
  <c r="H59" i="5" s="1"/>
  <c r="N60" i="3"/>
  <c r="G59" i="5" s="1"/>
  <c r="M60" i="3"/>
  <c r="F59" i="5" s="1"/>
  <c r="L60" i="3"/>
  <c r="K60" i="3"/>
  <c r="D59" i="5" s="1"/>
  <c r="J60" i="3"/>
  <c r="C60" i="3"/>
  <c r="B60" i="3"/>
  <c r="A60" i="3"/>
  <c r="P59" i="3"/>
  <c r="I58" i="5" s="1"/>
  <c r="O59" i="3"/>
  <c r="H58" i="5" s="1"/>
  <c r="N59" i="3"/>
  <c r="G58" i="5" s="1"/>
  <c r="M59" i="3"/>
  <c r="F58" i="5" s="1"/>
  <c r="L59" i="3"/>
  <c r="E58" i="5" s="1"/>
  <c r="K59" i="3"/>
  <c r="J59" i="3"/>
  <c r="C59" i="3"/>
  <c r="B59" i="3"/>
  <c r="A59" i="3"/>
  <c r="P58" i="3"/>
  <c r="I57" i="5" s="1"/>
  <c r="O58" i="3"/>
  <c r="H57" i="5" s="1"/>
  <c r="N58" i="3"/>
  <c r="G57" i="5" s="1"/>
  <c r="M58" i="3"/>
  <c r="F57" i="5" s="1"/>
  <c r="L58" i="3"/>
  <c r="E57" i="5" s="1"/>
  <c r="K58" i="3"/>
  <c r="D57" i="5" s="1"/>
  <c r="J58" i="3"/>
  <c r="C58" i="3"/>
  <c r="B58" i="3"/>
  <c r="A58" i="3"/>
  <c r="P57" i="3"/>
  <c r="I56" i="5" s="1"/>
  <c r="O57" i="3"/>
  <c r="H56" i="5" s="1"/>
  <c r="N57" i="3"/>
  <c r="G56" i="5" s="1"/>
  <c r="M57" i="3"/>
  <c r="F56" i="5" s="1"/>
  <c r="L57" i="3"/>
  <c r="E56" i="5" s="1"/>
  <c r="K57" i="3"/>
  <c r="D56" i="5" s="1"/>
  <c r="J57" i="3"/>
  <c r="C57" i="3"/>
  <c r="B57" i="3"/>
  <c r="A57" i="3"/>
  <c r="P56" i="3"/>
  <c r="I55" i="5" s="1"/>
  <c r="O56" i="3"/>
  <c r="H55" i="5" s="1"/>
  <c r="N56" i="3"/>
  <c r="G55" i="5" s="1"/>
  <c r="M56" i="3"/>
  <c r="F55" i="5" s="1"/>
  <c r="L56" i="3"/>
  <c r="E55" i="5" s="1"/>
  <c r="K56" i="3"/>
  <c r="D55" i="5" s="1"/>
  <c r="J56" i="3"/>
  <c r="C56" i="3"/>
  <c r="B56" i="3"/>
  <c r="A56" i="3"/>
  <c r="P55" i="3"/>
  <c r="I54" i="5" s="1"/>
  <c r="O55" i="3"/>
  <c r="H54" i="5" s="1"/>
  <c r="N55" i="3"/>
  <c r="G54" i="5" s="1"/>
  <c r="M55" i="3"/>
  <c r="F54" i="5" s="1"/>
  <c r="L55" i="3"/>
  <c r="E54" i="5" s="1"/>
  <c r="K55" i="3"/>
  <c r="D54" i="5" s="1"/>
  <c r="J55" i="3"/>
  <c r="C55" i="3"/>
  <c r="B55" i="3"/>
  <c r="A55" i="3"/>
  <c r="P54" i="3"/>
  <c r="I53" i="5" s="1"/>
  <c r="O54" i="3"/>
  <c r="H53" i="5" s="1"/>
  <c r="N54" i="3"/>
  <c r="G53" i="5" s="1"/>
  <c r="M54" i="3"/>
  <c r="F53" i="5" s="1"/>
  <c r="L54" i="3"/>
  <c r="E53" i="5" s="1"/>
  <c r="K54" i="3"/>
  <c r="D53" i="5" s="1"/>
  <c r="J54" i="3"/>
  <c r="C54" i="3"/>
  <c r="B54" i="3"/>
  <c r="A54" i="3"/>
  <c r="P53" i="3"/>
  <c r="I52" i="5" s="1"/>
  <c r="O53" i="3"/>
  <c r="H52" i="5" s="1"/>
  <c r="N53" i="3"/>
  <c r="G52" i="5" s="1"/>
  <c r="M53" i="3"/>
  <c r="F52" i="5" s="1"/>
  <c r="L53" i="3"/>
  <c r="E52" i="5" s="1"/>
  <c r="K53" i="3"/>
  <c r="D52" i="5" s="1"/>
  <c r="J53" i="3"/>
  <c r="C53" i="3"/>
  <c r="B53" i="3"/>
  <c r="A53" i="3"/>
  <c r="P52" i="3"/>
  <c r="I51" i="5" s="1"/>
  <c r="O52" i="3"/>
  <c r="H51" i="5" s="1"/>
  <c r="N52" i="3"/>
  <c r="G51" i="5" s="1"/>
  <c r="M52" i="3"/>
  <c r="F51" i="5" s="1"/>
  <c r="L52" i="3"/>
  <c r="E51" i="5" s="1"/>
  <c r="K52" i="3"/>
  <c r="D51" i="5" s="1"/>
  <c r="J52" i="3"/>
  <c r="C52" i="3"/>
  <c r="B52" i="3"/>
  <c r="A52" i="3"/>
  <c r="P51" i="3"/>
  <c r="I50" i="5" s="1"/>
  <c r="O51" i="3"/>
  <c r="H50" i="5" s="1"/>
  <c r="N51" i="3"/>
  <c r="G50" i="5" s="1"/>
  <c r="M51" i="3"/>
  <c r="F50" i="5" s="1"/>
  <c r="L51" i="3"/>
  <c r="E50" i="5" s="1"/>
  <c r="K51" i="3"/>
  <c r="J51" i="3"/>
  <c r="C51" i="3"/>
  <c r="B51" i="3"/>
  <c r="A51" i="3"/>
  <c r="P50" i="3"/>
  <c r="I49" i="5" s="1"/>
  <c r="O50" i="3"/>
  <c r="H49" i="5" s="1"/>
  <c r="N50" i="3"/>
  <c r="G49" i="5" s="1"/>
  <c r="M50" i="3"/>
  <c r="F49" i="5" s="1"/>
  <c r="L50" i="3"/>
  <c r="E49" i="5" s="1"/>
  <c r="K50" i="3"/>
  <c r="J50" i="3"/>
  <c r="C50" i="3"/>
  <c r="B50" i="3"/>
  <c r="A50" i="3"/>
  <c r="P49" i="3"/>
  <c r="I48" i="5" s="1"/>
  <c r="O49" i="3"/>
  <c r="H48" i="5" s="1"/>
  <c r="N49" i="3"/>
  <c r="G48" i="5" s="1"/>
  <c r="M49" i="3"/>
  <c r="F48" i="5" s="1"/>
  <c r="L49" i="3"/>
  <c r="E48" i="5" s="1"/>
  <c r="K49" i="3"/>
  <c r="J49" i="3"/>
  <c r="C49" i="3"/>
  <c r="B49" i="3"/>
  <c r="A49" i="3"/>
  <c r="P48" i="3"/>
  <c r="I47" i="5" s="1"/>
  <c r="O48" i="3"/>
  <c r="H47" i="5" s="1"/>
  <c r="N48" i="3"/>
  <c r="G47" i="5" s="1"/>
  <c r="M48" i="3"/>
  <c r="F47" i="5" s="1"/>
  <c r="L48" i="3"/>
  <c r="K48" i="3"/>
  <c r="D47" i="5" s="1"/>
  <c r="J48" i="3"/>
  <c r="C48" i="3"/>
  <c r="B48" i="3"/>
  <c r="A48" i="3"/>
  <c r="P47" i="3"/>
  <c r="I46" i="5" s="1"/>
  <c r="O47" i="3"/>
  <c r="H46" i="5" s="1"/>
  <c r="N47" i="3"/>
  <c r="G46" i="5" s="1"/>
  <c r="M47" i="3"/>
  <c r="F46" i="5" s="1"/>
  <c r="L47" i="3"/>
  <c r="E46" i="5" s="1"/>
  <c r="K47" i="3"/>
  <c r="J47" i="3"/>
  <c r="C47" i="3"/>
  <c r="B47" i="3"/>
  <c r="A47" i="3"/>
  <c r="Q46" i="3"/>
  <c r="P46" i="3"/>
  <c r="I45" i="5" s="1"/>
  <c r="O46" i="3"/>
  <c r="H45" i="5" s="1"/>
  <c r="N46" i="3"/>
  <c r="G45" i="5" s="1"/>
  <c r="M46" i="3"/>
  <c r="F45" i="5" s="1"/>
  <c r="L46" i="3"/>
  <c r="K46" i="3"/>
  <c r="D45" i="5" s="1"/>
  <c r="J46" i="3"/>
  <c r="C46" i="3"/>
  <c r="B46" i="3"/>
  <c r="A46" i="3"/>
  <c r="P45" i="3"/>
  <c r="I44" i="5" s="1"/>
  <c r="O45" i="3"/>
  <c r="H44" i="5" s="1"/>
  <c r="N45" i="3"/>
  <c r="G44" i="5" s="1"/>
  <c r="M45" i="3"/>
  <c r="F44" i="5" s="1"/>
  <c r="L45" i="3"/>
  <c r="E44" i="5" s="1"/>
  <c r="K45" i="3"/>
  <c r="D44" i="5" s="1"/>
  <c r="J45" i="3"/>
  <c r="C45" i="3"/>
  <c r="B45" i="3"/>
  <c r="A45" i="3"/>
  <c r="P44" i="3"/>
  <c r="I43" i="5" s="1"/>
  <c r="O44" i="3"/>
  <c r="H43" i="5" s="1"/>
  <c r="N44" i="3"/>
  <c r="G43" i="5" s="1"/>
  <c r="M44" i="3"/>
  <c r="F43" i="5" s="1"/>
  <c r="L44" i="3"/>
  <c r="E43" i="5" s="1"/>
  <c r="K44" i="3"/>
  <c r="D43" i="5" s="1"/>
  <c r="J44" i="3"/>
  <c r="C44" i="3"/>
  <c r="B44" i="3"/>
  <c r="A44" i="3"/>
  <c r="P43" i="3"/>
  <c r="I42" i="5" s="1"/>
  <c r="O43" i="3"/>
  <c r="H42" i="5" s="1"/>
  <c r="N43" i="3"/>
  <c r="G42" i="5" s="1"/>
  <c r="M43" i="3"/>
  <c r="F42" i="5" s="1"/>
  <c r="L43" i="3"/>
  <c r="E42" i="5" s="1"/>
  <c r="K43" i="3"/>
  <c r="D42" i="5" s="1"/>
  <c r="J43" i="3"/>
  <c r="C43" i="3"/>
  <c r="B43" i="3"/>
  <c r="A43" i="3"/>
  <c r="P42" i="3"/>
  <c r="I41" i="5" s="1"/>
  <c r="O42" i="3"/>
  <c r="H41" i="5" s="1"/>
  <c r="N42" i="3"/>
  <c r="G41" i="5" s="1"/>
  <c r="M42" i="3"/>
  <c r="F41" i="5" s="1"/>
  <c r="L42" i="3"/>
  <c r="E41" i="5" s="1"/>
  <c r="K42" i="3"/>
  <c r="D41" i="5" s="1"/>
  <c r="J42" i="3"/>
  <c r="C42" i="3"/>
  <c r="B42" i="3"/>
  <c r="A42" i="3"/>
  <c r="P41" i="3"/>
  <c r="I40" i="5" s="1"/>
  <c r="O41" i="3"/>
  <c r="H40" i="5" s="1"/>
  <c r="N41" i="3"/>
  <c r="G40" i="5" s="1"/>
  <c r="M41" i="3"/>
  <c r="F40" i="5" s="1"/>
  <c r="L41" i="3"/>
  <c r="E40" i="5" s="1"/>
  <c r="K41" i="3"/>
  <c r="D40" i="5" s="1"/>
  <c r="J41" i="3"/>
  <c r="C41" i="3"/>
  <c r="B41" i="3"/>
  <c r="A41" i="3"/>
  <c r="P40" i="3"/>
  <c r="I39" i="5" s="1"/>
  <c r="O40" i="3"/>
  <c r="H39" i="5" s="1"/>
  <c r="N40" i="3"/>
  <c r="G39" i="5" s="1"/>
  <c r="M40" i="3"/>
  <c r="F39" i="5" s="1"/>
  <c r="L40" i="3"/>
  <c r="E39" i="5" s="1"/>
  <c r="K40" i="3"/>
  <c r="D39" i="5" s="1"/>
  <c r="J40" i="3"/>
  <c r="C40" i="3"/>
  <c r="B40" i="3"/>
  <c r="A40" i="3"/>
  <c r="P39" i="3"/>
  <c r="I38" i="5" s="1"/>
  <c r="O39" i="3"/>
  <c r="H38" i="5" s="1"/>
  <c r="N39" i="3"/>
  <c r="G38" i="5" s="1"/>
  <c r="M39" i="3"/>
  <c r="F38" i="5" s="1"/>
  <c r="L39" i="3"/>
  <c r="E38" i="5" s="1"/>
  <c r="K39" i="3"/>
  <c r="J39" i="3"/>
  <c r="C39" i="3"/>
  <c r="B39" i="3"/>
  <c r="A39" i="3"/>
  <c r="P38" i="3"/>
  <c r="I37" i="5" s="1"/>
  <c r="O38" i="3"/>
  <c r="H37" i="5" s="1"/>
  <c r="N38" i="3"/>
  <c r="G37" i="5" s="1"/>
  <c r="M38" i="3"/>
  <c r="F37" i="5" s="1"/>
  <c r="L38" i="3"/>
  <c r="E37" i="5" s="1"/>
  <c r="K38" i="3"/>
  <c r="J38" i="3"/>
  <c r="C38" i="3"/>
  <c r="B38" i="3"/>
  <c r="A38" i="3"/>
  <c r="P37" i="3"/>
  <c r="I36" i="5" s="1"/>
  <c r="O37" i="3"/>
  <c r="H36" i="5" s="1"/>
  <c r="N37" i="3"/>
  <c r="G36" i="5" s="1"/>
  <c r="M37" i="3"/>
  <c r="F36" i="5" s="1"/>
  <c r="L37" i="3"/>
  <c r="E36" i="5" s="1"/>
  <c r="K37" i="3"/>
  <c r="J37" i="3"/>
  <c r="C37" i="3"/>
  <c r="B37" i="3"/>
  <c r="A37" i="3"/>
  <c r="P36" i="3"/>
  <c r="I35" i="5" s="1"/>
  <c r="O36" i="3"/>
  <c r="H35" i="5" s="1"/>
  <c r="N36" i="3"/>
  <c r="G35" i="5" s="1"/>
  <c r="M36" i="3"/>
  <c r="F35" i="5" s="1"/>
  <c r="L36" i="3"/>
  <c r="K36" i="3"/>
  <c r="D35" i="5" s="1"/>
  <c r="J36" i="3"/>
  <c r="C36" i="3"/>
  <c r="B36" i="3"/>
  <c r="A36" i="3"/>
  <c r="P35" i="3"/>
  <c r="I34" i="5" s="1"/>
  <c r="O35" i="3"/>
  <c r="H34" i="5" s="1"/>
  <c r="N35" i="3"/>
  <c r="G34" i="5" s="1"/>
  <c r="M35" i="3"/>
  <c r="F34" i="5" s="1"/>
  <c r="L35" i="3"/>
  <c r="E34" i="5" s="1"/>
  <c r="K35" i="3"/>
  <c r="J35" i="3"/>
  <c r="C35" i="3"/>
  <c r="B35" i="3"/>
  <c r="A35" i="3"/>
  <c r="P34" i="3"/>
  <c r="I33" i="5" s="1"/>
  <c r="O34" i="3"/>
  <c r="H33" i="5" s="1"/>
  <c r="N34" i="3"/>
  <c r="G33" i="5" s="1"/>
  <c r="M34" i="3"/>
  <c r="F33" i="5" s="1"/>
  <c r="L34" i="3"/>
  <c r="E33" i="5" s="1"/>
  <c r="K34" i="3"/>
  <c r="D33" i="5" s="1"/>
  <c r="J34" i="3"/>
  <c r="C34" i="3"/>
  <c r="B34" i="3"/>
  <c r="A34" i="3"/>
  <c r="P33" i="3"/>
  <c r="I32" i="5" s="1"/>
  <c r="O33" i="3"/>
  <c r="H32" i="5" s="1"/>
  <c r="N33" i="3"/>
  <c r="G32" i="5" s="1"/>
  <c r="M33" i="3"/>
  <c r="F32" i="5" s="1"/>
  <c r="L33" i="3"/>
  <c r="E32" i="5" s="1"/>
  <c r="K33" i="3"/>
  <c r="D32" i="5" s="1"/>
  <c r="J33" i="3"/>
  <c r="C33" i="3"/>
  <c r="B33" i="3"/>
  <c r="A33" i="3"/>
  <c r="P32" i="3"/>
  <c r="I31" i="5" s="1"/>
  <c r="O32" i="3"/>
  <c r="H31" i="5" s="1"/>
  <c r="N32" i="3"/>
  <c r="G31" i="5" s="1"/>
  <c r="M32" i="3"/>
  <c r="F31" i="5" s="1"/>
  <c r="L32" i="3"/>
  <c r="E31" i="5" s="1"/>
  <c r="K32" i="3"/>
  <c r="J32" i="3"/>
  <c r="C32" i="3"/>
  <c r="B32" i="3"/>
  <c r="A32" i="3"/>
  <c r="P31" i="3"/>
  <c r="I30" i="5" s="1"/>
  <c r="O31" i="3"/>
  <c r="H30" i="5" s="1"/>
  <c r="N31" i="3"/>
  <c r="G30" i="5" s="1"/>
  <c r="M31" i="3"/>
  <c r="F30" i="5" s="1"/>
  <c r="L31" i="3"/>
  <c r="E30" i="5" s="1"/>
  <c r="K31" i="3"/>
  <c r="J31" i="3"/>
  <c r="C31" i="3"/>
  <c r="B31" i="3"/>
  <c r="A31" i="3"/>
  <c r="P30" i="3"/>
  <c r="I29" i="5" s="1"/>
  <c r="O30" i="3"/>
  <c r="H29" i="5" s="1"/>
  <c r="N30" i="3"/>
  <c r="G29" i="5" s="1"/>
  <c r="M30" i="3"/>
  <c r="F29" i="5" s="1"/>
  <c r="L30" i="3"/>
  <c r="E29" i="5" s="1"/>
  <c r="K30" i="3"/>
  <c r="D29" i="5" s="1"/>
  <c r="J30" i="3"/>
  <c r="C30" i="3"/>
  <c r="B30" i="3"/>
  <c r="A30" i="3"/>
  <c r="P29" i="3"/>
  <c r="I28" i="5" s="1"/>
  <c r="O29" i="3"/>
  <c r="H28" i="5" s="1"/>
  <c r="N29" i="3"/>
  <c r="G28" i="5" s="1"/>
  <c r="M29" i="3"/>
  <c r="F28" i="5" s="1"/>
  <c r="L29" i="3"/>
  <c r="E28" i="5" s="1"/>
  <c r="K29" i="3"/>
  <c r="D28" i="5" s="1"/>
  <c r="J29" i="3"/>
  <c r="C29" i="3"/>
  <c r="B29" i="3"/>
  <c r="A29" i="3"/>
  <c r="P28" i="3"/>
  <c r="I27" i="5" s="1"/>
  <c r="O28" i="3"/>
  <c r="H27" i="5" s="1"/>
  <c r="N28" i="3"/>
  <c r="G27" i="5" s="1"/>
  <c r="M28" i="3"/>
  <c r="F27" i="5" s="1"/>
  <c r="L28" i="3"/>
  <c r="E27" i="5" s="1"/>
  <c r="K28" i="3"/>
  <c r="D27" i="5" s="1"/>
  <c r="J28" i="3"/>
  <c r="C28" i="3"/>
  <c r="B28" i="3"/>
  <c r="A28" i="3"/>
  <c r="P27" i="3"/>
  <c r="I26" i="5" s="1"/>
  <c r="O27" i="3"/>
  <c r="H26" i="5" s="1"/>
  <c r="N27" i="3"/>
  <c r="G26" i="5" s="1"/>
  <c r="M27" i="3"/>
  <c r="F26" i="5" s="1"/>
  <c r="L27" i="3"/>
  <c r="E26" i="5" s="1"/>
  <c r="K27" i="3"/>
  <c r="J27" i="3"/>
  <c r="C27" i="3"/>
  <c r="B27" i="3"/>
  <c r="A27" i="3"/>
  <c r="P26" i="3"/>
  <c r="I25" i="5" s="1"/>
  <c r="O26" i="3"/>
  <c r="H25" i="5" s="1"/>
  <c r="N26" i="3"/>
  <c r="G25" i="5" s="1"/>
  <c r="M26" i="3"/>
  <c r="F25" i="5" s="1"/>
  <c r="L26" i="3"/>
  <c r="E25" i="5" s="1"/>
  <c r="K26" i="3"/>
  <c r="J26" i="3"/>
  <c r="C26" i="3"/>
  <c r="B26" i="3"/>
  <c r="A26" i="3"/>
  <c r="P25" i="3"/>
  <c r="I24" i="5" s="1"/>
  <c r="O25" i="3"/>
  <c r="H24" i="5" s="1"/>
  <c r="N25" i="3"/>
  <c r="G24" i="5" s="1"/>
  <c r="M25" i="3"/>
  <c r="F24" i="5" s="1"/>
  <c r="L25" i="3"/>
  <c r="E24" i="5" s="1"/>
  <c r="K25" i="3"/>
  <c r="J25" i="3"/>
  <c r="C25" i="3"/>
  <c r="B25" i="3"/>
  <c r="A25" i="3"/>
  <c r="P24" i="3"/>
  <c r="I23" i="5" s="1"/>
  <c r="O24" i="3"/>
  <c r="H23" i="5" s="1"/>
  <c r="N24" i="3"/>
  <c r="G23" i="5" s="1"/>
  <c r="M24" i="3"/>
  <c r="F23" i="5" s="1"/>
  <c r="L24" i="3"/>
  <c r="K24" i="3"/>
  <c r="D23" i="5" s="1"/>
  <c r="J24" i="3"/>
  <c r="C24" i="3"/>
  <c r="B24" i="3"/>
  <c r="A24" i="3"/>
  <c r="P23" i="3"/>
  <c r="I22" i="5" s="1"/>
  <c r="O23" i="3"/>
  <c r="H22" i="5" s="1"/>
  <c r="N23" i="3"/>
  <c r="G22" i="5" s="1"/>
  <c r="M23" i="3"/>
  <c r="F22" i="5" s="1"/>
  <c r="L23" i="3"/>
  <c r="E22" i="5" s="1"/>
  <c r="K23" i="3"/>
  <c r="J23" i="3"/>
  <c r="C23" i="3"/>
  <c r="B23" i="3"/>
  <c r="A23" i="3"/>
  <c r="P22" i="3"/>
  <c r="I21" i="5" s="1"/>
  <c r="O22" i="3"/>
  <c r="H21" i="5" s="1"/>
  <c r="N22" i="3"/>
  <c r="G21" i="5" s="1"/>
  <c r="M22" i="3"/>
  <c r="F21" i="5" s="1"/>
  <c r="L22" i="3"/>
  <c r="E21" i="5" s="1"/>
  <c r="K22" i="3"/>
  <c r="D21" i="5" s="1"/>
  <c r="J22" i="3"/>
  <c r="C22" i="3"/>
  <c r="B22" i="3"/>
  <c r="A22" i="3"/>
  <c r="P21" i="3"/>
  <c r="I20" i="5" s="1"/>
  <c r="O21" i="3"/>
  <c r="H20" i="5" s="1"/>
  <c r="N21" i="3"/>
  <c r="G20" i="5" s="1"/>
  <c r="M21" i="3"/>
  <c r="F20" i="5" s="1"/>
  <c r="L21" i="3"/>
  <c r="E20" i="5" s="1"/>
  <c r="K21" i="3"/>
  <c r="D20" i="5" s="1"/>
  <c r="J21" i="3"/>
  <c r="C21" i="3"/>
  <c r="B21" i="3"/>
  <c r="A21" i="3"/>
  <c r="P20" i="3"/>
  <c r="I19" i="5" s="1"/>
  <c r="O20" i="3"/>
  <c r="H19" i="5" s="1"/>
  <c r="N20" i="3"/>
  <c r="G19" i="5" s="1"/>
  <c r="M20" i="3"/>
  <c r="F19" i="5" s="1"/>
  <c r="L20" i="3"/>
  <c r="E19" i="5" s="1"/>
  <c r="K20" i="3"/>
  <c r="D19" i="5" s="1"/>
  <c r="J20" i="3"/>
  <c r="C20" i="3"/>
  <c r="B20" i="3"/>
  <c r="A20" i="3"/>
  <c r="P19" i="3"/>
  <c r="I18" i="5" s="1"/>
  <c r="O19" i="3"/>
  <c r="H18" i="5" s="1"/>
  <c r="N19" i="3"/>
  <c r="G18" i="5" s="1"/>
  <c r="M19" i="3"/>
  <c r="F18" i="5" s="1"/>
  <c r="L19" i="3"/>
  <c r="E18" i="5" s="1"/>
  <c r="K19" i="3"/>
  <c r="D18" i="5" s="1"/>
  <c r="J19" i="3"/>
  <c r="C19" i="3"/>
  <c r="B19" i="3"/>
  <c r="A19" i="3"/>
  <c r="P18" i="3"/>
  <c r="I17" i="5" s="1"/>
  <c r="O18" i="3"/>
  <c r="H17" i="5" s="1"/>
  <c r="N18" i="3"/>
  <c r="G17" i="5" s="1"/>
  <c r="M18" i="3"/>
  <c r="F17" i="5" s="1"/>
  <c r="L18" i="3"/>
  <c r="E17" i="5" s="1"/>
  <c r="K18" i="3"/>
  <c r="D17" i="5" s="1"/>
  <c r="J18" i="3"/>
  <c r="C18" i="3"/>
  <c r="B18" i="3"/>
  <c r="A18" i="3"/>
  <c r="P17" i="3"/>
  <c r="I16" i="5" s="1"/>
  <c r="O17" i="3"/>
  <c r="H16" i="5" s="1"/>
  <c r="N17" i="3"/>
  <c r="G16" i="5" s="1"/>
  <c r="M17" i="3"/>
  <c r="F16" i="5" s="1"/>
  <c r="L17" i="3"/>
  <c r="E16" i="5" s="1"/>
  <c r="K17" i="3"/>
  <c r="D16" i="5" s="1"/>
  <c r="J17" i="3"/>
  <c r="C17" i="3"/>
  <c r="B17" i="3"/>
  <c r="A17" i="3"/>
  <c r="P16" i="3"/>
  <c r="I15" i="5" s="1"/>
  <c r="O16" i="3"/>
  <c r="H15" i="5" s="1"/>
  <c r="N16" i="3"/>
  <c r="G15" i="5" s="1"/>
  <c r="M16" i="3"/>
  <c r="F15" i="5" s="1"/>
  <c r="L16" i="3"/>
  <c r="E15" i="5" s="1"/>
  <c r="K16" i="3"/>
  <c r="D15" i="5" s="1"/>
  <c r="J16" i="3"/>
  <c r="C16" i="3"/>
  <c r="B16" i="3"/>
  <c r="A16" i="3"/>
  <c r="P15" i="3"/>
  <c r="I14" i="5" s="1"/>
  <c r="O15" i="3"/>
  <c r="H14" i="5" s="1"/>
  <c r="N15" i="3"/>
  <c r="G14" i="5" s="1"/>
  <c r="M15" i="3"/>
  <c r="F14" i="5" s="1"/>
  <c r="L15" i="3"/>
  <c r="E14" i="5" s="1"/>
  <c r="K15" i="3"/>
  <c r="J15" i="3"/>
  <c r="C15" i="3"/>
  <c r="B15" i="3"/>
  <c r="A15" i="3"/>
  <c r="P14" i="3"/>
  <c r="I13" i="5" s="1"/>
  <c r="O14" i="3"/>
  <c r="H13" i="5" s="1"/>
  <c r="N14" i="3"/>
  <c r="G13" i="5" s="1"/>
  <c r="M14" i="3"/>
  <c r="F13" i="5" s="1"/>
  <c r="L14" i="3"/>
  <c r="E13" i="5" s="1"/>
  <c r="K14" i="3"/>
  <c r="J14" i="3"/>
  <c r="C14" i="3"/>
  <c r="B14" i="3"/>
  <c r="A14" i="3"/>
  <c r="P13" i="3"/>
  <c r="I12" i="5" s="1"/>
  <c r="O13" i="3"/>
  <c r="H12" i="5" s="1"/>
  <c r="N13" i="3"/>
  <c r="G12" i="5" s="1"/>
  <c r="M13" i="3"/>
  <c r="F12" i="5" s="1"/>
  <c r="L13" i="3"/>
  <c r="E12" i="5" s="1"/>
  <c r="K13" i="3"/>
  <c r="J13" i="3"/>
  <c r="C13" i="3"/>
  <c r="B13" i="3"/>
  <c r="A13" i="3"/>
  <c r="P12" i="3"/>
  <c r="I11" i="5" s="1"/>
  <c r="O12" i="3"/>
  <c r="H11" i="5" s="1"/>
  <c r="N12" i="3"/>
  <c r="G11" i="5" s="1"/>
  <c r="M12" i="3"/>
  <c r="F11" i="5" s="1"/>
  <c r="L12" i="3"/>
  <c r="K12" i="3"/>
  <c r="D11" i="5" s="1"/>
  <c r="J12" i="3"/>
  <c r="C12" i="3"/>
  <c r="B12" i="3"/>
  <c r="A12" i="3"/>
  <c r="P11" i="3"/>
  <c r="I10" i="5" s="1"/>
  <c r="O11" i="3"/>
  <c r="H10" i="5" s="1"/>
  <c r="N11" i="3"/>
  <c r="G10" i="5" s="1"/>
  <c r="M11" i="3"/>
  <c r="F10" i="5" s="1"/>
  <c r="L11" i="3"/>
  <c r="E10" i="5" s="1"/>
  <c r="K11" i="3"/>
  <c r="J11" i="3"/>
  <c r="C11" i="3"/>
  <c r="B11" i="3"/>
  <c r="A11" i="3"/>
  <c r="P10" i="3"/>
  <c r="I9" i="5" s="1"/>
  <c r="O10" i="3"/>
  <c r="H9" i="5" s="1"/>
  <c r="N10" i="3"/>
  <c r="G9" i="5" s="1"/>
  <c r="M10" i="3"/>
  <c r="F9" i="5" s="1"/>
  <c r="L10" i="3"/>
  <c r="E9" i="5" s="1"/>
  <c r="K10" i="3"/>
  <c r="D9" i="5" s="1"/>
  <c r="J10" i="3"/>
  <c r="C10" i="3"/>
  <c r="B10" i="3"/>
  <c r="A10" i="3"/>
  <c r="P9" i="3"/>
  <c r="I8" i="5" s="1"/>
  <c r="O9" i="3"/>
  <c r="H8" i="5" s="1"/>
  <c r="N9" i="3"/>
  <c r="G8" i="5" s="1"/>
  <c r="M9" i="3"/>
  <c r="F8" i="5" s="1"/>
  <c r="L9" i="3"/>
  <c r="E8" i="5" s="1"/>
  <c r="K9" i="3"/>
  <c r="D8" i="5" s="1"/>
  <c r="J9" i="3"/>
  <c r="C9" i="3"/>
  <c r="B9" i="3"/>
  <c r="A9" i="3"/>
  <c r="P8" i="3"/>
  <c r="I7" i="5" s="1"/>
  <c r="O8" i="3"/>
  <c r="H7" i="5" s="1"/>
  <c r="N8" i="3"/>
  <c r="G7" i="5" s="1"/>
  <c r="M8" i="3"/>
  <c r="F7" i="5" s="1"/>
  <c r="L8" i="3"/>
  <c r="E7" i="5" s="1"/>
  <c r="K8" i="3"/>
  <c r="D7" i="5" s="1"/>
  <c r="J8" i="3"/>
  <c r="C8" i="3"/>
  <c r="B8" i="3"/>
  <c r="A8" i="3"/>
  <c r="P7" i="3"/>
  <c r="I6" i="5" s="1"/>
  <c r="I215" i="5" s="1"/>
  <c r="B14" i="9" s="1"/>
  <c r="O7" i="3"/>
  <c r="H6" i="5" s="1"/>
  <c r="N7" i="3"/>
  <c r="G6" i="5" s="1"/>
  <c r="G215" i="5" s="1"/>
  <c r="B12" i="9" s="1"/>
  <c r="M7" i="3"/>
  <c r="F6" i="5" s="1"/>
  <c r="L7" i="3"/>
  <c r="E6" i="5" s="1"/>
  <c r="B23" i="1" s="1"/>
  <c r="K7" i="3"/>
  <c r="D6" i="5" s="1"/>
  <c r="J7" i="3"/>
  <c r="F4" i="3"/>
  <c r="C4" i="3"/>
  <c r="A2" i="3"/>
  <c r="A2" i="2"/>
  <c r="J80" i="1"/>
  <c r="J79" i="1"/>
  <c r="J78" i="1"/>
  <c r="J77" i="1"/>
  <c r="J76" i="1"/>
  <c r="J75" i="1"/>
  <c r="J73" i="1"/>
  <c r="L30" i="1"/>
  <c r="A20" i="1"/>
  <c r="I17" i="1"/>
  <c r="B12" i="1"/>
  <c r="B11" i="1"/>
  <c r="B10" i="1"/>
  <c r="B9" i="1"/>
  <c r="B8" i="1"/>
  <c r="B7" i="1"/>
  <c r="Q8" i="3" l="1"/>
  <c r="D31" i="5"/>
  <c r="J31" i="5" s="1"/>
  <c r="Q32" i="3"/>
  <c r="Q45" i="3"/>
  <c r="AJ4" i="11"/>
  <c r="M22" i="10" s="1"/>
  <c r="BJ4" i="11"/>
  <c r="G24" i="10" s="1"/>
  <c r="CI4" i="11"/>
  <c r="P25" i="10" s="1"/>
  <c r="BG4" i="11"/>
  <c r="D24" i="10" s="1"/>
  <c r="CF4" i="11"/>
  <c r="M25" i="10" s="1"/>
  <c r="AH4" i="11"/>
  <c r="K22" i="10" s="1"/>
  <c r="BH4" i="11"/>
  <c r="E24" i="10" s="1"/>
  <c r="CG4" i="11"/>
  <c r="N25" i="10" s="1"/>
  <c r="AL4" i="11"/>
  <c r="O22" i="10" s="1"/>
  <c r="BL4" i="11"/>
  <c r="I24" i="10" s="1"/>
  <c r="CK4" i="11"/>
  <c r="R25" i="10" s="1"/>
  <c r="AI4" i="11"/>
  <c r="L22" i="10" s="1"/>
  <c r="AR4" i="11"/>
  <c r="E23" i="10" s="1"/>
  <c r="BI4" i="11"/>
  <c r="F24" i="10" s="1"/>
  <c r="BQ4" i="11"/>
  <c r="N24" i="10" s="1"/>
  <c r="CH4" i="11"/>
  <c r="O25" i="10" s="1"/>
  <c r="CQ4" i="11"/>
  <c r="H26" i="10" s="1"/>
  <c r="C23" i="12"/>
  <c r="C30" i="12"/>
  <c r="C39" i="12"/>
  <c r="Q33" i="3"/>
  <c r="AW4" i="11"/>
  <c r="J23" i="10" s="1"/>
  <c r="BW4" i="11"/>
  <c r="D25" i="10" s="1"/>
  <c r="CV4" i="11"/>
  <c r="M26" i="10" s="1"/>
  <c r="BS4" i="11"/>
  <c r="P24" i="10" s="1"/>
  <c r="CS4" i="11"/>
  <c r="J26" i="10" s="1"/>
  <c r="C24" i="13"/>
  <c r="B26" i="13" s="1"/>
  <c r="AU4" i="11"/>
  <c r="H23" i="10" s="1"/>
  <c r="BT4" i="11"/>
  <c r="CT4" i="11"/>
  <c r="K26" i="10" s="1"/>
  <c r="D58" i="12"/>
  <c r="B60" i="12" s="1"/>
  <c r="C16" i="12"/>
  <c r="AY4" i="11"/>
  <c r="L23" i="10" s="1"/>
  <c r="BY4" i="11"/>
  <c r="F25" i="10" s="1"/>
  <c r="CX4" i="11"/>
  <c r="O26" i="10" s="1"/>
  <c r="AE4" i="11"/>
  <c r="H22" i="10" s="1"/>
  <c r="AV4" i="11"/>
  <c r="I23" i="10" s="1"/>
  <c r="BD4" i="11"/>
  <c r="BU4" i="11"/>
  <c r="R24" i="10" s="1"/>
  <c r="CD4" i="11"/>
  <c r="K25" i="10" s="1"/>
  <c r="CU4" i="11"/>
  <c r="L26" i="10" s="1"/>
  <c r="D26" i="9"/>
  <c r="C26" i="9"/>
  <c r="E26" i="9"/>
  <c r="AT4" i="11"/>
  <c r="G23" i="10" s="1"/>
  <c r="Q160" i="3"/>
  <c r="Q115" i="3"/>
  <c r="Q146" i="3"/>
  <c r="Q122" i="3"/>
  <c r="Q110" i="4"/>
  <c r="J158" i="5"/>
  <c r="Q170" i="3"/>
  <c r="Q174" i="4"/>
  <c r="Q118" i="4"/>
  <c r="Q147" i="3"/>
  <c r="Q49" i="4"/>
  <c r="Q148" i="3"/>
  <c r="Q51" i="4"/>
  <c r="Q54" i="4"/>
  <c r="U118" i="4"/>
  <c r="G117" i="6" s="1"/>
  <c r="Q155" i="3"/>
  <c r="Q192" i="3"/>
  <c r="Q190" i="4"/>
  <c r="Q31" i="3"/>
  <c r="Q193" i="3"/>
  <c r="Q193" i="4"/>
  <c r="Q92" i="3"/>
  <c r="Q149" i="3"/>
  <c r="Q200" i="3"/>
  <c r="Q146" i="4"/>
  <c r="X164" i="4"/>
  <c r="Q185" i="4"/>
  <c r="Q120" i="4"/>
  <c r="Q12" i="4"/>
  <c r="Q90" i="4"/>
  <c r="Q137" i="4"/>
  <c r="O21" i="8"/>
  <c r="F6" i="8" s="1"/>
  <c r="F24" i="1" s="1"/>
  <c r="Q178" i="4"/>
  <c r="Q182" i="3"/>
  <c r="Q81" i="3"/>
  <c r="Q158" i="4"/>
  <c r="Q100" i="4"/>
  <c r="Q182" i="4"/>
  <c r="Q44" i="3"/>
  <c r="Q82" i="3"/>
  <c r="Q113" i="3"/>
  <c r="Q101" i="4"/>
  <c r="Q168" i="4"/>
  <c r="G169" i="5"/>
  <c r="J169" i="5" s="1"/>
  <c r="J163" i="6"/>
  <c r="Q28" i="4"/>
  <c r="X190" i="4"/>
  <c r="Q157" i="4"/>
  <c r="J102" i="5"/>
  <c r="J7" i="5"/>
  <c r="Q9" i="3"/>
  <c r="Q93" i="3"/>
  <c r="Q186" i="4"/>
  <c r="Q204" i="4"/>
  <c r="Q22" i="4"/>
  <c r="J121" i="5"/>
  <c r="Q79" i="3"/>
  <c r="Q177" i="3"/>
  <c r="Q190" i="3"/>
  <c r="X46" i="4"/>
  <c r="Q97" i="4"/>
  <c r="Q123" i="4"/>
  <c r="Q80" i="3"/>
  <c r="Q171" i="3"/>
  <c r="Q191" i="3"/>
  <c r="Q10" i="4"/>
  <c r="Q18" i="4"/>
  <c r="Q61" i="4"/>
  <c r="Q85" i="4"/>
  <c r="Q107" i="4"/>
  <c r="Q142" i="4"/>
  <c r="Q152" i="4"/>
  <c r="J67" i="5"/>
  <c r="J136" i="5"/>
  <c r="J202" i="5"/>
  <c r="Q58" i="4"/>
  <c r="X186" i="4"/>
  <c r="Q161" i="3"/>
  <c r="U22" i="4"/>
  <c r="G21" i="6" s="1"/>
  <c r="U157" i="4"/>
  <c r="G156" i="6" s="1"/>
  <c r="Q201" i="4"/>
  <c r="X201" i="4"/>
  <c r="U204" i="4"/>
  <c r="G203" i="6" s="1"/>
  <c r="E208" i="7"/>
  <c r="Q10" i="3"/>
  <c r="Q89" i="3"/>
  <c r="Q103" i="3"/>
  <c r="Q136" i="3"/>
  <c r="U28" i="4"/>
  <c r="G27" i="6" s="1"/>
  <c r="J27" i="6" s="1"/>
  <c r="Q35" i="4"/>
  <c r="Q71" i="4"/>
  <c r="Q171" i="4"/>
  <c r="J181" i="5"/>
  <c r="J68" i="5"/>
  <c r="U185" i="4"/>
  <c r="G184" i="6" s="1"/>
  <c r="D189" i="6"/>
  <c r="J189" i="6" s="1"/>
  <c r="Q126" i="4"/>
  <c r="F208" i="7"/>
  <c r="Q68" i="3"/>
  <c r="J113" i="5"/>
  <c r="Q179" i="3"/>
  <c r="X183" i="4"/>
  <c r="X202" i="4"/>
  <c r="Q130" i="4"/>
  <c r="J124" i="5"/>
  <c r="Q84" i="4"/>
  <c r="G208" i="7"/>
  <c r="B27" i="1"/>
  <c r="J111" i="5"/>
  <c r="Q104" i="3"/>
  <c r="Q137" i="3"/>
  <c r="Q69" i="3"/>
  <c r="Q144" i="3"/>
  <c r="J147" i="5"/>
  <c r="J154" i="5"/>
  <c r="Q180" i="3"/>
  <c r="Q202" i="3"/>
  <c r="Q206" i="3"/>
  <c r="Q25" i="4"/>
  <c r="Q32" i="4"/>
  <c r="Q140" i="4"/>
  <c r="Q183" i="4"/>
  <c r="J103" i="5"/>
  <c r="Q188" i="3"/>
  <c r="Q15" i="4"/>
  <c r="Q177" i="4"/>
  <c r="Q70" i="3"/>
  <c r="Q91" i="3"/>
  <c r="Q125" i="3"/>
  <c r="Q159" i="3"/>
  <c r="Q166" i="3"/>
  <c r="Q181" i="3"/>
  <c r="Q203" i="3"/>
  <c r="Q94" i="4"/>
  <c r="A6" i="9"/>
  <c r="G208" i="6"/>
  <c r="G209" i="6" s="1"/>
  <c r="I208" i="8"/>
  <c r="I209" i="8" s="1"/>
  <c r="I211" i="8" s="1"/>
  <c r="H208" i="5"/>
  <c r="H209" i="5" s="1"/>
  <c r="H211" i="5" s="1"/>
  <c r="F208" i="6"/>
  <c r="F209" i="6" s="1"/>
  <c r="G208" i="8"/>
  <c r="I208" i="6"/>
  <c r="I209" i="6" s="1"/>
  <c r="I211" i="6" s="1"/>
  <c r="G208" i="5"/>
  <c r="G209" i="5" s="1"/>
  <c r="D208" i="8"/>
  <c r="F208" i="5"/>
  <c r="F209" i="5" s="1"/>
  <c r="O23" i="8"/>
  <c r="H6" i="8" s="1"/>
  <c r="F26" i="1" s="1"/>
  <c r="F27" i="1"/>
  <c r="R35" i="4"/>
  <c r="X35" i="4" s="1"/>
  <c r="Q38" i="4"/>
  <c r="Q46" i="4"/>
  <c r="Q48" i="4"/>
  <c r="Q87" i="4"/>
  <c r="R130" i="4"/>
  <c r="X130" i="4" s="1"/>
  <c r="Q131" i="4"/>
  <c r="Q133" i="4"/>
  <c r="Q136" i="4"/>
  <c r="X57" i="4"/>
  <c r="Q65" i="4"/>
  <c r="Q68" i="4"/>
  <c r="R18" i="4"/>
  <c r="R58" i="4"/>
  <c r="D57" i="6" s="1"/>
  <c r="J57" i="6" s="1"/>
  <c r="R61" i="4"/>
  <c r="X61" i="4" s="1"/>
  <c r="R71" i="4"/>
  <c r="D70" i="6" s="1"/>
  <c r="J70" i="6" s="1"/>
  <c r="Q74" i="4"/>
  <c r="R84" i="4"/>
  <c r="X84" i="4" s="1"/>
  <c r="Q108" i="4"/>
  <c r="R15" i="4"/>
  <c r="X15" i="4" s="1"/>
  <c r="Q64" i="4"/>
  <c r="X64" i="4"/>
  <c r="Q42" i="4"/>
  <c r="X54" i="4"/>
  <c r="R126" i="4"/>
  <c r="X93" i="4"/>
  <c r="Q7" i="3"/>
  <c r="Q20" i="3"/>
  <c r="J28" i="5"/>
  <c r="J8" i="5"/>
  <c r="Q19" i="3"/>
  <c r="Q11" i="3"/>
  <c r="Q21" i="3"/>
  <c r="Q56" i="3"/>
  <c r="Q34" i="3"/>
  <c r="Q41" i="3"/>
  <c r="Q22" i="3"/>
  <c r="Q57" i="3"/>
  <c r="Q58" i="3"/>
  <c r="R27" i="9"/>
  <c r="F11" i="10"/>
  <c r="S24" i="10" s="1"/>
  <c r="E11" i="10"/>
  <c r="S23" i="10" s="1"/>
  <c r="I9" i="10"/>
  <c r="F15" i="10" s="1"/>
  <c r="I27" i="10"/>
  <c r="G15" i="10"/>
  <c r="AD4" i="11"/>
  <c r="G22" i="10" s="1"/>
  <c r="AQ4" i="11"/>
  <c r="D23" i="10" s="1"/>
  <c r="BC4" i="11"/>
  <c r="P23" i="10" s="1"/>
  <c r="BP4" i="11"/>
  <c r="M24" i="10" s="1"/>
  <c r="CC4" i="11"/>
  <c r="J25" i="10" s="1"/>
  <c r="CP4" i="11"/>
  <c r="G26" i="10" s="1"/>
  <c r="AC4" i="11"/>
  <c r="F22" i="10" s="1"/>
  <c r="AO4" i="11"/>
  <c r="R22" i="10" s="1"/>
  <c r="BB4" i="11"/>
  <c r="O23" i="10" s="1"/>
  <c r="BO4" i="11"/>
  <c r="L24" i="10" s="1"/>
  <c r="CB4" i="11"/>
  <c r="I25" i="10" s="1"/>
  <c r="CO4" i="11"/>
  <c r="F26" i="10" s="1"/>
  <c r="DA4" i="11"/>
  <c r="R26" i="10" s="1"/>
  <c r="AB4" i="11"/>
  <c r="E22" i="10" s="1"/>
  <c r="AN4" i="11"/>
  <c r="Q22" i="10" s="1"/>
  <c r="BA4" i="11"/>
  <c r="N23" i="10" s="1"/>
  <c r="BN4" i="11"/>
  <c r="K24" i="10" s="1"/>
  <c r="CA4" i="11"/>
  <c r="H25" i="10" s="1"/>
  <c r="CN4" i="11"/>
  <c r="E26" i="10" s="1"/>
  <c r="CZ4" i="11"/>
  <c r="AA4" i="11"/>
  <c r="D22" i="10" s="1"/>
  <c r="AM4" i="11"/>
  <c r="P22" i="10" s="1"/>
  <c r="AZ4" i="11"/>
  <c r="M23" i="10" s="1"/>
  <c r="M27" i="10" s="1"/>
  <c r="BM4" i="11"/>
  <c r="J24" i="10" s="1"/>
  <c r="J27" i="10" s="1"/>
  <c r="BZ4" i="11"/>
  <c r="G25" i="10" s="1"/>
  <c r="CM4" i="11"/>
  <c r="D26" i="10" s="1"/>
  <c r="CY4" i="11"/>
  <c r="P26" i="10" s="1"/>
  <c r="I8" i="10"/>
  <c r="H14" i="10" s="1"/>
  <c r="I10" i="10"/>
  <c r="E16" i="10" s="1"/>
  <c r="H16" i="10"/>
  <c r="AK4" i="11"/>
  <c r="N22" i="10" s="1"/>
  <c r="AX4" i="11"/>
  <c r="K23" i="10" s="1"/>
  <c r="BK4" i="11"/>
  <c r="H24" i="10" s="1"/>
  <c r="H27" i="10" s="1"/>
  <c r="BX4" i="11"/>
  <c r="E25" i="10" s="1"/>
  <c r="CJ4" i="11"/>
  <c r="CW4" i="11"/>
  <c r="N26" i="10" s="1"/>
  <c r="G11" i="10"/>
  <c r="S25" i="10" s="1"/>
  <c r="Q27" i="10"/>
  <c r="D27" i="10"/>
  <c r="P27" i="10"/>
  <c r="O27" i="10"/>
  <c r="D11" i="10"/>
  <c r="Q23" i="10"/>
  <c r="H11" i="10"/>
  <c r="C8" i="12"/>
  <c r="J164" i="5"/>
  <c r="J200" i="5"/>
  <c r="D74" i="5"/>
  <c r="J74" i="5" s="1"/>
  <c r="Q75" i="3"/>
  <c r="D152" i="6"/>
  <c r="J152" i="6" s="1"/>
  <c r="X153" i="4"/>
  <c r="Q44" i="4"/>
  <c r="R44" i="4"/>
  <c r="D50" i="6"/>
  <c r="J50" i="6" s="1"/>
  <c r="X51" i="4"/>
  <c r="D90" i="6"/>
  <c r="J90" i="6" s="1"/>
  <c r="X91" i="4"/>
  <c r="D110" i="6"/>
  <c r="J110" i="6" s="1"/>
  <c r="X111" i="4"/>
  <c r="E119" i="5"/>
  <c r="J119" i="5" s="1"/>
  <c r="Q120" i="3"/>
  <c r="D38" i="5"/>
  <c r="J38" i="5" s="1"/>
  <c r="Q39" i="3"/>
  <c r="D61" i="5"/>
  <c r="J61" i="5" s="1"/>
  <c r="Q62" i="3"/>
  <c r="E127" i="5"/>
  <c r="J127" i="5" s="1"/>
  <c r="Q128" i="3"/>
  <c r="Q150" i="3"/>
  <c r="D149" i="5"/>
  <c r="J149" i="5" s="1"/>
  <c r="Q196" i="3"/>
  <c r="D195" i="5"/>
  <c r="J195" i="5" s="1"/>
  <c r="I215" i="6"/>
  <c r="C14" i="9" s="1"/>
  <c r="D14" i="9" s="1"/>
  <c r="C27" i="1"/>
  <c r="D21" i="6"/>
  <c r="X32" i="4"/>
  <c r="D31" i="6"/>
  <c r="J31" i="6" s="1"/>
  <c r="Q83" i="4"/>
  <c r="R83" i="4"/>
  <c r="X88" i="4"/>
  <c r="E87" i="6"/>
  <c r="J87" i="6" s="1"/>
  <c r="D94" i="6"/>
  <c r="J94" i="6" s="1"/>
  <c r="X95" i="4"/>
  <c r="R122" i="4"/>
  <c r="Q122" i="4"/>
  <c r="D146" i="6"/>
  <c r="J146" i="6" s="1"/>
  <c r="X147" i="4"/>
  <c r="X187" i="4"/>
  <c r="F186" i="6"/>
  <c r="J186" i="6" s="1"/>
  <c r="J171" i="6"/>
  <c r="J30" i="5"/>
  <c r="Q65" i="3"/>
  <c r="Q85" i="3"/>
  <c r="J133" i="5"/>
  <c r="Q168" i="3"/>
  <c r="Q23" i="4"/>
  <c r="Q78" i="4"/>
  <c r="X100" i="4"/>
  <c r="Q104" i="4"/>
  <c r="Q198" i="4"/>
  <c r="J178" i="5"/>
  <c r="J93" i="6"/>
  <c r="D162" i="5"/>
  <c r="J162" i="5" s="1"/>
  <c r="Q163" i="3"/>
  <c r="E194" i="5"/>
  <c r="J194" i="5" s="1"/>
  <c r="Q195" i="3"/>
  <c r="D58" i="6"/>
  <c r="J58" i="6" s="1"/>
  <c r="X59" i="4"/>
  <c r="D60" i="5"/>
  <c r="J60" i="5" s="1"/>
  <c r="Q61" i="3"/>
  <c r="Q20" i="4"/>
  <c r="R20" i="4"/>
  <c r="E47" i="5"/>
  <c r="J47" i="5" s="1"/>
  <c r="Q48" i="3"/>
  <c r="D24" i="5"/>
  <c r="J24" i="5" s="1"/>
  <c r="Q25" i="3"/>
  <c r="Q71" i="3"/>
  <c r="D70" i="5"/>
  <c r="J70" i="5" s="1"/>
  <c r="Q107" i="3"/>
  <c r="D106" i="5"/>
  <c r="J106" i="5" s="1"/>
  <c r="D141" i="5"/>
  <c r="J141" i="5" s="1"/>
  <c r="Q142" i="3"/>
  <c r="D8" i="6"/>
  <c r="J8" i="6" s="1"/>
  <c r="X9" i="4"/>
  <c r="E12" i="6"/>
  <c r="J12" i="6" s="1"/>
  <c r="X13" i="4"/>
  <c r="Q30" i="4"/>
  <c r="R30" i="4"/>
  <c r="Q56" i="4"/>
  <c r="R56" i="4"/>
  <c r="R80" i="4"/>
  <c r="Q80" i="4"/>
  <c r="D81" i="6"/>
  <c r="J81" i="6" s="1"/>
  <c r="X82" i="4"/>
  <c r="D86" i="6"/>
  <c r="J86" i="6" s="1"/>
  <c r="X87" i="4"/>
  <c r="Q96" i="4"/>
  <c r="R96" i="4"/>
  <c r="D106" i="6"/>
  <c r="J106" i="6" s="1"/>
  <c r="X107" i="4"/>
  <c r="D107" i="6"/>
  <c r="J107" i="6" s="1"/>
  <c r="X108" i="4"/>
  <c r="D126" i="6"/>
  <c r="J126" i="6" s="1"/>
  <c r="X127" i="4"/>
  <c r="Q135" i="4"/>
  <c r="S135" i="4"/>
  <c r="J84" i="5"/>
  <c r="J75" i="5"/>
  <c r="J15" i="5"/>
  <c r="Q43" i="3"/>
  <c r="Q124" i="3"/>
  <c r="J156" i="5"/>
  <c r="J157" i="5"/>
  <c r="Q169" i="3"/>
  <c r="Q36" i="4"/>
  <c r="Q147" i="4"/>
  <c r="J177" i="6"/>
  <c r="D10" i="5"/>
  <c r="J10" i="5" s="1"/>
  <c r="J66" i="5"/>
  <c r="J153" i="5"/>
  <c r="B208" i="6"/>
  <c r="B208" i="7"/>
  <c r="D104" i="5"/>
  <c r="J104" i="5" s="1"/>
  <c r="Q105" i="3"/>
  <c r="Q106" i="4"/>
  <c r="R106" i="4"/>
  <c r="Q60" i="4"/>
  <c r="R60" i="4"/>
  <c r="D116" i="6"/>
  <c r="J116" i="6" s="1"/>
  <c r="X117" i="4"/>
  <c r="D140" i="5"/>
  <c r="J140" i="5" s="1"/>
  <c r="Q141" i="3"/>
  <c r="Q108" i="3"/>
  <c r="E107" i="5"/>
  <c r="J107" i="5" s="1"/>
  <c r="T73" i="4"/>
  <c r="Q73" i="4"/>
  <c r="R76" i="4"/>
  <c r="Q76" i="4"/>
  <c r="R77" i="4"/>
  <c r="Q77" i="4"/>
  <c r="Q79" i="4"/>
  <c r="R79" i="4"/>
  <c r="Q181" i="4"/>
  <c r="R181" i="4"/>
  <c r="E11" i="5"/>
  <c r="Q12" i="3"/>
  <c r="D25" i="5"/>
  <c r="J25" i="5" s="1"/>
  <c r="Q26" i="3"/>
  <c r="E94" i="5"/>
  <c r="J94" i="5" s="1"/>
  <c r="Q95" i="3"/>
  <c r="D128" i="5"/>
  <c r="J128" i="5" s="1"/>
  <c r="Q129" i="3"/>
  <c r="D182" i="5"/>
  <c r="J182" i="5" s="1"/>
  <c r="Q183" i="3"/>
  <c r="R14" i="4"/>
  <c r="Q14" i="4"/>
  <c r="Q34" i="4"/>
  <c r="R34" i="4"/>
  <c r="D41" i="6"/>
  <c r="J41" i="6" s="1"/>
  <c r="X42" i="4"/>
  <c r="X68" i="4"/>
  <c r="D67" i="6"/>
  <c r="J67" i="6" s="1"/>
  <c r="Q119" i="4"/>
  <c r="R119" i="4"/>
  <c r="E123" i="6"/>
  <c r="J123" i="6" s="1"/>
  <c r="X124" i="4"/>
  <c r="D130" i="6"/>
  <c r="J130" i="6" s="1"/>
  <c r="X131" i="4"/>
  <c r="D141" i="6"/>
  <c r="J141" i="6" s="1"/>
  <c r="X142" i="4"/>
  <c r="R156" i="4"/>
  <c r="Q156" i="4"/>
  <c r="T169" i="4"/>
  <c r="F168" i="6" s="1"/>
  <c r="J168" i="6" s="1"/>
  <c r="Q169" i="4"/>
  <c r="D173" i="6"/>
  <c r="J173" i="6" s="1"/>
  <c r="X174" i="4"/>
  <c r="D184" i="6"/>
  <c r="X185" i="4"/>
  <c r="Q162" i="4"/>
  <c r="J16" i="5"/>
  <c r="J39" i="5"/>
  <c r="Q180" i="4"/>
  <c r="I146" i="5"/>
  <c r="J146" i="5" s="1"/>
  <c r="B25" i="1"/>
  <c r="J17" i="5"/>
  <c r="Q29" i="3"/>
  <c r="Q49" i="3"/>
  <c r="Q67" i="3"/>
  <c r="J100" i="5"/>
  <c r="Q111" i="3"/>
  <c r="Q143" i="3"/>
  <c r="Q201" i="3"/>
  <c r="Q59" i="4"/>
  <c r="Q114" i="4"/>
  <c r="J154" i="6"/>
  <c r="J174" i="6"/>
  <c r="D45" i="6"/>
  <c r="J45" i="6" s="1"/>
  <c r="J99" i="6"/>
  <c r="E120" i="6"/>
  <c r="J120" i="6" s="1"/>
  <c r="X121" i="4"/>
  <c r="Q17" i="4"/>
  <c r="R17" i="4"/>
  <c r="D28" i="6"/>
  <c r="J28" i="6" s="1"/>
  <c r="X29" i="4"/>
  <c r="Q92" i="4"/>
  <c r="R92" i="4"/>
  <c r="X97" i="4"/>
  <c r="D96" i="6"/>
  <c r="J96" i="6" s="1"/>
  <c r="Q116" i="4"/>
  <c r="R116" i="4"/>
  <c r="X118" i="4"/>
  <c r="D117" i="6"/>
  <c r="J117" i="6" s="1"/>
  <c r="D122" i="6"/>
  <c r="J122" i="6" s="1"/>
  <c r="X123" i="4"/>
  <c r="Q132" i="4"/>
  <c r="R132" i="4"/>
  <c r="D140" i="6"/>
  <c r="J140" i="6" s="1"/>
  <c r="X141" i="4"/>
  <c r="D157" i="6"/>
  <c r="J157" i="6" s="1"/>
  <c r="X158" i="4"/>
  <c r="D159" i="6"/>
  <c r="J159" i="6" s="1"/>
  <c r="X160" i="4"/>
  <c r="S205" i="4"/>
  <c r="E204" i="6" s="1"/>
  <c r="J204" i="6" s="1"/>
  <c r="Q205" i="4"/>
  <c r="J52" i="5"/>
  <c r="J32" i="5"/>
  <c r="Q186" i="3"/>
  <c r="D185" i="5"/>
  <c r="J185" i="5" s="1"/>
  <c r="Q47" i="4"/>
  <c r="R47" i="4"/>
  <c r="D113" i="6"/>
  <c r="J113" i="6" s="1"/>
  <c r="X114" i="4"/>
  <c r="Q138" i="4"/>
  <c r="S138" i="4"/>
  <c r="E137" i="6" s="1"/>
  <c r="J137" i="6" s="1"/>
  <c r="R161" i="4"/>
  <c r="Q161" i="4"/>
  <c r="D97" i="5"/>
  <c r="J97" i="5" s="1"/>
  <c r="Q98" i="3"/>
  <c r="D118" i="5"/>
  <c r="J118" i="5" s="1"/>
  <c r="Q119" i="3"/>
  <c r="Q125" i="4"/>
  <c r="R125" i="4"/>
  <c r="D62" i="5"/>
  <c r="J62" i="5" s="1"/>
  <c r="Q63" i="3"/>
  <c r="Q86" i="3"/>
  <c r="D85" i="5"/>
  <c r="J85" i="5" s="1"/>
  <c r="C25" i="1"/>
  <c r="Q35" i="3"/>
  <c r="D34" i="5"/>
  <c r="J34" i="5" s="1"/>
  <c r="D86" i="5"/>
  <c r="J86" i="5" s="1"/>
  <c r="Q87" i="3"/>
  <c r="F95" i="5"/>
  <c r="Q96" i="3"/>
  <c r="D151" i="5"/>
  <c r="J151" i="5" s="1"/>
  <c r="Q152" i="3"/>
  <c r="D44" i="6"/>
  <c r="J44" i="6" s="1"/>
  <c r="X45" i="4"/>
  <c r="Q66" i="4"/>
  <c r="R66" i="4"/>
  <c r="D72" i="5"/>
  <c r="J72" i="5" s="1"/>
  <c r="Q73" i="3"/>
  <c r="E116" i="5"/>
  <c r="J116" i="5" s="1"/>
  <c r="Q117" i="3"/>
  <c r="D129" i="5"/>
  <c r="J129" i="5" s="1"/>
  <c r="Q130" i="3"/>
  <c r="Q53" i="4"/>
  <c r="R53" i="4"/>
  <c r="D64" i="6"/>
  <c r="J64" i="6" s="1"/>
  <c r="X65" i="4"/>
  <c r="Q67" i="4"/>
  <c r="R67" i="4"/>
  <c r="Q109" i="4"/>
  <c r="T109" i="4"/>
  <c r="R112" i="4"/>
  <c r="Q112" i="4"/>
  <c r="R113" i="4"/>
  <c r="Q113" i="4"/>
  <c r="Q115" i="4"/>
  <c r="R115" i="4"/>
  <c r="D136" i="6"/>
  <c r="J136" i="6" s="1"/>
  <c r="X137" i="4"/>
  <c r="S143" i="4"/>
  <c r="Q143" i="4"/>
  <c r="Q176" i="4"/>
  <c r="R176" i="4"/>
  <c r="Q189" i="4"/>
  <c r="R189" i="4"/>
  <c r="J77" i="5"/>
  <c r="J25" i="6"/>
  <c r="Q72" i="4"/>
  <c r="J122" i="5"/>
  <c r="Q133" i="3"/>
  <c r="J190" i="5"/>
  <c r="Q121" i="4"/>
  <c r="X148" i="4"/>
  <c r="Q194" i="4"/>
  <c r="E83" i="5"/>
  <c r="Q84" i="3"/>
  <c r="E51" i="6"/>
  <c r="J51" i="6" s="1"/>
  <c r="X52" i="4"/>
  <c r="E105" i="5"/>
  <c r="Q106" i="3"/>
  <c r="X25" i="4"/>
  <c r="D24" i="6"/>
  <c r="J24" i="6" s="1"/>
  <c r="D71" i="6"/>
  <c r="J71" i="6" s="1"/>
  <c r="X72" i="4"/>
  <c r="D46" i="5"/>
  <c r="J46" i="5" s="1"/>
  <c r="Q47" i="3"/>
  <c r="Q164" i="3"/>
  <c r="D163" i="5"/>
  <c r="J163" i="5" s="1"/>
  <c r="D11" i="6"/>
  <c r="J11" i="6" s="1"/>
  <c r="X12" i="4"/>
  <c r="T37" i="4"/>
  <c r="Q37" i="4"/>
  <c r="Q43" i="4"/>
  <c r="R43" i="4"/>
  <c r="D150" i="5"/>
  <c r="J150" i="5" s="1"/>
  <c r="Q151" i="3"/>
  <c r="Q31" i="4"/>
  <c r="R31" i="4"/>
  <c r="X48" i="4"/>
  <c r="D47" i="6"/>
  <c r="J47" i="6" s="1"/>
  <c r="D38" i="6"/>
  <c r="J38" i="6" s="1"/>
  <c r="X39" i="4"/>
  <c r="Q36" i="3"/>
  <c r="E35" i="5"/>
  <c r="J35" i="5" s="1"/>
  <c r="B26" i="1"/>
  <c r="D26" i="1" s="1"/>
  <c r="H215" i="5"/>
  <c r="B13" i="9" s="1"/>
  <c r="D12" i="5"/>
  <c r="J12" i="5" s="1"/>
  <c r="Q13" i="3"/>
  <c r="E138" i="5"/>
  <c r="Q139" i="3"/>
  <c r="D152" i="5"/>
  <c r="J152" i="5" s="1"/>
  <c r="Q153" i="3"/>
  <c r="D206" i="5"/>
  <c r="J206" i="5" s="1"/>
  <c r="Q207" i="3"/>
  <c r="C24" i="1"/>
  <c r="Q11" i="4"/>
  <c r="R11" i="4"/>
  <c r="E15" i="6"/>
  <c r="J15" i="6" s="1"/>
  <c r="X16" i="4"/>
  <c r="D22" i="6"/>
  <c r="J22" i="6" s="1"/>
  <c r="X23" i="4"/>
  <c r="R50" i="4"/>
  <c r="Q50" i="4"/>
  <c r="Q70" i="4"/>
  <c r="R70" i="4"/>
  <c r="D77" i="6"/>
  <c r="J77" i="6" s="1"/>
  <c r="X78" i="4"/>
  <c r="X104" i="4"/>
  <c r="D103" i="6"/>
  <c r="J103" i="6" s="1"/>
  <c r="E135" i="6"/>
  <c r="J135" i="6" s="1"/>
  <c r="X136" i="4"/>
  <c r="Q170" i="4"/>
  <c r="R170" i="4"/>
  <c r="X193" i="4"/>
  <c r="D192" i="6"/>
  <c r="J192" i="6" s="1"/>
  <c r="I215" i="7"/>
  <c r="E14" i="9" s="1"/>
  <c r="G14" i="9" s="1"/>
  <c r="E27" i="1"/>
  <c r="Q15" i="3"/>
  <c r="D14" i="5"/>
  <c r="J14" i="5" s="1"/>
  <c r="J188" i="5"/>
  <c r="Q53" i="3"/>
  <c r="J57" i="5"/>
  <c r="J19" i="5"/>
  <c r="Q176" i="3"/>
  <c r="X94" i="4"/>
  <c r="Q95" i="4"/>
  <c r="B208" i="5"/>
  <c r="D48" i="5"/>
  <c r="J48" i="5" s="1"/>
  <c r="R86" i="4"/>
  <c r="Q86" i="4"/>
  <c r="Q163" i="4"/>
  <c r="R163" i="4"/>
  <c r="R40" i="4"/>
  <c r="Q40" i="4"/>
  <c r="Q72" i="3"/>
  <c r="E71" i="5"/>
  <c r="D174" i="5"/>
  <c r="J174" i="5" s="1"/>
  <c r="Q175" i="3"/>
  <c r="Q184" i="3"/>
  <c r="E183" i="5"/>
  <c r="J183" i="5" s="1"/>
  <c r="Q27" i="4"/>
  <c r="S27" i="4"/>
  <c r="Q50" i="3"/>
  <c r="D49" i="5"/>
  <c r="J49" i="5" s="1"/>
  <c r="D108" i="5"/>
  <c r="J108" i="5" s="1"/>
  <c r="Q109" i="3"/>
  <c r="D50" i="5"/>
  <c r="J50" i="5" s="1"/>
  <c r="Q51" i="3"/>
  <c r="E59" i="5"/>
  <c r="J59" i="5" s="1"/>
  <c r="Q60" i="3"/>
  <c r="D130" i="5"/>
  <c r="J130" i="5" s="1"/>
  <c r="Q131" i="3"/>
  <c r="Q8" i="4"/>
  <c r="R8" i="4"/>
  <c r="X10" i="4"/>
  <c r="D9" i="6"/>
  <c r="J9" i="6" s="1"/>
  <c r="Q24" i="4"/>
  <c r="R24" i="4"/>
  <c r="D35" i="6"/>
  <c r="J35" i="6" s="1"/>
  <c r="X36" i="4"/>
  <c r="D54" i="6"/>
  <c r="J54" i="6" s="1"/>
  <c r="X55" i="4"/>
  <c r="Q63" i="4"/>
  <c r="S63" i="4"/>
  <c r="D74" i="6"/>
  <c r="J74" i="6" s="1"/>
  <c r="X75" i="4"/>
  <c r="D80" i="6"/>
  <c r="J80" i="6" s="1"/>
  <c r="X81" i="4"/>
  <c r="E84" i="6"/>
  <c r="J84" i="6" s="1"/>
  <c r="X85" i="4"/>
  <c r="Q102" i="4"/>
  <c r="R102" i="4"/>
  <c r="Q128" i="4"/>
  <c r="R128" i="4"/>
  <c r="X133" i="4"/>
  <c r="D132" i="6"/>
  <c r="J132" i="6" s="1"/>
  <c r="Q151" i="4"/>
  <c r="R151" i="4"/>
  <c r="G33" i="8"/>
  <c r="H33" i="8"/>
  <c r="F33" i="8"/>
  <c r="D33" i="8"/>
  <c r="E33" i="8"/>
  <c r="X21" i="4"/>
  <c r="J89" i="6"/>
  <c r="Q121" i="3"/>
  <c r="J41" i="5"/>
  <c r="J64" i="5"/>
  <c r="Q157" i="3"/>
  <c r="J61" i="6"/>
  <c r="J63" i="6"/>
  <c r="Q82" i="4"/>
  <c r="Q23" i="3"/>
  <c r="D22" i="5"/>
  <c r="J22" i="5" s="1"/>
  <c r="Q140" i="3"/>
  <c r="D139" i="5"/>
  <c r="J139" i="5" s="1"/>
  <c r="J6" i="5"/>
  <c r="B22" i="1"/>
  <c r="E23" i="5"/>
  <c r="J23" i="5" s="1"/>
  <c r="Q24" i="3"/>
  <c r="D37" i="5"/>
  <c r="J37" i="5" s="1"/>
  <c r="Q38" i="3"/>
  <c r="D171" i="5"/>
  <c r="J171" i="5" s="1"/>
  <c r="Q172" i="3"/>
  <c r="Q99" i="4"/>
  <c r="S99" i="4"/>
  <c r="D153" i="6"/>
  <c r="J153" i="6" s="1"/>
  <c r="X154" i="4"/>
  <c r="D126" i="5"/>
  <c r="J126" i="5" s="1"/>
  <c r="Q127" i="3"/>
  <c r="E172" i="5"/>
  <c r="J172" i="5" s="1"/>
  <c r="Q173" i="3"/>
  <c r="Q41" i="4"/>
  <c r="R41" i="4"/>
  <c r="Q139" i="4"/>
  <c r="R139" i="4"/>
  <c r="D151" i="6"/>
  <c r="J151" i="6" s="1"/>
  <c r="X152" i="4"/>
  <c r="R197" i="4"/>
  <c r="Q197" i="4"/>
  <c r="D93" i="5"/>
  <c r="J93" i="5" s="1"/>
  <c r="Q94" i="3"/>
  <c r="Q174" i="3"/>
  <c r="D173" i="5"/>
  <c r="J173" i="5" s="1"/>
  <c r="D115" i="5"/>
  <c r="J115" i="5" s="1"/>
  <c r="Q116" i="3"/>
  <c r="D18" i="6"/>
  <c r="J18" i="6" s="1"/>
  <c r="X19" i="4"/>
  <c r="E48" i="6"/>
  <c r="J48" i="6" s="1"/>
  <c r="X49" i="4"/>
  <c r="D26" i="5"/>
  <c r="J26" i="5" s="1"/>
  <c r="Q27" i="3"/>
  <c r="D58" i="5"/>
  <c r="J58" i="5" s="1"/>
  <c r="Q59" i="3"/>
  <c r="D73" i="5"/>
  <c r="J73" i="5" s="1"/>
  <c r="Q74" i="3"/>
  <c r="Q185" i="3"/>
  <c r="D184" i="5"/>
  <c r="J184" i="5" s="1"/>
  <c r="B24" i="1"/>
  <c r="D13" i="5"/>
  <c r="J13" i="5" s="1"/>
  <c r="Q14" i="3"/>
  <c r="D36" i="5"/>
  <c r="J36" i="5" s="1"/>
  <c r="Q37" i="3"/>
  <c r="D82" i="5"/>
  <c r="J82" i="5" s="1"/>
  <c r="Q83" i="3"/>
  <c r="D96" i="5"/>
  <c r="J96" i="5" s="1"/>
  <c r="Q97" i="3"/>
  <c r="D117" i="5"/>
  <c r="J117" i="5" s="1"/>
  <c r="Q118" i="3"/>
  <c r="E131" i="5"/>
  <c r="J131" i="5" s="1"/>
  <c r="Q132" i="3"/>
  <c r="D193" i="5"/>
  <c r="J193" i="5" s="1"/>
  <c r="Q194" i="3"/>
  <c r="Q7" i="4"/>
  <c r="R7" i="4"/>
  <c r="Q89" i="4"/>
  <c r="R89" i="4"/>
  <c r="D100" i="6"/>
  <c r="J100" i="6" s="1"/>
  <c r="X101" i="4"/>
  <c r="Q103" i="4"/>
  <c r="R103" i="4"/>
  <c r="X120" i="4"/>
  <c r="D119" i="6"/>
  <c r="J119" i="6" s="1"/>
  <c r="Q144" i="4"/>
  <c r="R144" i="4"/>
  <c r="Q149" i="4"/>
  <c r="R149" i="4"/>
  <c r="X168" i="4"/>
  <c r="D167" i="6"/>
  <c r="J167" i="6" s="1"/>
  <c r="E178" i="6"/>
  <c r="J178" i="6" s="1"/>
  <c r="X179" i="4"/>
  <c r="D203" i="6"/>
  <c r="J160" i="5"/>
  <c r="J196" i="5"/>
  <c r="J205" i="5"/>
  <c r="J187" i="5"/>
  <c r="Q197" i="3"/>
  <c r="J166" i="5"/>
  <c r="J79" i="5"/>
  <c r="Q77" i="3"/>
  <c r="C23" i="1"/>
  <c r="D23" i="1" s="1"/>
  <c r="Q17" i="3"/>
  <c r="J21" i="5"/>
  <c r="J43" i="5"/>
  <c r="Q55" i="3"/>
  <c r="J88" i="5"/>
  <c r="Q100" i="3"/>
  <c r="Q135" i="3"/>
  <c r="Q154" i="3"/>
  <c r="Q158" i="3"/>
  <c r="J170" i="5"/>
  <c r="J176" i="5"/>
  <c r="Q13" i="4"/>
  <c r="Q29" i="4"/>
  <c r="J53" i="6"/>
  <c r="X90" i="4"/>
  <c r="X129" i="4"/>
  <c r="X171" i="4"/>
  <c r="X172" i="4"/>
  <c r="J41" i="7"/>
  <c r="J61" i="7"/>
  <c r="G61" i="7" s="1"/>
  <c r="J31" i="7"/>
  <c r="G31" i="7" s="1"/>
  <c r="J10" i="7"/>
  <c r="D10" i="7" s="1"/>
  <c r="J45" i="7"/>
  <c r="J34" i="7"/>
  <c r="G34" i="7" s="1"/>
  <c r="J39" i="7"/>
  <c r="D39" i="7" s="1"/>
  <c r="J20" i="7"/>
  <c r="G20" i="7" s="1"/>
  <c r="J16" i="7"/>
  <c r="G16" i="7" s="1"/>
  <c r="J57" i="7"/>
  <c r="D57" i="7" s="1"/>
  <c r="J38" i="7"/>
  <c r="J32" i="8"/>
  <c r="J16" i="8"/>
  <c r="J37" i="8"/>
  <c r="J28" i="8"/>
  <c r="J53" i="8"/>
  <c r="J45" i="8"/>
  <c r="J15" i="8"/>
  <c r="J59" i="8"/>
  <c r="J13" i="8"/>
  <c r="J22" i="8"/>
  <c r="J39" i="8"/>
  <c r="Q162" i="3"/>
  <c r="D161" i="5"/>
  <c r="J161" i="5" s="1"/>
  <c r="J120" i="5"/>
  <c r="J138" i="5"/>
  <c r="J199" i="5"/>
  <c r="J183" i="6"/>
  <c r="J11" i="7"/>
  <c r="G11" i="7" s="1"/>
  <c r="J11" i="5"/>
  <c r="Q18" i="3"/>
  <c r="Q30" i="3"/>
  <c r="Q42" i="3"/>
  <c r="Q54" i="3"/>
  <c r="Q66" i="3"/>
  <c r="J71" i="5"/>
  <c r="Q78" i="3"/>
  <c r="J83" i="5"/>
  <c r="Q101" i="3"/>
  <c r="J105" i="5"/>
  <c r="Q112" i="3"/>
  <c r="Q123" i="3"/>
  <c r="Q134" i="3"/>
  <c r="Q145" i="3"/>
  <c r="Q156" i="3"/>
  <c r="Q167" i="3"/>
  <c r="Q178" i="3"/>
  <c r="Q189" i="3"/>
  <c r="Q199" i="3"/>
  <c r="J204" i="5"/>
  <c r="Q16" i="4"/>
  <c r="Q21" i="4"/>
  <c r="Q26" i="4"/>
  <c r="Q39" i="4"/>
  <c r="Q52" i="4"/>
  <c r="Q57" i="4"/>
  <c r="Q62" i="4"/>
  <c r="Q75" i="4"/>
  <c r="Q88" i="4"/>
  <c r="Q93" i="4"/>
  <c r="Q98" i="4"/>
  <c r="Q111" i="4"/>
  <c r="Q124" i="4"/>
  <c r="Q129" i="4"/>
  <c r="Q134" i="4"/>
  <c r="X146" i="4"/>
  <c r="Q154" i="4"/>
  <c r="Q155" i="4"/>
  <c r="Q167" i="4"/>
  <c r="Q179" i="4"/>
  <c r="J95" i="5"/>
  <c r="D142" i="5"/>
  <c r="J142" i="5" s="1"/>
  <c r="J9" i="7"/>
  <c r="G9" i="7" s="1"/>
  <c r="D156" i="6"/>
  <c r="T166" i="4"/>
  <c r="F165" i="6" s="1"/>
  <c r="J165" i="6" s="1"/>
  <c r="Q166" i="4"/>
  <c r="Q206" i="4"/>
  <c r="R206" i="4"/>
  <c r="J36" i="7"/>
  <c r="J33" i="7"/>
  <c r="G33" i="7" s="1"/>
  <c r="J26" i="7"/>
  <c r="J27" i="5"/>
  <c r="J164" i="6"/>
  <c r="J176" i="6"/>
  <c r="Q195" i="4"/>
  <c r="J144" i="6"/>
  <c r="Q198" i="3"/>
  <c r="D197" i="5"/>
  <c r="J197" i="5" s="1"/>
  <c r="X140" i="4"/>
  <c r="D139" i="6"/>
  <c r="J139" i="6" s="1"/>
  <c r="D149" i="6"/>
  <c r="J59" i="7"/>
  <c r="J53" i="7"/>
  <c r="J47" i="7"/>
  <c r="J37" i="7"/>
  <c r="G37" i="7" s="1"/>
  <c r="J48" i="7"/>
  <c r="G48" i="7" s="1"/>
  <c r="J18" i="7"/>
  <c r="G18" i="7" s="1"/>
  <c r="J60" i="7"/>
  <c r="J58" i="7"/>
  <c r="G58" i="7" s="1"/>
  <c r="J32" i="7"/>
  <c r="G32" i="7" s="1"/>
  <c r="J17" i="7"/>
  <c r="D17" i="7" s="1"/>
  <c r="J51" i="5"/>
  <c r="J98" i="5"/>
  <c r="J109" i="5"/>
  <c r="Q33" i="4"/>
  <c r="Q105" i="4"/>
  <c r="J40" i="5"/>
  <c r="J76" i="5"/>
  <c r="J99" i="5"/>
  <c r="J110" i="5"/>
  <c r="J132" i="5"/>
  <c r="J143" i="5"/>
  <c r="J165" i="5"/>
  <c r="Q204" i="3"/>
  <c r="X145" i="4"/>
  <c r="Q160" i="4"/>
  <c r="J170" i="6"/>
  <c r="X184" i="4"/>
  <c r="X199" i="4"/>
  <c r="J200" i="6"/>
  <c r="D209" i="5"/>
  <c r="D147" i="6"/>
  <c r="J147" i="6" s="1"/>
  <c r="J51" i="7"/>
  <c r="D181" i="6"/>
  <c r="J181" i="6" s="1"/>
  <c r="X182" i="4"/>
  <c r="G14" i="7"/>
  <c r="G7" i="7"/>
  <c r="G55" i="7"/>
  <c r="G44" i="7"/>
  <c r="G26" i="7"/>
  <c r="G17" i="7"/>
  <c r="G51" i="7"/>
  <c r="G25" i="7"/>
  <c r="G12" i="7"/>
  <c r="G47" i="7"/>
  <c r="G40" i="7"/>
  <c r="G29" i="7"/>
  <c r="G24" i="7"/>
  <c r="G60" i="7"/>
  <c r="G41" i="7"/>
  <c r="G28" i="7"/>
  <c r="G54" i="7"/>
  <c r="G38" i="7"/>
  <c r="P22" i="7"/>
  <c r="G6" i="7" s="1"/>
  <c r="G19" i="7"/>
  <c r="G13" i="7"/>
  <c r="G10" i="7"/>
  <c r="G30" i="7"/>
  <c r="G59" i="7"/>
  <c r="G46" i="7"/>
  <c r="G27" i="7"/>
  <c r="G35" i="7"/>
  <c r="G42" i="7"/>
  <c r="G39" i="7"/>
  <c r="G36" i="7"/>
  <c r="G21" i="7"/>
  <c r="J186" i="5"/>
  <c r="J29" i="5"/>
  <c r="J144" i="5"/>
  <c r="J155" i="5"/>
  <c r="J177" i="5"/>
  <c r="J198" i="5"/>
  <c r="Q205" i="3"/>
  <c r="J20" i="6"/>
  <c r="X26" i="4"/>
  <c r="J56" i="6"/>
  <c r="X62" i="4"/>
  <c r="J92" i="6"/>
  <c r="J97" i="6"/>
  <c r="X98" i="4"/>
  <c r="J128" i="6"/>
  <c r="J133" i="6"/>
  <c r="X134" i="4"/>
  <c r="Q145" i="4"/>
  <c r="Q159" i="4"/>
  <c r="J166" i="6"/>
  <c r="X175" i="4"/>
  <c r="Q187" i="4"/>
  <c r="Q199" i="4"/>
  <c r="Q202" i="4"/>
  <c r="J8" i="7"/>
  <c r="D206" i="6"/>
  <c r="J206" i="6" s="1"/>
  <c r="X207" i="4"/>
  <c r="O8" i="8"/>
  <c r="O12" i="8"/>
  <c r="O20" i="8"/>
  <c r="E6" i="8" s="1"/>
  <c r="O6" i="8"/>
  <c r="O19" i="8"/>
  <c r="O11" i="8"/>
  <c r="O22" i="8"/>
  <c r="G6" i="8" s="1"/>
  <c r="O5" i="8"/>
  <c r="O9" i="8"/>
  <c r="J87" i="5"/>
  <c r="J53" i="5"/>
  <c r="J65" i="5"/>
  <c r="J18" i="5"/>
  <c r="J42" i="5"/>
  <c r="J54" i="5"/>
  <c r="J78" i="5"/>
  <c r="J145" i="5"/>
  <c r="J189" i="5"/>
  <c r="Q19" i="4"/>
  <c r="Q55" i="4"/>
  <c r="Q91" i="4"/>
  <c r="Q127" i="4"/>
  <c r="Q153" i="4"/>
  <c r="J185" i="6"/>
  <c r="D175" i="5"/>
  <c r="J175" i="5" s="1"/>
  <c r="D198" i="6"/>
  <c r="J198" i="6" s="1"/>
  <c r="D101" i="5"/>
  <c r="J101" i="5" s="1"/>
  <c r="Q102" i="3"/>
  <c r="R203" i="4"/>
  <c r="Q203" i="4"/>
  <c r="J63" i="5"/>
  <c r="Q69" i="4"/>
  <c r="J112" i="5"/>
  <c r="J123" i="5"/>
  <c r="J134" i="5"/>
  <c r="J55" i="5"/>
  <c r="J90" i="5"/>
  <c r="Q114" i="3"/>
  <c r="J135" i="5"/>
  <c r="J168" i="5"/>
  <c r="Q9" i="4"/>
  <c r="Q45" i="4"/>
  <c r="Q81" i="4"/>
  <c r="Q117" i="4"/>
  <c r="J187" i="6"/>
  <c r="Q191" i="4"/>
  <c r="X194" i="4"/>
  <c r="Q207" i="4"/>
  <c r="J201" i="6"/>
  <c r="G8" i="7"/>
  <c r="J15" i="7"/>
  <c r="G15" i="7" s="1"/>
  <c r="T150" i="4"/>
  <c r="F149" i="6" s="1"/>
  <c r="Q150" i="4"/>
  <c r="D179" i="6"/>
  <c r="J179" i="6" s="1"/>
  <c r="X180" i="4"/>
  <c r="D195" i="6"/>
  <c r="J195" i="6" s="1"/>
  <c r="X196" i="4"/>
  <c r="D56" i="7"/>
  <c r="D50" i="7"/>
  <c r="D44" i="7"/>
  <c r="D38" i="7"/>
  <c r="D26" i="7"/>
  <c r="D12" i="7"/>
  <c r="D52" i="7"/>
  <c r="D46" i="7"/>
  <c r="D40" i="7"/>
  <c r="D34" i="7"/>
  <c r="D28" i="7"/>
  <c r="D54" i="7"/>
  <c r="D47" i="7"/>
  <c r="D36" i="7"/>
  <c r="D29" i="7"/>
  <c r="D24" i="7"/>
  <c r="P19" i="7"/>
  <c r="D43" i="7"/>
  <c r="D23" i="7"/>
  <c r="D22" i="7"/>
  <c r="D9" i="7"/>
  <c r="D59" i="7"/>
  <c r="D27" i="7"/>
  <c r="D35" i="7"/>
  <c r="D8" i="7"/>
  <c r="D51" i="7"/>
  <c r="D15" i="7"/>
  <c r="D60" i="7"/>
  <c r="D20" i="7"/>
  <c r="D41" i="7"/>
  <c r="D25" i="7"/>
  <c r="J20" i="5"/>
  <c r="J80" i="5"/>
  <c r="J91" i="5"/>
  <c r="J180" i="5"/>
  <c r="J201" i="5"/>
  <c r="Q141" i="4"/>
  <c r="X167" i="4"/>
  <c r="Q172" i="4"/>
  <c r="Q173" i="4"/>
  <c r="Q188" i="4"/>
  <c r="J190" i="6"/>
  <c r="J29" i="8"/>
  <c r="Q90" i="3"/>
  <c r="D89" i="5"/>
  <c r="J89" i="5" s="1"/>
  <c r="Q126" i="3"/>
  <c r="D125" i="5"/>
  <c r="J125" i="5" s="1"/>
  <c r="D137" i="5"/>
  <c r="J137" i="5" s="1"/>
  <c r="Q138" i="3"/>
  <c r="Q192" i="4"/>
  <c r="R192" i="4"/>
  <c r="Q200" i="4"/>
  <c r="R200" i="4"/>
  <c r="J44" i="5"/>
  <c r="J56" i="5"/>
  <c r="J9" i="5"/>
  <c r="Q16" i="3"/>
  <c r="Q28" i="3"/>
  <c r="J33" i="5"/>
  <c r="Q40" i="3"/>
  <c r="J45" i="5"/>
  <c r="Q52" i="3"/>
  <c r="Q64" i="3"/>
  <c r="J69" i="5"/>
  <c r="Q76" i="3"/>
  <c r="J81" i="5"/>
  <c r="Q88" i="3"/>
  <c r="J92" i="5"/>
  <c r="Q99" i="3"/>
  <c r="Q110" i="3"/>
  <c r="J114" i="5"/>
  <c r="J148" i="5"/>
  <c r="J159" i="5"/>
  <c r="Q165" i="3"/>
  <c r="Q187" i="3"/>
  <c r="J192" i="5"/>
  <c r="R33" i="4"/>
  <c r="J37" i="6"/>
  <c r="X38" i="4"/>
  <c r="R69" i="4"/>
  <c r="J73" i="6"/>
  <c r="X74" i="4"/>
  <c r="R105" i="4"/>
  <c r="J109" i="6"/>
  <c r="X110" i="4"/>
  <c r="J145" i="6"/>
  <c r="Q148" i="4"/>
  <c r="Q164" i="4"/>
  <c r="Q165" i="4"/>
  <c r="X165" i="4"/>
  <c r="Q175" i="4"/>
  <c r="X178" i="4"/>
  <c r="J182" i="6"/>
  <c r="J193" i="6"/>
  <c r="G23" i="7"/>
  <c r="J56" i="7"/>
  <c r="G56" i="7" s="1"/>
  <c r="O10" i="8"/>
  <c r="J17" i="8"/>
  <c r="Q184" i="4"/>
  <c r="O23" i="7"/>
  <c r="R159" i="4"/>
  <c r="R162" i="4"/>
  <c r="R173" i="4"/>
  <c r="R195" i="4"/>
  <c r="R198" i="4"/>
  <c r="E209" i="6"/>
  <c r="X155" i="4"/>
  <c r="X177" i="4"/>
  <c r="X191" i="4"/>
  <c r="O20" i="7"/>
  <c r="X188" i="4"/>
  <c r="O21" i="7"/>
  <c r="J7" i="7"/>
  <c r="D7" i="7" s="1"/>
  <c r="J13" i="7"/>
  <c r="D13" i="7" s="1"/>
  <c r="Q196" i="4"/>
  <c r="J167" i="5"/>
  <c r="J179" i="5"/>
  <c r="J191" i="5"/>
  <c r="J203" i="5"/>
  <c r="B208" i="8"/>
  <c r="I208" i="5"/>
  <c r="I209" i="5" s="1"/>
  <c r="E208" i="5"/>
  <c r="E209" i="5" s="1"/>
  <c r="I209" i="7"/>
  <c r="I211" i="7" s="1"/>
  <c r="I213" i="7" s="1"/>
  <c r="H208" i="7"/>
  <c r="D208" i="7"/>
  <c r="H208" i="6"/>
  <c r="H209" i="6" s="1"/>
  <c r="H211" i="6" s="1"/>
  <c r="D208" i="6"/>
  <c r="J43" i="7"/>
  <c r="G43" i="7" s="1"/>
  <c r="J49" i="7"/>
  <c r="G49" i="7" s="1"/>
  <c r="J55" i="7"/>
  <c r="D55" i="7" s="1"/>
  <c r="A27" i="9"/>
  <c r="H208" i="8"/>
  <c r="F208" i="8"/>
  <c r="F209" i="8" s="1"/>
  <c r="N27" i="10" l="1"/>
  <c r="K27" i="10"/>
  <c r="F14" i="10"/>
  <c r="D15" i="10"/>
  <c r="X71" i="4"/>
  <c r="L27" i="10"/>
  <c r="X169" i="4"/>
  <c r="X157" i="4"/>
  <c r="X28" i="4"/>
  <c r="G211" i="5"/>
  <c r="G213" i="5" s="1"/>
  <c r="G209" i="7"/>
  <c r="J184" i="6"/>
  <c r="D27" i="1"/>
  <c r="H27" i="1" s="1"/>
  <c r="X204" i="4"/>
  <c r="J203" i="6"/>
  <c r="D129" i="6"/>
  <c r="J129" i="6" s="1"/>
  <c r="X205" i="4"/>
  <c r="G209" i="8"/>
  <c r="J156" i="6"/>
  <c r="D14" i="6"/>
  <c r="J14" i="6" s="1"/>
  <c r="D83" i="6"/>
  <c r="J83" i="6" s="1"/>
  <c r="G211" i="6"/>
  <c r="G213" i="6" s="1"/>
  <c r="G215" i="6" s="1"/>
  <c r="C12" i="9" s="1"/>
  <c r="D12" i="9" s="1"/>
  <c r="I211" i="5"/>
  <c r="I213" i="5" s="1"/>
  <c r="J21" i="6"/>
  <c r="X22" i="4"/>
  <c r="D24" i="1"/>
  <c r="H209" i="8"/>
  <c r="G27" i="1"/>
  <c r="D125" i="6"/>
  <c r="J125" i="6" s="1"/>
  <c r="X126" i="4"/>
  <c r="D17" i="6"/>
  <c r="J17" i="6" s="1"/>
  <c r="X18" i="4"/>
  <c r="D60" i="6"/>
  <c r="J60" i="6" s="1"/>
  <c r="D34" i="6"/>
  <c r="J34" i="6" s="1"/>
  <c r="X58" i="4"/>
  <c r="H14" i="9"/>
  <c r="G17" i="9" s="1"/>
  <c r="I213" i="8"/>
  <c r="H213" i="5"/>
  <c r="D16" i="10"/>
  <c r="R27" i="10"/>
  <c r="E15" i="10"/>
  <c r="H15" i="10"/>
  <c r="G14" i="10"/>
  <c r="E14" i="10"/>
  <c r="G16" i="10"/>
  <c r="D14" i="10"/>
  <c r="G27" i="10"/>
  <c r="E27" i="10"/>
  <c r="F16" i="10"/>
  <c r="F27" i="10"/>
  <c r="L33" i="10"/>
  <c r="K35" i="1" s="1"/>
  <c r="Q33" i="10"/>
  <c r="P35" i="1" s="1"/>
  <c r="P22" i="9" s="1"/>
  <c r="M33" i="10"/>
  <c r="L35" i="1" s="1"/>
  <c r="J55" i="1" s="1"/>
  <c r="N33" i="10"/>
  <c r="M35" i="1" s="1"/>
  <c r="P33" i="10"/>
  <c r="O35" i="1" s="1"/>
  <c r="D33" i="10"/>
  <c r="C35" i="1" s="1"/>
  <c r="R33" i="10"/>
  <c r="Q35" i="1" s="1"/>
  <c r="G33" i="10"/>
  <c r="F35" i="1" s="1"/>
  <c r="O33" i="10"/>
  <c r="N35" i="1" s="1"/>
  <c r="F33" i="10"/>
  <c r="E35" i="1" s="1"/>
  <c r="H33" i="10"/>
  <c r="G35" i="1" s="1"/>
  <c r="I33" i="10"/>
  <c r="H35" i="1" s="1"/>
  <c r="J33" i="10"/>
  <c r="I35" i="1" s="1"/>
  <c r="K33" i="10"/>
  <c r="J35" i="1" s="1"/>
  <c r="E33" i="10"/>
  <c r="D35" i="1" s="1"/>
  <c r="S22" i="10"/>
  <c r="I11" i="10"/>
  <c r="D17" i="10" s="1"/>
  <c r="I34" i="10"/>
  <c r="H36" i="1" s="1"/>
  <c r="O34" i="10"/>
  <c r="N36" i="1" s="1"/>
  <c r="N23" i="9" s="1"/>
  <c r="J34" i="10"/>
  <c r="I36" i="1" s="1"/>
  <c r="D34" i="10"/>
  <c r="C36" i="1" s="1"/>
  <c r="E34" i="10"/>
  <c r="D36" i="1" s="1"/>
  <c r="G34" i="10"/>
  <c r="F36" i="1" s="1"/>
  <c r="K34" i="10"/>
  <c r="J36" i="1" s="1"/>
  <c r="M34" i="10"/>
  <c r="L36" i="1" s="1"/>
  <c r="C67" i="1" s="1"/>
  <c r="N34" i="10"/>
  <c r="M36" i="1" s="1"/>
  <c r="P34" i="10"/>
  <c r="O36" i="1" s="1"/>
  <c r="L34" i="10"/>
  <c r="K36" i="1" s="1"/>
  <c r="C66" i="1" s="1"/>
  <c r="Q34" i="10"/>
  <c r="P36" i="1" s="1"/>
  <c r="P23" i="9" s="1"/>
  <c r="R34" i="10"/>
  <c r="Q36" i="1" s="1"/>
  <c r="Q23" i="9" s="1"/>
  <c r="F34" i="10"/>
  <c r="E36" i="1" s="1"/>
  <c r="H34" i="10"/>
  <c r="G36" i="1" s="1"/>
  <c r="S26" i="10"/>
  <c r="R35" i="10"/>
  <c r="Q37" i="1" s="1"/>
  <c r="F35" i="10"/>
  <c r="E37" i="1" s="1"/>
  <c r="G35" i="10"/>
  <c r="F37" i="1" s="1"/>
  <c r="J35" i="10"/>
  <c r="I37" i="1" s="1"/>
  <c r="N35" i="10"/>
  <c r="M37" i="1" s="1"/>
  <c r="H35" i="10"/>
  <c r="G37" i="1" s="1"/>
  <c r="L35" i="10"/>
  <c r="K37" i="1" s="1"/>
  <c r="I35" i="10"/>
  <c r="H37" i="1" s="1"/>
  <c r="J63" i="1" s="1"/>
  <c r="K35" i="10"/>
  <c r="J37" i="1" s="1"/>
  <c r="O35" i="10"/>
  <c r="N37" i="1" s="1"/>
  <c r="P35" i="10"/>
  <c r="O37" i="1" s="1"/>
  <c r="Q35" i="10"/>
  <c r="P37" i="1" s="1"/>
  <c r="P24" i="9" s="1"/>
  <c r="E35" i="10"/>
  <c r="D37" i="1" s="1"/>
  <c r="M35" i="10"/>
  <c r="L37" i="1" s="1"/>
  <c r="J67" i="1" s="1"/>
  <c r="D35" i="10"/>
  <c r="C37" i="1" s="1"/>
  <c r="F57" i="7"/>
  <c r="F51" i="7"/>
  <c r="F45" i="7"/>
  <c r="F39" i="7"/>
  <c r="F33" i="7"/>
  <c r="F27" i="7"/>
  <c r="F59" i="7"/>
  <c r="F53" i="7"/>
  <c r="F47" i="7"/>
  <c r="F41" i="7"/>
  <c r="F35" i="7"/>
  <c r="F29" i="7"/>
  <c r="F25" i="7"/>
  <c r="F12" i="7"/>
  <c r="F58" i="7"/>
  <c r="F40" i="7"/>
  <c r="F24" i="7"/>
  <c r="F54" i="7"/>
  <c r="F36" i="7"/>
  <c r="F23" i="7"/>
  <c r="F16" i="7"/>
  <c r="F11" i="7"/>
  <c r="F49" i="7"/>
  <c r="F38" i="7"/>
  <c r="F19" i="7"/>
  <c r="F13" i="7"/>
  <c r="F10" i="7"/>
  <c r="F30" i="7"/>
  <c r="F46" i="7"/>
  <c r="F9" i="7"/>
  <c r="F56" i="7"/>
  <c r="F43" i="7"/>
  <c r="P21" i="7"/>
  <c r="F6" i="7" s="1"/>
  <c r="F48" i="7"/>
  <c r="F18" i="7"/>
  <c r="F15" i="7"/>
  <c r="F8" i="7"/>
  <c r="F55" i="7"/>
  <c r="F21" i="7"/>
  <c r="F52" i="7"/>
  <c r="F31" i="7"/>
  <c r="F20" i="7"/>
  <c r="F44" i="7"/>
  <c r="F17" i="7"/>
  <c r="F42" i="7"/>
  <c r="F60" i="7"/>
  <c r="F22" i="7"/>
  <c r="F14" i="7"/>
  <c r="F34" i="7"/>
  <c r="F32" i="7"/>
  <c r="F61" i="7"/>
  <c r="F26" i="7"/>
  <c r="F28" i="7"/>
  <c r="F7" i="7"/>
  <c r="F37" i="7"/>
  <c r="F50" i="7"/>
  <c r="D42" i="6"/>
  <c r="J42" i="6" s="1"/>
  <c r="X43" i="4"/>
  <c r="D66" i="6"/>
  <c r="J66" i="6" s="1"/>
  <c r="X67" i="4"/>
  <c r="D65" i="6"/>
  <c r="J65" i="6" s="1"/>
  <c r="X66" i="4"/>
  <c r="D76" i="6"/>
  <c r="J76" i="6" s="1"/>
  <c r="X77" i="4"/>
  <c r="D158" i="6"/>
  <c r="J158" i="6" s="1"/>
  <c r="X159" i="4"/>
  <c r="D104" i="6"/>
  <c r="J104" i="6" s="1"/>
  <c r="X105" i="4"/>
  <c r="D205" i="6"/>
  <c r="J205" i="6" s="1"/>
  <c r="X206" i="4"/>
  <c r="G45" i="8"/>
  <c r="H45" i="8"/>
  <c r="E45" i="8"/>
  <c r="F45" i="8"/>
  <c r="D45" i="8"/>
  <c r="D45" i="7"/>
  <c r="G45" i="7"/>
  <c r="E98" i="6"/>
  <c r="J98" i="6" s="1"/>
  <c r="X99" i="4"/>
  <c r="E62" i="6"/>
  <c r="J62" i="6" s="1"/>
  <c r="X63" i="4"/>
  <c r="X8" i="4"/>
  <c r="D7" i="6"/>
  <c r="J7" i="6" s="1"/>
  <c r="E26" i="6"/>
  <c r="J26" i="6" s="1"/>
  <c r="X27" i="4"/>
  <c r="E142" i="6"/>
  <c r="J142" i="6" s="1"/>
  <c r="X143" i="4"/>
  <c r="D131" i="6"/>
  <c r="J131" i="6" s="1"/>
  <c r="X132" i="4"/>
  <c r="D59" i="6"/>
  <c r="J59" i="6" s="1"/>
  <c r="X60" i="4"/>
  <c r="X166" i="4"/>
  <c r="D37" i="7"/>
  <c r="D211" i="5"/>
  <c r="D213" i="5" s="1"/>
  <c r="D215" i="5" s="1"/>
  <c r="B9" i="9" s="1"/>
  <c r="O25" i="8"/>
  <c r="D6" i="8"/>
  <c r="D53" i="8"/>
  <c r="F53" i="8"/>
  <c r="G53" i="8"/>
  <c r="E53" i="8"/>
  <c r="H53" i="8"/>
  <c r="D161" i="6"/>
  <c r="J161" i="6" s="1"/>
  <c r="X162" i="4"/>
  <c r="F25" i="1"/>
  <c r="H15" i="8"/>
  <c r="D15" i="8"/>
  <c r="F15" i="8"/>
  <c r="G15" i="8"/>
  <c r="E15" i="8"/>
  <c r="D196" i="6"/>
  <c r="J196" i="6" s="1"/>
  <c r="X197" i="4"/>
  <c r="D31" i="7"/>
  <c r="E25" i="7"/>
  <c r="E24" i="7"/>
  <c r="E23" i="7"/>
  <c r="E22" i="7"/>
  <c r="E21" i="7"/>
  <c r="E20" i="7"/>
  <c r="E19" i="7"/>
  <c r="E13" i="7"/>
  <c r="E15" i="7"/>
  <c r="E58" i="7"/>
  <c r="E51" i="7"/>
  <c r="E40" i="7"/>
  <c r="E33" i="7"/>
  <c r="E54" i="7"/>
  <c r="E47" i="7"/>
  <c r="E36" i="7"/>
  <c r="E29" i="7"/>
  <c r="E16" i="7"/>
  <c r="E11" i="7"/>
  <c r="E61" i="7"/>
  <c r="E50" i="7"/>
  <c r="E43" i="7"/>
  <c r="E32" i="7"/>
  <c r="E57" i="7"/>
  <c r="E30" i="7"/>
  <c r="E46" i="7"/>
  <c r="E9" i="7"/>
  <c r="E59" i="7"/>
  <c r="E56" i="7"/>
  <c r="E27" i="7"/>
  <c r="E48" i="7"/>
  <c r="E35" i="7"/>
  <c r="E18" i="7"/>
  <c r="E8" i="7"/>
  <c r="P20" i="7"/>
  <c r="E6" i="7" s="1"/>
  <c r="E12" i="7"/>
  <c r="E52" i="7"/>
  <c r="E39" i="7"/>
  <c r="E31" i="7"/>
  <c r="E60" i="7"/>
  <c r="E44" i="7"/>
  <c r="E28" i="7"/>
  <c r="E42" i="7"/>
  <c r="E38" i="7"/>
  <c r="E10" i="7"/>
  <c r="E53" i="7"/>
  <c r="E49" i="7"/>
  <c r="E14" i="7"/>
  <c r="E55" i="7"/>
  <c r="E34" i="7"/>
  <c r="E41" i="7"/>
  <c r="E7" i="7"/>
  <c r="E17" i="7"/>
  <c r="E26" i="7"/>
  <c r="E45" i="7"/>
  <c r="E37" i="7"/>
  <c r="F23" i="1"/>
  <c r="D85" i="6"/>
  <c r="J85" i="6" s="1"/>
  <c r="X86" i="4"/>
  <c r="D114" i="6"/>
  <c r="J114" i="6" s="1"/>
  <c r="X115" i="4"/>
  <c r="D75" i="6"/>
  <c r="J75" i="6" s="1"/>
  <c r="X76" i="4"/>
  <c r="D160" i="6"/>
  <c r="J160" i="6" s="1"/>
  <c r="X161" i="4"/>
  <c r="D105" i="6"/>
  <c r="J105" i="6" s="1"/>
  <c r="X106" i="4"/>
  <c r="D10" i="6"/>
  <c r="J10" i="6" s="1"/>
  <c r="X11" i="4"/>
  <c r="D172" i="6"/>
  <c r="J172" i="6" s="1"/>
  <c r="X173" i="4"/>
  <c r="J56" i="8"/>
  <c r="J44" i="8"/>
  <c r="J61" i="8"/>
  <c r="J55" i="8"/>
  <c r="J49" i="8"/>
  <c r="J31" i="8"/>
  <c r="J23" i="8"/>
  <c r="J58" i="8"/>
  <c r="J34" i="8"/>
  <c r="J48" i="8"/>
  <c r="J35" i="8"/>
  <c r="J30" i="8"/>
  <c r="J27" i="8"/>
  <c r="J24" i="8"/>
  <c r="J47" i="8"/>
  <c r="J57" i="8"/>
  <c r="J9" i="8"/>
  <c r="D59" i="8"/>
  <c r="F59" i="8"/>
  <c r="G59" i="8"/>
  <c r="E59" i="8"/>
  <c r="H59" i="8"/>
  <c r="D143" i="6"/>
  <c r="J143" i="6" s="1"/>
  <c r="X144" i="4"/>
  <c r="J209" i="5"/>
  <c r="J211" i="5" s="1"/>
  <c r="J213" i="5" s="1"/>
  <c r="J215" i="5" s="1"/>
  <c r="J216" i="5" s="1"/>
  <c r="G216" i="5"/>
  <c r="H216" i="5"/>
  <c r="X151" i="4"/>
  <c r="D150" i="6"/>
  <c r="J150" i="6" s="1"/>
  <c r="X163" i="4"/>
  <c r="D162" i="6"/>
  <c r="J162" i="6" s="1"/>
  <c r="D91" i="6"/>
  <c r="J91" i="6" s="1"/>
  <c r="X92" i="4"/>
  <c r="D78" i="6"/>
  <c r="J78" i="6" s="1"/>
  <c r="X79" i="4"/>
  <c r="D95" i="6"/>
  <c r="J95" i="6" s="1"/>
  <c r="X96" i="4"/>
  <c r="D29" i="6"/>
  <c r="J29" i="6" s="1"/>
  <c r="X30" i="4"/>
  <c r="D194" i="6"/>
  <c r="J194" i="6" s="1"/>
  <c r="X195" i="4"/>
  <c r="D191" i="6"/>
  <c r="J191" i="6" s="1"/>
  <c r="X192" i="4"/>
  <c r="D202" i="6"/>
  <c r="J202" i="6" s="1"/>
  <c r="X203" i="4"/>
  <c r="J38" i="8"/>
  <c r="J25" i="8"/>
  <c r="J46" i="8"/>
  <c r="J18" i="8"/>
  <c r="J20" i="8"/>
  <c r="J41" i="8"/>
  <c r="J36" i="8"/>
  <c r="J10" i="8"/>
  <c r="J8" i="8"/>
  <c r="J14" i="8"/>
  <c r="D13" i="8"/>
  <c r="F13" i="8"/>
  <c r="G13" i="8"/>
  <c r="H13" i="8"/>
  <c r="E13" i="8"/>
  <c r="D39" i="6"/>
  <c r="J39" i="6" s="1"/>
  <c r="X40" i="4"/>
  <c r="D169" i="6"/>
  <c r="J169" i="6" s="1"/>
  <c r="X170" i="4"/>
  <c r="D30" i="6"/>
  <c r="J30" i="6" s="1"/>
  <c r="X31" i="4"/>
  <c r="D175" i="6"/>
  <c r="J175" i="6" s="1"/>
  <c r="X176" i="4"/>
  <c r="F108" i="6"/>
  <c r="J108" i="6" s="1"/>
  <c r="X109" i="4"/>
  <c r="D13" i="6"/>
  <c r="J13" i="6" s="1"/>
  <c r="X14" i="4"/>
  <c r="D25" i="1"/>
  <c r="D49" i="7"/>
  <c r="D33" i="7"/>
  <c r="D32" i="7"/>
  <c r="G57" i="7"/>
  <c r="X156" i="4"/>
  <c r="D155" i="6"/>
  <c r="J155" i="6" s="1"/>
  <c r="D19" i="6"/>
  <c r="J19" i="6" s="1"/>
  <c r="X20" i="4"/>
  <c r="D121" i="6"/>
  <c r="J121" i="6" s="1"/>
  <c r="X122" i="4"/>
  <c r="D197" i="6"/>
  <c r="J197" i="6" s="1"/>
  <c r="X198" i="4"/>
  <c r="H17" i="8"/>
  <c r="D17" i="8"/>
  <c r="E17" i="8"/>
  <c r="F17" i="8"/>
  <c r="G17" i="8"/>
  <c r="G22" i="8"/>
  <c r="D22" i="8"/>
  <c r="H22" i="8"/>
  <c r="E22" i="8"/>
  <c r="F22" i="8"/>
  <c r="D148" i="6"/>
  <c r="J148" i="6" s="1"/>
  <c r="X149" i="4"/>
  <c r="D6" i="6"/>
  <c r="X7" i="4"/>
  <c r="B28" i="1"/>
  <c r="B8" i="9" s="1"/>
  <c r="D23" i="6"/>
  <c r="J23" i="6" s="1"/>
  <c r="X24" i="4"/>
  <c r="D49" i="6"/>
  <c r="J49" i="6" s="1"/>
  <c r="X50" i="4"/>
  <c r="D111" i="6"/>
  <c r="J111" i="6" s="1"/>
  <c r="X112" i="4"/>
  <c r="D180" i="6"/>
  <c r="J180" i="6" s="1"/>
  <c r="X181" i="4"/>
  <c r="D55" i="6"/>
  <c r="J55" i="6" s="1"/>
  <c r="X56" i="4"/>
  <c r="J149" i="6"/>
  <c r="D199" i="6"/>
  <c r="J199" i="6" s="1"/>
  <c r="X200" i="4"/>
  <c r="D6" i="7"/>
  <c r="G39" i="8"/>
  <c r="H39" i="8"/>
  <c r="D39" i="8"/>
  <c r="E39" i="8"/>
  <c r="F39" i="8"/>
  <c r="D188" i="6"/>
  <c r="J188" i="6" s="1"/>
  <c r="X189" i="4"/>
  <c r="D124" i="6"/>
  <c r="J124" i="6" s="1"/>
  <c r="X125" i="4"/>
  <c r="D46" i="6"/>
  <c r="J46" i="6" s="1"/>
  <c r="X47" i="4"/>
  <c r="X44" i="4"/>
  <c r="D43" i="6"/>
  <c r="J43" i="6" s="1"/>
  <c r="D48" i="7"/>
  <c r="X150" i="4"/>
  <c r="H58" i="7"/>
  <c r="H52" i="7"/>
  <c r="H46" i="7"/>
  <c r="H40" i="7"/>
  <c r="H34" i="7"/>
  <c r="H28" i="7"/>
  <c r="H60" i="7"/>
  <c r="H54" i="7"/>
  <c r="H48" i="7"/>
  <c r="H42" i="7"/>
  <c r="H36" i="7"/>
  <c r="H30" i="7"/>
  <c r="H8" i="7"/>
  <c r="H13" i="7"/>
  <c r="H55" i="7"/>
  <c r="H44" i="7"/>
  <c r="H37" i="7"/>
  <c r="H26" i="7"/>
  <c r="H17" i="7"/>
  <c r="H51" i="7"/>
  <c r="H33" i="7"/>
  <c r="H25" i="7"/>
  <c r="H12" i="7"/>
  <c r="H31" i="7"/>
  <c r="H20" i="7"/>
  <c r="H16" i="7"/>
  <c r="H41" i="7"/>
  <c r="H57" i="7"/>
  <c r="H49" i="7"/>
  <c r="H38" i="7"/>
  <c r="H24" i="7"/>
  <c r="H19" i="7"/>
  <c r="H10" i="7"/>
  <c r="H59" i="7"/>
  <c r="H27" i="7"/>
  <c r="H9" i="7"/>
  <c r="H50" i="7"/>
  <c r="H47" i="7"/>
  <c r="H22" i="7"/>
  <c r="H14" i="7"/>
  <c r="H11" i="7"/>
  <c r="P23" i="7"/>
  <c r="H6" i="7" s="1"/>
  <c r="H61" i="7"/>
  <c r="H15" i="7"/>
  <c r="H29" i="7"/>
  <c r="H23" i="7"/>
  <c r="H53" i="7"/>
  <c r="H18" i="7"/>
  <c r="H56" i="7"/>
  <c r="H35" i="7"/>
  <c r="H21" i="7"/>
  <c r="H45" i="7"/>
  <c r="H43" i="7"/>
  <c r="H7" i="7"/>
  <c r="H39" i="7"/>
  <c r="H32" i="7"/>
  <c r="D82" i="6"/>
  <c r="J82" i="6" s="1"/>
  <c r="X83" i="4"/>
  <c r="J43" i="8"/>
  <c r="J40" i="8"/>
  <c r="J12" i="8"/>
  <c r="J21" i="8"/>
  <c r="J60" i="8"/>
  <c r="J51" i="8"/>
  <c r="D102" i="6"/>
  <c r="J102" i="6" s="1"/>
  <c r="X103" i="4"/>
  <c r="D138" i="6"/>
  <c r="J138" i="6" s="1"/>
  <c r="X139" i="4"/>
  <c r="D127" i="6"/>
  <c r="J127" i="6" s="1"/>
  <c r="X128" i="4"/>
  <c r="D16" i="6"/>
  <c r="J16" i="6" s="1"/>
  <c r="X17" i="4"/>
  <c r="E134" i="6"/>
  <c r="J134" i="6" s="1"/>
  <c r="X135" i="4"/>
  <c r="D32" i="6"/>
  <c r="J32" i="6" s="1"/>
  <c r="X33" i="4"/>
  <c r="D88" i="6"/>
  <c r="J88" i="6" s="1"/>
  <c r="X89" i="4"/>
  <c r="D112" i="6"/>
  <c r="J112" i="6" s="1"/>
  <c r="X113" i="4"/>
  <c r="D115" i="6"/>
  <c r="J115" i="6" s="1"/>
  <c r="X116" i="4"/>
  <c r="D33" i="6"/>
  <c r="J33" i="6" s="1"/>
  <c r="X34" i="4"/>
  <c r="E211" i="5"/>
  <c r="E213" i="5" s="1"/>
  <c r="E215" i="5" s="1"/>
  <c r="B10" i="9" s="1"/>
  <c r="D16" i="7"/>
  <c r="D58" i="7"/>
  <c r="D28" i="8"/>
  <c r="H28" i="8"/>
  <c r="F28" i="8"/>
  <c r="G28" i="8"/>
  <c r="E28" i="8"/>
  <c r="D118" i="6"/>
  <c r="J118" i="6" s="1"/>
  <c r="X119" i="4"/>
  <c r="D29" i="8"/>
  <c r="F29" i="8"/>
  <c r="G29" i="8"/>
  <c r="E29" i="8"/>
  <c r="H29" i="8"/>
  <c r="J52" i="8"/>
  <c r="J19" i="8"/>
  <c r="J54" i="8"/>
  <c r="E25" i="1"/>
  <c r="D53" i="7"/>
  <c r="G53" i="7"/>
  <c r="E32" i="8"/>
  <c r="F32" i="8"/>
  <c r="D32" i="8"/>
  <c r="G32" i="8"/>
  <c r="H32" i="8"/>
  <c r="D69" i="6"/>
  <c r="J69" i="6" s="1"/>
  <c r="X70" i="4"/>
  <c r="D52" i="6"/>
  <c r="J52" i="6" s="1"/>
  <c r="X53" i="4"/>
  <c r="F72" i="6"/>
  <c r="J72" i="6" s="1"/>
  <c r="X73" i="4"/>
  <c r="X80" i="4"/>
  <c r="D79" i="6"/>
  <c r="J79" i="6" s="1"/>
  <c r="O25" i="7"/>
  <c r="D11" i="7"/>
  <c r="D68" i="6"/>
  <c r="J68" i="6" s="1"/>
  <c r="X69" i="4"/>
  <c r="H37" i="8"/>
  <c r="D37" i="8"/>
  <c r="E37" i="8"/>
  <c r="F37" i="8"/>
  <c r="G37" i="8"/>
  <c r="J50" i="8"/>
  <c r="J26" i="8"/>
  <c r="J7" i="8"/>
  <c r="J11" i="8"/>
  <c r="J42" i="8"/>
  <c r="F16" i="8"/>
  <c r="G16" i="8"/>
  <c r="H16" i="8"/>
  <c r="D16" i="8"/>
  <c r="E16" i="8"/>
  <c r="D40" i="6"/>
  <c r="J40" i="6" s="1"/>
  <c r="X41" i="4"/>
  <c r="D101" i="6"/>
  <c r="J101" i="6" s="1"/>
  <c r="X102" i="4"/>
  <c r="F36" i="6"/>
  <c r="X37" i="4"/>
  <c r="H213" i="6"/>
  <c r="H215" i="6" s="1"/>
  <c r="C13" i="9" s="1"/>
  <c r="D13" i="9" s="1"/>
  <c r="D18" i="7"/>
  <c r="D61" i="7"/>
  <c r="X138" i="4"/>
  <c r="F211" i="5"/>
  <c r="F213" i="5" s="1"/>
  <c r="F215" i="5" s="1"/>
  <c r="B11" i="9" s="1"/>
  <c r="I213" i="6"/>
  <c r="E209" i="8"/>
  <c r="J68" i="1" l="1"/>
  <c r="J61" i="1"/>
  <c r="I23" i="9"/>
  <c r="C64" i="1"/>
  <c r="J51" i="1"/>
  <c r="H22" i="9"/>
  <c r="M22" i="9"/>
  <c r="J56" i="1"/>
  <c r="J64" i="1"/>
  <c r="I24" i="9"/>
  <c r="C58" i="1"/>
  <c r="J50" i="1"/>
  <c r="J65" i="1"/>
  <c r="C68" i="1"/>
  <c r="H23" i="9"/>
  <c r="C63" i="1"/>
  <c r="J48" i="1"/>
  <c r="J59" i="1"/>
  <c r="C59" i="1"/>
  <c r="J46" i="1"/>
  <c r="K22" i="9"/>
  <c r="J54" i="1"/>
  <c r="I22" i="9"/>
  <c r="J52" i="1"/>
  <c r="J60" i="1"/>
  <c r="J58" i="1"/>
  <c r="K24" i="9"/>
  <c r="J66" i="1"/>
  <c r="C62" i="1"/>
  <c r="C65" i="1"/>
  <c r="J49" i="1"/>
  <c r="J53" i="1"/>
  <c r="J62" i="1"/>
  <c r="C60" i="1"/>
  <c r="C61" i="1"/>
  <c r="J47" i="1"/>
  <c r="P25" i="7"/>
  <c r="G211" i="7"/>
  <c r="G213" i="7" s="1"/>
  <c r="G215" i="7" s="1"/>
  <c r="E12" i="9" s="1"/>
  <c r="E216" i="5"/>
  <c r="S27" i="10"/>
  <c r="G17" i="10"/>
  <c r="F17" i="10"/>
  <c r="E17" i="10"/>
  <c r="O32" i="10"/>
  <c r="G32" i="10"/>
  <c r="F34" i="1" s="1"/>
  <c r="I32" i="10"/>
  <c r="P32" i="10"/>
  <c r="O34" i="1" s="1"/>
  <c r="D32" i="10"/>
  <c r="C34" i="1" s="1"/>
  <c r="K32" i="10"/>
  <c r="J34" i="1" s="1"/>
  <c r="L32" i="10"/>
  <c r="K34" i="1" s="1"/>
  <c r="Q32" i="10"/>
  <c r="P34" i="1" s="1"/>
  <c r="E32" i="10"/>
  <c r="H32" i="10"/>
  <c r="G34" i="1" s="1"/>
  <c r="J32" i="10"/>
  <c r="I34" i="1" s="1"/>
  <c r="R32" i="10"/>
  <c r="F32" i="10"/>
  <c r="M32" i="10"/>
  <c r="N32" i="10"/>
  <c r="H17" i="10"/>
  <c r="O36" i="10"/>
  <c r="N38" i="1" s="1"/>
  <c r="I36" i="10"/>
  <c r="H38" i="1" s="1"/>
  <c r="P36" i="10"/>
  <c r="O38" i="1" s="1"/>
  <c r="D36" i="10"/>
  <c r="C38" i="1" s="1"/>
  <c r="J36" i="10"/>
  <c r="I38" i="1" s="1"/>
  <c r="K36" i="10"/>
  <c r="J38" i="1" s="1"/>
  <c r="Q36" i="10"/>
  <c r="P38" i="1" s="1"/>
  <c r="P25" i="9" s="1"/>
  <c r="E36" i="10"/>
  <c r="D38" i="1" s="1"/>
  <c r="G36" i="10"/>
  <c r="F38" i="1" s="1"/>
  <c r="R36" i="10"/>
  <c r="Q38" i="1" s="1"/>
  <c r="Q25" i="9" s="1"/>
  <c r="F36" i="10"/>
  <c r="E38" i="1" s="1"/>
  <c r="L36" i="10"/>
  <c r="K38" i="1" s="1"/>
  <c r="M36" i="10"/>
  <c r="L38" i="1" s="1"/>
  <c r="C79" i="1" s="1"/>
  <c r="N36" i="10"/>
  <c r="M38" i="1" s="1"/>
  <c r="H36" i="10"/>
  <c r="G38" i="1" s="1"/>
  <c r="D19" i="8"/>
  <c r="H19" i="8"/>
  <c r="E19" i="8"/>
  <c r="F19" i="8"/>
  <c r="G19" i="8"/>
  <c r="H43" i="8"/>
  <c r="D43" i="8"/>
  <c r="E43" i="8"/>
  <c r="F43" i="8"/>
  <c r="G43" i="8"/>
  <c r="J6" i="6"/>
  <c r="C22" i="1"/>
  <c r="D58" i="8"/>
  <c r="E58" i="8"/>
  <c r="G58" i="8"/>
  <c r="H58" i="8"/>
  <c r="F58" i="8"/>
  <c r="D52" i="8"/>
  <c r="E52" i="8"/>
  <c r="F52" i="8"/>
  <c r="G52" i="8"/>
  <c r="H52" i="8"/>
  <c r="E26" i="1"/>
  <c r="G26" i="1" s="1"/>
  <c r="H26" i="1" s="1"/>
  <c r="G27" i="8"/>
  <c r="H27" i="8"/>
  <c r="F27" i="8"/>
  <c r="D27" i="8"/>
  <c r="E27" i="8"/>
  <c r="E56" i="8"/>
  <c r="F56" i="8"/>
  <c r="G56" i="8"/>
  <c r="H56" i="8"/>
  <c r="D56" i="8"/>
  <c r="F54" i="8"/>
  <c r="H54" i="8"/>
  <c r="D54" i="8"/>
  <c r="E54" i="8"/>
  <c r="G54" i="8"/>
  <c r="J6" i="7"/>
  <c r="E22" i="1"/>
  <c r="E38" i="8"/>
  <c r="F38" i="8"/>
  <c r="G38" i="8"/>
  <c r="H38" i="8"/>
  <c r="D38" i="8"/>
  <c r="D47" i="8"/>
  <c r="F47" i="8"/>
  <c r="G47" i="8"/>
  <c r="E47" i="8"/>
  <c r="H47" i="8"/>
  <c r="H61" i="8"/>
  <c r="D61" i="8"/>
  <c r="E61" i="8"/>
  <c r="F61" i="8"/>
  <c r="G61" i="8"/>
  <c r="E25" i="8"/>
  <c r="F25" i="8"/>
  <c r="H25" i="8"/>
  <c r="D25" i="8"/>
  <c r="G25" i="8"/>
  <c r="G57" i="8"/>
  <c r="H57" i="8"/>
  <c r="D57" i="8"/>
  <c r="E57" i="8"/>
  <c r="F57" i="8"/>
  <c r="H55" i="8"/>
  <c r="D55" i="8"/>
  <c r="E55" i="8"/>
  <c r="F55" i="8"/>
  <c r="G55" i="8"/>
  <c r="D46" i="8"/>
  <c r="E46" i="8"/>
  <c r="H46" i="8"/>
  <c r="G46" i="8"/>
  <c r="F46" i="8"/>
  <c r="H9" i="8"/>
  <c r="D9" i="8"/>
  <c r="E9" i="8"/>
  <c r="F9" i="8"/>
  <c r="G9" i="8"/>
  <c r="H49" i="8"/>
  <c r="D49" i="8"/>
  <c r="E49" i="8"/>
  <c r="F49" i="8"/>
  <c r="G49" i="8"/>
  <c r="J6" i="8"/>
  <c r="F22" i="1"/>
  <c r="F28" i="1" s="1"/>
  <c r="F8" i="9" s="1"/>
  <c r="D209" i="8"/>
  <c r="D216" i="5"/>
  <c r="G25" i="1"/>
  <c r="H25" i="1" s="1"/>
  <c r="E211" i="6"/>
  <c r="E213" i="6" s="1"/>
  <c r="E215" i="6" s="1"/>
  <c r="C10" i="9" s="1"/>
  <c r="E44" i="8"/>
  <c r="F44" i="8"/>
  <c r="H44" i="8"/>
  <c r="D44" i="8"/>
  <c r="G44" i="8"/>
  <c r="D40" i="8"/>
  <c r="E40" i="8"/>
  <c r="G40" i="8"/>
  <c r="H40" i="8"/>
  <c r="F40" i="8"/>
  <c r="F216" i="5"/>
  <c r="E26" i="8"/>
  <c r="F26" i="8"/>
  <c r="D26" i="8"/>
  <c r="G26" i="8"/>
  <c r="H26" i="8"/>
  <c r="D41" i="8"/>
  <c r="F41" i="8"/>
  <c r="G41" i="8"/>
  <c r="E41" i="8"/>
  <c r="H41" i="8"/>
  <c r="D18" i="8"/>
  <c r="E18" i="8"/>
  <c r="F18" i="8"/>
  <c r="G18" i="8"/>
  <c r="H18" i="8"/>
  <c r="E24" i="8"/>
  <c r="H24" i="8"/>
  <c r="D24" i="8"/>
  <c r="F24" i="8"/>
  <c r="G24" i="8"/>
  <c r="E50" i="8"/>
  <c r="F50" i="8"/>
  <c r="D50" i="8"/>
  <c r="G50" i="8"/>
  <c r="H50" i="8"/>
  <c r="E20" i="8"/>
  <c r="G20" i="8"/>
  <c r="H20" i="8"/>
  <c r="D20" i="8"/>
  <c r="F20" i="8"/>
  <c r="H23" i="8"/>
  <c r="D23" i="8"/>
  <c r="E23" i="8"/>
  <c r="F23" i="8"/>
  <c r="G23" i="8"/>
  <c r="J36" i="6"/>
  <c r="F211" i="6"/>
  <c r="F213" i="6" s="1"/>
  <c r="F215" i="6" s="1"/>
  <c r="C11" i="9" s="1"/>
  <c r="F21" i="8"/>
  <c r="D21" i="8"/>
  <c r="E21" i="8"/>
  <c r="G21" i="8"/>
  <c r="H21" i="8"/>
  <c r="G11" i="8"/>
  <c r="H11" i="8"/>
  <c r="E11" i="8"/>
  <c r="D11" i="8"/>
  <c r="F11" i="8"/>
  <c r="F60" i="8"/>
  <c r="H60" i="8"/>
  <c r="D60" i="8"/>
  <c r="E60" i="8"/>
  <c r="G60" i="8"/>
  <c r="F10" i="8"/>
  <c r="G10" i="8"/>
  <c r="H10" i="8"/>
  <c r="D10" i="8"/>
  <c r="E10" i="8"/>
  <c r="F48" i="8"/>
  <c r="H48" i="8"/>
  <c r="D48" i="8"/>
  <c r="E48" i="8"/>
  <c r="G48" i="8"/>
  <c r="G51" i="8"/>
  <c r="H51" i="8"/>
  <c r="F51" i="8"/>
  <c r="E51" i="8"/>
  <c r="D51" i="8"/>
  <c r="G8" i="8"/>
  <c r="D8" i="8"/>
  <c r="E8" i="8"/>
  <c r="F8" i="8"/>
  <c r="H8" i="8"/>
  <c r="D35" i="8"/>
  <c r="F35" i="8"/>
  <c r="G35" i="8"/>
  <c r="E35" i="8"/>
  <c r="H35" i="8"/>
  <c r="E23" i="1"/>
  <c r="G23" i="1" s="1"/>
  <c r="H23" i="1" s="1"/>
  <c r="E209" i="7"/>
  <c r="E211" i="7" s="1"/>
  <c r="E213" i="7" s="1"/>
  <c r="E215" i="7" s="1"/>
  <c r="E10" i="9" s="1"/>
  <c r="D209" i="7"/>
  <c r="D211" i="7" s="1"/>
  <c r="D213" i="7" s="1"/>
  <c r="D215" i="7" s="1"/>
  <c r="E9" i="9" s="1"/>
  <c r="H209" i="7"/>
  <c r="H211" i="7" s="1"/>
  <c r="H213" i="7" s="1"/>
  <c r="H215" i="7" s="1"/>
  <c r="E13" i="9" s="1"/>
  <c r="H31" i="8"/>
  <c r="D31" i="8"/>
  <c r="E31" i="8"/>
  <c r="F31" i="8"/>
  <c r="G31" i="8"/>
  <c r="G12" i="8"/>
  <c r="D12" i="8"/>
  <c r="E12" i="8"/>
  <c r="F12" i="8"/>
  <c r="H12" i="8"/>
  <c r="F7" i="8"/>
  <c r="D7" i="8"/>
  <c r="E7" i="8"/>
  <c r="G7" i="8"/>
  <c r="H7" i="8"/>
  <c r="F36" i="8"/>
  <c r="H36" i="8"/>
  <c r="D36" i="8"/>
  <c r="E36" i="8"/>
  <c r="G36" i="8"/>
  <c r="D34" i="8"/>
  <c r="E34" i="8"/>
  <c r="F34" i="8"/>
  <c r="G34" i="8"/>
  <c r="H34" i="8"/>
  <c r="F215" i="7"/>
  <c r="E11" i="9" s="1"/>
  <c r="E24" i="1"/>
  <c r="G24" i="1" s="1"/>
  <c r="H24" i="1" s="1"/>
  <c r="F209" i="7"/>
  <c r="F211" i="7" s="1"/>
  <c r="F213" i="7" s="1"/>
  <c r="F42" i="8"/>
  <c r="H42" i="8"/>
  <c r="D42" i="8"/>
  <c r="E42" i="8"/>
  <c r="G42" i="8"/>
  <c r="F14" i="8"/>
  <c r="D14" i="8"/>
  <c r="E14" i="8"/>
  <c r="G14" i="8"/>
  <c r="H14" i="8"/>
  <c r="F30" i="8"/>
  <c r="H30" i="8"/>
  <c r="D30" i="8"/>
  <c r="E30" i="8"/>
  <c r="G30" i="8"/>
  <c r="D209" i="6"/>
  <c r="D211" i="6" s="1"/>
  <c r="D213" i="6" s="1"/>
  <c r="D215" i="6" s="1"/>
  <c r="C9" i="9" s="1"/>
  <c r="C50" i="1" l="1"/>
  <c r="G40" i="1"/>
  <c r="F40" i="1"/>
  <c r="C49" i="1"/>
  <c r="C73" i="1"/>
  <c r="F25" i="9"/>
  <c r="O37" i="10"/>
  <c r="N34" i="1"/>
  <c r="C75" i="1"/>
  <c r="H25" i="9"/>
  <c r="E37" i="10"/>
  <c r="D34" i="1"/>
  <c r="C71" i="1"/>
  <c r="P40" i="1"/>
  <c r="C80" i="1"/>
  <c r="C53" i="1"/>
  <c r="J40" i="1"/>
  <c r="C76" i="1"/>
  <c r="I25" i="9"/>
  <c r="F37" i="10"/>
  <c r="E34" i="1"/>
  <c r="C40" i="1"/>
  <c r="C46" i="1"/>
  <c r="C74" i="1"/>
  <c r="N37" i="10"/>
  <c r="M34" i="1"/>
  <c r="J25" i="9"/>
  <c r="C77" i="1"/>
  <c r="M37" i="10"/>
  <c r="L34" i="1"/>
  <c r="K25" i="9"/>
  <c r="C78" i="1"/>
  <c r="C70" i="1"/>
  <c r="R37" i="10"/>
  <c r="Q34" i="1"/>
  <c r="O40" i="1"/>
  <c r="K40" i="1"/>
  <c r="C54" i="1"/>
  <c r="C72" i="1"/>
  <c r="I21" i="9"/>
  <c r="I27" i="9" s="1"/>
  <c r="I41" i="1" s="1"/>
  <c r="I40" i="1"/>
  <c r="C52" i="1"/>
  <c r="I37" i="10"/>
  <c r="H34" i="1"/>
  <c r="E211" i="8"/>
  <c r="E213" i="8" s="1"/>
  <c r="E215" i="8" s="1"/>
  <c r="F10" i="9" s="1"/>
  <c r="G10" i="9" s="1"/>
  <c r="L37" i="10"/>
  <c r="J37" i="10"/>
  <c r="H37" i="10"/>
  <c r="G37" i="10"/>
  <c r="P37" i="10"/>
  <c r="D37" i="10"/>
  <c r="K37" i="10"/>
  <c r="Q37" i="10"/>
  <c r="D10" i="9"/>
  <c r="D9" i="9"/>
  <c r="C28" i="1"/>
  <c r="C8" i="9" s="1"/>
  <c r="D8" i="9" s="1"/>
  <c r="D11" i="9" s="1"/>
  <c r="D22" i="1"/>
  <c r="J209" i="8"/>
  <c r="J211" i="8" s="1"/>
  <c r="J213" i="8" s="1"/>
  <c r="J215" i="8" s="1"/>
  <c r="J216" i="8" s="1"/>
  <c r="G11" i="9"/>
  <c r="H211" i="8"/>
  <c r="H213" i="8" s="1"/>
  <c r="H215" i="8" s="1"/>
  <c r="F13" i="9" s="1"/>
  <c r="G13" i="9" s="1"/>
  <c r="H216" i="6"/>
  <c r="D216" i="6"/>
  <c r="E216" i="6"/>
  <c r="J209" i="6"/>
  <c r="J211" i="6" s="1"/>
  <c r="J213" i="6" s="1"/>
  <c r="J215" i="6" s="1"/>
  <c r="J216" i="6" s="1"/>
  <c r="F216" i="6"/>
  <c r="G216" i="6"/>
  <c r="H216" i="7"/>
  <c r="D216" i="7"/>
  <c r="E216" i="7"/>
  <c r="F216" i="7"/>
  <c r="G216" i="7"/>
  <c r="J209" i="7"/>
  <c r="J211" i="7" s="1"/>
  <c r="J213" i="7" s="1"/>
  <c r="J215" i="7" s="1"/>
  <c r="J216" i="7" s="1"/>
  <c r="F211" i="8"/>
  <c r="F213" i="8" s="1"/>
  <c r="F215" i="8" s="1"/>
  <c r="F11" i="9" s="1"/>
  <c r="G211" i="8"/>
  <c r="G213" i="8" s="1"/>
  <c r="G215" i="8" s="1"/>
  <c r="F12" i="9" s="1"/>
  <c r="G22" i="1"/>
  <c r="G28" i="1" s="1"/>
  <c r="E28" i="1"/>
  <c r="E8" i="9" s="1"/>
  <c r="G8" i="9" s="1"/>
  <c r="D211" i="8"/>
  <c r="D213" i="8" s="1"/>
  <c r="D215" i="8" s="1"/>
  <c r="F9" i="9" s="1"/>
  <c r="G9" i="9" s="1"/>
  <c r="L40" i="1" l="1"/>
  <c r="C55" i="1"/>
  <c r="E40" i="1"/>
  <c r="C48" i="1"/>
  <c r="C47" i="1"/>
  <c r="D40" i="1"/>
  <c r="Q40" i="1"/>
  <c r="M40" i="1"/>
  <c r="C56" i="1"/>
  <c r="N40" i="1"/>
  <c r="H21" i="9"/>
  <c r="H40" i="1"/>
  <c r="C51" i="1"/>
  <c r="G216" i="8"/>
  <c r="E216" i="8"/>
  <c r="H11" i="9"/>
  <c r="H13" i="9"/>
  <c r="D216" i="8"/>
  <c r="F216" i="8"/>
  <c r="H8" i="9"/>
  <c r="H9" i="9" s="1"/>
  <c r="E21" i="9" s="1"/>
  <c r="E27" i="9" s="1"/>
  <c r="E41" i="1" s="1"/>
  <c r="H22" i="1"/>
  <c r="H28" i="1" s="1"/>
  <c r="D28" i="1"/>
  <c r="G12" i="9"/>
  <c r="H216" i="8"/>
  <c r="C25" i="9" l="1"/>
  <c r="E25" i="9"/>
  <c r="M25" i="9"/>
  <c r="O25" i="9"/>
  <c r="N25" i="9"/>
  <c r="D25" i="9"/>
  <c r="G25" i="9"/>
  <c r="N21" i="9"/>
  <c r="N27" i="9" s="1"/>
  <c r="N41" i="1" s="1"/>
  <c r="D21" i="9"/>
  <c r="D27" i="9" s="1"/>
  <c r="D41" i="1" s="1"/>
  <c r="E23" i="9"/>
  <c r="F23" i="9"/>
  <c r="D23" i="9"/>
  <c r="G23" i="9"/>
  <c r="O23" i="9"/>
  <c r="M23" i="9"/>
  <c r="C23" i="9"/>
  <c r="J23" i="9"/>
  <c r="M21" i="9"/>
  <c r="M27" i="9" s="1"/>
  <c r="M41" i="1" s="1"/>
  <c r="P21" i="9"/>
  <c r="P27" i="9" s="1"/>
  <c r="P41" i="1" s="1"/>
  <c r="G21" i="9"/>
  <c r="G27" i="9" s="1"/>
  <c r="G41" i="1" s="1"/>
  <c r="O21" i="9"/>
  <c r="O27" i="9" s="1"/>
  <c r="O41" i="1" s="1"/>
  <c r="F21" i="9"/>
  <c r="F27" i="9" s="1"/>
  <c r="F41" i="1" s="1"/>
  <c r="J21" i="9"/>
  <c r="J27" i="9" s="1"/>
  <c r="J41" i="1" s="1"/>
  <c r="C21" i="9"/>
  <c r="C27" i="9" s="1"/>
  <c r="C41" i="1" s="1"/>
  <c r="Q21" i="9"/>
  <c r="Q27" i="9" s="1"/>
  <c r="Q41" i="1" s="1"/>
  <c r="K21" i="9"/>
  <c r="L21" i="9"/>
  <c r="B17" i="9"/>
  <c r="L23" i="9"/>
  <c r="D17" i="9"/>
  <c r="K23" i="9"/>
  <c r="H10" i="9"/>
  <c r="H12" i="9"/>
  <c r="F17" i="9"/>
  <c r="L25" i="9"/>
  <c r="K27" i="9" l="1"/>
  <c r="K41" i="1" s="1"/>
  <c r="G22" i="9"/>
  <c r="F22" i="9"/>
  <c r="J22" i="9"/>
  <c r="O22" i="9"/>
  <c r="E22" i="9"/>
  <c r="N22" i="9"/>
  <c r="D22" i="9"/>
  <c r="Q22" i="9"/>
  <c r="C22" i="9"/>
  <c r="F24" i="9"/>
  <c r="Q24" i="9"/>
  <c r="D24" i="9"/>
  <c r="M24" i="9"/>
  <c r="N24" i="9"/>
  <c r="C24" i="9"/>
  <c r="O24" i="9"/>
  <c r="J24" i="9"/>
  <c r="G24" i="9"/>
  <c r="E24" i="9"/>
  <c r="C17" i="9"/>
  <c r="L22" i="9"/>
  <c r="L27" i="9" s="1"/>
  <c r="L41" i="1" s="1"/>
  <c r="H24" i="9"/>
  <c r="H27" i="9" s="1"/>
  <c r="H41" i="1" s="1"/>
  <c r="E17" i="9"/>
  <c r="L24" i="9"/>
</calcChain>
</file>

<file path=xl/sharedStrings.xml><?xml version="1.0" encoding="utf-8"?>
<sst xmlns="http://schemas.openxmlformats.org/spreadsheetml/2006/main" count="673" uniqueCount="287">
  <si>
    <t xml:space="preserve">Robotics </t>
  </si>
  <si>
    <t>English</t>
  </si>
  <si>
    <t>CO-PO/PSO Matrices</t>
  </si>
  <si>
    <t>Table 3.1.1</t>
  </si>
  <si>
    <t xml:space="preserve">Sr. No. </t>
  </si>
  <si>
    <t>COs</t>
  </si>
  <si>
    <t>Statement</t>
  </si>
  <si>
    <t>GTU Teaching &amp; Examination Scheme</t>
  </si>
  <si>
    <t>L</t>
  </si>
  <si>
    <t>T</t>
  </si>
  <si>
    <t>P</t>
  </si>
  <si>
    <t>C</t>
  </si>
  <si>
    <t>Theory Marks</t>
  </si>
  <si>
    <t>Practical Marks</t>
  </si>
  <si>
    <t>Total Marks</t>
  </si>
  <si>
    <t xml:space="preserve">ESE (E) </t>
  </si>
  <si>
    <t>PA (M)</t>
  </si>
  <si>
    <t>ESE (V)</t>
  </si>
  <si>
    <t>PA (I)</t>
  </si>
  <si>
    <t>CO-Assessment Marks</t>
  </si>
  <si>
    <t>Internal-Marks</t>
  </si>
  <si>
    <t>Total Internal</t>
  </si>
  <si>
    <t>External-Marks</t>
  </si>
  <si>
    <t>Total External</t>
  </si>
  <si>
    <t>Total 
Marks</t>
  </si>
  <si>
    <t>M 
Compo.</t>
  </si>
  <si>
    <t>I 
Compo.</t>
  </si>
  <si>
    <t>E Compo.</t>
  </si>
  <si>
    <t>V Compo.</t>
  </si>
  <si>
    <t>CO1</t>
  </si>
  <si>
    <t>CO2</t>
  </si>
  <si>
    <t>Target (% of students)</t>
  </si>
  <si>
    <t>CO3</t>
  </si>
  <si>
    <t>Attainment Level</t>
  </si>
  <si>
    <t>Upper limit value of %</t>
  </si>
  <si>
    <t>CO4</t>
  </si>
  <si>
    <t>CO5</t>
  </si>
  <si>
    <t>CO6</t>
  </si>
  <si>
    <t>Target Value (Marks)</t>
  </si>
  <si>
    <t>Table 3.1.3: CO – PO and PSO Mapping Matrix</t>
  </si>
  <si>
    <t>Sr. No.</t>
  </si>
  <si>
    <t>PO1</t>
  </si>
  <si>
    <t>PO2</t>
  </si>
  <si>
    <t>PO3</t>
  </si>
  <si>
    <t>PO4</t>
  </si>
  <si>
    <t>PO5</t>
  </si>
  <si>
    <t>PO6</t>
  </si>
  <si>
    <t>PO7</t>
  </si>
  <si>
    <t>PO8</t>
  </si>
  <si>
    <t>PO9</t>
  </si>
  <si>
    <t>PO10</t>
  </si>
  <si>
    <t>PO11</t>
  </si>
  <si>
    <t>PO12</t>
  </si>
  <si>
    <t>PSO1</t>
  </si>
  <si>
    <t>PSO2</t>
  </si>
  <si>
    <t>PSO3</t>
  </si>
  <si>
    <t>PSO4</t>
  </si>
  <si>
    <t>Course Mapping</t>
  </si>
  <si>
    <t>Attained</t>
  </si>
  <si>
    <t xml:space="preserve">For Calculating Attainment </t>
  </si>
  <si>
    <t xml:space="preserve">Justifications </t>
  </si>
  <si>
    <t>CO</t>
  </si>
  <si>
    <t>PO</t>
  </si>
  <si>
    <t>Value</t>
  </si>
  <si>
    <t>Justifications</t>
  </si>
  <si>
    <t>L. D. COLLEGE OF ENGINEERING</t>
  </si>
  <si>
    <t>Students Details</t>
  </si>
  <si>
    <t>Enrollment No.</t>
  </si>
  <si>
    <t>Name</t>
  </si>
  <si>
    <t>Marksheet for M Component</t>
  </si>
  <si>
    <t>Course Name:</t>
  </si>
  <si>
    <t>Course Code:</t>
  </si>
  <si>
    <t>(Out of 30)</t>
  </si>
  <si>
    <t>Total</t>
  </si>
  <si>
    <t xml:space="preserve">CO1 </t>
  </si>
  <si>
    <t>Total Marks
( Out of 30 )</t>
  </si>
  <si>
    <t>Marksheet for I Component</t>
  </si>
  <si>
    <t>(Out of 20)</t>
  </si>
  <si>
    <t>Total Marks
( Out of 50 )</t>
  </si>
  <si>
    <t>Total Marks
( Out of 20 )</t>
  </si>
  <si>
    <t xml:space="preserve">M Component CO attainment </t>
  </si>
  <si>
    <t>Students Name</t>
  </si>
  <si>
    <t>CO-6</t>
  </si>
  <si>
    <t xml:space="preserve">Total </t>
  </si>
  <si>
    <t>Marks</t>
  </si>
  <si>
    <t xml:space="preserve">Total Student </t>
  </si>
  <si>
    <t>Target Value</t>
  </si>
  <si>
    <t>Attainment Level Marks  as per Target</t>
  </si>
  <si>
    <t>No. of students above attainment level</t>
  </si>
  <si>
    <t>% of students above attainment level</t>
  </si>
  <si>
    <t>Attainment level- Tv</t>
  </si>
  <si>
    <t xml:space="preserve"> </t>
  </si>
  <si>
    <t xml:space="preserve">I Component CO attainment </t>
  </si>
  <si>
    <t>Enrolment No.</t>
  </si>
  <si>
    <t>CO-1</t>
  </si>
  <si>
    <t>CO-2</t>
  </si>
  <si>
    <t>CO-3</t>
  </si>
  <si>
    <t>CO-4</t>
  </si>
  <si>
    <t>CO-5</t>
  </si>
  <si>
    <t>Attainment level</t>
  </si>
  <si>
    <t>Grade</t>
  </si>
  <si>
    <t>Grade to Marks Mapping</t>
  </si>
  <si>
    <t xml:space="preserve">University External Exam CO attainment </t>
  </si>
  <si>
    <t>%</t>
  </si>
  <si>
    <t>ESE Marks</t>
  </si>
  <si>
    <t xml:space="preserve">Total marks </t>
  </si>
  <si>
    <t>AA</t>
  </si>
  <si>
    <t>AB</t>
  </si>
  <si>
    <t>BB</t>
  </si>
  <si>
    <t>BC</t>
  </si>
  <si>
    <t>CC</t>
  </si>
  <si>
    <t>CD</t>
  </si>
  <si>
    <t>DD</t>
  </si>
  <si>
    <t>FF</t>
  </si>
  <si>
    <t>CO wise weightage of ESE</t>
  </si>
  <si>
    <t>No. of students above attainment level- Tv</t>
  </si>
  <si>
    <t>% of students above attainment level- Tv</t>
  </si>
  <si>
    <t xml:space="preserve">University Viva CO attainment </t>
  </si>
  <si>
    <t>CO wise weightage as per GTU syllabus</t>
  </si>
  <si>
    <t xml:space="preserve">Direct Course Attainment Calculation </t>
  </si>
  <si>
    <t>CO Attainment Table</t>
  </si>
  <si>
    <t>Internal</t>
  </si>
  <si>
    <t>Overall Internal</t>
  </si>
  <si>
    <t>External</t>
  </si>
  <si>
    <t>Overall External</t>
  </si>
  <si>
    <t>M Compo.</t>
  </si>
  <si>
    <t>CO – PO &amp; PSO Attainment Matrix</t>
  </si>
  <si>
    <t>L. D. College of Engineering Ahmedabad</t>
  </si>
  <si>
    <t>Electrical Engineering Department:  Sem - 3 (2025 - 26)</t>
  </si>
  <si>
    <t>Subject: BE03009011 - Analog and Digital Engineering</t>
  </si>
  <si>
    <t>Total Hours planned for CO's</t>
  </si>
  <si>
    <t>Th</t>
  </si>
  <si>
    <t>Lab</t>
  </si>
  <si>
    <t>Other</t>
  </si>
  <si>
    <r>
      <rPr>
        <b/>
        <sz val="11"/>
        <rFont val="Calibri"/>
        <family val="2"/>
        <scheme val="minor"/>
      </rPr>
      <t xml:space="preserve">Total Hours planned for CO's </t>
    </r>
    <r>
      <rPr>
        <b/>
        <sz val="11"/>
        <color rgb="FFFF0000"/>
        <rFont val="Calibri"/>
        <family val="2"/>
        <scheme val="minor"/>
      </rPr>
      <t>(Percentages)</t>
    </r>
  </si>
  <si>
    <t>Total Hours for all CO-PO/PSO combinations</t>
  </si>
  <si>
    <t>Total Hours For CO</t>
  </si>
  <si>
    <t>CO-PO/PSO mapping</t>
  </si>
  <si>
    <t>Avg.</t>
  </si>
  <si>
    <t>Unit/
Sub-unit</t>
  </si>
  <si>
    <t>Topic</t>
  </si>
  <si>
    <t>Load
Type</t>
  </si>
  <si>
    <t>Hrs.</t>
  </si>
  <si>
    <t>POs</t>
  </si>
  <si>
    <t>PSOs</t>
  </si>
  <si>
    <t>CO1-POs (Hours)</t>
  </si>
  <si>
    <t>CO2-POs (Hours)</t>
  </si>
  <si>
    <t>CO3-POs (Hours)</t>
  </si>
  <si>
    <t>CO4-POs (Hours)</t>
  </si>
  <si>
    <t>CO5-POs (Hours)</t>
  </si>
  <si>
    <t>Engineering Knowledge</t>
  </si>
  <si>
    <t>Problem Analysis</t>
  </si>
  <si>
    <t>Des/Dev of Sol</t>
  </si>
  <si>
    <t>Inv Cmplx Prob</t>
  </si>
  <si>
    <t>Tool usage</t>
  </si>
  <si>
    <t>Engineer and The World</t>
  </si>
  <si>
    <t>Ethics</t>
  </si>
  <si>
    <t>Individual And Collaborative Team Work</t>
  </si>
  <si>
    <t>Communication</t>
  </si>
  <si>
    <t>Project Management and Finance</t>
  </si>
  <si>
    <t>Life-Long Learning</t>
  </si>
  <si>
    <t>Compu Know.</t>
  </si>
  <si>
    <t>Prob Ana</t>
  </si>
  <si>
    <t>Life-long learning</t>
  </si>
  <si>
    <t>Proj mgmt &amp; fin</t>
  </si>
  <si>
    <t>Er. And soc. Concern</t>
  </si>
  <si>
    <t>Ind &amp; Team work</t>
  </si>
  <si>
    <t>Unit 1</t>
  </si>
  <si>
    <t>Differential, multi-stage and operational amplifiers</t>
  </si>
  <si>
    <t>Differential Amplifier</t>
  </si>
  <si>
    <t>Power Amplifier</t>
  </si>
  <si>
    <t xml:space="preserve">Direct Coupled Multi-Stage Amplifier </t>
  </si>
  <si>
    <t>Internal Structure of an Operational Amplifier</t>
  </si>
  <si>
    <t>Ideal Op-Amp, Non-Idealities in an Op-Amp</t>
  </si>
  <si>
    <t>Output Offset Voltage, Input Bias Current</t>
  </si>
  <si>
    <t>Input Offset Current, Slew Rate, Gain Bandwidth Product</t>
  </si>
  <si>
    <t>Unit 2</t>
  </si>
  <si>
    <t>Linear applications of op-amp</t>
  </si>
  <si>
    <t>Idealized Analysis of Op-Amp Circuits</t>
  </si>
  <si>
    <t>Inverting and Non-Inverting Amplifier</t>
  </si>
  <si>
    <t>Differential Amplifier, Instrumentation Amplifier</t>
  </si>
  <si>
    <t>Integrator and Differentiator</t>
  </si>
  <si>
    <t>Active Filter, Voltage regulator</t>
  </si>
  <si>
    <t>Oscillators (Wein Bridge and Phase Shift)</t>
  </si>
  <si>
    <t>Unit 3</t>
  </si>
  <si>
    <t>Nonlinear applications of op-amp</t>
  </si>
  <si>
    <t>Hysteretic Comparator</t>
  </si>
  <si>
    <t>Zero Crossing Detector</t>
  </si>
  <si>
    <t>Square-wave generators</t>
  </si>
  <si>
    <t>Triangular-wave generators</t>
  </si>
  <si>
    <t>Precision rectifier</t>
  </si>
  <si>
    <t>Peak detector</t>
  </si>
  <si>
    <t>Unit 4</t>
  </si>
  <si>
    <t>Combinational Digital Circuits</t>
  </si>
  <si>
    <t>Standard Representation for Logic Functions</t>
  </si>
  <si>
    <t>Simplification of Logic Functions using K-map and Boolean Algebra</t>
  </si>
  <si>
    <t>Don’t Care Conditions</t>
  </si>
  <si>
    <t>Multiplexer, De-Multiplexer / Decoders</t>
  </si>
  <si>
    <t>Adders, Subtractors</t>
  </si>
  <si>
    <t>BCD Arithmetic, Carry Look Ahead Adder, Serial Adder</t>
  </si>
  <si>
    <t>Digital Comparator, Parity Checker / Generator</t>
  </si>
  <si>
    <t>Code Converters, Priority Encoders, Decoders / Drivers for Display Devices</t>
  </si>
  <si>
    <t>Unit 5</t>
  </si>
  <si>
    <t>Sequential circuits and systems</t>
  </si>
  <si>
    <t>A 1-bit memory, the circuit properties of Bi-stable latch</t>
  </si>
  <si>
    <t>Clocked SR flip flop, J- K-T and D types flip-flops</t>
  </si>
  <si>
    <t>Applications of flip-flops</t>
  </si>
  <si>
    <t>Shift registers, applications of shift registers</t>
  </si>
  <si>
    <t xml:space="preserve">Ring counter, sequence generator,  </t>
  </si>
  <si>
    <t>Ripple (Asynchronous) counters,</t>
  </si>
  <si>
    <t>Synchronous counters, counters design using flip flops,</t>
  </si>
  <si>
    <t xml:space="preserve">Special counter IC’s, asynchronous sequential counters, </t>
  </si>
  <si>
    <t>Applications of counters.</t>
  </si>
  <si>
    <t>Unit 6</t>
  </si>
  <si>
    <t>A/D and D/A Converters</t>
  </si>
  <si>
    <t>Digital to analog converters: weighted resistor/converter,</t>
  </si>
  <si>
    <t>R-2R Ladder D/A converter, specifications for D/A converters</t>
  </si>
  <si>
    <t>Examples of D/A converter lCs, sample and hold circuit</t>
  </si>
  <si>
    <t>Analog to digital converters: quantization and encoding</t>
  </si>
  <si>
    <t>Parallel comparator A/D converter, successive approximation A/D converter</t>
  </si>
  <si>
    <t>Counting A/D converter, dual slope A/D converter</t>
  </si>
  <si>
    <t>A/D converter using voltage to frequency and voltage to time conversion</t>
  </si>
  <si>
    <t>Specifications of A/D converters, example of A/D converter ICs</t>
  </si>
  <si>
    <t>Pr.1</t>
  </si>
  <si>
    <t>(a) To verify the working of Op-amp as a Non - inverting Amplifier.
(b) To verify the working of Op-amp as an Inverting Amplifier</t>
  </si>
  <si>
    <t>Pr</t>
  </si>
  <si>
    <t>Pr.2</t>
  </si>
  <si>
    <t>(a) To verify the working of Op-amp as an Integrator.
(b) To verify the working of Op-amp as an Differentiator.</t>
  </si>
  <si>
    <t>Pr.3</t>
  </si>
  <si>
    <t>To verify the operation of Phase Shift Oscillator</t>
  </si>
  <si>
    <t>Pr.4</t>
  </si>
  <si>
    <t>(a) To verify the working of Op-amp as a square wave generator.
(b) To verify the working of Op-amp as a Triangular wave generator.</t>
  </si>
  <si>
    <t>Pr.5</t>
  </si>
  <si>
    <t>(a) To verify the application of op-amp as a Zero Crossing Detector.
(b) To verify the application of op-amp as a Peak Detector.</t>
  </si>
  <si>
    <t>Pr.6</t>
  </si>
  <si>
    <t>(a) To verify working of half and full binary adder and subtractor circuits.
(b) To verify working of binary to gray and gray to binary converter circuit</t>
  </si>
  <si>
    <t>Pr.7</t>
  </si>
  <si>
    <t>To verify truth tables of RS, JK, D and T flip-flops.</t>
  </si>
  <si>
    <t>Pr.8</t>
  </si>
  <si>
    <t>(a) To Design 8 to 3 Encoder and 3 to 8 line Decoder.
(b) To Design 4 to 1 Multiplexer and 1 to 4 line De-multiplexer</t>
  </si>
  <si>
    <t>Pr.9</t>
  </si>
  <si>
    <t xml:space="preserve">(a) To verify the working of binary up/down counter.
(b) To verify the working of Ring counter, Johnson counter. </t>
  </si>
  <si>
    <t>Pr.10</t>
  </si>
  <si>
    <t>(a) To study Specification and Performance indices of D/A converters. 
(b) To study Specification and Performance indices of A/D converters.</t>
  </si>
  <si>
    <t>Pr.11</t>
  </si>
  <si>
    <t>Pr.12</t>
  </si>
  <si>
    <t>Pr.13</t>
  </si>
  <si>
    <t>Pr.14</t>
  </si>
  <si>
    <t>Pr.15</t>
  </si>
  <si>
    <t>Pr.16</t>
  </si>
  <si>
    <t>L. D. College of Engineering Ahmedabad
Lesson Plan</t>
  </si>
  <si>
    <t>Subject:</t>
  </si>
  <si>
    <t>Faculty:</t>
  </si>
  <si>
    <t>Term Dates:</t>
  </si>
  <si>
    <t>Sr No</t>
  </si>
  <si>
    <t>Content</t>
  </si>
  <si>
    <t>Hours</t>
  </si>
  <si>
    <t>Lectures</t>
  </si>
  <si>
    <t>Planned</t>
  </si>
  <si>
    <t>Actual</t>
  </si>
  <si>
    <t>TOTAL</t>
  </si>
  <si>
    <t>Name &amp; sign of faculty</t>
  </si>
  <si>
    <t>L. D. College of Engineering Ahmedabad
Lab Plan</t>
  </si>
  <si>
    <t>TOTAL:</t>
  </si>
  <si>
    <t xml:space="preserve">1. Comprehension of various types of analog and digital components – OPAMP, Combinational and sequential circuits, ADC and DAC, involved  in the analog and digital systems </t>
  </si>
  <si>
    <t>2. Describe the functioning and selection of OP-AMP as per application</t>
  </si>
  <si>
    <t>3. Design and testing of OP-AMP based circuits.</t>
  </si>
  <si>
    <t>4. Design and implement Combinational and Sequential logic circuits</t>
  </si>
  <si>
    <t>5. Describe the process of Analog to Digital conversion and Digital to Analog Conversion.</t>
  </si>
  <si>
    <t>(A) PROGRAM OUTCOMES(POs)</t>
  </si>
  <si>
    <t>Graduates will be able to:</t>
  </si>
  <si>
    <t xml:space="preserve">PO1: Engineering Knowledge: Apply knowledge of mathematics, natural science, computing, engineering fundamentals and an engineering specialization as specified in WK1 to WK4 respectively to develop to the solution of complex engineering problems. </t>
  </si>
  <si>
    <t xml:space="preserve">PO2: Problem Analysis: Identify, formulate, review research literature and analyze complex engineering problems reaching substantiated conclusions with consideration for sustainable development. (WK1 to WK4) </t>
  </si>
  <si>
    <t xml:space="preserve">PO3: Design/Development of Solutions: Design creative solutions for complex engineering problems and design/develop systems/components/processes to meet identified needs with consideration for the public health and safety, whole-life cost, net zero carbon, culture, society and environment as required. (WK5) </t>
  </si>
  <si>
    <t xml:space="preserve">PO4: Conduct Investigations of Complex Problems: Conduct investigations of complex engineering problems using research-based knowledge including design of experiments, modelling, analysis &amp; interpretation of data to provide valid conclusions. (WK8). </t>
  </si>
  <si>
    <t xml:space="preserve">PO5: Engineering Tool Usage: Create, select and apply appropriate techniques, resources and modern engineering &amp; IT tools, including prediction and modelling recognizing their limitations to solve complex engineering problems. (WK2 and WK6) </t>
  </si>
  <si>
    <t xml:space="preserve">PO6: The Engineer and The World: Analyze and evaluate societal and environmental aspects while solving complex engineering problems for its impact on sustainability with reference to economy, health, safety, legal framework, culture and environment. (WK1, WK5, and WK7). </t>
  </si>
  <si>
    <t xml:space="preserve">PO7: Ethics: Apply ethical principles and commit to professional ethics, human values, diversity and inclusion; adhere to national &amp; international laws. (WK9) </t>
  </si>
  <si>
    <t xml:space="preserve">PO8: Individual and Collaborative Team work: Function effectively as an individual, and as a member or leader in diverse/multi-disciplinary teams. </t>
  </si>
  <si>
    <t xml:space="preserve">PO9: Communication: Communicate effectively and inclusively within the engineering community and society at large, such as being able to comprehend and write effective reports and design documentation, make effective presentations considering cultural, language, and learning differences </t>
  </si>
  <si>
    <t xml:space="preserve">PO10: Project Management and Finance: Apply knowledge and understanding of engineering management principles and economic decision-making and apply these to one’s own work, as a member and leader in a team, and to manage projects and in multidisciplinary environments. </t>
  </si>
  <si>
    <t xml:space="preserve">PO11: Life-Long Learning: Recognize the need for and have the preparation and ability for i) independent and life-long learning ii) adaptability to new and emerging technologies and iii) critical thinking in the broadest context of technological change. (WK8) </t>
  </si>
  <si>
    <t>PSO4:  Graduates will demonstrate lifelong learning attitude and societal responsibilities with high moral and ethical values</t>
  </si>
  <si>
    <t>PSO of Electrical Engineering Department</t>
  </si>
  <si>
    <t>Graduates will possess the ability to interpret the fundamental concepts of Electrical Engineering and its applications</t>
  </si>
  <si>
    <t>Graduates will be able to investigate and propose effective solutions to the problems of Power System, Electrical Machines and Electronics using contemporary tools &amp; Mathematical approach</t>
  </si>
  <si>
    <t>Graduates will possess skills and knowledge for design, operation and maintenance in the areas of Power System, Electrical machines and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</si>
</sst>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0;[Red]0"/>
    <numFmt numFmtId="166" formatCode="0.0"/>
  </numFmts>
  <fonts count="55">
    <font>
      <sz val="11"/>
      <color theme="1"/>
      <name val="Calibri"/>
      <scheme val="minor"/>
    </font>
    <font>
      <sz val="11"/>
      <color theme="1"/>
      <name val="Calibri"/>
      <family val="2"/>
      <scheme val="minor"/>
    </font>
    <font>
      <b/>
      <sz val="12"/>
      <color rgb="FF0033CC"/>
      <name val="Times New Roman"/>
    </font>
    <font>
      <sz val="11"/>
      <name val="Calibri"/>
    </font>
    <font>
      <sz val="12"/>
      <color theme="1"/>
      <name val="Times New Roman"/>
    </font>
    <font>
      <b/>
      <sz val="12"/>
      <color theme="1"/>
      <name val="Times New Roman"/>
    </font>
    <font>
      <b/>
      <sz val="12"/>
      <color rgb="FFFF0000"/>
      <name val="Times New Roman"/>
    </font>
    <font>
      <sz val="12"/>
      <color rgb="FF000000"/>
      <name val="Times New Roman"/>
    </font>
    <font>
      <b/>
      <sz val="10"/>
      <color theme="1"/>
      <name val="Times New Roman"/>
    </font>
    <font>
      <b/>
      <sz val="12"/>
      <color rgb="FF000000"/>
      <name val="Times New Roman"/>
    </font>
    <font>
      <b/>
      <sz val="12"/>
      <color theme="0"/>
      <name val="Times New Roman"/>
    </font>
    <font>
      <sz val="12"/>
      <color theme="0"/>
      <name val="Times New Roman"/>
    </font>
    <font>
      <sz val="12"/>
      <color rgb="FFFF0000"/>
      <name val="Times New Roman"/>
    </font>
    <font>
      <b/>
      <sz val="14"/>
      <color theme="1"/>
      <name val="Times New Roman"/>
    </font>
    <font>
      <sz val="11"/>
      <color theme="1"/>
      <name val="Times New Roman"/>
    </font>
    <font>
      <sz val="11"/>
      <color rgb="FF0033CC"/>
      <name val="Times New Roman"/>
    </font>
    <font>
      <sz val="14"/>
      <color theme="1"/>
      <name val="Times New Roman"/>
    </font>
    <font>
      <sz val="12"/>
      <color rgb="FF0033CC"/>
      <name val="Times New Roman"/>
    </font>
    <font>
      <sz val="11"/>
      <color theme="1"/>
      <name val="Calibri"/>
    </font>
    <font>
      <b/>
      <sz val="10"/>
      <color rgb="FF0033CC"/>
      <name val="Times New Roman"/>
    </font>
    <font>
      <b/>
      <sz val="10"/>
      <color rgb="FF0033CC"/>
      <name val="Calibri"/>
    </font>
    <font>
      <b/>
      <sz val="10"/>
      <color theme="1"/>
      <name val="Calibri"/>
    </font>
    <font>
      <sz val="9"/>
      <color theme="1"/>
      <name val="Arial"/>
    </font>
    <font>
      <b/>
      <sz val="12"/>
      <color rgb="FFC00000"/>
      <name val="Times New Roman"/>
    </font>
    <font>
      <sz val="11"/>
      <color rgb="FFFF0000"/>
      <name val="Calibri"/>
      <family val="2"/>
      <scheme val="minor"/>
    </font>
    <font>
      <b/>
      <sz val="11"/>
      <color theme="1"/>
      <name val="Calibri"/>
      <family val="2"/>
      <scheme val="minor"/>
    </font>
    <font>
      <b/>
      <sz val="11"/>
      <color theme="1"/>
      <name val="Times"/>
      <family val="1"/>
    </font>
    <font>
      <sz val="11"/>
      <color theme="1"/>
      <name val="Times"/>
    </font>
    <font>
      <b/>
      <sz val="11"/>
      <color rgb="FFFF0000"/>
      <name val="Calibri"/>
      <family val="2"/>
      <scheme val="minor"/>
    </font>
    <font>
      <sz val="11"/>
      <color theme="1"/>
      <name val="Times"/>
      <family val="1"/>
    </font>
    <font>
      <sz val="9"/>
      <color theme="1"/>
      <name val="Times"/>
      <family val="1"/>
    </font>
    <font>
      <b/>
      <sz val="11"/>
      <color rgb="FF002060"/>
      <name val="Calibri"/>
      <family val="2"/>
      <scheme val="minor"/>
    </font>
    <font>
      <b/>
      <sz val="11"/>
      <color rgb="FF00CC00"/>
      <name val="Times"/>
      <family val="1"/>
    </font>
    <font>
      <b/>
      <sz val="11"/>
      <name val="Calibri"/>
      <family val="2"/>
      <scheme val="minor"/>
    </font>
    <font>
      <sz val="11"/>
      <name val="Calibri"/>
      <family val="2"/>
      <scheme val="minor"/>
    </font>
    <font>
      <sz val="11.5"/>
      <color rgb="FF000000"/>
      <name val="Calibri"/>
      <family val="2"/>
      <scheme val="minor"/>
    </font>
    <font>
      <b/>
      <sz val="14"/>
      <color theme="1"/>
      <name val="Calibri"/>
      <family val="2"/>
      <scheme val="minor"/>
    </font>
    <font>
      <b/>
      <u/>
      <sz val="11"/>
      <color theme="1"/>
      <name val="Times New Roman"/>
      <family val="1"/>
    </font>
    <font>
      <b/>
      <sz val="11"/>
      <color theme="1"/>
      <name val="Times New Roman"/>
      <family val="1"/>
    </font>
    <font>
      <b/>
      <sz val="12"/>
      <color theme="1"/>
      <name val="Times New Roman"/>
      <family val="1"/>
    </font>
    <font>
      <sz val="11"/>
      <color theme="1"/>
      <name val="Times New Roman"/>
      <family val="1"/>
    </font>
    <font>
      <sz val="12"/>
      <color rgb="FF000000"/>
      <name val="Times New Roman"/>
      <family val="1"/>
    </font>
    <font>
      <sz val="11.5"/>
      <color rgb="FF000000"/>
      <name val="Times New Roman"/>
      <family val="1"/>
    </font>
    <font>
      <b/>
      <sz val="9"/>
      <color theme="1"/>
      <name val="Times New Roman"/>
      <family val="1"/>
    </font>
    <font>
      <sz val="12"/>
      <color theme="1"/>
      <name val="Calibri"/>
      <family val="2"/>
      <scheme val="minor"/>
    </font>
    <font>
      <b/>
      <sz val="12"/>
      <color theme="1"/>
      <name val="Calibri"/>
      <family val="2"/>
      <scheme val="minor"/>
    </font>
    <font>
      <sz val="10"/>
      <color rgb="FF000000"/>
      <name val="Verdana"/>
      <family val="2"/>
    </font>
    <font>
      <b/>
      <sz val="9"/>
      <color theme="1"/>
      <name val="Verdana"/>
      <family val="2"/>
    </font>
    <font>
      <sz val="9"/>
      <color theme="1"/>
      <name val="Verdana"/>
      <family val="2"/>
    </font>
    <font>
      <sz val="12"/>
      <color rgb="FF000000"/>
      <name val="Poppins"/>
    </font>
    <font>
      <sz val="10"/>
      <color rgb="FF000000"/>
      <name val="Times New Roman"/>
      <family val="1"/>
    </font>
    <font>
      <sz val="11"/>
      <color rgb="FF000000"/>
      <name val="Arial"/>
      <family val="2"/>
    </font>
    <font>
      <sz val="11"/>
      <color theme="1"/>
      <name val="Arial"/>
      <family val="2"/>
    </font>
    <font>
      <sz val="10"/>
      <color rgb="FF000000"/>
      <name val="Arial"/>
      <family val="2"/>
    </font>
    <font>
      <sz val="11"/>
      <color rgb="FF000000"/>
      <name val="Calibri"/>
      <family val="2"/>
      <scheme val="minor"/>
    </font>
  </fonts>
  <fills count="1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6E3BC"/>
        <bgColor rgb="FFD6E3BC"/>
      </patternFill>
    </fill>
    <fill>
      <patternFill patternType="solid">
        <fgColor rgb="FFDBE5F1"/>
        <bgColor rgb="FFDBE5F1"/>
      </patternFill>
    </fill>
    <fill>
      <patternFill patternType="solid">
        <fgColor rgb="FFFFFFFF"/>
        <bgColor rgb="FFFFFFFF"/>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s>
  <borders count="6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D0D9C7"/>
      </left>
      <right style="medium">
        <color rgb="FFD0D9C7"/>
      </right>
      <top style="medium">
        <color rgb="FFCCCCCC"/>
      </top>
      <bottom style="medium">
        <color rgb="FFD0D9C7"/>
      </bottom>
      <diagonal/>
    </border>
    <border>
      <left/>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s>
  <cellStyleXfs count="13">
    <xf numFmtId="0" fontId="0" fillId="0" borderId="0"/>
    <xf numFmtId="0" fontId="1" fillId="0" borderId="20"/>
    <xf numFmtId="0" fontId="1" fillId="0" borderId="20"/>
    <xf numFmtId="0" fontId="50" fillId="0" borderId="20"/>
    <xf numFmtId="0" fontId="51" fillId="0" borderId="20"/>
    <xf numFmtId="0" fontId="52" fillId="0" borderId="20"/>
    <xf numFmtId="0" fontId="53" fillId="0" borderId="20"/>
    <xf numFmtId="0" fontId="53" fillId="0" borderId="20"/>
    <xf numFmtId="0" fontId="50" fillId="0" borderId="20"/>
    <xf numFmtId="0" fontId="50" fillId="0" borderId="20"/>
    <xf numFmtId="0" fontId="51" fillId="0" borderId="20"/>
    <xf numFmtId="0" fontId="54" fillId="0" borderId="20"/>
    <xf numFmtId="9" fontId="51" fillId="0" borderId="20" applyFont="0" applyFill="0" applyBorder="0" applyAlignment="0" applyProtection="0"/>
  </cellStyleXfs>
  <cellXfs count="391">
    <xf numFmtId="0" fontId="0" fillId="0" borderId="0" xfId="0" applyFont="1" applyAlignment="1"/>
    <xf numFmtId="0" fontId="4" fillId="0" borderId="0" xfId="0" applyFont="1"/>
    <xf numFmtId="0" fontId="2" fillId="0" borderId="4"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xf>
    <xf numFmtId="0" fontId="5" fillId="0" borderId="4" xfId="0" applyFont="1" applyBorder="1" applyAlignment="1">
      <alignment horizontal="center" vertical="top"/>
    </xf>
    <xf numFmtId="0" fontId="5" fillId="0" borderId="4" xfId="0" applyFont="1" applyBorder="1" applyAlignment="1">
      <alignment horizontal="center"/>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top"/>
    </xf>
    <xf numFmtId="0" fontId="2" fillId="0" borderId="0" xfId="0" applyFont="1" applyAlignment="1">
      <alignment vertical="top"/>
    </xf>
    <xf numFmtId="0" fontId="4" fillId="0" borderId="0" xfId="0" applyFont="1" applyAlignment="1">
      <alignment horizontal="left" vertical="center" wrapText="1"/>
    </xf>
    <xf numFmtId="9" fontId="6" fillId="0" borderId="0" xfId="0" applyNumberFormat="1" applyFont="1" applyAlignment="1">
      <alignment horizontal="center" vertical="center"/>
    </xf>
    <xf numFmtId="0" fontId="4" fillId="0" borderId="0" xfId="0" applyFont="1" applyAlignment="1">
      <alignment vertical="top"/>
    </xf>
    <xf numFmtId="0" fontId="5" fillId="0" borderId="4" xfId="0" applyFont="1" applyBorder="1" applyAlignment="1">
      <alignment horizontal="center" vertical="center" wrapText="1"/>
    </xf>
    <xf numFmtId="0" fontId="5" fillId="0" borderId="0" xfId="0" applyFont="1"/>
    <xf numFmtId="164" fontId="7" fillId="0" borderId="4" xfId="0" applyNumberFormat="1" applyFont="1" applyBorder="1" applyAlignment="1">
      <alignment horizontal="center" vertical="center" wrapText="1"/>
    </xf>
    <xf numFmtId="1" fontId="5" fillId="0" borderId="4" xfId="0" applyNumberFormat="1" applyFont="1" applyBorder="1" applyAlignment="1">
      <alignment horizontal="center"/>
    </xf>
    <xf numFmtId="1" fontId="5" fillId="0" borderId="1" xfId="0" applyNumberFormat="1" applyFont="1" applyBorder="1" applyAlignment="1">
      <alignment horizontal="center"/>
    </xf>
    <xf numFmtId="1" fontId="6" fillId="0" borderId="0" xfId="0" applyNumberFormat="1" applyFont="1" applyAlignment="1">
      <alignment horizontal="center" vertical="center"/>
    </xf>
    <xf numFmtId="0" fontId="5" fillId="0" borderId="0" xfId="0" applyFont="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2" fontId="4" fillId="0" borderId="4" xfId="0" applyNumberFormat="1" applyFont="1" applyBorder="1" applyAlignment="1">
      <alignment horizontal="center"/>
    </xf>
    <xf numFmtId="0" fontId="2" fillId="0" borderId="0" xfId="0" applyFont="1" applyAlignment="1">
      <alignment vertical="center" wrapText="1"/>
    </xf>
    <xf numFmtId="0" fontId="4" fillId="0" borderId="14" xfId="0" applyFont="1" applyBorder="1" applyAlignment="1">
      <alignment horizontal="center" vertical="top"/>
    </xf>
    <xf numFmtId="0" fontId="2" fillId="0" borderId="0" xfId="0" applyFont="1" applyAlignment="1">
      <alignment vertical="top" wrapText="1"/>
    </xf>
    <xf numFmtId="9" fontId="6" fillId="0" borderId="0" xfId="0" applyNumberFormat="1" applyFont="1"/>
    <xf numFmtId="0" fontId="4" fillId="0" borderId="4" xfId="0" applyFont="1" applyBorder="1" applyAlignment="1">
      <alignment horizontal="center" vertical="center" wrapText="1"/>
    </xf>
    <xf numFmtId="1" fontId="2" fillId="0" borderId="4" xfId="0" applyNumberFormat="1" applyFont="1" applyBorder="1" applyAlignment="1">
      <alignment horizontal="center" vertical="center" wrapText="1"/>
    </xf>
    <xf numFmtId="2" fontId="9" fillId="0" borderId="4" xfId="0" applyNumberFormat="1" applyFont="1" applyBorder="1" applyAlignment="1">
      <alignment horizontal="center" vertical="center" wrapText="1"/>
    </xf>
    <xf numFmtId="2" fontId="9" fillId="2" borderId="4" xfId="0" applyNumberFormat="1" applyFont="1" applyFill="1" applyBorder="1" applyAlignment="1">
      <alignment horizontal="center" vertical="center" wrapText="1"/>
    </xf>
    <xf numFmtId="0" fontId="4" fillId="0" borderId="0" xfId="0"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vertical="center"/>
    </xf>
    <xf numFmtId="0" fontId="5" fillId="0" borderId="0" xfId="0" applyFont="1" applyAlignment="1">
      <alignment horizontal="center" vertical="center"/>
    </xf>
    <xf numFmtId="0" fontId="13" fillId="0" borderId="0" xfId="0" applyFont="1" applyAlignment="1">
      <alignment horizontal="center" vertical="center"/>
    </xf>
    <xf numFmtId="0" fontId="17" fillId="0" borderId="4" xfId="0" applyFont="1" applyBorder="1" applyAlignment="1">
      <alignment horizontal="center" vertical="center"/>
    </xf>
    <xf numFmtId="1" fontId="17" fillId="0" borderId="4" xfId="0" applyNumberFormat="1" applyFont="1" applyBorder="1" applyAlignment="1">
      <alignment horizontal="center" vertical="center"/>
    </xf>
    <xf numFmtId="0" fontId="17" fillId="0" borderId="4" xfId="0" applyFont="1" applyBorder="1" applyAlignment="1">
      <alignment vertical="center"/>
    </xf>
    <xf numFmtId="0" fontId="17" fillId="3" borderId="4" xfId="0" applyFont="1" applyFill="1" applyBorder="1" applyAlignment="1">
      <alignment vertical="center"/>
    </xf>
    <xf numFmtId="0" fontId="18" fillId="3" borderId="20" xfId="0" applyFont="1" applyFill="1" applyBorder="1"/>
    <xf numFmtId="1" fontId="17" fillId="0" borderId="4" xfId="0" applyNumberFormat="1" applyFont="1" applyBorder="1" applyAlignment="1">
      <alignment horizontal="center" vertical="center"/>
    </xf>
    <xf numFmtId="0" fontId="17" fillId="0" borderId="4" xfId="0" applyFont="1" applyBorder="1" applyAlignment="1">
      <alignment vertical="center"/>
    </xf>
    <xf numFmtId="1" fontId="17" fillId="0" borderId="4" xfId="0" applyNumberFormat="1" applyFont="1" applyBorder="1" applyAlignment="1">
      <alignment horizontal="center"/>
    </xf>
    <xf numFmtId="1" fontId="17" fillId="0" borderId="4" xfId="0" applyNumberFormat="1" applyFont="1" applyBorder="1"/>
    <xf numFmtId="0" fontId="17" fillId="0" borderId="4" xfId="0" applyFont="1" applyBorder="1" applyAlignment="1">
      <alignment horizontal="center"/>
    </xf>
    <xf numFmtId="1" fontId="17" fillId="0" borderId="4" xfId="0" applyNumberFormat="1" applyFont="1" applyBorder="1" applyAlignment="1">
      <alignment vertical="center"/>
    </xf>
    <xf numFmtId="0" fontId="17" fillId="0" borderId="4" xfId="0" applyFont="1" applyBorder="1" applyAlignment="1">
      <alignment horizontal="right" vertical="center"/>
    </xf>
    <xf numFmtId="1" fontId="18" fillId="0" borderId="4" xfId="0" applyNumberFormat="1" applyFont="1" applyBorder="1"/>
    <xf numFmtId="0" fontId="18" fillId="0" borderId="4" xfId="0" applyFont="1" applyBorder="1" applyAlignment="1">
      <alignment horizontal="center"/>
    </xf>
    <xf numFmtId="0" fontId="18" fillId="0" borderId="0" xfId="0" applyFont="1" applyAlignment="1">
      <alignment horizontal="center"/>
    </xf>
    <xf numFmtId="0" fontId="13" fillId="0" borderId="0" xfId="0" applyFont="1" applyAlignment="1">
      <alignment vertical="center"/>
    </xf>
    <xf numFmtId="0" fontId="5" fillId="0" borderId="0" xfId="0" applyFont="1" applyAlignment="1">
      <alignment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10" fillId="0" borderId="0" xfId="0" applyFont="1" applyAlignment="1">
      <alignment horizontal="center" vertical="center" wrapText="1"/>
    </xf>
    <xf numFmtId="1" fontId="19" fillId="4" borderId="4" xfId="0" applyNumberFormat="1" applyFont="1" applyFill="1" applyBorder="1" applyAlignment="1">
      <alignment horizontal="center" vertical="center" wrapText="1"/>
    </xf>
    <xf numFmtId="1" fontId="8" fillId="4" borderId="4" xfId="0" applyNumberFormat="1" applyFont="1" applyFill="1" applyBorder="1" applyAlignment="1">
      <alignment horizontal="center" vertical="center" wrapText="1"/>
    </xf>
    <xf numFmtId="1" fontId="10" fillId="0" borderId="0" xfId="0" applyNumberFormat="1" applyFont="1" applyAlignment="1">
      <alignment horizontal="center" vertical="center" wrapText="1"/>
    </xf>
    <xf numFmtId="0" fontId="4" fillId="0" borderId="4" xfId="0" applyFont="1" applyBorder="1" applyAlignment="1">
      <alignment horizontal="center" vertical="center"/>
    </xf>
    <xf numFmtId="165" fontId="4" fillId="0" borderId="4" xfId="0" applyNumberFormat="1" applyFont="1" applyBorder="1" applyAlignment="1">
      <alignment horizontal="center" vertical="center"/>
    </xf>
    <xf numFmtId="0" fontId="4" fillId="0" borderId="1" xfId="0" applyFont="1" applyBorder="1" applyAlignment="1">
      <alignment vertical="center"/>
    </xf>
    <xf numFmtId="1" fontId="19" fillId="0" borderId="4" xfId="0" applyNumberFormat="1" applyFont="1" applyBorder="1" applyAlignment="1">
      <alignment horizontal="center" vertical="center" wrapText="1"/>
    </xf>
    <xf numFmtId="1" fontId="19" fillId="0" borderId="4" xfId="0" applyNumberFormat="1" applyFont="1" applyBorder="1" applyAlignment="1">
      <alignment horizontal="center" vertical="center" wrapText="1"/>
    </xf>
    <xf numFmtId="1" fontId="8" fillId="0" borderId="4" xfId="0" applyNumberFormat="1" applyFont="1" applyBorder="1" applyAlignment="1">
      <alignment horizontal="center" vertical="center" wrapText="1"/>
    </xf>
    <xf numFmtId="1" fontId="11" fillId="0" borderId="0" xfId="0" applyNumberFormat="1" applyFont="1" applyAlignment="1">
      <alignment horizontal="center" vertical="center" wrapText="1"/>
    </xf>
    <xf numFmtId="1" fontId="19" fillId="0" borderId="4" xfId="0" applyNumberFormat="1" applyFont="1" applyBorder="1" applyAlignment="1">
      <alignment horizontal="center"/>
    </xf>
    <xf numFmtId="1" fontId="19" fillId="0" borderId="4" xfId="0" applyNumberFormat="1" applyFont="1" applyBorder="1" applyAlignment="1">
      <alignment horizontal="center"/>
    </xf>
    <xf numFmtId="1" fontId="15" fillId="0" borderId="4" xfId="0" applyNumberFormat="1" applyFont="1" applyBorder="1" applyAlignment="1">
      <alignment vertical="center"/>
    </xf>
    <xf numFmtId="1" fontId="20" fillId="0" borderId="4" xfId="0" applyNumberFormat="1" applyFont="1" applyBorder="1" applyAlignment="1">
      <alignment horizontal="center"/>
    </xf>
    <xf numFmtId="0" fontId="21" fillId="0" borderId="0" xfId="0" applyFont="1" applyAlignment="1">
      <alignment horizontal="center"/>
    </xf>
    <xf numFmtId="0" fontId="8" fillId="0" borderId="0" xfId="0" applyFont="1" applyAlignment="1">
      <alignment horizontal="left" vertical="center"/>
    </xf>
    <xf numFmtId="0" fontId="5" fillId="5" borderId="4" xfId="0" applyFont="1" applyFill="1" applyBorder="1" applyAlignment="1">
      <alignment vertical="center" wrapText="1"/>
    </xf>
    <xf numFmtId="0" fontId="10" fillId="3" borderId="20" xfId="0" applyFont="1" applyFill="1" applyBorder="1"/>
    <xf numFmtId="0" fontId="10" fillId="0" borderId="0" xfId="0" applyFont="1" applyAlignment="1">
      <alignment vertical="center" wrapText="1"/>
    </xf>
    <xf numFmtId="0" fontId="5" fillId="5" borderId="4" xfId="0" applyFont="1" applyFill="1" applyBorder="1" applyAlignment="1">
      <alignment horizontal="right" vertical="center" wrapText="1"/>
    </xf>
    <xf numFmtId="1" fontId="5" fillId="5" borderId="4" xfId="0" applyNumberFormat="1" applyFont="1" applyFill="1" applyBorder="1" applyAlignment="1">
      <alignment horizontal="center" vertical="center" wrapText="1"/>
    </xf>
    <xf numFmtId="0" fontId="4" fillId="0" borderId="4" xfId="0" applyFont="1" applyBorder="1" applyAlignment="1">
      <alignment horizontal="center"/>
    </xf>
    <xf numFmtId="165" fontId="4" fillId="0" borderId="4" xfId="0" applyNumberFormat="1" applyFont="1" applyBorder="1" applyAlignment="1">
      <alignment horizontal="center" wrapText="1"/>
    </xf>
    <xf numFmtId="0" fontId="4" fillId="0" borderId="4" xfId="0" applyFont="1" applyBorder="1" applyAlignment="1">
      <alignment horizontal="left" wrapText="1"/>
    </xf>
    <xf numFmtId="1" fontId="4" fillId="0" borderId="4" xfId="0" applyNumberFormat="1" applyFont="1" applyBorder="1" applyAlignment="1">
      <alignment horizontal="center"/>
    </xf>
    <xf numFmtId="1" fontId="5" fillId="0" borderId="4" xfId="0" applyNumberFormat="1" applyFont="1" applyBorder="1" applyAlignment="1">
      <alignment horizontal="center" wrapText="1"/>
    </xf>
    <xf numFmtId="0" fontId="5" fillId="0" borderId="6" xfId="0" applyFont="1" applyBorder="1" applyAlignment="1">
      <alignment horizontal="center"/>
    </xf>
    <xf numFmtId="165" fontId="9" fillId="0" borderId="6" xfId="0" applyNumberFormat="1" applyFont="1" applyBorder="1" applyAlignment="1">
      <alignment horizontal="center" wrapText="1"/>
    </xf>
    <xf numFmtId="0" fontId="9" fillId="0" borderId="6" xfId="0" applyFont="1" applyBorder="1" applyAlignment="1">
      <alignment horizontal="left" wrapText="1"/>
    </xf>
    <xf numFmtId="1" fontId="17" fillId="0" borderId="6" xfId="0" applyNumberFormat="1" applyFont="1" applyBorder="1" applyAlignment="1">
      <alignment horizontal="center"/>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1" fontId="5" fillId="0" borderId="4" xfId="0" applyNumberFormat="1" applyFont="1" applyBorder="1" applyAlignment="1">
      <alignment horizontal="center" vertical="center"/>
    </xf>
    <xf numFmtId="0" fontId="9" fillId="0" borderId="4" xfId="0" applyFont="1" applyBorder="1" applyAlignment="1">
      <alignment vertical="center" wrapText="1"/>
    </xf>
    <xf numFmtId="0" fontId="9" fillId="0" borderId="4" xfId="0" applyFont="1" applyBorder="1" applyAlignment="1">
      <alignment horizontal="left" vertical="center" wrapText="1"/>
    </xf>
    <xf numFmtId="2" fontId="4" fillId="0" borderId="4" xfId="0" applyNumberFormat="1" applyFont="1" applyBorder="1" applyAlignment="1">
      <alignment horizontal="center" vertical="center"/>
    </xf>
    <xf numFmtId="0" fontId="9" fillId="0" borderId="4" xfId="0" applyFont="1" applyBorder="1" applyAlignment="1">
      <alignment horizontal="left" wrapText="1"/>
    </xf>
    <xf numFmtId="0" fontId="5" fillId="0" borderId="4" xfId="0" applyFont="1" applyBorder="1" applyAlignment="1">
      <alignment horizontal="left"/>
    </xf>
    <xf numFmtId="1" fontId="5" fillId="2" borderId="4" xfId="0" applyNumberFormat="1" applyFont="1" applyFill="1" applyBorder="1" applyAlignment="1">
      <alignment horizontal="center"/>
    </xf>
    <xf numFmtId="0" fontId="6" fillId="0" borderId="4" xfId="0" applyFont="1" applyBorder="1" applyAlignment="1">
      <alignment horizontal="center" vertical="top"/>
    </xf>
    <xf numFmtId="0" fontId="9" fillId="0" borderId="4" xfId="0" applyFont="1" applyBorder="1" applyAlignment="1">
      <alignment horizontal="left" vertical="top" wrapText="1"/>
    </xf>
    <xf numFmtId="1"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5" fillId="0" borderId="0" xfId="0" applyFont="1" applyAlignment="1">
      <alignment horizontal="center" vertical="top"/>
    </xf>
    <xf numFmtId="0" fontId="5" fillId="0" borderId="0" xfId="0" applyFont="1" applyAlignment="1">
      <alignment horizontal="center"/>
    </xf>
    <xf numFmtId="0" fontId="5" fillId="0" borderId="0" xfId="0" applyFont="1" applyAlignment="1">
      <alignment horizontal="left"/>
    </xf>
    <xf numFmtId="0" fontId="11" fillId="3" borderId="20" xfId="0" applyFont="1" applyFill="1" applyBorder="1"/>
    <xf numFmtId="0" fontId="11" fillId="0" borderId="0" xfId="0" applyFont="1" applyAlignment="1">
      <alignment vertical="center" wrapText="1"/>
    </xf>
    <xf numFmtId="0" fontId="4" fillId="0" borderId="6" xfId="0" applyFont="1" applyBorder="1" applyAlignment="1">
      <alignment horizontal="center"/>
    </xf>
    <xf numFmtId="165" fontId="7" fillId="0" borderId="6" xfId="0" applyNumberFormat="1" applyFont="1" applyBorder="1" applyAlignment="1">
      <alignment horizontal="center" wrapText="1"/>
    </xf>
    <xf numFmtId="0" fontId="7" fillId="0" borderId="6" xfId="0" applyFont="1" applyBorder="1" applyAlignment="1">
      <alignment horizontal="left" wrapText="1"/>
    </xf>
    <xf numFmtId="0" fontId="4" fillId="0" borderId="6" xfId="0" applyFont="1" applyBorder="1" applyAlignment="1">
      <alignment horizontal="center" wrapText="1"/>
    </xf>
    <xf numFmtId="0" fontId="4" fillId="0" borderId="6" xfId="0" applyFont="1" applyBorder="1" applyAlignment="1">
      <alignment horizontal="center" vertical="center"/>
    </xf>
    <xf numFmtId="0" fontId="7" fillId="0" borderId="4" xfId="0" applyFont="1" applyBorder="1" applyAlignment="1">
      <alignment vertical="center" wrapText="1"/>
    </xf>
    <xf numFmtId="2" fontId="5" fillId="0" borderId="4" xfId="0" applyNumberFormat="1" applyFont="1" applyBorder="1" applyAlignment="1">
      <alignment horizontal="center" vertical="center"/>
    </xf>
    <xf numFmtId="0" fontId="4" fillId="0" borderId="4" xfId="0" applyFont="1" applyBorder="1" applyAlignment="1">
      <alignment horizontal="center" vertical="top"/>
    </xf>
    <xf numFmtId="0" fontId="4" fillId="0" borderId="0" xfId="0" applyFont="1" applyAlignment="1">
      <alignment horizontal="left"/>
    </xf>
    <xf numFmtId="0" fontId="5" fillId="0" borderId="0" xfId="0" applyFont="1" applyAlignment="1">
      <alignment horizontal="center" wrapText="1"/>
    </xf>
    <xf numFmtId="0" fontId="9" fillId="0" borderId="0" xfId="0" applyFont="1" applyAlignment="1">
      <alignment horizontal="left" wrapText="1"/>
    </xf>
    <xf numFmtId="0" fontId="4" fillId="0" borderId="0" xfId="0" applyFont="1" applyAlignment="1">
      <alignment horizontal="center" wrapText="1"/>
    </xf>
    <xf numFmtId="165" fontId="7" fillId="0" borderId="0" xfId="0" applyNumberFormat="1" applyFont="1" applyAlignment="1">
      <alignment horizontal="center" wrapText="1"/>
    </xf>
    <xf numFmtId="0" fontId="7" fillId="0" borderId="0" xfId="0" applyFont="1" applyAlignment="1">
      <alignment horizontal="left" wrapText="1"/>
    </xf>
    <xf numFmtId="0" fontId="5" fillId="5" borderId="4" xfId="0" applyFont="1" applyFill="1" applyBorder="1" applyAlignment="1">
      <alignment horizontal="center" vertical="center" wrapText="1"/>
    </xf>
    <xf numFmtId="0" fontId="9" fillId="6" borderId="4" xfId="0" applyFont="1" applyFill="1" applyBorder="1" applyAlignment="1">
      <alignment horizontal="center" vertical="center"/>
    </xf>
    <xf numFmtId="0" fontId="9" fillId="6" borderId="4" xfId="0" applyFont="1" applyFill="1" applyBorder="1" applyAlignment="1">
      <alignment horizontal="center" vertical="center" wrapText="1"/>
    </xf>
    <xf numFmtId="0" fontId="7" fillId="6" borderId="4" xfId="0" applyFont="1" applyFill="1" applyBorder="1" applyAlignment="1">
      <alignment horizontal="center" vertical="center"/>
    </xf>
    <xf numFmtId="0" fontId="7" fillId="6" borderId="4" xfId="0" applyFont="1" applyFill="1" applyBorder="1" applyAlignment="1">
      <alignment horizontal="center" vertical="center" wrapText="1"/>
    </xf>
    <xf numFmtId="1" fontId="7" fillId="0" borderId="4" xfId="0" applyNumberFormat="1" applyFont="1" applyBorder="1" applyAlignment="1">
      <alignment horizontal="center" vertical="center" wrapText="1"/>
    </xf>
    <xf numFmtId="1" fontId="5" fillId="5" borderId="22" xfId="0" applyNumberFormat="1" applyFont="1" applyFill="1" applyBorder="1" applyAlignment="1">
      <alignment horizontal="center" vertical="center" wrapText="1"/>
    </xf>
    <xf numFmtId="165" fontId="4" fillId="0" borderId="4" xfId="0" applyNumberFormat="1" applyFont="1" applyBorder="1" applyAlignment="1">
      <alignment horizontal="center" vertical="center" wrapText="1"/>
    </xf>
    <xf numFmtId="0" fontId="4" fillId="0" borderId="4" xfId="0" applyFont="1" applyBorder="1" applyAlignment="1">
      <alignment vertical="center" wrapText="1"/>
    </xf>
    <xf numFmtId="1" fontId="4" fillId="0" borderId="3" xfId="0" applyNumberFormat="1" applyFont="1" applyBorder="1" applyAlignment="1">
      <alignment horizontal="center" vertical="center" wrapText="1"/>
    </xf>
    <xf numFmtId="1" fontId="4" fillId="0" borderId="4" xfId="0" applyNumberFormat="1" applyFont="1" applyBorder="1" applyAlignment="1">
      <alignment horizontal="center" vertical="center" wrapText="1"/>
    </xf>
    <xf numFmtId="1" fontId="4" fillId="0" borderId="4" xfId="0" applyNumberFormat="1" applyFont="1" applyBorder="1" applyAlignment="1">
      <alignment horizontal="center" vertical="center"/>
    </xf>
    <xf numFmtId="1" fontId="4" fillId="0" borderId="0" xfId="0" applyNumberFormat="1" applyFont="1" applyAlignment="1">
      <alignment vertical="center"/>
    </xf>
    <xf numFmtId="0" fontId="4" fillId="0" borderId="4" xfId="0" applyFont="1" applyBorder="1" applyAlignment="1">
      <alignment vertical="center"/>
    </xf>
    <xf numFmtId="0" fontId="17" fillId="0" borderId="4" xfId="0" applyFont="1" applyBorder="1" applyAlignment="1">
      <alignment horizontal="center" vertical="center" wrapText="1"/>
    </xf>
    <xf numFmtId="1" fontId="22" fillId="0" borderId="23" xfId="0" applyNumberFormat="1" applyFont="1" applyBorder="1" applyAlignment="1">
      <alignment horizontal="center" wrapText="1"/>
    </xf>
    <xf numFmtId="1" fontId="22" fillId="0" borderId="23" xfId="0" applyNumberFormat="1" applyFont="1" applyBorder="1" applyAlignment="1">
      <alignment horizontal="center" wrapText="1"/>
    </xf>
    <xf numFmtId="165" fontId="7" fillId="0" borderId="4" xfId="0" applyNumberFormat="1" applyFont="1" applyBorder="1" applyAlignment="1">
      <alignment horizontal="center" vertical="center" wrapText="1"/>
    </xf>
    <xf numFmtId="0" fontId="7" fillId="0" borderId="4" xfId="0" applyFont="1" applyBorder="1" applyAlignment="1">
      <alignment horizontal="left" vertical="center" wrapText="1"/>
    </xf>
    <xf numFmtId="1" fontId="17" fillId="0" borderId="0" xfId="0" applyNumberFormat="1" applyFont="1" applyAlignment="1">
      <alignment horizontal="center" vertical="center"/>
    </xf>
    <xf numFmtId="1" fontId="2"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4" xfId="0" applyFont="1" applyBorder="1" applyAlignment="1">
      <alignment horizontal="left" vertical="center"/>
    </xf>
    <xf numFmtId="1" fontId="4" fillId="0" borderId="0" xfId="0" applyNumberFormat="1" applyFont="1" applyAlignment="1">
      <alignment horizontal="center" vertical="center"/>
    </xf>
    <xf numFmtId="0" fontId="4" fillId="0" borderId="4" xfId="0" applyFont="1" applyBorder="1" applyAlignment="1">
      <alignment horizontal="left" vertical="center"/>
    </xf>
    <xf numFmtId="1" fontId="5" fillId="2" borderId="4" xfId="0" applyNumberFormat="1" applyFont="1" applyFill="1" applyBorder="1" applyAlignment="1">
      <alignment horizontal="center" vertical="center"/>
    </xf>
    <xf numFmtId="0" fontId="6" fillId="0" borderId="4" xfId="0" applyFont="1" applyBorder="1" applyAlignment="1">
      <alignment horizontal="center" vertical="center"/>
    </xf>
    <xf numFmtId="0" fontId="9" fillId="0" borderId="0" xfId="0" applyFont="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left" vertical="center"/>
    </xf>
    <xf numFmtId="0" fontId="9" fillId="0" borderId="4" xfId="0" applyFont="1" applyBorder="1" applyAlignment="1">
      <alignment horizontal="center" vertical="center"/>
    </xf>
    <xf numFmtId="165" fontId="17" fillId="0" borderId="4" xfId="0" applyNumberFormat="1" applyFont="1" applyBorder="1" applyAlignment="1">
      <alignment horizontal="center" vertical="center" wrapText="1"/>
    </xf>
    <xf numFmtId="0" fontId="17" fillId="0" borderId="4" xfId="0" applyFont="1" applyBorder="1" applyAlignment="1">
      <alignment vertical="center" wrapText="1"/>
    </xf>
    <xf numFmtId="0" fontId="5" fillId="0" borderId="0" xfId="0" applyFont="1" applyAlignment="1">
      <alignment horizontal="center" vertical="center" wrapText="1"/>
    </xf>
    <xf numFmtId="10" fontId="23" fillId="0" borderId="0" xfId="0" applyNumberFormat="1" applyFont="1"/>
    <xf numFmtId="9" fontId="23" fillId="0" borderId="0" xfId="0" applyNumberFormat="1" applyFont="1"/>
    <xf numFmtId="2" fontId="5" fillId="0" borderId="5" xfId="0" applyNumberFormat="1" applyFont="1" applyBorder="1"/>
    <xf numFmtId="1" fontId="5" fillId="0" borderId="4"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4" fillId="0" borderId="1" xfId="0" applyNumberFormat="1" applyFont="1" applyBorder="1" applyAlignment="1">
      <alignment horizontal="center"/>
    </xf>
    <xf numFmtId="2" fontId="4" fillId="0" borderId="0" xfId="0" applyNumberFormat="1" applyFont="1"/>
    <xf numFmtId="166" fontId="5" fillId="0" borderId="0" xfId="0" applyNumberFormat="1" applyFont="1" applyAlignment="1">
      <alignment horizontal="center"/>
    </xf>
    <xf numFmtId="2" fontId="4" fillId="2" borderId="4" xfId="0" applyNumberFormat="1" applyFont="1" applyFill="1" applyBorder="1" applyAlignment="1">
      <alignment horizontal="center"/>
    </xf>
    <xf numFmtId="2" fontId="7" fillId="0" borderId="4" xfId="0" applyNumberFormat="1" applyFont="1" applyBorder="1" applyAlignment="1">
      <alignment horizontal="center" vertical="center" wrapText="1"/>
    </xf>
    <xf numFmtId="0" fontId="5" fillId="0" borderId="4" xfId="0" applyFont="1" applyBorder="1"/>
    <xf numFmtId="164" fontId="9" fillId="0" borderId="4" xfId="0" applyNumberFormat="1" applyFont="1" applyBorder="1" applyAlignment="1">
      <alignment horizontal="center" vertical="center" wrapText="1"/>
    </xf>
    <xf numFmtId="2" fontId="7" fillId="2" borderId="4" xfId="0" applyNumberFormat="1" applyFont="1" applyFill="1" applyBorder="1" applyAlignment="1">
      <alignment horizontal="center" vertical="center" wrapText="1"/>
    </xf>
    <xf numFmtId="164" fontId="9" fillId="0" borderId="0" xfId="0" applyNumberFormat="1" applyFont="1" applyAlignment="1">
      <alignment horizontal="center" vertical="center" wrapText="1"/>
    </xf>
    <xf numFmtId="2" fontId="7" fillId="0" borderId="0" xfId="0" applyNumberFormat="1" applyFont="1" applyAlignment="1">
      <alignment horizontal="center" vertical="center" wrapText="1"/>
    </xf>
    <xf numFmtId="0" fontId="1" fillId="0" borderId="20" xfId="1"/>
    <xf numFmtId="0" fontId="26" fillId="0" borderId="20" xfId="1" applyFont="1"/>
    <xf numFmtId="0" fontId="29" fillId="0" borderId="20" xfId="1" applyFont="1"/>
    <xf numFmtId="0" fontId="1" fillId="0" borderId="28" xfId="1" applyBorder="1" applyAlignment="1">
      <alignment horizontal="center" vertical="center"/>
    </xf>
    <xf numFmtId="0" fontId="1" fillId="0" borderId="29" xfId="1" applyBorder="1" applyAlignment="1">
      <alignment horizontal="center" vertical="center"/>
    </xf>
    <xf numFmtId="0" fontId="1" fillId="0" borderId="30" xfId="1" applyBorder="1"/>
    <xf numFmtId="0" fontId="30" fillId="0" borderId="20" xfId="1" applyFont="1"/>
    <xf numFmtId="9" fontId="29" fillId="0" borderId="20" xfId="1" applyNumberFormat="1" applyFont="1"/>
    <xf numFmtId="0" fontId="31" fillId="0" borderId="31" xfId="1" applyFont="1" applyBorder="1" applyAlignment="1">
      <alignment horizontal="center" vertical="center"/>
    </xf>
    <xf numFmtId="165" fontId="31" fillId="0" borderId="32" xfId="1" applyNumberFormat="1" applyFont="1" applyBorder="1" applyAlignment="1">
      <alignment horizontal="center" vertical="center"/>
    </xf>
    <xf numFmtId="0" fontId="31" fillId="0" borderId="33" xfId="1" applyFont="1" applyBorder="1"/>
    <xf numFmtId="0" fontId="32" fillId="0" borderId="20" xfId="1" applyFont="1"/>
    <xf numFmtId="0" fontId="28" fillId="0" borderId="20" xfId="1" applyFont="1" applyAlignment="1">
      <alignment horizontal="center"/>
    </xf>
    <xf numFmtId="166" fontId="1" fillId="0" borderId="29" xfId="1" applyNumberFormat="1" applyBorder="1"/>
    <xf numFmtId="0" fontId="1" fillId="0" borderId="36" xfId="1" applyBorder="1"/>
    <xf numFmtId="166" fontId="1" fillId="0" borderId="32" xfId="1" applyNumberFormat="1" applyBorder="1"/>
    <xf numFmtId="0" fontId="1" fillId="0" borderId="41" xfId="1" applyBorder="1"/>
    <xf numFmtId="0" fontId="1" fillId="0" borderId="20" xfId="1" applyAlignment="1">
      <alignment horizontal="center" vertical="center"/>
    </xf>
    <xf numFmtId="0" fontId="1" fillId="0" borderId="42" xfId="1" applyBorder="1" applyAlignment="1">
      <alignment horizontal="center" vertical="center"/>
    </xf>
    <xf numFmtId="165" fontId="1" fillId="0" borderId="42" xfId="1" applyNumberFormat="1" applyBorder="1" applyAlignment="1">
      <alignment horizontal="center" vertical="center"/>
    </xf>
    <xf numFmtId="0" fontId="24" fillId="0" borderId="20" xfId="1" applyFont="1"/>
    <xf numFmtId="0" fontId="25" fillId="0" borderId="44" xfId="1" applyFont="1" applyBorder="1" applyAlignment="1">
      <alignment horizontal="center" vertical="center"/>
    </xf>
    <xf numFmtId="0" fontId="25" fillId="0" borderId="45" xfId="1" applyFont="1" applyBorder="1" applyAlignment="1">
      <alignment horizontal="center" vertical="center"/>
    </xf>
    <xf numFmtId="2" fontId="1" fillId="0" borderId="44" xfId="1" applyNumberFormat="1" applyBorder="1" applyAlignment="1">
      <alignment horizontal="center" vertical="center"/>
    </xf>
    <xf numFmtId="2" fontId="1" fillId="0" borderId="45" xfId="1" applyNumberFormat="1" applyBorder="1" applyAlignment="1">
      <alignment horizontal="center" vertical="center"/>
    </xf>
    <xf numFmtId="0" fontId="25" fillId="0" borderId="20" xfId="1" applyFont="1" applyAlignment="1">
      <alignment horizontal="center"/>
    </xf>
    <xf numFmtId="0" fontId="1" fillId="0" borderId="41" xfId="1" applyBorder="1" applyAlignment="1">
      <alignment textRotation="90"/>
    </xf>
    <xf numFmtId="0" fontId="1" fillId="0" borderId="20" xfId="1" applyAlignment="1">
      <alignment textRotation="90"/>
    </xf>
    <xf numFmtId="0" fontId="1" fillId="0" borderId="42" xfId="1" applyBorder="1" applyAlignment="1">
      <alignment textRotation="90"/>
    </xf>
    <xf numFmtId="0" fontId="1" fillId="0" borderId="42" xfId="1" applyBorder="1"/>
    <xf numFmtId="0" fontId="1" fillId="7" borderId="41" xfId="1" applyFill="1" applyBorder="1"/>
    <xf numFmtId="0" fontId="1" fillId="7" borderId="20" xfId="1" applyFill="1"/>
    <xf numFmtId="0" fontId="1" fillId="7" borderId="42" xfId="1" applyFill="1" applyBorder="1"/>
    <xf numFmtId="0" fontId="24" fillId="8" borderId="41" xfId="1" applyFont="1" applyFill="1" applyBorder="1" applyAlignment="1">
      <alignment vertical="center"/>
    </xf>
    <xf numFmtId="0" fontId="24" fillId="8" borderId="20" xfId="1" applyFont="1" applyFill="1" applyAlignment="1">
      <alignment wrapText="1"/>
    </xf>
    <xf numFmtId="0" fontId="24" fillId="8" borderId="42" xfId="1" applyFont="1" applyFill="1" applyBorder="1" applyAlignment="1">
      <alignment horizontal="center" vertical="center"/>
    </xf>
    <xf numFmtId="0" fontId="24" fillId="8" borderId="41" xfId="1" applyFont="1" applyFill="1" applyBorder="1" applyAlignment="1">
      <alignment horizontal="center" vertical="center"/>
    </xf>
    <xf numFmtId="0" fontId="24" fillId="8" borderId="20" xfId="1" applyFont="1" applyFill="1" applyAlignment="1">
      <alignment horizontal="center" vertical="center"/>
    </xf>
    <xf numFmtId="0" fontId="1" fillId="0" borderId="41" xfId="1" applyBorder="1" applyAlignment="1">
      <alignment horizontal="center" vertical="center"/>
    </xf>
    <xf numFmtId="0" fontId="1" fillId="0" borderId="41" xfId="1" applyBorder="1" applyAlignment="1">
      <alignment vertical="center"/>
    </xf>
    <xf numFmtId="0" fontId="1" fillId="0" borderId="20" xfId="1" applyAlignment="1">
      <alignment wrapText="1"/>
    </xf>
    <xf numFmtId="0" fontId="1" fillId="0" borderId="20" xfId="1" applyAlignment="1">
      <alignment vertical="center" wrapText="1"/>
    </xf>
    <xf numFmtId="0" fontId="34" fillId="0" borderId="20" xfId="1" applyFont="1" applyAlignment="1">
      <alignment horizontal="left" vertical="center"/>
    </xf>
    <xf numFmtId="0" fontId="34" fillId="0" borderId="44" xfId="1" applyFont="1" applyBorder="1" applyAlignment="1">
      <alignment horizontal="right" vertical="center"/>
    </xf>
    <xf numFmtId="0" fontId="34" fillId="0" borderId="44" xfId="1" applyFont="1" applyBorder="1" applyAlignment="1">
      <alignment horizontal="left" vertical="center"/>
    </xf>
    <xf numFmtId="0" fontId="34" fillId="0" borderId="44" xfId="1" applyFont="1" applyBorder="1" applyAlignment="1">
      <alignment horizontal="center" vertical="center"/>
    </xf>
    <xf numFmtId="0" fontId="1" fillId="0" borderId="38" xfId="1" applyBorder="1"/>
    <xf numFmtId="0" fontId="1" fillId="0" borderId="38" xfId="1" applyBorder="1" applyAlignment="1">
      <alignment horizontal="center" vertical="center"/>
    </xf>
    <xf numFmtId="0" fontId="1" fillId="0" borderId="39" xfId="1" applyBorder="1"/>
    <xf numFmtId="0" fontId="1" fillId="0" borderId="29" xfId="1" applyBorder="1" applyAlignment="1">
      <alignment horizontal="center" vertical="center" wrapText="1"/>
    </xf>
    <xf numFmtId="0" fontId="1" fillId="0" borderId="29" xfId="1" applyBorder="1" applyAlignment="1">
      <alignment wrapText="1"/>
    </xf>
    <xf numFmtId="0" fontId="35" fillId="0" borderId="20" xfId="1" applyFont="1" applyAlignment="1">
      <alignment vertical="center" wrapText="1"/>
    </xf>
    <xf numFmtId="0" fontId="34" fillId="0" borderId="41" xfId="1" applyFont="1" applyBorder="1" applyAlignment="1">
      <alignment vertical="center"/>
    </xf>
    <xf numFmtId="0" fontId="34" fillId="0" borderId="20" xfId="1" applyFont="1" applyAlignment="1">
      <alignment wrapText="1"/>
    </xf>
    <xf numFmtId="0" fontId="34" fillId="0" borderId="42" xfId="1" applyFont="1" applyBorder="1" applyAlignment="1">
      <alignment horizontal="center" vertical="center"/>
    </xf>
    <xf numFmtId="0" fontId="34" fillId="0" borderId="41" xfId="1" applyFont="1" applyBorder="1" applyAlignment="1">
      <alignment horizontal="center" vertical="center"/>
    </xf>
    <xf numFmtId="0" fontId="34" fillId="0" borderId="20" xfId="1" applyFont="1" applyAlignment="1">
      <alignment horizontal="center" vertical="center"/>
    </xf>
    <xf numFmtId="0" fontId="34" fillId="0" borderId="36" xfId="1" applyFont="1" applyBorder="1" applyAlignment="1">
      <alignment vertical="center"/>
    </xf>
    <xf numFmtId="0" fontId="34" fillId="0" borderId="44" xfId="1" applyFont="1" applyBorder="1" applyAlignment="1">
      <alignment wrapText="1"/>
    </xf>
    <xf numFmtId="0" fontId="34" fillId="0" borderId="45" xfId="1" applyFont="1" applyBorder="1" applyAlignment="1">
      <alignment horizontal="center" vertical="center"/>
    </xf>
    <xf numFmtId="0" fontId="34" fillId="0" borderId="36" xfId="1" applyFont="1" applyBorder="1" applyAlignment="1">
      <alignment horizontal="center" vertical="center"/>
    </xf>
    <xf numFmtId="0" fontId="1" fillId="0" borderId="20" xfId="1" applyAlignment="1">
      <alignment vertical="center"/>
    </xf>
    <xf numFmtId="0" fontId="25" fillId="0" borderId="20" xfId="1" applyFont="1" applyAlignment="1">
      <alignment horizontal="right" vertical="center"/>
    </xf>
    <xf numFmtId="0" fontId="1" fillId="0" borderId="20" xfId="1" applyAlignment="1">
      <alignment horizontal="justify" vertical="center"/>
    </xf>
    <xf numFmtId="0" fontId="1" fillId="0" borderId="20" xfId="1" applyAlignment="1">
      <alignment horizontal="justify"/>
    </xf>
    <xf numFmtId="0" fontId="25" fillId="0" borderId="20" xfId="1" applyFont="1" applyAlignment="1">
      <alignment horizontal="right" vertical="center" wrapText="1"/>
    </xf>
    <xf numFmtId="0" fontId="37" fillId="0" borderId="40" xfId="1" applyFont="1" applyBorder="1" applyAlignment="1">
      <alignment horizontal="center" vertical="center" wrapText="1"/>
    </xf>
    <xf numFmtId="0" fontId="37" fillId="0" borderId="48" xfId="1" applyFont="1" applyBorder="1" applyAlignment="1">
      <alignment horizontal="center" vertical="center" wrapText="1"/>
    </xf>
    <xf numFmtId="0" fontId="38" fillId="0" borderId="49" xfId="1" applyFont="1" applyBorder="1" applyAlignment="1">
      <alignment horizontal="center" vertical="center" wrapText="1"/>
    </xf>
    <xf numFmtId="0" fontId="39" fillId="0" borderId="50" xfId="1" applyFont="1" applyBorder="1" applyAlignment="1">
      <alignment horizontal="justify" vertical="center" wrapText="1"/>
    </xf>
    <xf numFmtId="0" fontId="38" fillId="0" borderId="50" xfId="1" applyFont="1" applyBorder="1" applyAlignment="1">
      <alignment horizontal="center" vertical="center" wrapText="1"/>
    </xf>
    <xf numFmtId="0" fontId="40" fillId="0" borderId="50" xfId="1" applyFont="1" applyBorder="1" applyAlignment="1">
      <alignment horizontal="center" vertical="center" wrapText="1"/>
    </xf>
    <xf numFmtId="0" fontId="40" fillId="0" borderId="51" xfId="1" applyFont="1" applyBorder="1" applyAlignment="1">
      <alignment horizontal="center" vertical="center" wrapText="1"/>
    </xf>
    <xf numFmtId="0" fontId="40" fillId="0" borderId="52" xfId="1" applyFont="1" applyBorder="1" applyAlignment="1">
      <alignment horizontal="center" vertical="center" wrapText="1"/>
    </xf>
    <xf numFmtId="0" fontId="41" fillId="0" borderId="53" xfId="1" applyFont="1" applyBorder="1" applyAlignment="1">
      <alignment horizontal="justify" vertical="center" wrapText="1"/>
    </xf>
    <xf numFmtId="0" fontId="40" fillId="0" borderId="53" xfId="1" applyFont="1" applyBorder="1" applyAlignment="1">
      <alignment horizontal="center" vertical="center" wrapText="1"/>
    </xf>
    <xf numFmtId="14" fontId="40" fillId="0" borderId="53" xfId="1" applyNumberFormat="1" applyFont="1" applyBorder="1" applyAlignment="1">
      <alignment horizontal="center" vertical="center" wrapText="1"/>
    </xf>
    <xf numFmtId="0" fontId="40" fillId="0" borderId="54" xfId="1" applyFont="1" applyBorder="1" applyAlignment="1">
      <alignment horizontal="center" vertical="center" wrapText="1"/>
    </xf>
    <xf numFmtId="0" fontId="40" fillId="0" borderId="28" xfId="1" applyFont="1" applyBorder="1" applyAlignment="1">
      <alignment horizontal="center" vertical="center" wrapText="1"/>
    </xf>
    <xf numFmtId="0" fontId="42" fillId="0" borderId="29" xfId="1" applyFont="1" applyBorder="1" applyAlignment="1">
      <alignment horizontal="justify" vertical="center" wrapText="1"/>
    </xf>
    <xf numFmtId="0" fontId="40" fillId="0" borderId="29" xfId="1" applyFont="1" applyBorder="1" applyAlignment="1">
      <alignment horizontal="center" vertical="center" wrapText="1"/>
    </xf>
    <xf numFmtId="14" fontId="40" fillId="0" borderId="29" xfId="1" applyNumberFormat="1" applyFont="1" applyBorder="1" applyAlignment="1">
      <alignment horizontal="center" vertical="center" wrapText="1"/>
    </xf>
    <xf numFmtId="0" fontId="40" fillId="0" borderId="30" xfId="1" applyFont="1" applyBorder="1" applyAlignment="1">
      <alignment horizontal="center" vertical="center" wrapText="1"/>
    </xf>
    <xf numFmtId="0" fontId="40" fillId="0" borderId="55" xfId="1" applyFont="1" applyBorder="1" applyAlignment="1">
      <alignment horizontal="center" vertical="center" wrapText="1"/>
    </xf>
    <xf numFmtId="14" fontId="40" fillId="0" borderId="55" xfId="1" applyNumberFormat="1" applyFont="1" applyBorder="1" applyAlignment="1">
      <alignment horizontal="center" vertical="center" wrapText="1"/>
    </xf>
    <xf numFmtId="0" fontId="40" fillId="0" borderId="56" xfId="1" applyFont="1" applyBorder="1" applyAlignment="1">
      <alignment horizontal="center" vertical="center" wrapText="1"/>
    </xf>
    <xf numFmtId="0" fontId="38" fillId="0" borderId="29" xfId="1" applyFont="1" applyBorder="1" applyAlignment="1">
      <alignment horizontal="center" vertical="center" wrapText="1"/>
    </xf>
    <xf numFmtId="0" fontId="40" fillId="0" borderId="29" xfId="1" applyFont="1" applyBorder="1" applyAlignment="1">
      <alignment vertical="center" wrapText="1"/>
    </xf>
    <xf numFmtId="14" fontId="40" fillId="0" borderId="29" xfId="1" applyNumberFormat="1" applyFont="1" applyBorder="1" applyAlignment="1">
      <alignment vertical="center" wrapText="1"/>
    </xf>
    <xf numFmtId="0" fontId="40" fillId="0" borderId="30" xfId="1" applyFont="1" applyBorder="1" applyAlignment="1">
      <alignment vertical="center" wrapText="1"/>
    </xf>
    <xf numFmtId="14" fontId="40" fillId="0" borderId="55" xfId="1" applyNumberFormat="1" applyFont="1" applyBorder="1" applyAlignment="1">
      <alignment vertical="center" wrapText="1"/>
    </xf>
    <xf numFmtId="0" fontId="40" fillId="0" borderId="56" xfId="1" applyFont="1" applyBorder="1" applyAlignment="1">
      <alignment vertical="center" wrapText="1"/>
    </xf>
    <xf numFmtId="14" fontId="38" fillId="0" borderId="29" xfId="1" applyNumberFormat="1" applyFont="1" applyBorder="1" applyAlignment="1">
      <alignment horizontal="center" vertical="center" wrapText="1"/>
    </xf>
    <xf numFmtId="0" fontId="38" fillId="0" borderId="30" xfId="1" applyFont="1" applyBorder="1" applyAlignment="1">
      <alignment horizontal="center" vertical="center" wrapText="1"/>
    </xf>
    <xf numFmtId="0" fontId="25" fillId="0" borderId="20" xfId="1" applyFont="1"/>
    <xf numFmtId="14" fontId="38" fillId="0" borderId="57" xfId="1" applyNumberFormat="1" applyFont="1" applyBorder="1" applyAlignment="1">
      <alignment horizontal="center" vertical="center" wrapText="1"/>
    </xf>
    <xf numFmtId="0" fontId="38" fillId="0" borderId="58" xfId="1" applyFont="1" applyBorder="1" applyAlignment="1">
      <alignment horizontal="center" vertical="center" wrapText="1"/>
    </xf>
    <xf numFmtId="0" fontId="40" fillId="0" borderId="32" xfId="1" applyFont="1" applyBorder="1" applyAlignment="1">
      <alignment horizontal="center" vertical="center" wrapText="1"/>
    </xf>
    <xf numFmtId="0" fontId="40" fillId="0" borderId="33" xfId="1" applyFont="1" applyBorder="1" applyAlignment="1">
      <alignment horizontal="center" vertical="center" wrapText="1"/>
    </xf>
    <xf numFmtId="0" fontId="40" fillId="0" borderId="59" xfId="1" applyFont="1" applyBorder="1" applyAlignment="1">
      <alignment horizontal="center" vertical="center" wrapText="1"/>
    </xf>
    <xf numFmtId="0" fontId="40" fillId="0" borderId="60" xfId="1" applyFont="1" applyBorder="1" applyAlignment="1">
      <alignment horizontal="center" vertical="center" wrapText="1"/>
    </xf>
    <xf numFmtId="0" fontId="43" fillId="0" borderId="50" xfId="1" applyFont="1" applyBorder="1" applyAlignment="1">
      <alignment horizontal="center" vertical="center" wrapText="1"/>
    </xf>
    <xf numFmtId="0" fontId="44" fillId="0" borderId="59" xfId="1" applyFont="1" applyBorder="1"/>
    <xf numFmtId="0" fontId="44" fillId="0" borderId="60" xfId="1" applyFont="1" applyBorder="1"/>
    <xf numFmtId="0" fontId="44" fillId="0" borderId="20" xfId="1" applyFont="1"/>
    <xf numFmtId="0" fontId="37" fillId="0" borderId="20" xfId="1" applyFont="1" applyAlignment="1">
      <alignment vertical="center"/>
    </xf>
    <xf numFmtId="0" fontId="38" fillId="0" borderId="20" xfId="1" applyFont="1" applyAlignment="1">
      <alignment vertical="center"/>
    </xf>
    <xf numFmtId="0" fontId="40" fillId="0" borderId="34" xfId="1" applyFont="1" applyBorder="1" applyAlignment="1">
      <alignment horizontal="center" vertical="center" wrapText="1"/>
    </xf>
    <xf numFmtId="0" fontId="40" fillId="0" borderId="35" xfId="1" applyFont="1" applyBorder="1" applyAlignment="1">
      <alignment horizontal="justify" vertical="center" wrapText="1"/>
    </xf>
    <xf numFmtId="0" fontId="40" fillId="0" borderId="35" xfId="1" applyFont="1" applyBorder="1" applyAlignment="1">
      <alignment horizontal="center" vertical="center" wrapText="1"/>
    </xf>
    <xf numFmtId="0" fontId="40" fillId="0" borderId="61" xfId="1" applyFont="1" applyBorder="1" applyAlignment="1">
      <alignment horizontal="center" vertical="center" wrapText="1"/>
    </xf>
    <xf numFmtId="0" fontId="40" fillId="0" borderId="29" xfId="1" applyFont="1" applyBorder="1" applyAlignment="1">
      <alignment horizontal="justify" vertical="center" wrapText="1"/>
    </xf>
    <xf numFmtId="0" fontId="40" fillId="0" borderId="31" xfId="1" applyFont="1" applyBorder="1" applyAlignment="1">
      <alignment horizontal="center" vertical="center" wrapText="1"/>
    </xf>
    <xf numFmtId="0" fontId="40" fillId="0" borderId="32" xfId="1" applyFont="1" applyBorder="1" applyAlignment="1">
      <alignment horizontal="justify" vertical="center" wrapText="1"/>
    </xf>
    <xf numFmtId="14" fontId="40" fillId="0" borderId="32" xfId="1" applyNumberFormat="1" applyFont="1" applyBorder="1" applyAlignment="1">
      <alignment horizontal="center" vertical="center" wrapText="1"/>
    </xf>
    <xf numFmtId="0" fontId="44" fillId="0" borderId="62" xfId="1" applyFont="1" applyBorder="1" applyAlignment="1">
      <alignment horizontal="center" vertical="center"/>
    </xf>
    <xf numFmtId="0" fontId="45" fillId="0" borderId="59" xfId="1" applyFont="1" applyBorder="1" applyAlignment="1">
      <alignment horizontal="right"/>
    </xf>
    <xf numFmtId="0" fontId="45" fillId="0" borderId="59" xfId="1" applyFont="1" applyBorder="1" applyAlignment="1">
      <alignment horizontal="center" vertical="center"/>
    </xf>
    <xf numFmtId="0" fontId="46" fillId="0" borderId="20" xfId="1" applyFont="1" applyAlignment="1">
      <alignment horizontal="justify" wrapText="1"/>
    </xf>
    <xf numFmtId="0" fontId="46" fillId="0" borderId="20" xfId="1" applyFont="1" applyAlignment="1">
      <alignment horizontal="justify"/>
    </xf>
    <xf numFmtId="0" fontId="47" fillId="0" borderId="20" xfId="1" applyFont="1" applyAlignment="1">
      <alignment horizontal="left" vertical="center" wrapText="1"/>
    </xf>
    <xf numFmtId="0" fontId="47" fillId="0" borderId="20" xfId="1" applyFont="1" applyAlignment="1">
      <alignment vertical="center" wrapText="1"/>
    </xf>
    <xf numFmtId="0" fontId="48" fillId="0" borderId="20" xfId="1" applyFont="1" applyAlignment="1">
      <alignment vertical="center" wrapText="1"/>
    </xf>
    <xf numFmtId="0" fontId="47" fillId="0" borderId="20" xfId="1" applyFont="1" applyAlignment="1">
      <alignment horizontal="justify" vertical="center" wrapText="1"/>
    </xf>
    <xf numFmtId="0" fontId="24" fillId="9" borderId="20" xfId="1" applyFont="1" applyFill="1" applyAlignment="1">
      <alignment horizontal="center" wrapText="1"/>
    </xf>
    <xf numFmtId="0" fontId="24" fillId="9" borderId="20" xfId="1" applyFont="1" applyFill="1" applyAlignment="1">
      <alignment horizontal="center"/>
    </xf>
    <xf numFmtId="0" fontId="1" fillId="0" borderId="20" xfId="1" applyAlignment="1">
      <alignment horizontal="center" vertical="center" wrapText="1"/>
    </xf>
    <xf numFmtId="0" fontId="49" fillId="0" borderId="20" xfId="1" applyFont="1" applyAlignment="1">
      <alignment horizontal="left" vertical="center" wrapText="1"/>
    </xf>
    <xf numFmtId="0" fontId="13" fillId="0" borderId="4" xfId="0" applyFont="1" applyBorder="1" applyAlignment="1">
      <alignment horizontal="center" wrapText="1"/>
    </xf>
    <xf numFmtId="0" fontId="4" fillId="0" borderId="0" xfId="0" applyFont="1" applyAlignment="1">
      <alignment wrapText="1"/>
    </xf>
    <xf numFmtId="0" fontId="0" fillId="0" borderId="0" xfId="0" applyFont="1" applyAlignment="1">
      <alignment wrapText="1"/>
    </xf>
    <xf numFmtId="0" fontId="14" fillId="0" borderId="4" xfId="0" applyFont="1" applyBorder="1" applyAlignment="1">
      <alignment horizontal="center" vertical="center" wrapText="1"/>
    </xf>
    <xf numFmtId="1" fontId="13" fillId="0" borderId="4"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vertical="center" wrapText="1"/>
    </xf>
    <xf numFmtId="1" fontId="5" fillId="5" borderId="9" xfId="0" applyNumberFormat="1" applyFont="1" applyFill="1" applyBorder="1" applyAlignment="1">
      <alignment horizontal="center" vertical="center" wrapText="1"/>
    </xf>
    <xf numFmtId="1" fontId="5" fillId="5" borderId="6" xfId="0" applyNumberFormat="1" applyFont="1" applyFill="1" applyBorder="1" applyAlignment="1">
      <alignment horizontal="center" vertical="center" wrapText="1"/>
    </xf>
    <xf numFmtId="1" fontId="4" fillId="0" borderId="13" xfId="0" applyNumberFormat="1" applyFont="1" applyBorder="1" applyAlignment="1">
      <alignment horizontal="center" vertical="center" wrapText="1"/>
    </xf>
    <xf numFmtId="1" fontId="4" fillId="0" borderId="7" xfId="0" applyNumberFormat="1" applyFont="1" applyBorder="1" applyAlignment="1">
      <alignment horizontal="center" vertical="center"/>
    </xf>
    <xf numFmtId="1" fontId="17" fillId="0" borderId="7" xfId="0" applyNumberFormat="1" applyFont="1" applyBorder="1" applyAlignment="1">
      <alignment horizontal="center" vertical="center"/>
    </xf>
    <xf numFmtId="1" fontId="4" fillId="0" borderId="29" xfId="0" applyNumberFormat="1" applyFont="1" applyBorder="1" applyAlignment="1">
      <alignment horizontal="center" vertical="center" wrapText="1"/>
    </xf>
    <xf numFmtId="1" fontId="4" fillId="0" borderId="29" xfId="0" applyNumberFormat="1" applyFont="1" applyBorder="1" applyAlignment="1">
      <alignment horizontal="center" vertical="center"/>
    </xf>
    <xf numFmtId="1" fontId="22" fillId="0" borderId="29" xfId="0" applyNumberFormat="1" applyFont="1" applyBorder="1" applyAlignment="1">
      <alignment horizontal="center" wrapText="1"/>
    </xf>
    <xf numFmtId="1" fontId="17" fillId="0" borderId="29" xfId="0" applyNumberFormat="1" applyFont="1" applyBorder="1" applyAlignment="1">
      <alignment horizontal="center" vertical="center"/>
    </xf>
    <xf numFmtId="0" fontId="28" fillId="0" borderId="37" xfId="1" applyFont="1" applyBorder="1" applyAlignment="1">
      <alignment horizontal="center"/>
    </xf>
    <xf numFmtId="0" fontId="28" fillId="0" borderId="38" xfId="1" applyFont="1" applyBorder="1" applyAlignment="1">
      <alignment horizontal="center"/>
    </xf>
    <xf numFmtId="0" fontId="28" fillId="0" borderId="39" xfId="1" applyFont="1" applyBorder="1" applyAlignment="1">
      <alignment horizontal="center"/>
    </xf>
    <xf numFmtId="0" fontId="26" fillId="0" borderId="20" xfId="1" applyFont="1" applyAlignment="1">
      <alignment horizontal="center"/>
    </xf>
    <xf numFmtId="0" fontId="27" fillId="0" borderId="20" xfId="1" applyFont="1" applyAlignment="1">
      <alignment horizontal="center"/>
    </xf>
    <xf numFmtId="0" fontId="28" fillId="0" borderId="25" xfId="1" applyFont="1" applyBorder="1" applyAlignment="1">
      <alignment horizontal="center"/>
    </xf>
    <xf numFmtId="0" fontId="28" fillId="0" borderId="26" xfId="1" applyFont="1" applyBorder="1" applyAlignment="1">
      <alignment horizontal="center"/>
    </xf>
    <xf numFmtId="0" fontId="28" fillId="0" borderId="27" xfId="1" applyFont="1" applyBorder="1" applyAlignment="1">
      <alignment horizontal="center"/>
    </xf>
    <xf numFmtId="0" fontId="28" fillId="0" borderId="34" xfId="1" applyFont="1" applyBorder="1" applyAlignment="1">
      <alignment horizontal="center"/>
    </xf>
    <xf numFmtId="0" fontId="28" fillId="0" borderId="35" xfId="1" applyFont="1" applyBorder="1" applyAlignment="1">
      <alignment horizontal="center"/>
    </xf>
    <xf numFmtId="0" fontId="28" fillId="0" borderId="40" xfId="1" applyFont="1" applyBorder="1" applyAlignment="1">
      <alignment horizontal="center" vertical="center" wrapText="1"/>
    </xf>
    <xf numFmtId="0" fontId="28" fillId="0" borderId="43" xfId="1" applyFont="1" applyBorder="1" applyAlignment="1">
      <alignment horizontal="center" vertical="center" wrapText="1"/>
    </xf>
    <xf numFmtId="0" fontId="25" fillId="0" borderId="46" xfId="1" applyFont="1" applyBorder="1" applyAlignment="1">
      <alignment horizontal="center"/>
    </xf>
    <xf numFmtId="0" fontId="25" fillId="0" borderId="47" xfId="1" applyFont="1" applyBorder="1" applyAlignment="1">
      <alignment horizontal="center"/>
    </xf>
    <xf numFmtId="0" fontId="25" fillId="0" borderId="48" xfId="1" applyFont="1" applyBorder="1" applyAlignment="1">
      <alignment horizontal="center"/>
    </xf>
    <xf numFmtId="0" fontId="25" fillId="0" borderId="46" xfId="1" applyFont="1" applyBorder="1" applyAlignment="1">
      <alignment horizontal="center" vertical="center" wrapText="1"/>
    </xf>
    <xf numFmtId="0" fontId="25" fillId="0" borderId="41" xfId="1" applyFont="1" applyBorder="1" applyAlignment="1">
      <alignment horizontal="center" vertical="center"/>
    </xf>
    <xf numFmtId="0" fontId="25" fillId="0" borderId="47" xfId="1" applyFont="1" applyBorder="1" applyAlignment="1">
      <alignment horizontal="center" vertical="center" wrapText="1"/>
    </xf>
    <xf numFmtId="0" fontId="25" fillId="0" borderId="20" xfId="1" applyFont="1" applyAlignment="1">
      <alignment horizontal="center" vertical="center" wrapText="1"/>
    </xf>
    <xf numFmtId="0" fontId="25" fillId="0" borderId="20" xfId="1" applyFont="1" applyAlignment="1">
      <alignment horizontal="center" vertical="center"/>
    </xf>
    <xf numFmtId="0" fontId="25" fillId="0" borderId="48" xfId="1" applyFont="1" applyBorder="1" applyAlignment="1">
      <alignment horizontal="center" vertical="center"/>
    </xf>
    <xf numFmtId="0" fontId="25" fillId="0" borderId="42" xfId="1" applyFont="1" applyBorder="1" applyAlignment="1">
      <alignment horizontal="center" vertical="center"/>
    </xf>
    <xf numFmtId="0" fontId="36" fillId="0" borderId="20" xfId="1" applyFont="1" applyAlignment="1">
      <alignment horizontal="center" vertical="center" wrapText="1"/>
    </xf>
    <xf numFmtId="0" fontId="36" fillId="0" borderId="20" xfId="1" applyFont="1" applyAlignment="1">
      <alignment horizontal="center" vertical="center"/>
    </xf>
    <xf numFmtId="0" fontId="5" fillId="0" borderId="1" xfId="0" applyFont="1" applyBorder="1" applyAlignment="1">
      <alignment horizontal="center" vertical="center" wrapText="1"/>
    </xf>
    <xf numFmtId="0" fontId="3" fillId="0" borderId="3" xfId="0" applyFont="1" applyBorder="1"/>
    <xf numFmtId="0" fontId="2" fillId="0" borderId="1" xfId="0" applyFont="1" applyBorder="1" applyAlignment="1">
      <alignment horizontal="center" vertical="center" wrapText="1"/>
    </xf>
    <xf numFmtId="0" fontId="3" fillId="0" borderId="2" xfId="0" applyFont="1" applyBorder="1"/>
    <xf numFmtId="0" fontId="5" fillId="0" borderId="1" xfId="0" applyFont="1" applyBorder="1" applyAlignment="1">
      <alignment horizontal="center" vertical="top" wrapText="1"/>
    </xf>
    <xf numFmtId="49" fontId="2" fillId="0" borderId="1" xfId="0" applyNumberFormat="1" applyFont="1" applyBorder="1" applyAlignment="1">
      <alignment horizontal="left" vertical="center" wrapText="1"/>
    </xf>
    <xf numFmtId="0" fontId="5" fillId="0" borderId="6" xfId="0" applyFont="1" applyBorder="1" applyAlignment="1">
      <alignment horizontal="center" vertical="center" wrapText="1"/>
    </xf>
    <xf numFmtId="0" fontId="3" fillId="0" borderId="7" xfId="0" applyFont="1" applyBorder="1"/>
    <xf numFmtId="0" fontId="5" fillId="0" borderId="1" xfId="0" applyFont="1" applyBorder="1" applyAlignment="1">
      <alignment horizontal="center"/>
    </xf>
    <xf numFmtId="0" fontId="5" fillId="0" borderId="8" xfId="0" applyFont="1" applyBorder="1" applyAlignment="1">
      <alignment horizontal="center" vertical="center" wrapText="1"/>
    </xf>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2" fillId="0" borderId="1" xfId="0" applyFont="1" applyBorder="1" applyAlignment="1">
      <alignment horizontal="left" vertical="center" wrapText="1"/>
    </xf>
    <xf numFmtId="0" fontId="5" fillId="0" borderId="5" xfId="0" applyFont="1" applyBorder="1" applyAlignment="1">
      <alignment horizontal="center" vertical="top"/>
    </xf>
    <xf numFmtId="0" fontId="3" fillId="0" borderId="5" xfId="0" applyFont="1" applyBorder="1"/>
    <xf numFmtId="0" fontId="5" fillId="0" borderId="6" xfId="0" applyFont="1" applyBorder="1" applyAlignment="1">
      <alignment horizontal="center" vertical="center"/>
    </xf>
    <xf numFmtId="0" fontId="15" fillId="0" borderId="1" xfId="0" applyFont="1" applyBorder="1" applyAlignment="1">
      <alignment horizontal="left" vertical="center" wrapText="1"/>
    </xf>
    <xf numFmtId="0" fontId="3" fillId="0" borderId="2" xfId="0" applyFont="1" applyBorder="1" applyAlignment="1">
      <alignment wrapText="1"/>
    </xf>
    <xf numFmtId="0" fontId="3" fillId="0" borderId="3" xfId="0" applyFont="1" applyBorder="1" applyAlignment="1">
      <alignment wrapText="1"/>
    </xf>
    <xf numFmtId="0" fontId="15" fillId="0" borderId="1" xfId="0" applyFont="1" applyBorder="1" applyAlignment="1">
      <alignment vertical="center" wrapText="1"/>
    </xf>
    <xf numFmtId="0" fontId="16" fillId="0" borderId="15" xfId="0" applyFont="1" applyBorder="1" applyAlignment="1">
      <alignment vertical="top" wrapText="1"/>
    </xf>
    <xf numFmtId="0" fontId="3" fillId="0" borderId="16" xfId="0" applyFont="1" applyBorder="1" applyAlignment="1">
      <alignment wrapText="1"/>
    </xf>
    <xf numFmtId="0" fontId="3" fillId="0" borderId="17" xfId="0" applyFont="1" applyBorder="1" applyAlignment="1">
      <alignment wrapText="1"/>
    </xf>
    <xf numFmtId="0" fontId="13" fillId="0" borderId="1" xfId="0" applyFont="1" applyBorder="1" applyAlignment="1">
      <alignment horizontal="center" vertical="center" wrapText="1"/>
    </xf>
    <xf numFmtId="0" fontId="13" fillId="0" borderId="1" xfId="0" applyFont="1" applyBorder="1" applyAlignment="1">
      <alignment horizontal="center" wrapText="1"/>
    </xf>
    <xf numFmtId="0" fontId="5" fillId="0" borderId="12" xfId="0" applyFont="1" applyBorder="1" applyAlignment="1">
      <alignment horizontal="center" vertical="center" wrapText="1"/>
    </xf>
    <xf numFmtId="0" fontId="5" fillId="0" borderId="5" xfId="0" applyFont="1" applyBorder="1" applyAlignment="1">
      <alignment horizontal="center"/>
    </xf>
    <xf numFmtId="0" fontId="5"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xf>
    <xf numFmtId="0" fontId="15" fillId="0" borderId="1" xfId="0" applyFont="1" applyBorder="1" applyAlignment="1">
      <alignment horizontal="left" wrapText="1"/>
    </xf>
    <xf numFmtId="0" fontId="13" fillId="0" borderId="0" xfId="0" applyFont="1" applyAlignment="1">
      <alignment horizontal="center" vertical="center"/>
    </xf>
    <xf numFmtId="0" fontId="0" fillId="0" borderId="0" xfId="0" applyFont="1" applyAlignment="1"/>
    <xf numFmtId="0" fontId="5" fillId="0" borderId="0" xfId="0" applyFont="1" applyAlignment="1">
      <alignment horizontal="center" vertical="center"/>
    </xf>
    <xf numFmtId="0" fontId="4" fillId="0" borderId="0" xfId="0" applyFont="1" applyAlignment="1">
      <alignment horizontal="center" vertical="center"/>
    </xf>
    <xf numFmtId="0" fontId="5" fillId="0" borderId="18" xfId="0" applyFont="1" applyBorder="1" applyAlignment="1">
      <alignment horizontal="center" vertical="center" wrapText="1"/>
    </xf>
    <xf numFmtId="0" fontId="3" fillId="0" borderId="19" xfId="0" applyFont="1" applyBorder="1"/>
    <xf numFmtId="0" fontId="8" fillId="0" borderId="1" xfId="0" applyFont="1" applyBorder="1" applyAlignment="1">
      <alignment horizontal="center" vertical="center" wrapText="1"/>
    </xf>
    <xf numFmtId="0" fontId="8" fillId="0" borderId="0" xfId="0" applyFont="1" applyAlignment="1">
      <alignment horizontal="center" vertical="center"/>
    </xf>
    <xf numFmtId="0" fontId="10" fillId="0" borderId="0" xfId="0" applyFont="1" applyAlignment="1">
      <alignment horizontal="center" vertical="center"/>
    </xf>
    <xf numFmtId="0" fontId="5" fillId="5" borderId="6"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0" borderId="5" xfId="0" applyFont="1" applyBorder="1" applyAlignment="1">
      <alignment horizontal="center" vertical="center"/>
    </xf>
    <xf numFmtId="0" fontId="3" fillId="0" borderId="21" xfId="0" applyFont="1" applyBorder="1"/>
    <xf numFmtId="0" fontId="9" fillId="6" borderId="1" xfId="0" applyFont="1" applyFill="1" applyBorder="1" applyAlignment="1">
      <alignment horizontal="center" vertical="center"/>
    </xf>
    <xf numFmtId="0" fontId="3" fillId="0" borderId="24" xfId="0" applyFont="1" applyBorder="1"/>
    <xf numFmtId="0" fontId="5" fillId="0" borderId="0" xfId="0" applyFont="1" applyAlignment="1">
      <alignment horizontal="center"/>
    </xf>
    <xf numFmtId="0" fontId="5" fillId="0" borderId="0" xfId="0" applyFont="1" applyAlignment="1">
      <alignment horizontal="center" vertical="center" wrapText="1"/>
    </xf>
    <xf numFmtId="2" fontId="5" fillId="0" borderId="0" xfId="0" applyNumberFormat="1" applyFont="1" applyAlignment="1">
      <alignment horizontal="center"/>
    </xf>
  </cellXfs>
  <cellStyles count="13">
    <cellStyle name="Normal" xfId="0" builtinId="0"/>
    <cellStyle name="Normal 10" xfId="2" xr:uid="{00000000-0005-0000-0000-000001000000}"/>
    <cellStyle name="Normal 2" xfId="1" xr:uid="{00000000-0005-0000-0000-000002000000}"/>
    <cellStyle name="Normal 2 2" xfId="3" xr:uid="{00000000-0005-0000-0000-000003000000}"/>
    <cellStyle name="Normal 3" xfId="4" xr:uid="{00000000-0005-0000-0000-000004000000}"/>
    <cellStyle name="Normal 4" xfId="5" xr:uid="{00000000-0005-0000-0000-000005000000}"/>
    <cellStyle name="Normal 5" xfId="6" xr:uid="{00000000-0005-0000-0000-000006000000}"/>
    <cellStyle name="Normal 5 2" xfId="7" xr:uid="{00000000-0005-0000-0000-000007000000}"/>
    <cellStyle name="Normal 6" xfId="8" xr:uid="{00000000-0005-0000-0000-000008000000}"/>
    <cellStyle name="Normal 6 2" xfId="9" xr:uid="{00000000-0005-0000-0000-000009000000}"/>
    <cellStyle name="Normal 7" xfId="10" xr:uid="{00000000-0005-0000-0000-00000A000000}"/>
    <cellStyle name="Normal 8" xfId="11" xr:uid="{00000000-0005-0000-0000-00000B000000}"/>
    <cellStyle name="Percent 2" xfId="12" xr:uid="{00000000-0005-0000-0000-00000C000000}"/>
  </cellStyles>
  <dxfs count="2">
    <dxf>
      <font>
        <b/>
        <color rgb="FFFF0000"/>
      </font>
      <fill>
        <patternFill patternType="none"/>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r%20atul%20Patel/0000_NBA_ELECTRICAL%20_CIVIL%202025/NEW_COPO_%20File_ADE_July2025-CoPoAttai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ULTY DETAIL WITH SUBJECT"/>
      <sheetName val="Guideline "/>
      <sheetName val="CO-PO mapping summary"/>
      <sheetName val="COPO_Th_Pr_Oth"/>
      <sheetName val="Lesson Planning"/>
      <sheetName val="Lab Planning"/>
      <sheetName val="CO-PO-PSO"/>
      <sheetName val="Input Data"/>
      <sheetName val="1 Mid-Sem-1"/>
      <sheetName val="2 Mid-Sem-2"/>
      <sheetName val="3 Attendance"/>
      <sheetName val="4 Int_Lab"/>
      <sheetName val="5 Assignment-Tutorials"/>
      <sheetName val="6 Internal-oth"/>
      <sheetName val="7 Uni_Exam"/>
      <sheetName val="8 Uni_viva"/>
      <sheetName val="9 Course -Attainment"/>
      <sheetName val="Summary and CO - PO Attainment"/>
      <sheetName val="Target sheet"/>
      <sheetName val="INDIRECT ATTAINMENT"/>
    </sheetNames>
    <sheetDataSet>
      <sheetData sheetId="0"/>
      <sheetData sheetId="1"/>
      <sheetData sheetId="2"/>
      <sheetData sheetId="3"/>
      <sheetData sheetId="4"/>
      <sheetData sheetId="5"/>
      <sheetData sheetId="6"/>
      <sheetData sheetId="7">
        <row r="1">
          <cell r="B1" t="str">
            <v>Analog and Digital Engineering</v>
          </cell>
        </row>
        <row r="2">
          <cell r="B2" t="str">
            <v xml:space="preserve">BE03009011 </v>
          </cell>
        </row>
        <row r="4">
          <cell r="B4" t="str">
            <v>Nupur Sinha, M. N. Priyadarshi</v>
          </cell>
        </row>
        <row r="5">
          <cell r="B5" t="str">
            <v>14/07/2025  to 02/12/2025    (ODD Term 2025-26)</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topLeftCell="B1" workbookViewId="0">
      <selection activeCell="D32" sqref="D32"/>
    </sheetView>
  </sheetViews>
  <sheetFormatPr defaultColWidth="9.109375" defaultRowHeight="14.4"/>
  <cols>
    <col min="1" max="1" width="9.109375" style="170" hidden="1" customWidth="1"/>
    <col min="2" max="2" width="0.88671875" style="170" customWidth="1"/>
    <col min="3" max="3" width="6.109375" style="170" bestFit="1" customWidth="1"/>
    <col min="4" max="8" width="7.6640625" style="170" bestFit="1" customWidth="1"/>
    <col min="9" max="9" width="5.44140625" style="170" bestFit="1" customWidth="1"/>
    <col min="10" max="12" width="4.5546875" style="170" bestFit="1" customWidth="1"/>
    <col min="13" max="18" width="5.5546875" style="170" bestFit="1" customWidth="1"/>
    <col min="19" max="16384" width="9.109375" style="170"/>
  </cols>
  <sheetData>
    <row r="1" spans="1:19">
      <c r="C1" s="318" t="s">
        <v>127</v>
      </c>
      <c r="D1" s="318"/>
      <c r="E1" s="318"/>
      <c r="F1" s="318"/>
      <c r="G1" s="318"/>
      <c r="H1" s="318"/>
      <c r="I1" s="318"/>
      <c r="J1" s="318"/>
      <c r="K1" s="318"/>
      <c r="L1" s="318"/>
      <c r="M1" s="318"/>
      <c r="N1" s="318"/>
      <c r="O1" s="318"/>
      <c r="P1" s="318"/>
      <c r="Q1" s="318"/>
      <c r="R1" s="318"/>
      <c r="S1" s="318"/>
    </row>
    <row r="2" spans="1:19">
      <c r="C2" s="319" t="s">
        <v>128</v>
      </c>
      <c r="D2" s="319"/>
      <c r="E2" s="319"/>
      <c r="F2" s="319"/>
      <c r="G2" s="319"/>
      <c r="H2" s="319"/>
      <c r="I2" s="319"/>
      <c r="J2" s="319"/>
      <c r="K2" s="319"/>
      <c r="L2" s="319"/>
      <c r="M2" s="319"/>
      <c r="N2" s="319"/>
      <c r="O2" s="319"/>
      <c r="P2" s="319"/>
      <c r="Q2" s="319"/>
      <c r="R2" s="319"/>
      <c r="S2" s="319"/>
    </row>
    <row r="3" spans="1:19">
      <c r="C3" s="319" t="s">
        <v>129</v>
      </c>
      <c r="D3" s="319"/>
      <c r="E3" s="319"/>
      <c r="F3" s="319"/>
      <c r="G3" s="319"/>
      <c r="H3" s="319"/>
      <c r="I3" s="319"/>
      <c r="J3" s="319"/>
      <c r="K3" s="319"/>
      <c r="L3" s="319"/>
      <c r="M3" s="319"/>
      <c r="N3" s="319"/>
      <c r="O3" s="319"/>
      <c r="P3" s="319"/>
      <c r="Q3" s="319"/>
      <c r="R3" s="319"/>
      <c r="S3" s="319"/>
    </row>
    <row r="5" spans="1:19" ht="15" thickBot="1"/>
    <row r="6" spans="1:19">
      <c r="B6" s="171"/>
      <c r="C6" s="320" t="s">
        <v>130</v>
      </c>
      <c r="D6" s="321"/>
      <c r="E6" s="321"/>
      <c r="F6" s="321"/>
      <c r="G6" s="321"/>
      <c r="H6" s="321"/>
      <c r="I6" s="322"/>
      <c r="J6" s="172"/>
    </row>
    <row r="7" spans="1:19">
      <c r="B7" s="172"/>
      <c r="C7" s="173" t="s">
        <v>61</v>
      </c>
      <c r="D7" s="174" t="s">
        <v>29</v>
      </c>
      <c r="E7" s="174" t="s">
        <v>30</v>
      </c>
      <c r="F7" s="174" t="s">
        <v>32</v>
      </c>
      <c r="G7" s="174" t="s">
        <v>35</v>
      </c>
      <c r="H7" s="174" t="s">
        <v>36</v>
      </c>
      <c r="I7" s="175" t="s">
        <v>73</v>
      </c>
      <c r="J7" s="176"/>
      <c r="K7" s="172"/>
    </row>
    <row r="8" spans="1:19">
      <c r="B8" s="172"/>
      <c r="C8" s="173" t="s">
        <v>131</v>
      </c>
      <c r="D8" s="174">
        <f>SUMIFS(COPO_Th_Pr_Oth!$D$5:$D$111,COPO_Th_Pr_Oth!$C$5:$C$111,"Th",COPO_Th_Pr_Oth!E$5:E$111,"1")</f>
        <v>45</v>
      </c>
      <c r="E8" s="174">
        <f>SUMIFS(COPO_Th_Pr_Oth!$D$5:$D$111,COPO_Th_Pr_Oth!$C$5:$C$111,"Th",COPO_Th_Pr_Oth!F$5:F$111,"1")</f>
        <v>6</v>
      </c>
      <c r="F8" s="174">
        <f>SUMIFS(COPO_Th_Pr_Oth!$D$5:$D$111,COPO_Th_Pr_Oth!$C$5:$C$111,"Th",COPO_Th_Pr_Oth!G$5:G$111,"1")</f>
        <v>6</v>
      </c>
      <c r="G8" s="174">
        <f>SUMIFS(COPO_Th_Pr_Oth!$D$5:$D$111,COPO_Th_Pr_Oth!$C$5:$C$111,"Th",COPO_Th_Pr_Oth!H$5:H$111,"1")</f>
        <v>17</v>
      </c>
      <c r="H8" s="174">
        <f>SUMIFS(COPO_Th_Pr_Oth!$D$5:$D$111,COPO_Th_Pr_Oth!$C$5:$C$111,"Th",COPO_Th_Pr_Oth!I$5:I$111,"1")</f>
        <v>8</v>
      </c>
      <c r="I8" s="175">
        <f>SUM(D8:H8)</f>
        <v>82</v>
      </c>
      <c r="J8" s="172"/>
      <c r="K8" s="177"/>
    </row>
    <row r="9" spans="1:19">
      <c r="A9" s="172"/>
      <c r="B9" s="172"/>
      <c r="C9" s="173" t="s">
        <v>132</v>
      </c>
      <c r="D9" s="174">
        <f>SUMIFS(COPO_Th_Pr_Oth!$D$5:$D$111,COPO_Th_Pr_Oth!$C$5:$C$111,"Pr",COPO_Th_Pr_Oth!E$5:E$111,"1")</f>
        <v>14</v>
      </c>
      <c r="E9" s="174">
        <f>SUMIFS(COPO_Th_Pr_Oth!$D$5:$D$111,COPO_Th_Pr_Oth!$C$5:$C$111,"Pr",COPO_Th_Pr_Oth!F$5:F$111,"1")</f>
        <v>4</v>
      </c>
      <c r="F9" s="174">
        <f>SUMIFS(COPO_Th_Pr_Oth!$D$5:$D$111,COPO_Th_Pr_Oth!$C$5:$C$111,"Pr",COPO_Th_Pr_Oth!G$5:G$111,"1")</f>
        <v>6</v>
      </c>
      <c r="G9" s="174">
        <f>SUMIFS(COPO_Th_Pr_Oth!$D$5:$D$111,COPO_Th_Pr_Oth!$C$5:$C$111,"Pr",COPO_Th_Pr_Oth!H$5:H$111,"1")</f>
        <v>8</v>
      </c>
      <c r="H9" s="174">
        <f>SUMIFS(COPO_Th_Pr_Oth!$D$5:$D$111,COPO_Th_Pr_Oth!$C$5:$C$111,"Pr",COPO_Th_Pr_Oth!I$5:I$111,"1")</f>
        <v>2</v>
      </c>
      <c r="I9" s="175">
        <f>SUM(D9:H9)</f>
        <v>34</v>
      </c>
      <c r="J9" s="172"/>
      <c r="K9" s="177"/>
    </row>
    <row r="10" spans="1:19">
      <c r="A10" s="172"/>
      <c r="B10" s="172"/>
      <c r="C10" s="173" t="s">
        <v>133</v>
      </c>
      <c r="D10" s="174">
        <f>SUMIFS(COPO_Th_Pr_Oth!$D$5:$D$111,COPO_Th_Pr_Oth!$C$5:$C$111,"Oth",COPO_Th_Pr_Oth!E$5:E$111,"1")</f>
        <v>0</v>
      </c>
      <c r="E10" s="174">
        <f>SUMIFS(COPO_Th_Pr_Oth!$D$5:$D$111,COPO_Th_Pr_Oth!$C$5:$C$111,"Oth",COPO_Th_Pr_Oth!F$5:F$111,"1")</f>
        <v>0</v>
      </c>
      <c r="F10" s="174">
        <f>SUMIFS(COPO_Th_Pr_Oth!$D$5:$D$111,COPO_Th_Pr_Oth!$C$5:$C$111,"Oth",COPO_Th_Pr_Oth!G$5:G$111,"1")</f>
        <v>0</v>
      </c>
      <c r="G10" s="174">
        <f>SUMIFS(COPO_Th_Pr_Oth!$D$5:$D$111,COPO_Th_Pr_Oth!$C$5:$C$111,"Oth",COPO_Th_Pr_Oth!H$5:H$111,"1")</f>
        <v>0</v>
      </c>
      <c r="H10" s="174">
        <f>SUMIFS(COPO_Th_Pr_Oth!$D$5:$D$111,COPO_Th_Pr_Oth!$C$5:$C$111,"Oth",COPO_Th_Pr_Oth!I$5:I$111,"1")</f>
        <v>0</v>
      </c>
      <c r="I10" s="175">
        <f>SUM(D10:H10)</f>
        <v>0</v>
      </c>
      <c r="J10" s="172"/>
      <c r="K10" s="177"/>
    </row>
    <row r="11" spans="1:19" ht="15" thickBot="1">
      <c r="C11" s="178" t="s">
        <v>73</v>
      </c>
      <c r="D11" s="179">
        <f>SUM(D8:D10)</f>
        <v>59</v>
      </c>
      <c r="E11" s="179">
        <f>SUM(E8:E10)</f>
        <v>10</v>
      </c>
      <c r="F11" s="179">
        <f t="shared" ref="F11:H11" si="0">SUM(F8:F10)</f>
        <v>12</v>
      </c>
      <c r="G11" s="179">
        <f t="shared" si="0"/>
        <v>25</v>
      </c>
      <c r="H11" s="179">
        <f t="shared" si="0"/>
        <v>10</v>
      </c>
      <c r="I11" s="180">
        <f>SUM(D11:H11)</f>
        <v>116</v>
      </c>
      <c r="J11" s="181"/>
      <c r="K11" s="172"/>
    </row>
    <row r="12" spans="1:19" ht="15" thickBot="1"/>
    <row r="13" spans="1:19">
      <c r="B13" s="171"/>
      <c r="C13" s="323" t="s">
        <v>134</v>
      </c>
      <c r="D13" s="324"/>
      <c r="E13" s="324"/>
      <c r="F13" s="324"/>
      <c r="G13" s="324"/>
      <c r="H13" s="324"/>
      <c r="I13" s="182"/>
      <c r="J13" s="172"/>
    </row>
    <row r="14" spans="1:19">
      <c r="C14" s="173" t="s">
        <v>131</v>
      </c>
      <c r="D14" s="183">
        <f>(D8/$I$8)*100</f>
        <v>54.878048780487809</v>
      </c>
      <c r="E14" s="183">
        <f>(E8/$I$8)*100</f>
        <v>7.3170731707317067</v>
      </c>
      <c r="F14" s="183">
        <f>(F8/$I$8)*100</f>
        <v>7.3170731707317067</v>
      </c>
      <c r="G14" s="183">
        <f>(G8/$I$8)*100</f>
        <v>20.73170731707317</v>
      </c>
      <c r="H14" s="183">
        <f>(H8/$I$8)*100</f>
        <v>9.7560975609756095</v>
      </c>
    </row>
    <row r="15" spans="1:19">
      <c r="C15" s="173" t="s">
        <v>132</v>
      </c>
      <c r="D15" s="183">
        <f>(D9/$I$9)*100</f>
        <v>41.17647058823529</v>
      </c>
      <c r="E15" s="183">
        <f>(E9/$I$9)*100</f>
        <v>11.76470588235294</v>
      </c>
      <c r="F15" s="183">
        <f>(F9/$I$9)*100</f>
        <v>17.647058823529413</v>
      </c>
      <c r="G15" s="183">
        <f>(G9/$I$9)*100</f>
        <v>23.52941176470588</v>
      </c>
      <c r="H15" s="183">
        <f>(H9/$I$9)*100</f>
        <v>5.8823529411764701</v>
      </c>
    </row>
    <row r="16" spans="1:19">
      <c r="C16" s="173" t="s">
        <v>133</v>
      </c>
      <c r="D16" s="183" t="e">
        <f>(D10/$I$10)*100</f>
        <v>#DIV/0!</v>
      </c>
      <c r="E16" s="183" t="e">
        <f>(E10/$I$10)*100</f>
        <v>#DIV/0!</v>
      </c>
      <c r="F16" s="183" t="e">
        <f>(F10/$I$10)*100</f>
        <v>#DIV/0!</v>
      </c>
      <c r="G16" s="183" t="e">
        <f>(G10/$I$10)*100</f>
        <v>#DIV/0!</v>
      </c>
      <c r="H16" s="183" t="e">
        <f>(H10/$I$10)*100</f>
        <v>#DIV/0!</v>
      </c>
    </row>
    <row r="17" spans="2:19" ht="15" thickBot="1">
      <c r="C17" s="184"/>
      <c r="D17" s="185">
        <f>(D11/$I$11)*100</f>
        <v>50.862068965517238</v>
      </c>
      <c r="E17" s="185">
        <f>(E11/$I$11)*100</f>
        <v>8.6206896551724146</v>
      </c>
      <c r="F17" s="185">
        <f>(F11/$I$11)*100</f>
        <v>10.344827586206897</v>
      </c>
      <c r="G17" s="185">
        <f>(G11/$I$11)*100</f>
        <v>21.551724137931032</v>
      </c>
      <c r="H17" s="185">
        <f>(H11/$I$11)*100</f>
        <v>8.6206896551724146</v>
      </c>
    </row>
    <row r="19" spans="2:19" ht="15" thickBot="1"/>
    <row r="20" spans="2:19" ht="21.75" customHeight="1" thickBot="1">
      <c r="B20" s="171"/>
      <c r="C20" s="315" t="s">
        <v>135</v>
      </c>
      <c r="D20" s="316"/>
      <c r="E20" s="316"/>
      <c r="F20" s="316"/>
      <c r="G20" s="316"/>
      <c r="H20" s="316"/>
      <c r="I20" s="316"/>
      <c r="J20" s="316"/>
      <c r="K20" s="316"/>
      <c r="L20" s="316"/>
      <c r="M20" s="316"/>
      <c r="N20" s="316"/>
      <c r="O20" s="316"/>
      <c r="P20" s="316"/>
      <c r="Q20" s="316"/>
      <c r="R20" s="317"/>
      <c r="S20" s="325" t="s">
        <v>136</v>
      </c>
    </row>
    <row r="21" spans="2:19" ht="22.5" customHeight="1" thickBot="1">
      <c r="C21" s="186"/>
      <c r="D21" s="187" t="s">
        <v>41</v>
      </c>
      <c r="E21" s="187" t="s">
        <v>42</v>
      </c>
      <c r="F21" s="187" t="s">
        <v>43</v>
      </c>
      <c r="G21" s="187" t="s">
        <v>44</v>
      </c>
      <c r="H21" s="187" t="s">
        <v>45</v>
      </c>
      <c r="I21" s="187" t="s">
        <v>46</v>
      </c>
      <c r="J21" s="187" t="s">
        <v>47</v>
      </c>
      <c r="K21" s="187" t="s">
        <v>48</v>
      </c>
      <c r="L21" s="187" t="s">
        <v>49</v>
      </c>
      <c r="M21" s="187" t="s">
        <v>50</v>
      </c>
      <c r="N21" s="187" t="s">
        <v>51</v>
      </c>
      <c r="O21" s="187" t="s">
        <v>56</v>
      </c>
      <c r="P21" s="187" t="s">
        <v>53</v>
      </c>
      <c r="Q21" s="187" t="s">
        <v>54</v>
      </c>
      <c r="R21" s="188" t="s">
        <v>55</v>
      </c>
      <c r="S21" s="326"/>
    </row>
    <row r="22" spans="2:19">
      <c r="C22" s="186" t="s">
        <v>29</v>
      </c>
      <c r="D22" s="187">
        <f>COPO_Th_Pr_Oth!AA4</f>
        <v>59</v>
      </c>
      <c r="E22" s="187">
        <f>COPO_Th_Pr_Oth!AB4</f>
        <v>59</v>
      </c>
      <c r="F22" s="187">
        <f>COPO_Th_Pr_Oth!AC4</f>
        <v>58</v>
      </c>
      <c r="G22" s="187">
        <f>COPO_Th_Pr_Oth!AD4</f>
        <v>26</v>
      </c>
      <c r="H22" s="187">
        <f>COPO_Th_Pr_Oth!AE4</f>
        <v>30</v>
      </c>
      <c r="I22" s="187">
        <f>COPO_Th_Pr_Oth!AF4</f>
        <v>0</v>
      </c>
      <c r="J22" s="187">
        <f>COPO_Th_Pr_Oth!AG4</f>
        <v>0</v>
      </c>
      <c r="K22" s="187">
        <f>COPO_Th_Pr_Oth!AH4</f>
        <v>10</v>
      </c>
      <c r="L22" s="187">
        <f>COPO_Th_Pr_Oth!AI4</f>
        <v>0</v>
      </c>
      <c r="M22" s="187">
        <f>COPO_Th_Pr_Oth!AJ4</f>
        <v>34</v>
      </c>
      <c r="N22" s="187">
        <f>COPO_Th_Pr_Oth!AK4</f>
        <v>8</v>
      </c>
      <c r="O22" s="187">
        <f>COPO_Th_Pr_Oth!AL4</f>
        <v>12</v>
      </c>
      <c r="P22" s="187">
        <f>COPO_Th_Pr_Oth!AM4</f>
        <v>45</v>
      </c>
      <c r="Q22" s="187">
        <f>COPO_Th_Pr_Oth!AN4</f>
        <v>30</v>
      </c>
      <c r="R22" s="188">
        <f>COPO_Th_Pr_Oth!AO4</f>
        <v>16</v>
      </c>
      <c r="S22" s="189">
        <f>D$11</f>
        <v>59</v>
      </c>
    </row>
    <row r="23" spans="2:19">
      <c r="C23" s="186" t="s">
        <v>30</v>
      </c>
      <c r="D23" s="187">
        <f>COPO_Th_Pr_Oth!AQ4</f>
        <v>10</v>
      </c>
      <c r="E23" s="187">
        <f>COPO_Th_Pr_Oth!AR4</f>
        <v>10</v>
      </c>
      <c r="F23" s="187">
        <f>COPO_Th_Pr_Oth!AS4</f>
        <v>10</v>
      </c>
      <c r="G23" s="187">
        <f>COPO_Th_Pr_Oth!AT4</f>
        <v>3</v>
      </c>
      <c r="H23" s="187">
        <f>COPO_Th_Pr_Oth!AU4</f>
        <v>6</v>
      </c>
      <c r="I23" s="187">
        <f>COPO_Th_Pr_Oth!AV4</f>
        <v>0</v>
      </c>
      <c r="J23" s="187">
        <f>COPO_Th_Pr_Oth!AW4</f>
        <v>0</v>
      </c>
      <c r="K23" s="187">
        <f>COPO_Th_Pr_Oth!AX4</f>
        <v>3</v>
      </c>
      <c r="L23" s="187">
        <f>COPO_Th_Pr_Oth!AY4</f>
        <v>0</v>
      </c>
      <c r="M23" s="187">
        <f>COPO_Th_Pr_Oth!AZ4</f>
        <v>6</v>
      </c>
      <c r="N23" s="187">
        <f>COPO_Th_Pr_Oth!BA4</f>
        <v>0</v>
      </c>
      <c r="O23" s="187">
        <f>COPO_Th_Pr_Oth!BB4</f>
        <v>3</v>
      </c>
      <c r="P23" s="187">
        <f>COPO_Th_Pr_Oth!BC4</f>
        <v>6</v>
      </c>
      <c r="Q23" s="187">
        <f>COPO_Th_Pr_Oth!AN5</f>
        <v>0</v>
      </c>
      <c r="R23" s="188">
        <f>COPO_Th_Pr_Oth!BE4</f>
        <v>5</v>
      </c>
      <c r="S23" s="188">
        <f>E$11</f>
        <v>10</v>
      </c>
    </row>
    <row r="24" spans="2:19">
      <c r="C24" s="186" t="s">
        <v>32</v>
      </c>
      <c r="D24" s="187">
        <f>COPO_Th_Pr_Oth!BG4</f>
        <v>12</v>
      </c>
      <c r="E24" s="187">
        <f>COPO_Th_Pr_Oth!BH4</f>
        <v>12</v>
      </c>
      <c r="F24" s="187">
        <f>COPO_Th_Pr_Oth!BI4</f>
        <v>12</v>
      </c>
      <c r="G24" s="187">
        <f>COPO_Th_Pr_Oth!BJ4</f>
        <v>2</v>
      </c>
      <c r="H24" s="187">
        <f>COPO_Th_Pr_Oth!BK4</f>
        <v>8</v>
      </c>
      <c r="I24" s="187">
        <f>COPO_Th_Pr_Oth!BL4</f>
        <v>0</v>
      </c>
      <c r="J24" s="187">
        <f>COPO_Th_Pr_Oth!BM4</f>
        <v>0</v>
      </c>
      <c r="K24" s="187">
        <f>COPO_Th_Pr_Oth!BN4</f>
        <v>2</v>
      </c>
      <c r="L24" s="187">
        <f>COPO_Th_Pr_Oth!BO4</f>
        <v>0</v>
      </c>
      <c r="M24" s="187">
        <f>COPO_Th_Pr_Oth!BP4</f>
        <v>9</v>
      </c>
      <c r="N24" s="187">
        <f>COPO_Th_Pr_Oth!BQ4</f>
        <v>2</v>
      </c>
      <c r="O24" s="187">
        <f>COPO_Th_Pr_Oth!BR4</f>
        <v>1</v>
      </c>
      <c r="P24" s="187">
        <f>COPO_Th_Pr_Oth!BS4</f>
        <v>6</v>
      </c>
      <c r="Q24" s="187">
        <f>COPO_Th_Pr_Oth!AN6</f>
        <v>0</v>
      </c>
      <c r="R24" s="188">
        <f>COPO_Th_Pr_Oth!BU4</f>
        <v>0</v>
      </c>
      <c r="S24" s="189">
        <f>F$11</f>
        <v>12</v>
      </c>
    </row>
    <row r="25" spans="2:19">
      <c r="C25" s="186" t="s">
        <v>35</v>
      </c>
      <c r="D25" s="187">
        <f>COPO_Th_Pr_Oth!BW4</f>
        <v>25</v>
      </c>
      <c r="E25" s="187">
        <f>COPO_Th_Pr_Oth!BX4</f>
        <v>25</v>
      </c>
      <c r="F25" s="187">
        <f>COPO_Th_Pr_Oth!BY4</f>
        <v>25</v>
      </c>
      <c r="G25" s="187">
        <f>COPO_Th_Pr_Oth!BZ4</f>
        <v>14</v>
      </c>
      <c r="H25" s="187">
        <f>COPO_Th_Pr_Oth!CA4</f>
        <v>20</v>
      </c>
      <c r="I25" s="187">
        <f>COPO_Th_Pr_Oth!CB4</f>
        <v>0</v>
      </c>
      <c r="J25" s="187">
        <f>COPO_Th_Pr_Oth!CC4</f>
        <v>0</v>
      </c>
      <c r="K25" s="187">
        <f>COPO_Th_Pr_Oth!CD4</f>
        <v>5</v>
      </c>
      <c r="L25" s="187">
        <f>COPO_Th_Pr_Oth!CE4</f>
        <v>0</v>
      </c>
      <c r="M25" s="187">
        <f>COPO_Th_Pr_Oth!CF4</f>
        <v>15</v>
      </c>
      <c r="N25" s="187">
        <f>COPO_Th_Pr_Oth!CG4</f>
        <v>4</v>
      </c>
      <c r="O25" s="187">
        <f>COPO_Th_Pr_Oth!CH4</f>
        <v>6</v>
      </c>
      <c r="P25" s="187">
        <f>COPO_Th_Pr_Oth!CI4</f>
        <v>17</v>
      </c>
      <c r="Q25" s="187">
        <f>COPO_Th_Pr_Oth!AN7</f>
        <v>0</v>
      </c>
      <c r="R25" s="188">
        <f>COPO_Th_Pr_Oth!CK4</f>
        <v>7</v>
      </c>
      <c r="S25" s="188">
        <f>G$11</f>
        <v>25</v>
      </c>
    </row>
    <row r="26" spans="2:19">
      <c r="B26" s="190"/>
      <c r="C26" s="186" t="s">
        <v>36</v>
      </c>
      <c r="D26" s="187">
        <f>COPO_Th_Pr_Oth!CM4</f>
        <v>10</v>
      </c>
      <c r="E26" s="187">
        <f>COPO_Th_Pr_Oth!CN4</f>
        <v>10</v>
      </c>
      <c r="F26" s="187">
        <f>COPO_Th_Pr_Oth!CO4</f>
        <v>10</v>
      </c>
      <c r="G26" s="187">
        <f>COPO_Th_Pr_Oth!CP4</f>
        <v>0</v>
      </c>
      <c r="H26" s="187">
        <f>COPO_Th_Pr_Oth!CQ4</f>
        <v>2</v>
      </c>
      <c r="I26" s="187">
        <f>COPO_Th_Pr_Oth!CR4</f>
        <v>0</v>
      </c>
      <c r="J26" s="187">
        <f>COPO_Th_Pr_Oth!CS4</f>
        <v>0</v>
      </c>
      <c r="K26" s="187">
        <f>COPO_Th_Pr_Oth!CT4</f>
        <v>0</v>
      </c>
      <c r="L26" s="187">
        <f>COPO_Th_Pr_Oth!CU4</f>
        <v>0</v>
      </c>
      <c r="M26" s="187">
        <f>COPO_Th_Pr_Oth!CV4</f>
        <v>4</v>
      </c>
      <c r="N26" s="187">
        <f>COPO_Th_Pr_Oth!CW4</f>
        <v>4</v>
      </c>
      <c r="O26" s="187">
        <f>COPO_Th_Pr_Oth!CX4</f>
        <v>2</v>
      </c>
      <c r="P26" s="187">
        <f>COPO_Th_Pr_Oth!CY4</f>
        <v>8</v>
      </c>
      <c r="Q26" s="187">
        <f>COPO_Th_Pr_Oth!AN8</f>
        <v>0</v>
      </c>
      <c r="R26" s="188">
        <f>COPO_Th_Pr_Oth!DA4</f>
        <v>0</v>
      </c>
      <c r="S26" s="188">
        <f>H$11</f>
        <v>10</v>
      </c>
    </row>
    <row r="27" spans="2:19" ht="15" thickBot="1">
      <c r="C27" s="184"/>
      <c r="D27" s="191">
        <f t="shared" ref="D27:R27" si="1">SUM(D22:D26)</f>
        <v>116</v>
      </c>
      <c r="E27" s="191">
        <f t="shared" si="1"/>
        <v>116</v>
      </c>
      <c r="F27" s="191">
        <f t="shared" si="1"/>
        <v>115</v>
      </c>
      <c r="G27" s="191">
        <f t="shared" si="1"/>
        <v>45</v>
      </c>
      <c r="H27" s="191">
        <f t="shared" si="1"/>
        <v>66</v>
      </c>
      <c r="I27" s="191">
        <f t="shared" si="1"/>
        <v>0</v>
      </c>
      <c r="J27" s="191">
        <f t="shared" si="1"/>
        <v>0</v>
      </c>
      <c r="K27" s="191">
        <f t="shared" si="1"/>
        <v>20</v>
      </c>
      <c r="L27" s="191">
        <f t="shared" si="1"/>
        <v>0</v>
      </c>
      <c r="M27" s="191">
        <f t="shared" si="1"/>
        <v>68</v>
      </c>
      <c r="N27" s="191">
        <f t="shared" si="1"/>
        <v>18</v>
      </c>
      <c r="O27" s="191">
        <f t="shared" si="1"/>
        <v>24</v>
      </c>
      <c r="P27" s="191">
        <f t="shared" si="1"/>
        <v>82</v>
      </c>
      <c r="Q27" s="191">
        <f t="shared" si="1"/>
        <v>30</v>
      </c>
      <c r="R27" s="192">
        <f t="shared" si="1"/>
        <v>28</v>
      </c>
      <c r="S27" s="192">
        <f>I$11</f>
        <v>116</v>
      </c>
    </row>
    <row r="29" spans="2:19" ht="15" thickBot="1"/>
    <row r="30" spans="2:19" ht="15" thickBot="1">
      <c r="B30" s="171"/>
      <c r="C30" s="315" t="s">
        <v>137</v>
      </c>
      <c r="D30" s="316"/>
      <c r="E30" s="316"/>
      <c r="F30" s="316"/>
      <c r="G30" s="316"/>
      <c r="H30" s="316"/>
      <c r="I30" s="316"/>
      <c r="J30" s="316"/>
      <c r="K30" s="316"/>
      <c r="L30" s="316"/>
      <c r="M30" s="316"/>
      <c r="N30" s="316"/>
      <c r="O30" s="316"/>
      <c r="P30" s="316"/>
      <c r="Q30" s="316"/>
      <c r="R30" s="317"/>
    </row>
    <row r="31" spans="2:19">
      <c r="C31" s="186"/>
      <c r="D31" s="187" t="s">
        <v>41</v>
      </c>
      <c r="E31" s="187" t="s">
        <v>42</v>
      </c>
      <c r="F31" s="187" t="s">
        <v>43</v>
      </c>
      <c r="G31" s="187" t="s">
        <v>44</v>
      </c>
      <c r="H31" s="187" t="s">
        <v>45</v>
      </c>
      <c r="I31" s="187" t="s">
        <v>46</v>
      </c>
      <c r="J31" s="187" t="s">
        <v>47</v>
      </c>
      <c r="K31" s="187" t="s">
        <v>48</v>
      </c>
      <c r="L31" s="187" t="s">
        <v>49</v>
      </c>
      <c r="M31" s="187" t="s">
        <v>50</v>
      </c>
      <c r="N31" s="187" t="s">
        <v>51</v>
      </c>
      <c r="O31" s="187" t="s">
        <v>56</v>
      </c>
      <c r="P31" s="187" t="s">
        <v>53</v>
      </c>
      <c r="Q31" s="187" t="s">
        <v>54</v>
      </c>
      <c r="R31" s="188" t="s">
        <v>55</v>
      </c>
    </row>
    <row r="32" spans="2:19">
      <c r="C32" s="186" t="s">
        <v>29</v>
      </c>
      <c r="D32" s="187">
        <f>IF($S22&gt;0,IF((D22/$S22*100)&gt;50,3,IF((D22/$S22*100)&gt;25,2,IF((D22/$S22*100)&gt;10,1,""))),"")</f>
        <v>3</v>
      </c>
      <c r="E32" s="187">
        <f t="shared" ref="E32:R32" si="2">IF($S22&gt;0,IF((E22/$S22*100)&gt;50,3,IF((E22/$S22*100)&gt;25,2,IF((E22/$S22*100)&gt;10,1,""))),"")</f>
        <v>3</v>
      </c>
      <c r="F32" s="187">
        <f t="shared" si="2"/>
        <v>3</v>
      </c>
      <c r="G32" s="187">
        <f t="shared" si="2"/>
        <v>2</v>
      </c>
      <c r="H32" s="187">
        <f t="shared" si="2"/>
        <v>3</v>
      </c>
      <c r="I32" s="187" t="str">
        <f t="shared" si="2"/>
        <v/>
      </c>
      <c r="J32" s="187" t="str">
        <f t="shared" si="2"/>
        <v/>
      </c>
      <c r="K32" s="187">
        <f t="shared" si="2"/>
        <v>1</v>
      </c>
      <c r="L32" s="187" t="str">
        <f t="shared" si="2"/>
        <v/>
      </c>
      <c r="M32" s="187">
        <f t="shared" si="2"/>
        <v>3</v>
      </c>
      <c r="N32" s="187">
        <f t="shared" si="2"/>
        <v>1</v>
      </c>
      <c r="O32" s="187">
        <f t="shared" si="2"/>
        <v>1</v>
      </c>
      <c r="P32" s="187">
        <f t="shared" si="2"/>
        <v>3</v>
      </c>
      <c r="Q32" s="187">
        <f t="shared" si="2"/>
        <v>3</v>
      </c>
      <c r="R32" s="188">
        <f t="shared" si="2"/>
        <v>2</v>
      </c>
    </row>
    <row r="33" spans="2:18">
      <c r="C33" s="186" t="s">
        <v>30</v>
      </c>
      <c r="D33" s="187">
        <f t="shared" ref="D33:R36" si="3">IF($S23&gt;0,IF((D23/$S23*100)&gt;50,3,IF((D23/$S23*100)&gt;25,2,IF((D23/$S23*100)&gt;10,1,""))),"")</f>
        <v>3</v>
      </c>
      <c r="E33" s="187">
        <f t="shared" si="3"/>
        <v>3</v>
      </c>
      <c r="F33" s="187">
        <f t="shared" si="3"/>
        <v>3</v>
      </c>
      <c r="G33" s="187">
        <f t="shared" si="3"/>
        <v>2</v>
      </c>
      <c r="H33" s="187">
        <f t="shared" si="3"/>
        <v>3</v>
      </c>
      <c r="I33" s="187" t="str">
        <f t="shared" si="3"/>
        <v/>
      </c>
      <c r="J33" s="187" t="str">
        <f t="shared" si="3"/>
        <v/>
      </c>
      <c r="K33" s="187">
        <f t="shared" si="3"/>
        <v>2</v>
      </c>
      <c r="L33" s="187" t="str">
        <f t="shared" si="3"/>
        <v/>
      </c>
      <c r="M33" s="187">
        <f t="shared" si="3"/>
        <v>3</v>
      </c>
      <c r="N33" s="187" t="str">
        <f t="shared" si="3"/>
        <v/>
      </c>
      <c r="O33" s="187">
        <f t="shared" si="3"/>
        <v>2</v>
      </c>
      <c r="P33" s="187">
        <f t="shared" si="3"/>
        <v>3</v>
      </c>
      <c r="Q33" s="187" t="str">
        <f t="shared" si="3"/>
        <v/>
      </c>
      <c r="R33" s="188">
        <f t="shared" si="3"/>
        <v>2</v>
      </c>
    </row>
    <row r="34" spans="2:18">
      <c r="C34" s="186" t="s">
        <v>32</v>
      </c>
      <c r="D34" s="187">
        <f t="shared" si="3"/>
        <v>3</v>
      </c>
      <c r="E34" s="187">
        <f t="shared" si="3"/>
        <v>3</v>
      </c>
      <c r="F34" s="187">
        <f t="shared" si="3"/>
        <v>3</v>
      </c>
      <c r="G34" s="187">
        <f t="shared" si="3"/>
        <v>1</v>
      </c>
      <c r="H34" s="187">
        <f t="shared" si="3"/>
        <v>3</v>
      </c>
      <c r="I34" s="187" t="str">
        <f t="shared" si="3"/>
        <v/>
      </c>
      <c r="J34" s="187" t="str">
        <f t="shared" si="3"/>
        <v/>
      </c>
      <c r="K34" s="187">
        <f t="shared" si="3"/>
        <v>1</v>
      </c>
      <c r="L34" s="187" t="str">
        <f t="shared" si="3"/>
        <v/>
      </c>
      <c r="M34" s="187">
        <f t="shared" si="3"/>
        <v>3</v>
      </c>
      <c r="N34" s="187">
        <f t="shared" si="3"/>
        <v>1</v>
      </c>
      <c r="O34" s="187" t="str">
        <f t="shared" si="3"/>
        <v/>
      </c>
      <c r="P34" s="187">
        <f t="shared" si="3"/>
        <v>2</v>
      </c>
      <c r="Q34" s="187" t="str">
        <f t="shared" si="3"/>
        <v/>
      </c>
      <c r="R34" s="188" t="str">
        <f t="shared" si="3"/>
        <v/>
      </c>
    </row>
    <row r="35" spans="2:18">
      <c r="C35" s="186" t="s">
        <v>35</v>
      </c>
      <c r="D35" s="187">
        <f t="shared" si="3"/>
        <v>3</v>
      </c>
      <c r="E35" s="187">
        <f t="shared" si="3"/>
        <v>3</v>
      </c>
      <c r="F35" s="187">
        <f t="shared" si="3"/>
        <v>3</v>
      </c>
      <c r="G35" s="187">
        <f t="shared" si="3"/>
        <v>3</v>
      </c>
      <c r="H35" s="187">
        <f t="shared" si="3"/>
        <v>3</v>
      </c>
      <c r="I35" s="187" t="str">
        <f t="shared" si="3"/>
        <v/>
      </c>
      <c r="J35" s="187" t="str">
        <f t="shared" si="3"/>
        <v/>
      </c>
      <c r="K35" s="187">
        <f t="shared" si="3"/>
        <v>1</v>
      </c>
      <c r="L35" s="187" t="str">
        <f t="shared" si="3"/>
        <v/>
      </c>
      <c r="M35" s="187">
        <f t="shared" si="3"/>
        <v>3</v>
      </c>
      <c r="N35" s="187">
        <f t="shared" si="3"/>
        <v>1</v>
      </c>
      <c r="O35" s="187">
        <f t="shared" si="3"/>
        <v>1</v>
      </c>
      <c r="P35" s="187">
        <f t="shared" si="3"/>
        <v>3</v>
      </c>
      <c r="Q35" s="187" t="str">
        <f t="shared" si="3"/>
        <v/>
      </c>
      <c r="R35" s="188">
        <f t="shared" si="3"/>
        <v>2</v>
      </c>
    </row>
    <row r="36" spans="2:18">
      <c r="B36" s="190"/>
      <c r="C36" s="186" t="s">
        <v>36</v>
      </c>
      <c r="D36" s="187">
        <f t="shared" si="3"/>
        <v>3</v>
      </c>
      <c r="E36" s="187">
        <f t="shared" si="3"/>
        <v>3</v>
      </c>
      <c r="F36" s="187">
        <f t="shared" si="3"/>
        <v>3</v>
      </c>
      <c r="G36" s="187" t="str">
        <f t="shared" si="3"/>
        <v/>
      </c>
      <c r="H36" s="187">
        <f t="shared" si="3"/>
        <v>1</v>
      </c>
      <c r="I36" s="187" t="str">
        <f t="shared" si="3"/>
        <v/>
      </c>
      <c r="J36" s="187" t="str">
        <f t="shared" si="3"/>
        <v/>
      </c>
      <c r="K36" s="187" t="str">
        <f t="shared" si="3"/>
        <v/>
      </c>
      <c r="L36" s="187" t="str">
        <f t="shared" si="3"/>
        <v/>
      </c>
      <c r="M36" s="187">
        <f t="shared" si="3"/>
        <v>2</v>
      </c>
      <c r="N36" s="187">
        <f t="shared" si="3"/>
        <v>2</v>
      </c>
      <c r="O36" s="187">
        <f t="shared" si="3"/>
        <v>1</v>
      </c>
      <c r="P36" s="187">
        <f t="shared" si="3"/>
        <v>3</v>
      </c>
      <c r="Q36" s="187" t="str">
        <f t="shared" si="3"/>
        <v/>
      </c>
      <c r="R36" s="188" t="str">
        <f t="shared" si="3"/>
        <v/>
      </c>
    </row>
    <row r="37" spans="2:18" ht="15" thickBot="1">
      <c r="C37" s="184" t="s">
        <v>138</v>
      </c>
      <c r="D37" s="193">
        <f>IFERROR(AVERAGE(D32:D36),"")</f>
        <v>3</v>
      </c>
      <c r="E37" s="193">
        <f t="shared" ref="E37:Q37" si="4">IFERROR(AVERAGE(E32:E36),"")</f>
        <v>3</v>
      </c>
      <c r="F37" s="193">
        <f t="shared" si="4"/>
        <v>3</v>
      </c>
      <c r="G37" s="193">
        <f t="shared" si="4"/>
        <v>2</v>
      </c>
      <c r="H37" s="193">
        <f t="shared" si="4"/>
        <v>2.6</v>
      </c>
      <c r="I37" s="193" t="str">
        <f t="shared" si="4"/>
        <v/>
      </c>
      <c r="J37" s="193" t="str">
        <f t="shared" si="4"/>
        <v/>
      </c>
      <c r="K37" s="193">
        <f t="shared" si="4"/>
        <v>1.25</v>
      </c>
      <c r="L37" s="193" t="str">
        <f t="shared" si="4"/>
        <v/>
      </c>
      <c r="M37" s="193">
        <f t="shared" si="4"/>
        <v>2.8</v>
      </c>
      <c r="N37" s="193">
        <f t="shared" si="4"/>
        <v>1.25</v>
      </c>
      <c r="O37" s="193">
        <f t="shared" si="4"/>
        <v>1.25</v>
      </c>
      <c r="P37" s="193">
        <f t="shared" si="4"/>
        <v>2.8</v>
      </c>
      <c r="Q37" s="193">
        <f t="shared" si="4"/>
        <v>3</v>
      </c>
      <c r="R37" s="194">
        <f>IFERROR(AVERAGE(R32:R36),"")</f>
        <v>2</v>
      </c>
    </row>
  </sheetData>
  <mergeCells count="8">
    <mergeCell ref="C30:R30"/>
    <mergeCell ref="C1:S1"/>
    <mergeCell ref="C2:S2"/>
    <mergeCell ref="C3:S3"/>
    <mergeCell ref="C6:I6"/>
    <mergeCell ref="C13:H13"/>
    <mergeCell ref="C20:R20"/>
    <mergeCell ref="S20:S21"/>
  </mergeCells>
  <conditionalFormatting sqref="C37:R37">
    <cfRule type="cellIs" dxfId="1" priority="1" operator="greaterThan">
      <formula>0</formula>
    </cfRule>
  </conditionalFormatting>
  <pageMargins left="0.31496062992125984" right="0.31496062992125984"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113"/>
  <sheetViews>
    <sheetView tabSelected="1" workbookViewId="0">
      <pane ySplit="4" topLeftCell="A5" activePane="bottomLeft" state="frozen"/>
      <selection activeCell="W29" sqref="W29"/>
      <selection pane="bottomLeft" activeCell="B6" sqref="B6"/>
    </sheetView>
  </sheetViews>
  <sheetFormatPr defaultColWidth="9.109375" defaultRowHeight="14.4"/>
  <cols>
    <col min="1" max="1" width="9.109375" style="231"/>
    <col min="2" max="2" width="64" style="210" customWidth="1"/>
    <col min="3" max="3" width="5.44140625" style="170" customWidth="1"/>
    <col min="4" max="4" width="6.44140625" style="187" customWidth="1"/>
    <col min="5" max="8" width="4.44140625" style="170" bestFit="1" customWidth="1"/>
    <col min="9" max="9" width="4.44140625" style="170" customWidth="1"/>
    <col min="10" max="21" width="3.5546875" style="170" customWidth="1"/>
    <col min="22" max="22" width="4.44140625" style="170" bestFit="1" customWidth="1"/>
    <col min="23" max="23" width="4.44140625" style="170" customWidth="1"/>
    <col min="24" max="24" width="4.44140625" style="170" bestFit="1" customWidth="1"/>
    <col min="25" max="25" width="4.44140625" style="170" customWidth="1"/>
    <col min="26" max="26" width="9.109375" style="170"/>
    <col min="27" max="38" width="3.5546875" style="170" customWidth="1"/>
    <col min="39" max="39" width="4.44140625" style="170" bestFit="1" customWidth="1"/>
    <col min="40" max="40" width="4.44140625" style="170" customWidth="1"/>
    <col min="41" max="41" width="4.44140625" style="170" bestFit="1" customWidth="1"/>
    <col min="42" max="42" width="9.109375" style="170"/>
    <col min="43" max="54" width="3.5546875" style="170" customWidth="1"/>
    <col min="55" max="55" width="4.44140625" style="170" bestFit="1" customWidth="1"/>
    <col min="56" max="56" width="4.44140625" style="170" customWidth="1"/>
    <col min="57" max="57" width="4.44140625" style="170" bestFit="1" customWidth="1"/>
    <col min="58" max="58" width="9.109375" style="170"/>
    <col min="59" max="70" width="3.5546875" style="170" customWidth="1"/>
    <col min="71" max="71" width="4.44140625" style="170" bestFit="1" customWidth="1"/>
    <col min="72" max="72" width="4.44140625" style="170" customWidth="1"/>
    <col min="73" max="73" width="4.44140625" style="170" bestFit="1" customWidth="1"/>
    <col min="74" max="74" width="9.109375" style="170"/>
    <col min="75" max="86" width="3.5546875" style="170" customWidth="1"/>
    <col min="87" max="87" width="4.44140625" style="170" bestFit="1" customWidth="1"/>
    <col min="88" max="88" width="4.44140625" style="170" customWidth="1"/>
    <col min="89" max="89" width="4.44140625" style="170" bestFit="1" customWidth="1"/>
    <col min="90" max="90" width="9.109375" style="170"/>
    <col min="91" max="102" width="3.5546875" style="170" customWidth="1"/>
    <col min="103" max="103" width="4.44140625" style="170" bestFit="1" customWidth="1"/>
    <col min="104" max="104" width="4.44140625" style="170" customWidth="1"/>
    <col min="105" max="105" width="4.44140625" style="170" bestFit="1" customWidth="1"/>
    <col min="106" max="16384" width="9.109375" style="170"/>
  </cols>
  <sheetData>
    <row r="1" spans="1:105">
      <c r="A1" s="330" t="s">
        <v>139</v>
      </c>
      <c r="B1" s="332" t="s">
        <v>140</v>
      </c>
      <c r="C1" s="332" t="s">
        <v>141</v>
      </c>
      <c r="D1" s="335" t="s">
        <v>142</v>
      </c>
      <c r="E1" s="327" t="s">
        <v>5</v>
      </c>
      <c r="F1" s="328"/>
      <c r="G1" s="328"/>
      <c r="H1" s="328"/>
      <c r="I1" s="329"/>
      <c r="J1" s="328" t="s">
        <v>143</v>
      </c>
      <c r="K1" s="328"/>
      <c r="L1" s="328"/>
      <c r="M1" s="328"/>
      <c r="N1" s="328"/>
      <c r="O1" s="328"/>
      <c r="P1" s="328"/>
      <c r="Q1" s="328"/>
      <c r="R1" s="328"/>
      <c r="S1" s="328"/>
      <c r="T1" s="328"/>
      <c r="U1" s="329"/>
      <c r="V1" s="327" t="s">
        <v>144</v>
      </c>
      <c r="W1" s="328"/>
      <c r="X1" s="329"/>
      <c r="Y1" s="195"/>
      <c r="AA1" s="327" t="s">
        <v>145</v>
      </c>
      <c r="AB1" s="328"/>
      <c r="AC1" s="328"/>
      <c r="AD1" s="328"/>
      <c r="AE1" s="328"/>
      <c r="AF1" s="328"/>
      <c r="AG1" s="328"/>
      <c r="AH1" s="328"/>
      <c r="AI1" s="328"/>
      <c r="AJ1" s="328"/>
      <c r="AK1" s="328"/>
      <c r="AL1" s="328"/>
      <c r="AM1" s="327" t="s">
        <v>144</v>
      </c>
      <c r="AN1" s="328"/>
      <c r="AO1" s="329"/>
      <c r="AQ1" s="327" t="s">
        <v>146</v>
      </c>
      <c r="AR1" s="328"/>
      <c r="AS1" s="328"/>
      <c r="AT1" s="328"/>
      <c r="AU1" s="328"/>
      <c r="AV1" s="328"/>
      <c r="AW1" s="328"/>
      <c r="AX1" s="328"/>
      <c r="AY1" s="328"/>
      <c r="AZ1" s="328"/>
      <c r="BA1" s="328"/>
      <c r="BB1" s="329"/>
      <c r="BC1" s="327" t="s">
        <v>144</v>
      </c>
      <c r="BD1" s="328"/>
      <c r="BE1" s="329"/>
      <c r="BG1" s="327" t="s">
        <v>147</v>
      </c>
      <c r="BH1" s="328"/>
      <c r="BI1" s="328"/>
      <c r="BJ1" s="328"/>
      <c r="BK1" s="328"/>
      <c r="BL1" s="328"/>
      <c r="BM1" s="328"/>
      <c r="BN1" s="328"/>
      <c r="BO1" s="328"/>
      <c r="BP1" s="328"/>
      <c r="BQ1" s="328"/>
      <c r="BR1" s="329"/>
      <c r="BS1" s="327" t="s">
        <v>144</v>
      </c>
      <c r="BT1" s="328"/>
      <c r="BU1" s="329"/>
      <c r="BW1" s="327" t="s">
        <v>148</v>
      </c>
      <c r="BX1" s="328"/>
      <c r="BY1" s="328"/>
      <c r="BZ1" s="328"/>
      <c r="CA1" s="328"/>
      <c r="CB1" s="328"/>
      <c r="CC1" s="328"/>
      <c r="CD1" s="328"/>
      <c r="CE1" s="328"/>
      <c r="CF1" s="328"/>
      <c r="CG1" s="328"/>
      <c r="CH1" s="329"/>
      <c r="CI1" s="327" t="s">
        <v>144</v>
      </c>
      <c r="CJ1" s="328"/>
      <c r="CK1" s="329"/>
      <c r="CM1" s="327" t="s">
        <v>149</v>
      </c>
      <c r="CN1" s="328"/>
      <c r="CO1" s="328"/>
      <c r="CP1" s="328"/>
      <c r="CQ1" s="328"/>
      <c r="CR1" s="328"/>
      <c r="CS1" s="328"/>
      <c r="CT1" s="328"/>
      <c r="CU1" s="328"/>
      <c r="CV1" s="328"/>
      <c r="CW1" s="328"/>
      <c r="CX1" s="329"/>
      <c r="CY1" s="327" t="s">
        <v>144</v>
      </c>
      <c r="CZ1" s="328"/>
      <c r="DA1" s="329"/>
    </row>
    <row r="2" spans="1:105" ht="120.75" customHeight="1">
      <c r="A2" s="331"/>
      <c r="B2" s="333"/>
      <c r="C2" s="334"/>
      <c r="D2" s="336"/>
      <c r="E2" s="196" t="s">
        <v>29</v>
      </c>
      <c r="F2" s="197" t="s">
        <v>30</v>
      </c>
      <c r="G2" s="197" t="s">
        <v>32</v>
      </c>
      <c r="H2" s="197" t="s">
        <v>35</v>
      </c>
      <c r="I2" s="198" t="s">
        <v>36</v>
      </c>
      <c r="J2" s="197" t="s">
        <v>150</v>
      </c>
      <c r="K2" s="197" t="s">
        <v>151</v>
      </c>
      <c r="L2" s="197" t="s">
        <v>152</v>
      </c>
      <c r="M2" s="197" t="s">
        <v>153</v>
      </c>
      <c r="N2" s="197" t="s">
        <v>154</v>
      </c>
      <c r="O2" s="197" t="s">
        <v>155</v>
      </c>
      <c r="P2" s="197" t="s">
        <v>156</v>
      </c>
      <c r="Q2" s="197" t="s">
        <v>157</v>
      </c>
      <c r="R2" s="197" t="s">
        <v>158</v>
      </c>
      <c r="S2" s="197" t="s">
        <v>159</v>
      </c>
      <c r="T2" s="197" t="s">
        <v>160</v>
      </c>
      <c r="U2" s="198" t="s">
        <v>56</v>
      </c>
      <c r="V2" s="196" t="s">
        <v>53</v>
      </c>
      <c r="W2" s="197" t="s">
        <v>54</v>
      </c>
      <c r="X2" s="198" t="s">
        <v>55</v>
      </c>
      <c r="Y2" s="198"/>
      <c r="AA2" s="197" t="s">
        <v>161</v>
      </c>
      <c r="AB2" s="197" t="s">
        <v>162</v>
      </c>
      <c r="AC2" s="197" t="s">
        <v>152</v>
      </c>
      <c r="AD2" s="197" t="s">
        <v>153</v>
      </c>
      <c r="AE2" s="197" t="s">
        <v>154</v>
      </c>
      <c r="AF2" s="197" t="s">
        <v>156</v>
      </c>
      <c r="AG2" s="197" t="s">
        <v>163</v>
      </c>
      <c r="AH2" s="197" t="s">
        <v>164</v>
      </c>
      <c r="AI2" s="197" t="s">
        <v>158</v>
      </c>
      <c r="AJ2" s="197" t="s">
        <v>165</v>
      </c>
      <c r="AK2" s="197" t="s">
        <v>166</v>
      </c>
      <c r="AL2" s="198" t="s">
        <v>56</v>
      </c>
      <c r="AM2" s="196" t="s">
        <v>53</v>
      </c>
      <c r="AN2" s="197" t="s">
        <v>54</v>
      </c>
      <c r="AO2" s="198" t="s">
        <v>55</v>
      </c>
      <c r="AQ2" s="197" t="s">
        <v>161</v>
      </c>
      <c r="AR2" s="197" t="s">
        <v>162</v>
      </c>
      <c r="AS2" s="197" t="s">
        <v>152</v>
      </c>
      <c r="AT2" s="197" t="s">
        <v>153</v>
      </c>
      <c r="AU2" s="197" t="s">
        <v>154</v>
      </c>
      <c r="AV2" s="197" t="s">
        <v>156</v>
      </c>
      <c r="AW2" s="197" t="s">
        <v>163</v>
      </c>
      <c r="AX2" s="197" t="s">
        <v>164</v>
      </c>
      <c r="AY2" s="197" t="s">
        <v>158</v>
      </c>
      <c r="AZ2" s="197" t="s">
        <v>165</v>
      </c>
      <c r="BA2" s="197" t="s">
        <v>166</v>
      </c>
      <c r="BB2" s="198" t="s">
        <v>56</v>
      </c>
      <c r="BC2" s="196" t="s">
        <v>53</v>
      </c>
      <c r="BD2" s="197" t="s">
        <v>54</v>
      </c>
      <c r="BE2" s="198" t="s">
        <v>55</v>
      </c>
      <c r="BG2" s="197" t="s">
        <v>161</v>
      </c>
      <c r="BH2" s="197" t="s">
        <v>162</v>
      </c>
      <c r="BI2" s="197" t="s">
        <v>152</v>
      </c>
      <c r="BJ2" s="197" t="s">
        <v>153</v>
      </c>
      <c r="BK2" s="197" t="s">
        <v>154</v>
      </c>
      <c r="BL2" s="197" t="s">
        <v>156</v>
      </c>
      <c r="BM2" s="197" t="s">
        <v>163</v>
      </c>
      <c r="BN2" s="197" t="s">
        <v>164</v>
      </c>
      <c r="BO2" s="197" t="s">
        <v>158</v>
      </c>
      <c r="BP2" s="197" t="s">
        <v>165</v>
      </c>
      <c r="BQ2" s="197" t="s">
        <v>166</v>
      </c>
      <c r="BR2" s="198" t="s">
        <v>56</v>
      </c>
      <c r="BS2" s="196" t="s">
        <v>53</v>
      </c>
      <c r="BT2" s="197" t="s">
        <v>54</v>
      </c>
      <c r="BU2" s="198" t="s">
        <v>55</v>
      </c>
      <c r="BW2" s="197" t="s">
        <v>161</v>
      </c>
      <c r="BX2" s="197" t="s">
        <v>162</v>
      </c>
      <c r="BY2" s="197" t="s">
        <v>152</v>
      </c>
      <c r="BZ2" s="197" t="s">
        <v>153</v>
      </c>
      <c r="CA2" s="197" t="s">
        <v>154</v>
      </c>
      <c r="CB2" s="197" t="s">
        <v>156</v>
      </c>
      <c r="CC2" s="197" t="s">
        <v>163</v>
      </c>
      <c r="CD2" s="197" t="s">
        <v>164</v>
      </c>
      <c r="CE2" s="197" t="s">
        <v>158</v>
      </c>
      <c r="CF2" s="197" t="s">
        <v>165</v>
      </c>
      <c r="CG2" s="197" t="s">
        <v>166</v>
      </c>
      <c r="CH2" s="198" t="s">
        <v>56</v>
      </c>
      <c r="CI2" s="196" t="s">
        <v>53</v>
      </c>
      <c r="CJ2" s="197" t="s">
        <v>54</v>
      </c>
      <c r="CK2" s="198" t="s">
        <v>55</v>
      </c>
      <c r="CM2" s="197" t="s">
        <v>161</v>
      </c>
      <c r="CN2" s="197" t="s">
        <v>162</v>
      </c>
      <c r="CO2" s="197" t="s">
        <v>152</v>
      </c>
      <c r="CP2" s="197" t="s">
        <v>153</v>
      </c>
      <c r="CQ2" s="197" t="s">
        <v>154</v>
      </c>
      <c r="CR2" s="197" t="s">
        <v>156</v>
      </c>
      <c r="CS2" s="197" t="s">
        <v>163</v>
      </c>
      <c r="CT2" s="197" t="s">
        <v>164</v>
      </c>
      <c r="CU2" s="197" t="s">
        <v>158</v>
      </c>
      <c r="CV2" s="197" t="s">
        <v>165</v>
      </c>
      <c r="CW2" s="197" t="s">
        <v>166</v>
      </c>
      <c r="CX2" s="198" t="s">
        <v>56</v>
      </c>
      <c r="CY2" s="196" t="s">
        <v>53</v>
      </c>
      <c r="CZ2" s="197" t="s">
        <v>54</v>
      </c>
      <c r="DA2" s="198" t="s">
        <v>55</v>
      </c>
    </row>
    <row r="3" spans="1:105" ht="18.45" customHeight="1">
      <c r="A3" s="331"/>
      <c r="B3" s="333"/>
      <c r="C3" s="334"/>
      <c r="D3" s="336"/>
      <c r="E3" s="186">
        <v>1</v>
      </c>
      <c r="F3" s="170">
        <v>2</v>
      </c>
      <c r="G3" s="170">
        <v>3</v>
      </c>
      <c r="H3" s="170">
        <v>4</v>
      </c>
      <c r="I3" s="199">
        <v>5</v>
      </c>
      <c r="J3" s="170">
        <v>1</v>
      </c>
      <c r="K3" s="170">
        <v>2</v>
      </c>
      <c r="L3" s="170">
        <v>3</v>
      </c>
      <c r="M3" s="170">
        <v>4</v>
      </c>
      <c r="N3" s="170">
        <v>5</v>
      </c>
      <c r="O3" s="170">
        <v>6</v>
      </c>
      <c r="P3" s="170">
        <v>7</v>
      </c>
      <c r="Q3" s="170">
        <v>8</v>
      </c>
      <c r="R3" s="170">
        <v>9</v>
      </c>
      <c r="S3" s="170">
        <v>10</v>
      </c>
      <c r="T3" s="170">
        <v>11</v>
      </c>
      <c r="U3" s="199">
        <v>12</v>
      </c>
      <c r="V3" s="186">
        <v>1</v>
      </c>
      <c r="W3" s="170">
        <v>2</v>
      </c>
      <c r="X3" s="199">
        <v>3</v>
      </c>
      <c r="Y3" s="170">
        <v>4</v>
      </c>
      <c r="AA3" s="186">
        <v>1</v>
      </c>
      <c r="AB3" s="170">
        <v>2</v>
      </c>
      <c r="AC3" s="170">
        <v>3</v>
      </c>
      <c r="AD3" s="170">
        <v>4</v>
      </c>
      <c r="AE3" s="170">
        <v>5</v>
      </c>
      <c r="AF3" s="170">
        <v>6</v>
      </c>
      <c r="AG3" s="170">
        <v>7</v>
      </c>
      <c r="AH3" s="170">
        <v>8</v>
      </c>
      <c r="AI3" s="170">
        <v>9</v>
      </c>
      <c r="AJ3" s="170">
        <v>10</v>
      </c>
      <c r="AK3" s="170">
        <v>11</v>
      </c>
      <c r="AL3" s="170">
        <v>12</v>
      </c>
      <c r="AM3" s="186">
        <v>1</v>
      </c>
      <c r="AN3" s="170">
        <v>2</v>
      </c>
      <c r="AO3" s="199">
        <v>3</v>
      </c>
      <c r="AQ3" s="186">
        <v>1</v>
      </c>
      <c r="AR3" s="170">
        <v>2</v>
      </c>
      <c r="AS3" s="170">
        <v>3</v>
      </c>
      <c r="AT3" s="170">
        <v>4</v>
      </c>
      <c r="AU3" s="170">
        <v>5</v>
      </c>
      <c r="AV3" s="170">
        <v>6</v>
      </c>
      <c r="AW3" s="170">
        <v>7</v>
      </c>
      <c r="AX3" s="170">
        <v>8</v>
      </c>
      <c r="AY3" s="170">
        <v>9</v>
      </c>
      <c r="AZ3" s="170">
        <v>10</v>
      </c>
      <c r="BA3" s="170">
        <v>11</v>
      </c>
      <c r="BB3" s="199">
        <v>12</v>
      </c>
      <c r="BC3" s="186">
        <v>1</v>
      </c>
      <c r="BD3" s="170">
        <v>2</v>
      </c>
      <c r="BE3" s="199">
        <v>3</v>
      </c>
      <c r="BG3" s="186">
        <v>1</v>
      </c>
      <c r="BH3" s="170">
        <v>2</v>
      </c>
      <c r="BI3" s="170">
        <v>3</v>
      </c>
      <c r="BJ3" s="170">
        <v>4</v>
      </c>
      <c r="BK3" s="170">
        <v>5</v>
      </c>
      <c r="BL3" s="170">
        <v>6</v>
      </c>
      <c r="BM3" s="170">
        <v>7</v>
      </c>
      <c r="BN3" s="170">
        <v>8</v>
      </c>
      <c r="BO3" s="170">
        <v>9</v>
      </c>
      <c r="BP3" s="170">
        <v>10</v>
      </c>
      <c r="BQ3" s="170">
        <v>11</v>
      </c>
      <c r="BR3" s="199">
        <v>12</v>
      </c>
      <c r="BS3" s="186">
        <v>1</v>
      </c>
      <c r="BT3" s="170">
        <v>2</v>
      </c>
      <c r="BU3" s="199">
        <v>3</v>
      </c>
      <c r="BW3" s="186">
        <v>1</v>
      </c>
      <c r="BX3" s="170">
        <v>2</v>
      </c>
      <c r="BY3" s="170">
        <v>3</v>
      </c>
      <c r="BZ3" s="170">
        <v>4</v>
      </c>
      <c r="CA3" s="170">
        <v>5</v>
      </c>
      <c r="CB3" s="170">
        <v>6</v>
      </c>
      <c r="CC3" s="170">
        <v>7</v>
      </c>
      <c r="CD3" s="170">
        <v>8</v>
      </c>
      <c r="CE3" s="170">
        <v>9</v>
      </c>
      <c r="CF3" s="170">
        <v>10</v>
      </c>
      <c r="CG3" s="170">
        <v>11</v>
      </c>
      <c r="CH3" s="199">
        <v>12</v>
      </c>
      <c r="CI3" s="186">
        <v>1</v>
      </c>
      <c r="CJ3" s="170">
        <v>2</v>
      </c>
      <c r="CK3" s="199">
        <v>3</v>
      </c>
      <c r="CM3" s="186">
        <v>1</v>
      </c>
      <c r="CN3" s="170">
        <v>2</v>
      </c>
      <c r="CO3" s="170">
        <v>3</v>
      </c>
      <c r="CP3" s="170">
        <v>4</v>
      </c>
      <c r="CQ3" s="170">
        <v>5</v>
      </c>
      <c r="CR3" s="170">
        <v>6</v>
      </c>
      <c r="CS3" s="170">
        <v>7</v>
      </c>
      <c r="CT3" s="170">
        <v>8</v>
      </c>
      <c r="CU3" s="170">
        <v>9</v>
      </c>
      <c r="CV3" s="170">
        <v>10</v>
      </c>
      <c r="CW3" s="170">
        <v>11</v>
      </c>
      <c r="CX3" s="199">
        <v>12</v>
      </c>
      <c r="CY3" s="186">
        <v>1</v>
      </c>
      <c r="CZ3" s="170">
        <v>2</v>
      </c>
      <c r="DA3" s="199">
        <v>3</v>
      </c>
    </row>
    <row r="4" spans="1:105" ht="19.5" customHeight="1">
      <c r="A4" s="331"/>
      <c r="B4" s="333"/>
      <c r="C4" s="334"/>
      <c r="D4" s="336"/>
      <c r="E4" s="200">
        <f t="shared" ref="E4:Y4" si="0">COUNTA(E5:E111)</f>
        <v>51</v>
      </c>
      <c r="F4" s="201">
        <f t="shared" si="0"/>
        <v>8</v>
      </c>
      <c r="G4" s="201">
        <f t="shared" si="0"/>
        <v>9</v>
      </c>
      <c r="H4" s="201">
        <f t="shared" si="0"/>
        <v>21</v>
      </c>
      <c r="I4" s="202">
        <f t="shared" si="0"/>
        <v>9</v>
      </c>
      <c r="J4" s="201">
        <f t="shared" si="0"/>
        <v>54</v>
      </c>
      <c r="K4" s="201">
        <f t="shared" si="0"/>
        <v>54</v>
      </c>
      <c r="L4" s="201">
        <f t="shared" si="0"/>
        <v>53</v>
      </c>
      <c r="M4" s="201">
        <f t="shared" si="0"/>
        <v>25</v>
      </c>
      <c r="N4" s="201">
        <f t="shared" si="0"/>
        <v>26</v>
      </c>
      <c r="O4" s="201">
        <f t="shared" si="0"/>
        <v>0</v>
      </c>
      <c r="P4" s="201">
        <f t="shared" si="0"/>
        <v>0</v>
      </c>
      <c r="Q4" s="201">
        <f t="shared" si="0"/>
        <v>10</v>
      </c>
      <c r="R4" s="201">
        <f t="shared" si="0"/>
        <v>0</v>
      </c>
      <c r="S4" s="201">
        <f t="shared" si="0"/>
        <v>29</v>
      </c>
      <c r="T4" s="201">
        <f t="shared" si="0"/>
        <v>9</v>
      </c>
      <c r="U4" s="202">
        <f t="shared" si="0"/>
        <v>12</v>
      </c>
      <c r="V4" s="201">
        <f t="shared" si="0"/>
        <v>44</v>
      </c>
      <c r="W4" s="201">
        <f t="shared" si="0"/>
        <v>30</v>
      </c>
      <c r="X4" s="202">
        <f t="shared" si="0"/>
        <v>15</v>
      </c>
      <c r="Y4" s="201">
        <f t="shared" si="0"/>
        <v>0</v>
      </c>
      <c r="AA4" s="200">
        <f t="shared" ref="AA4:AO4" si="1">SUM(AA5:AA111)</f>
        <v>59</v>
      </c>
      <c r="AB4" s="201">
        <f t="shared" si="1"/>
        <v>59</v>
      </c>
      <c r="AC4" s="201">
        <f t="shared" si="1"/>
        <v>58</v>
      </c>
      <c r="AD4" s="201">
        <f t="shared" si="1"/>
        <v>26</v>
      </c>
      <c r="AE4" s="201">
        <f t="shared" si="1"/>
        <v>30</v>
      </c>
      <c r="AF4" s="201">
        <f t="shared" si="1"/>
        <v>0</v>
      </c>
      <c r="AG4" s="201">
        <f t="shared" si="1"/>
        <v>0</v>
      </c>
      <c r="AH4" s="201">
        <f t="shared" si="1"/>
        <v>10</v>
      </c>
      <c r="AI4" s="201">
        <f t="shared" si="1"/>
        <v>0</v>
      </c>
      <c r="AJ4" s="201">
        <f t="shared" si="1"/>
        <v>34</v>
      </c>
      <c r="AK4" s="201">
        <f t="shared" si="1"/>
        <v>8</v>
      </c>
      <c r="AL4" s="201">
        <f t="shared" si="1"/>
        <v>12</v>
      </c>
      <c r="AM4" s="200">
        <f t="shared" si="1"/>
        <v>45</v>
      </c>
      <c r="AN4" s="200">
        <f t="shared" si="1"/>
        <v>30</v>
      </c>
      <c r="AO4" s="202">
        <f t="shared" si="1"/>
        <v>16</v>
      </c>
      <c r="AQ4" s="200">
        <f t="shared" ref="AQ4:BE4" si="2">SUM(AQ5:AQ111)</f>
        <v>10</v>
      </c>
      <c r="AR4" s="201">
        <f t="shared" si="2"/>
        <v>10</v>
      </c>
      <c r="AS4" s="201">
        <f t="shared" si="2"/>
        <v>10</v>
      </c>
      <c r="AT4" s="201">
        <f t="shared" si="2"/>
        <v>3</v>
      </c>
      <c r="AU4" s="201">
        <f t="shared" si="2"/>
        <v>6</v>
      </c>
      <c r="AV4" s="201">
        <f t="shared" si="2"/>
        <v>0</v>
      </c>
      <c r="AW4" s="201">
        <f t="shared" si="2"/>
        <v>0</v>
      </c>
      <c r="AX4" s="201">
        <f t="shared" si="2"/>
        <v>3</v>
      </c>
      <c r="AY4" s="201">
        <f t="shared" si="2"/>
        <v>0</v>
      </c>
      <c r="AZ4" s="201">
        <f t="shared" si="2"/>
        <v>6</v>
      </c>
      <c r="BA4" s="201">
        <f t="shared" si="2"/>
        <v>0</v>
      </c>
      <c r="BB4" s="202">
        <f t="shared" si="2"/>
        <v>3</v>
      </c>
      <c r="BC4" s="200">
        <f t="shared" si="2"/>
        <v>6</v>
      </c>
      <c r="BD4" s="200">
        <f t="shared" si="2"/>
        <v>6</v>
      </c>
      <c r="BE4" s="202">
        <f t="shared" si="2"/>
        <v>5</v>
      </c>
      <c r="BG4" s="200">
        <f t="shared" ref="BG4:BU4" si="3">SUM(BG5:BG111)</f>
        <v>12</v>
      </c>
      <c r="BH4" s="201">
        <f t="shared" si="3"/>
        <v>12</v>
      </c>
      <c r="BI4" s="201">
        <f t="shared" si="3"/>
        <v>12</v>
      </c>
      <c r="BJ4" s="201">
        <f t="shared" si="3"/>
        <v>2</v>
      </c>
      <c r="BK4" s="201">
        <f t="shared" si="3"/>
        <v>8</v>
      </c>
      <c r="BL4" s="201">
        <f t="shared" si="3"/>
        <v>0</v>
      </c>
      <c r="BM4" s="201">
        <f t="shared" si="3"/>
        <v>0</v>
      </c>
      <c r="BN4" s="201">
        <f t="shared" si="3"/>
        <v>2</v>
      </c>
      <c r="BO4" s="201">
        <f t="shared" si="3"/>
        <v>0</v>
      </c>
      <c r="BP4" s="201">
        <f t="shared" si="3"/>
        <v>9</v>
      </c>
      <c r="BQ4" s="201">
        <f t="shared" si="3"/>
        <v>2</v>
      </c>
      <c r="BR4" s="202">
        <f t="shared" si="3"/>
        <v>1</v>
      </c>
      <c r="BS4" s="200">
        <f t="shared" si="3"/>
        <v>6</v>
      </c>
      <c r="BT4" s="200">
        <f t="shared" si="3"/>
        <v>6</v>
      </c>
      <c r="BU4" s="202">
        <f t="shared" si="3"/>
        <v>0</v>
      </c>
      <c r="BW4" s="200">
        <f t="shared" ref="BW4:CK4" si="4">SUM(BW5:BW111)</f>
        <v>25</v>
      </c>
      <c r="BX4" s="201">
        <f t="shared" si="4"/>
        <v>25</v>
      </c>
      <c r="BY4" s="201">
        <f t="shared" si="4"/>
        <v>25</v>
      </c>
      <c r="BZ4" s="201">
        <f t="shared" si="4"/>
        <v>14</v>
      </c>
      <c r="CA4" s="201">
        <f t="shared" si="4"/>
        <v>20</v>
      </c>
      <c r="CB4" s="201">
        <f t="shared" si="4"/>
        <v>0</v>
      </c>
      <c r="CC4" s="201">
        <f t="shared" si="4"/>
        <v>0</v>
      </c>
      <c r="CD4" s="201">
        <f t="shared" si="4"/>
        <v>5</v>
      </c>
      <c r="CE4" s="201">
        <f t="shared" si="4"/>
        <v>0</v>
      </c>
      <c r="CF4" s="201">
        <f t="shared" si="4"/>
        <v>15</v>
      </c>
      <c r="CG4" s="201">
        <f t="shared" si="4"/>
        <v>4</v>
      </c>
      <c r="CH4" s="202">
        <f t="shared" si="4"/>
        <v>6</v>
      </c>
      <c r="CI4" s="200">
        <f t="shared" si="4"/>
        <v>17</v>
      </c>
      <c r="CJ4" s="200">
        <f t="shared" si="4"/>
        <v>8</v>
      </c>
      <c r="CK4" s="202">
        <f t="shared" si="4"/>
        <v>7</v>
      </c>
      <c r="CM4" s="200">
        <f t="shared" ref="CM4:DA4" si="5">SUM(CM5:CM111)</f>
        <v>10</v>
      </c>
      <c r="CN4" s="201">
        <f t="shared" si="5"/>
        <v>10</v>
      </c>
      <c r="CO4" s="201">
        <f t="shared" si="5"/>
        <v>10</v>
      </c>
      <c r="CP4" s="201">
        <f t="shared" si="5"/>
        <v>0</v>
      </c>
      <c r="CQ4" s="201">
        <f t="shared" si="5"/>
        <v>2</v>
      </c>
      <c r="CR4" s="201">
        <f t="shared" si="5"/>
        <v>0</v>
      </c>
      <c r="CS4" s="201">
        <f t="shared" si="5"/>
        <v>0</v>
      </c>
      <c r="CT4" s="201">
        <f t="shared" si="5"/>
        <v>0</v>
      </c>
      <c r="CU4" s="201">
        <f t="shared" si="5"/>
        <v>0</v>
      </c>
      <c r="CV4" s="201">
        <f t="shared" si="5"/>
        <v>4</v>
      </c>
      <c r="CW4" s="201">
        <f t="shared" si="5"/>
        <v>4</v>
      </c>
      <c r="CX4" s="202">
        <f t="shared" si="5"/>
        <v>2</v>
      </c>
      <c r="CY4" s="200">
        <f t="shared" si="5"/>
        <v>8</v>
      </c>
      <c r="CZ4" s="200">
        <f t="shared" si="5"/>
        <v>8</v>
      </c>
      <c r="DA4" s="202">
        <f t="shared" si="5"/>
        <v>0</v>
      </c>
    </row>
    <row r="5" spans="1:105">
      <c r="A5" s="203" t="s">
        <v>167</v>
      </c>
      <c r="B5" s="204" t="s">
        <v>168</v>
      </c>
      <c r="C5" s="204"/>
      <c r="D5" s="205"/>
      <c r="E5" s="206"/>
      <c r="F5" s="207"/>
      <c r="G5" s="207"/>
      <c r="H5" s="207"/>
      <c r="I5" s="205"/>
      <c r="J5" s="207"/>
      <c r="K5" s="207"/>
      <c r="L5" s="207"/>
      <c r="M5" s="207"/>
      <c r="N5" s="207"/>
      <c r="O5" s="207"/>
      <c r="P5" s="207"/>
      <c r="Q5" s="207"/>
      <c r="R5" s="207"/>
      <c r="S5" s="207"/>
      <c r="T5" s="207"/>
      <c r="U5" s="205"/>
      <c r="V5" s="206"/>
      <c r="W5" s="207"/>
      <c r="X5" s="205"/>
      <c r="Y5" s="207"/>
      <c r="AA5" s="208">
        <f t="shared" ref="AA5:AO21" si="6">$D5*$E5*J5</f>
        <v>0</v>
      </c>
      <c r="AB5" s="187">
        <f t="shared" si="6"/>
        <v>0</v>
      </c>
      <c r="AC5" s="187">
        <f t="shared" si="6"/>
        <v>0</v>
      </c>
      <c r="AD5" s="187">
        <f t="shared" si="6"/>
        <v>0</v>
      </c>
      <c r="AE5" s="187">
        <f t="shared" si="6"/>
        <v>0</v>
      </c>
      <c r="AF5" s="187">
        <f t="shared" si="6"/>
        <v>0</v>
      </c>
      <c r="AG5" s="187">
        <f t="shared" si="6"/>
        <v>0</v>
      </c>
      <c r="AH5" s="187">
        <f t="shared" si="6"/>
        <v>0</v>
      </c>
      <c r="AI5" s="187">
        <f t="shared" si="6"/>
        <v>0</v>
      </c>
      <c r="AJ5" s="187">
        <f t="shared" si="6"/>
        <v>0</v>
      </c>
      <c r="AK5" s="187">
        <f t="shared" si="6"/>
        <v>0</v>
      </c>
      <c r="AL5" s="187">
        <f t="shared" si="6"/>
        <v>0</v>
      </c>
      <c r="AM5" s="208">
        <f t="shared" si="6"/>
        <v>0</v>
      </c>
      <c r="AN5" s="187">
        <f t="shared" si="6"/>
        <v>0</v>
      </c>
      <c r="AO5" s="188">
        <f t="shared" si="6"/>
        <v>0</v>
      </c>
      <c r="AQ5" s="208">
        <f t="shared" ref="AQ5:BE21" si="7">$D5*$F5*J5</f>
        <v>0</v>
      </c>
      <c r="AR5" s="187">
        <f t="shared" si="7"/>
        <v>0</v>
      </c>
      <c r="AS5" s="187">
        <f t="shared" si="7"/>
        <v>0</v>
      </c>
      <c r="AT5" s="187">
        <f t="shared" si="7"/>
        <v>0</v>
      </c>
      <c r="AU5" s="187">
        <f t="shared" si="7"/>
        <v>0</v>
      </c>
      <c r="AV5" s="187">
        <f t="shared" si="7"/>
        <v>0</v>
      </c>
      <c r="AW5" s="187">
        <f t="shared" si="7"/>
        <v>0</v>
      </c>
      <c r="AX5" s="187">
        <f t="shared" si="7"/>
        <v>0</v>
      </c>
      <c r="AY5" s="187">
        <f t="shared" si="7"/>
        <v>0</v>
      </c>
      <c r="AZ5" s="187">
        <f t="shared" si="7"/>
        <v>0</v>
      </c>
      <c r="BA5" s="187">
        <f t="shared" si="7"/>
        <v>0</v>
      </c>
      <c r="BB5" s="188">
        <f t="shared" si="7"/>
        <v>0</v>
      </c>
      <c r="BC5" s="208">
        <f t="shared" si="7"/>
        <v>0</v>
      </c>
      <c r="BD5" s="208">
        <f t="shared" si="7"/>
        <v>0</v>
      </c>
      <c r="BE5" s="188">
        <f t="shared" si="7"/>
        <v>0</v>
      </c>
      <c r="BG5" s="208">
        <f t="shared" ref="BG5:BU21" si="8">$D5*$G5*J5</f>
        <v>0</v>
      </c>
      <c r="BH5" s="187">
        <f t="shared" si="8"/>
        <v>0</v>
      </c>
      <c r="BI5" s="187">
        <f t="shared" si="8"/>
        <v>0</v>
      </c>
      <c r="BJ5" s="187">
        <f t="shared" si="8"/>
        <v>0</v>
      </c>
      <c r="BK5" s="187">
        <f t="shared" si="8"/>
        <v>0</v>
      </c>
      <c r="BL5" s="187">
        <f t="shared" si="8"/>
        <v>0</v>
      </c>
      <c r="BM5" s="187">
        <f t="shared" si="8"/>
        <v>0</v>
      </c>
      <c r="BN5" s="187">
        <f t="shared" si="8"/>
        <v>0</v>
      </c>
      <c r="BO5" s="187">
        <f t="shared" si="8"/>
        <v>0</v>
      </c>
      <c r="BP5" s="187">
        <f t="shared" si="8"/>
        <v>0</v>
      </c>
      <c r="BQ5" s="187">
        <f t="shared" si="8"/>
        <v>0</v>
      </c>
      <c r="BR5" s="188">
        <f t="shared" si="8"/>
        <v>0</v>
      </c>
      <c r="BS5" s="208">
        <f t="shared" si="8"/>
        <v>0</v>
      </c>
      <c r="BT5" s="208">
        <f t="shared" si="8"/>
        <v>0</v>
      </c>
      <c r="BU5" s="188">
        <f t="shared" si="8"/>
        <v>0</v>
      </c>
      <c r="BW5" s="208">
        <f t="shared" ref="BW5:CK21" si="9">$D5*$H5*J5</f>
        <v>0</v>
      </c>
      <c r="BX5" s="187">
        <f t="shared" si="9"/>
        <v>0</v>
      </c>
      <c r="BY5" s="187">
        <f t="shared" si="9"/>
        <v>0</v>
      </c>
      <c r="BZ5" s="187">
        <f t="shared" si="9"/>
        <v>0</v>
      </c>
      <c r="CA5" s="187">
        <f t="shared" si="9"/>
        <v>0</v>
      </c>
      <c r="CB5" s="187">
        <f t="shared" si="9"/>
        <v>0</v>
      </c>
      <c r="CC5" s="187">
        <f t="shared" si="9"/>
        <v>0</v>
      </c>
      <c r="CD5" s="187">
        <f t="shared" si="9"/>
        <v>0</v>
      </c>
      <c r="CE5" s="187">
        <f t="shared" si="9"/>
        <v>0</v>
      </c>
      <c r="CF5" s="187">
        <f t="shared" si="9"/>
        <v>0</v>
      </c>
      <c r="CG5" s="187">
        <f t="shared" si="9"/>
        <v>0</v>
      </c>
      <c r="CH5" s="188">
        <f t="shared" si="9"/>
        <v>0</v>
      </c>
      <c r="CI5" s="208">
        <f t="shared" si="9"/>
        <v>0</v>
      </c>
      <c r="CJ5" s="208">
        <f t="shared" si="9"/>
        <v>0</v>
      </c>
      <c r="CK5" s="188">
        <f t="shared" si="9"/>
        <v>0</v>
      </c>
      <c r="CM5" s="208">
        <f t="shared" ref="CM5:DA21" si="10">$D5*$I5*J5</f>
        <v>0</v>
      </c>
      <c r="CN5" s="187">
        <f t="shared" si="10"/>
        <v>0</v>
      </c>
      <c r="CO5" s="187">
        <f t="shared" si="10"/>
        <v>0</v>
      </c>
      <c r="CP5" s="187">
        <f t="shared" si="10"/>
        <v>0</v>
      </c>
      <c r="CQ5" s="187">
        <f t="shared" si="10"/>
        <v>0</v>
      </c>
      <c r="CR5" s="187">
        <f t="shared" si="10"/>
        <v>0</v>
      </c>
      <c r="CS5" s="187">
        <f t="shared" si="10"/>
        <v>0</v>
      </c>
      <c r="CT5" s="187">
        <f t="shared" si="10"/>
        <v>0</v>
      </c>
      <c r="CU5" s="187">
        <f t="shared" si="10"/>
        <v>0</v>
      </c>
      <c r="CV5" s="187">
        <f t="shared" si="10"/>
        <v>0</v>
      </c>
      <c r="CW5" s="187">
        <f t="shared" si="10"/>
        <v>0</v>
      </c>
      <c r="CX5" s="188">
        <f t="shared" si="10"/>
        <v>0</v>
      </c>
      <c r="CY5" s="208">
        <f t="shared" si="10"/>
        <v>0</v>
      </c>
      <c r="CZ5" s="208">
        <f t="shared" si="10"/>
        <v>0</v>
      </c>
      <c r="DA5" s="188">
        <f t="shared" si="10"/>
        <v>0</v>
      </c>
    </row>
    <row r="6" spans="1:105">
      <c r="A6" s="209">
        <v>1.1000000000000001</v>
      </c>
      <c r="B6" s="210" t="s">
        <v>169</v>
      </c>
      <c r="C6" s="210" t="s">
        <v>131</v>
      </c>
      <c r="D6" s="188">
        <v>2</v>
      </c>
      <c r="E6" s="208">
        <v>1</v>
      </c>
      <c r="F6" s="187"/>
      <c r="G6" s="187"/>
      <c r="H6" s="187"/>
      <c r="I6" s="188"/>
      <c r="J6" s="187">
        <v>1</v>
      </c>
      <c r="K6" s="187">
        <v>1</v>
      </c>
      <c r="L6" s="187">
        <v>1</v>
      </c>
      <c r="M6" s="187">
        <v>1</v>
      </c>
      <c r="N6" s="187"/>
      <c r="O6" s="187"/>
      <c r="P6" s="187"/>
      <c r="Q6" s="187"/>
      <c r="R6" s="187"/>
      <c r="S6" s="187">
        <v>1</v>
      </c>
      <c r="T6" s="187"/>
      <c r="U6" s="188"/>
      <c r="V6" s="208">
        <v>1</v>
      </c>
      <c r="W6" s="187"/>
      <c r="X6" s="188">
        <v>1</v>
      </c>
      <c r="Y6" s="187"/>
      <c r="AA6" s="208">
        <f t="shared" si="6"/>
        <v>2</v>
      </c>
      <c r="AB6" s="187">
        <f t="shared" si="6"/>
        <v>2</v>
      </c>
      <c r="AC6" s="187">
        <f t="shared" si="6"/>
        <v>2</v>
      </c>
      <c r="AD6" s="187">
        <f t="shared" si="6"/>
        <v>2</v>
      </c>
      <c r="AE6" s="187">
        <f t="shared" si="6"/>
        <v>0</v>
      </c>
      <c r="AF6" s="187">
        <f t="shared" si="6"/>
        <v>0</v>
      </c>
      <c r="AG6" s="187">
        <f t="shared" si="6"/>
        <v>0</v>
      </c>
      <c r="AH6" s="187">
        <f t="shared" si="6"/>
        <v>0</v>
      </c>
      <c r="AI6" s="187">
        <f t="shared" si="6"/>
        <v>0</v>
      </c>
      <c r="AJ6" s="187">
        <f t="shared" si="6"/>
        <v>2</v>
      </c>
      <c r="AK6" s="187">
        <f t="shared" si="6"/>
        <v>0</v>
      </c>
      <c r="AL6" s="187">
        <f t="shared" si="6"/>
        <v>0</v>
      </c>
      <c r="AM6" s="208">
        <f t="shared" si="6"/>
        <v>2</v>
      </c>
      <c r="AN6" s="187">
        <f t="shared" si="6"/>
        <v>0</v>
      </c>
      <c r="AO6" s="188">
        <f t="shared" si="6"/>
        <v>2</v>
      </c>
      <c r="AQ6" s="208">
        <f t="shared" si="7"/>
        <v>0</v>
      </c>
      <c r="AR6" s="187">
        <f t="shared" si="7"/>
        <v>0</v>
      </c>
      <c r="AS6" s="187">
        <f t="shared" si="7"/>
        <v>0</v>
      </c>
      <c r="AT6" s="187">
        <f t="shared" si="7"/>
        <v>0</v>
      </c>
      <c r="AU6" s="187">
        <f t="shared" si="7"/>
        <v>0</v>
      </c>
      <c r="AV6" s="187">
        <f t="shared" si="7"/>
        <v>0</v>
      </c>
      <c r="AW6" s="187">
        <f t="shared" si="7"/>
        <v>0</v>
      </c>
      <c r="AX6" s="187">
        <f t="shared" si="7"/>
        <v>0</v>
      </c>
      <c r="AY6" s="187">
        <f t="shared" si="7"/>
        <v>0</v>
      </c>
      <c r="AZ6" s="187">
        <f t="shared" si="7"/>
        <v>0</v>
      </c>
      <c r="BA6" s="187">
        <f t="shared" si="7"/>
        <v>0</v>
      </c>
      <c r="BB6" s="188">
        <f t="shared" si="7"/>
        <v>0</v>
      </c>
      <c r="BC6" s="208">
        <f t="shared" si="7"/>
        <v>0</v>
      </c>
      <c r="BD6" s="208">
        <f t="shared" si="7"/>
        <v>0</v>
      </c>
      <c r="BE6" s="188">
        <f t="shared" si="7"/>
        <v>0</v>
      </c>
      <c r="BG6" s="208">
        <f t="shared" si="8"/>
        <v>0</v>
      </c>
      <c r="BH6" s="187">
        <f t="shared" si="8"/>
        <v>0</v>
      </c>
      <c r="BI6" s="187">
        <f t="shared" si="8"/>
        <v>0</v>
      </c>
      <c r="BJ6" s="187">
        <f t="shared" si="8"/>
        <v>0</v>
      </c>
      <c r="BK6" s="187">
        <f t="shared" si="8"/>
        <v>0</v>
      </c>
      <c r="BL6" s="187">
        <f t="shared" si="8"/>
        <v>0</v>
      </c>
      <c r="BM6" s="187">
        <f t="shared" si="8"/>
        <v>0</v>
      </c>
      <c r="BN6" s="187">
        <f t="shared" si="8"/>
        <v>0</v>
      </c>
      <c r="BO6" s="187">
        <f t="shared" si="8"/>
        <v>0</v>
      </c>
      <c r="BP6" s="187">
        <f t="shared" si="8"/>
        <v>0</v>
      </c>
      <c r="BQ6" s="187">
        <f t="shared" si="8"/>
        <v>0</v>
      </c>
      <c r="BR6" s="188">
        <f t="shared" si="8"/>
        <v>0</v>
      </c>
      <c r="BS6" s="208">
        <f t="shared" si="8"/>
        <v>0</v>
      </c>
      <c r="BT6" s="208">
        <f t="shared" si="8"/>
        <v>0</v>
      </c>
      <c r="BU6" s="188">
        <f t="shared" si="8"/>
        <v>0</v>
      </c>
      <c r="BW6" s="208">
        <f t="shared" si="9"/>
        <v>0</v>
      </c>
      <c r="BX6" s="187">
        <f t="shared" si="9"/>
        <v>0</v>
      </c>
      <c r="BY6" s="187">
        <f t="shared" si="9"/>
        <v>0</v>
      </c>
      <c r="BZ6" s="187">
        <f t="shared" si="9"/>
        <v>0</v>
      </c>
      <c r="CA6" s="187">
        <f t="shared" si="9"/>
        <v>0</v>
      </c>
      <c r="CB6" s="187">
        <f t="shared" si="9"/>
        <v>0</v>
      </c>
      <c r="CC6" s="187">
        <f t="shared" si="9"/>
        <v>0</v>
      </c>
      <c r="CD6" s="187">
        <f t="shared" si="9"/>
        <v>0</v>
      </c>
      <c r="CE6" s="187">
        <f t="shared" si="9"/>
        <v>0</v>
      </c>
      <c r="CF6" s="187">
        <f t="shared" si="9"/>
        <v>0</v>
      </c>
      <c r="CG6" s="187">
        <f t="shared" si="9"/>
        <v>0</v>
      </c>
      <c r="CH6" s="188">
        <f t="shared" si="9"/>
        <v>0</v>
      </c>
      <c r="CI6" s="208">
        <f t="shared" si="9"/>
        <v>0</v>
      </c>
      <c r="CJ6" s="208">
        <f t="shared" si="9"/>
        <v>0</v>
      </c>
      <c r="CK6" s="188">
        <f t="shared" si="9"/>
        <v>0</v>
      </c>
      <c r="CM6" s="208">
        <f t="shared" si="10"/>
        <v>0</v>
      </c>
      <c r="CN6" s="187">
        <f t="shared" si="10"/>
        <v>0</v>
      </c>
      <c r="CO6" s="187">
        <f t="shared" si="10"/>
        <v>0</v>
      </c>
      <c r="CP6" s="187">
        <f t="shared" si="10"/>
        <v>0</v>
      </c>
      <c r="CQ6" s="187">
        <f t="shared" si="10"/>
        <v>0</v>
      </c>
      <c r="CR6" s="187">
        <f t="shared" si="10"/>
        <v>0</v>
      </c>
      <c r="CS6" s="187">
        <f t="shared" si="10"/>
        <v>0</v>
      </c>
      <c r="CT6" s="187">
        <f t="shared" si="10"/>
        <v>0</v>
      </c>
      <c r="CU6" s="187">
        <f t="shared" si="10"/>
        <v>0</v>
      </c>
      <c r="CV6" s="187">
        <f t="shared" si="10"/>
        <v>0</v>
      </c>
      <c r="CW6" s="187">
        <f t="shared" si="10"/>
        <v>0</v>
      </c>
      <c r="CX6" s="188">
        <f t="shared" si="10"/>
        <v>0</v>
      </c>
      <c r="CY6" s="208">
        <f t="shared" si="10"/>
        <v>0</v>
      </c>
      <c r="CZ6" s="208">
        <f t="shared" si="10"/>
        <v>0</v>
      </c>
      <c r="DA6" s="188">
        <f t="shared" si="10"/>
        <v>0</v>
      </c>
    </row>
    <row r="7" spans="1:105">
      <c r="A7" s="209">
        <v>1.2</v>
      </c>
      <c r="B7" s="210" t="s">
        <v>170</v>
      </c>
      <c r="C7" s="210" t="s">
        <v>131</v>
      </c>
      <c r="D7" s="188">
        <v>1</v>
      </c>
      <c r="E7" s="208">
        <v>1</v>
      </c>
      <c r="F7" s="187"/>
      <c r="G7" s="187"/>
      <c r="H7" s="187"/>
      <c r="I7" s="188"/>
      <c r="J7" s="187">
        <v>1</v>
      </c>
      <c r="K7" s="187">
        <v>1</v>
      </c>
      <c r="L7" s="187">
        <v>1</v>
      </c>
      <c r="M7" s="187">
        <v>1</v>
      </c>
      <c r="N7" s="187"/>
      <c r="O7" s="187"/>
      <c r="P7" s="187"/>
      <c r="Q7" s="187"/>
      <c r="R7" s="187"/>
      <c r="S7" s="187">
        <v>1</v>
      </c>
      <c r="T7" s="187"/>
      <c r="U7" s="188"/>
      <c r="V7" s="208">
        <v>1</v>
      </c>
      <c r="W7" s="187"/>
      <c r="X7" s="188">
        <v>1</v>
      </c>
      <c r="Y7" s="187"/>
      <c r="AA7" s="208">
        <f t="shared" si="6"/>
        <v>1</v>
      </c>
      <c r="AB7" s="187">
        <f t="shared" si="6"/>
        <v>1</v>
      </c>
      <c r="AC7" s="187">
        <f t="shared" si="6"/>
        <v>1</v>
      </c>
      <c r="AD7" s="187">
        <f t="shared" si="6"/>
        <v>1</v>
      </c>
      <c r="AE7" s="187">
        <f t="shared" si="6"/>
        <v>0</v>
      </c>
      <c r="AF7" s="187">
        <f t="shared" si="6"/>
        <v>0</v>
      </c>
      <c r="AG7" s="187">
        <f t="shared" si="6"/>
        <v>0</v>
      </c>
      <c r="AH7" s="187">
        <f t="shared" si="6"/>
        <v>0</v>
      </c>
      <c r="AI7" s="187">
        <f t="shared" si="6"/>
        <v>0</v>
      </c>
      <c r="AJ7" s="187">
        <f t="shared" si="6"/>
        <v>1</v>
      </c>
      <c r="AK7" s="187">
        <f t="shared" si="6"/>
        <v>0</v>
      </c>
      <c r="AL7" s="187">
        <f t="shared" si="6"/>
        <v>0</v>
      </c>
      <c r="AM7" s="208">
        <f t="shared" si="6"/>
        <v>1</v>
      </c>
      <c r="AN7" s="187">
        <f t="shared" si="6"/>
        <v>0</v>
      </c>
      <c r="AO7" s="188">
        <f t="shared" si="6"/>
        <v>1</v>
      </c>
      <c r="AQ7" s="208">
        <f t="shared" si="7"/>
        <v>0</v>
      </c>
      <c r="AR7" s="187">
        <f t="shared" si="7"/>
        <v>0</v>
      </c>
      <c r="AS7" s="187">
        <f t="shared" si="7"/>
        <v>0</v>
      </c>
      <c r="AT7" s="187">
        <f t="shared" si="7"/>
        <v>0</v>
      </c>
      <c r="AU7" s="187">
        <f t="shared" si="7"/>
        <v>0</v>
      </c>
      <c r="AV7" s="187">
        <f t="shared" si="7"/>
        <v>0</v>
      </c>
      <c r="AW7" s="187">
        <f t="shared" si="7"/>
        <v>0</v>
      </c>
      <c r="AX7" s="187">
        <f t="shared" si="7"/>
        <v>0</v>
      </c>
      <c r="AY7" s="187">
        <f t="shared" si="7"/>
        <v>0</v>
      </c>
      <c r="AZ7" s="187">
        <f t="shared" si="7"/>
        <v>0</v>
      </c>
      <c r="BA7" s="187">
        <f t="shared" si="7"/>
        <v>0</v>
      </c>
      <c r="BB7" s="188">
        <f t="shared" si="7"/>
        <v>0</v>
      </c>
      <c r="BC7" s="208">
        <f t="shared" si="7"/>
        <v>0</v>
      </c>
      <c r="BD7" s="208">
        <f t="shared" si="7"/>
        <v>0</v>
      </c>
      <c r="BE7" s="188">
        <f t="shared" si="7"/>
        <v>0</v>
      </c>
      <c r="BG7" s="208">
        <f t="shared" si="8"/>
        <v>0</v>
      </c>
      <c r="BH7" s="187">
        <f t="shared" si="8"/>
        <v>0</v>
      </c>
      <c r="BI7" s="187">
        <f t="shared" si="8"/>
        <v>0</v>
      </c>
      <c r="BJ7" s="187">
        <f t="shared" si="8"/>
        <v>0</v>
      </c>
      <c r="BK7" s="187">
        <f t="shared" si="8"/>
        <v>0</v>
      </c>
      <c r="BL7" s="187">
        <f t="shared" si="8"/>
        <v>0</v>
      </c>
      <c r="BM7" s="187">
        <f t="shared" si="8"/>
        <v>0</v>
      </c>
      <c r="BN7" s="187">
        <f t="shared" si="8"/>
        <v>0</v>
      </c>
      <c r="BO7" s="187">
        <f t="shared" si="8"/>
        <v>0</v>
      </c>
      <c r="BP7" s="187">
        <f t="shared" si="8"/>
        <v>0</v>
      </c>
      <c r="BQ7" s="187">
        <f t="shared" si="8"/>
        <v>0</v>
      </c>
      <c r="BR7" s="188">
        <f t="shared" si="8"/>
        <v>0</v>
      </c>
      <c r="BS7" s="208">
        <f t="shared" si="8"/>
        <v>0</v>
      </c>
      <c r="BT7" s="208">
        <f t="shared" si="8"/>
        <v>0</v>
      </c>
      <c r="BU7" s="188">
        <f t="shared" si="8"/>
        <v>0</v>
      </c>
      <c r="BW7" s="208">
        <f t="shared" si="9"/>
        <v>0</v>
      </c>
      <c r="BX7" s="187">
        <f t="shared" si="9"/>
        <v>0</v>
      </c>
      <c r="BY7" s="187">
        <f t="shared" si="9"/>
        <v>0</v>
      </c>
      <c r="BZ7" s="187">
        <f t="shared" si="9"/>
        <v>0</v>
      </c>
      <c r="CA7" s="187">
        <f t="shared" si="9"/>
        <v>0</v>
      </c>
      <c r="CB7" s="187">
        <f t="shared" si="9"/>
        <v>0</v>
      </c>
      <c r="CC7" s="187">
        <f t="shared" si="9"/>
        <v>0</v>
      </c>
      <c r="CD7" s="187">
        <f t="shared" si="9"/>
        <v>0</v>
      </c>
      <c r="CE7" s="187">
        <f t="shared" si="9"/>
        <v>0</v>
      </c>
      <c r="CF7" s="187">
        <f t="shared" si="9"/>
        <v>0</v>
      </c>
      <c r="CG7" s="187">
        <f t="shared" si="9"/>
        <v>0</v>
      </c>
      <c r="CH7" s="188">
        <f t="shared" si="9"/>
        <v>0</v>
      </c>
      <c r="CI7" s="208">
        <f t="shared" si="9"/>
        <v>0</v>
      </c>
      <c r="CJ7" s="208">
        <f t="shared" si="9"/>
        <v>0</v>
      </c>
      <c r="CK7" s="188">
        <f t="shared" si="9"/>
        <v>0</v>
      </c>
      <c r="CM7" s="208">
        <f t="shared" si="10"/>
        <v>0</v>
      </c>
      <c r="CN7" s="187">
        <f t="shared" si="10"/>
        <v>0</v>
      </c>
      <c r="CO7" s="187">
        <f t="shared" si="10"/>
        <v>0</v>
      </c>
      <c r="CP7" s="187">
        <f t="shared" si="10"/>
        <v>0</v>
      </c>
      <c r="CQ7" s="187">
        <f t="shared" si="10"/>
        <v>0</v>
      </c>
      <c r="CR7" s="187">
        <f t="shared" si="10"/>
        <v>0</v>
      </c>
      <c r="CS7" s="187">
        <f t="shared" si="10"/>
        <v>0</v>
      </c>
      <c r="CT7" s="187">
        <f t="shared" si="10"/>
        <v>0</v>
      </c>
      <c r="CU7" s="187">
        <f t="shared" si="10"/>
        <v>0</v>
      </c>
      <c r="CV7" s="187">
        <f t="shared" si="10"/>
        <v>0</v>
      </c>
      <c r="CW7" s="187">
        <f t="shared" si="10"/>
        <v>0</v>
      </c>
      <c r="CX7" s="188">
        <f t="shared" si="10"/>
        <v>0</v>
      </c>
      <c r="CY7" s="208">
        <f t="shared" si="10"/>
        <v>0</v>
      </c>
      <c r="CZ7" s="208">
        <f t="shared" si="10"/>
        <v>0</v>
      </c>
      <c r="DA7" s="188">
        <f t="shared" si="10"/>
        <v>0</v>
      </c>
    </row>
    <row r="8" spans="1:105">
      <c r="A8" s="209">
        <v>1.3</v>
      </c>
      <c r="B8" s="210" t="s">
        <v>171</v>
      </c>
      <c r="C8" s="210" t="s">
        <v>131</v>
      </c>
      <c r="D8" s="188">
        <v>1</v>
      </c>
      <c r="E8" s="208">
        <v>1</v>
      </c>
      <c r="F8" s="187"/>
      <c r="G8" s="187"/>
      <c r="H8" s="187"/>
      <c r="I8" s="188"/>
      <c r="J8" s="187">
        <v>1</v>
      </c>
      <c r="K8" s="187">
        <v>1</v>
      </c>
      <c r="L8" s="187">
        <v>1</v>
      </c>
      <c r="M8" s="187">
        <v>1</v>
      </c>
      <c r="N8" s="187"/>
      <c r="O8" s="187"/>
      <c r="P8" s="187"/>
      <c r="Q8" s="187"/>
      <c r="R8" s="187"/>
      <c r="S8" s="187">
        <v>1</v>
      </c>
      <c r="T8" s="187"/>
      <c r="U8" s="188"/>
      <c r="V8" s="208">
        <v>1</v>
      </c>
      <c r="W8" s="187"/>
      <c r="X8" s="188">
        <v>1</v>
      </c>
      <c r="Y8" s="187"/>
      <c r="AA8" s="208">
        <f t="shared" si="6"/>
        <v>1</v>
      </c>
      <c r="AB8" s="187">
        <f t="shared" si="6"/>
        <v>1</v>
      </c>
      <c r="AC8" s="187">
        <f t="shared" si="6"/>
        <v>1</v>
      </c>
      <c r="AD8" s="187">
        <f t="shared" si="6"/>
        <v>1</v>
      </c>
      <c r="AE8" s="187">
        <f t="shared" si="6"/>
        <v>0</v>
      </c>
      <c r="AF8" s="187">
        <f t="shared" si="6"/>
        <v>0</v>
      </c>
      <c r="AG8" s="187">
        <f t="shared" si="6"/>
        <v>0</v>
      </c>
      <c r="AH8" s="187">
        <f t="shared" si="6"/>
        <v>0</v>
      </c>
      <c r="AI8" s="187">
        <f t="shared" si="6"/>
        <v>0</v>
      </c>
      <c r="AJ8" s="187">
        <f t="shared" si="6"/>
        <v>1</v>
      </c>
      <c r="AK8" s="187">
        <f t="shared" si="6"/>
        <v>0</v>
      </c>
      <c r="AL8" s="187">
        <f t="shared" si="6"/>
        <v>0</v>
      </c>
      <c r="AM8" s="208">
        <f t="shared" si="6"/>
        <v>1</v>
      </c>
      <c r="AN8" s="187">
        <f t="shared" si="6"/>
        <v>0</v>
      </c>
      <c r="AO8" s="188">
        <f t="shared" si="6"/>
        <v>1</v>
      </c>
      <c r="AQ8" s="208">
        <f t="shared" si="7"/>
        <v>0</v>
      </c>
      <c r="AR8" s="187">
        <f t="shared" si="7"/>
        <v>0</v>
      </c>
      <c r="AS8" s="187">
        <f t="shared" si="7"/>
        <v>0</v>
      </c>
      <c r="AT8" s="187">
        <f t="shared" si="7"/>
        <v>0</v>
      </c>
      <c r="AU8" s="187">
        <f t="shared" si="7"/>
        <v>0</v>
      </c>
      <c r="AV8" s="187">
        <f t="shared" si="7"/>
        <v>0</v>
      </c>
      <c r="AW8" s="187">
        <f t="shared" si="7"/>
        <v>0</v>
      </c>
      <c r="AX8" s="187">
        <f t="shared" si="7"/>
        <v>0</v>
      </c>
      <c r="AY8" s="187">
        <f t="shared" si="7"/>
        <v>0</v>
      </c>
      <c r="AZ8" s="187">
        <f t="shared" si="7"/>
        <v>0</v>
      </c>
      <c r="BA8" s="187">
        <f t="shared" si="7"/>
        <v>0</v>
      </c>
      <c r="BB8" s="188">
        <f t="shared" si="7"/>
        <v>0</v>
      </c>
      <c r="BC8" s="208">
        <f t="shared" si="7"/>
        <v>0</v>
      </c>
      <c r="BD8" s="208">
        <f t="shared" si="7"/>
        <v>0</v>
      </c>
      <c r="BE8" s="188">
        <f t="shared" si="7"/>
        <v>0</v>
      </c>
      <c r="BG8" s="208">
        <f t="shared" si="8"/>
        <v>0</v>
      </c>
      <c r="BH8" s="187">
        <f t="shared" si="8"/>
        <v>0</v>
      </c>
      <c r="BI8" s="187">
        <f t="shared" si="8"/>
        <v>0</v>
      </c>
      <c r="BJ8" s="187">
        <f t="shared" si="8"/>
        <v>0</v>
      </c>
      <c r="BK8" s="187">
        <f t="shared" si="8"/>
        <v>0</v>
      </c>
      <c r="BL8" s="187">
        <f t="shared" si="8"/>
        <v>0</v>
      </c>
      <c r="BM8" s="187">
        <f t="shared" si="8"/>
        <v>0</v>
      </c>
      <c r="BN8" s="187">
        <f t="shared" si="8"/>
        <v>0</v>
      </c>
      <c r="BO8" s="187">
        <f t="shared" si="8"/>
        <v>0</v>
      </c>
      <c r="BP8" s="187">
        <f t="shared" si="8"/>
        <v>0</v>
      </c>
      <c r="BQ8" s="187">
        <f t="shared" si="8"/>
        <v>0</v>
      </c>
      <c r="BR8" s="188">
        <f t="shared" si="8"/>
        <v>0</v>
      </c>
      <c r="BS8" s="208">
        <f t="shared" si="8"/>
        <v>0</v>
      </c>
      <c r="BT8" s="208">
        <f t="shared" si="8"/>
        <v>0</v>
      </c>
      <c r="BU8" s="188">
        <f t="shared" si="8"/>
        <v>0</v>
      </c>
      <c r="BW8" s="208">
        <f t="shared" si="9"/>
        <v>0</v>
      </c>
      <c r="BX8" s="187">
        <f t="shared" si="9"/>
        <v>0</v>
      </c>
      <c r="BY8" s="187">
        <f t="shared" si="9"/>
        <v>0</v>
      </c>
      <c r="BZ8" s="187">
        <f t="shared" si="9"/>
        <v>0</v>
      </c>
      <c r="CA8" s="187">
        <f t="shared" si="9"/>
        <v>0</v>
      </c>
      <c r="CB8" s="187">
        <f t="shared" si="9"/>
        <v>0</v>
      </c>
      <c r="CC8" s="187">
        <f t="shared" si="9"/>
        <v>0</v>
      </c>
      <c r="CD8" s="187">
        <f t="shared" si="9"/>
        <v>0</v>
      </c>
      <c r="CE8" s="187">
        <f t="shared" si="9"/>
        <v>0</v>
      </c>
      <c r="CF8" s="187">
        <f t="shared" si="9"/>
        <v>0</v>
      </c>
      <c r="CG8" s="187">
        <f t="shared" si="9"/>
        <v>0</v>
      </c>
      <c r="CH8" s="188">
        <f t="shared" si="9"/>
        <v>0</v>
      </c>
      <c r="CI8" s="208">
        <f t="shared" si="9"/>
        <v>0</v>
      </c>
      <c r="CJ8" s="208">
        <f t="shared" si="9"/>
        <v>0</v>
      </c>
      <c r="CK8" s="188">
        <f t="shared" si="9"/>
        <v>0</v>
      </c>
      <c r="CM8" s="208">
        <f t="shared" si="10"/>
        <v>0</v>
      </c>
      <c r="CN8" s="187">
        <f t="shared" si="10"/>
        <v>0</v>
      </c>
      <c r="CO8" s="187">
        <f t="shared" si="10"/>
        <v>0</v>
      </c>
      <c r="CP8" s="187">
        <f t="shared" si="10"/>
        <v>0</v>
      </c>
      <c r="CQ8" s="187">
        <f t="shared" si="10"/>
        <v>0</v>
      </c>
      <c r="CR8" s="187">
        <f t="shared" si="10"/>
        <v>0</v>
      </c>
      <c r="CS8" s="187">
        <f t="shared" si="10"/>
        <v>0</v>
      </c>
      <c r="CT8" s="187">
        <f t="shared" si="10"/>
        <v>0</v>
      </c>
      <c r="CU8" s="187">
        <f t="shared" si="10"/>
        <v>0</v>
      </c>
      <c r="CV8" s="187">
        <f t="shared" si="10"/>
        <v>0</v>
      </c>
      <c r="CW8" s="187">
        <f t="shared" si="10"/>
        <v>0</v>
      </c>
      <c r="CX8" s="188">
        <f t="shared" si="10"/>
        <v>0</v>
      </c>
      <c r="CY8" s="208">
        <f t="shared" si="10"/>
        <v>0</v>
      </c>
      <c r="CZ8" s="208">
        <f t="shared" si="10"/>
        <v>0</v>
      </c>
      <c r="DA8" s="188">
        <f t="shared" si="10"/>
        <v>0</v>
      </c>
    </row>
    <row r="9" spans="1:105">
      <c r="A9" s="209">
        <v>1.4</v>
      </c>
      <c r="B9" s="210" t="s">
        <v>172</v>
      </c>
      <c r="C9" s="210" t="s">
        <v>131</v>
      </c>
      <c r="D9" s="188">
        <v>1</v>
      </c>
      <c r="E9" s="208">
        <v>1</v>
      </c>
      <c r="F9" s="187"/>
      <c r="G9" s="187"/>
      <c r="H9" s="187"/>
      <c r="I9" s="188"/>
      <c r="J9" s="187">
        <v>1</v>
      </c>
      <c r="K9" s="187">
        <v>1</v>
      </c>
      <c r="L9" s="187"/>
      <c r="M9" s="187"/>
      <c r="N9" s="187"/>
      <c r="O9" s="187"/>
      <c r="P9" s="187"/>
      <c r="Q9" s="187"/>
      <c r="R9" s="187"/>
      <c r="S9" s="187"/>
      <c r="T9" s="187"/>
      <c r="U9" s="188"/>
      <c r="V9" s="208">
        <v>1</v>
      </c>
      <c r="W9" s="187"/>
      <c r="X9" s="188"/>
      <c r="Y9" s="187"/>
      <c r="AA9" s="208">
        <f t="shared" si="6"/>
        <v>1</v>
      </c>
      <c r="AB9" s="187">
        <f t="shared" si="6"/>
        <v>1</v>
      </c>
      <c r="AC9" s="187">
        <f t="shared" si="6"/>
        <v>0</v>
      </c>
      <c r="AD9" s="187">
        <f t="shared" si="6"/>
        <v>0</v>
      </c>
      <c r="AE9" s="187">
        <f t="shared" si="6"/>
        <v>0</v>
      </c>
      <c r="AF9" s="187">
        <f t="shared" si="6"/>
        <v>0</v>
      </c>
      <c r="AG9" s="187">
        <f t="shared" si="6"/>
        <v>0</v>
      </c>
      <c r="AH9" s="187">
        <f t="shared" si="6"/>
        <v>0</v>
      </c>
      <c r="AI9" s="187">
        <f t="shared" si="6"/>
        <v>0</v>
      </c>
      <c r="AJ9" s="187">
        <f t="shared" si="6"/>
        <v>0</v>
      </c>
      <c r="AK9" s="187">
        <f t="shared" si="6"/>
        <v>0</v>
      </c>
      <c r="AL9" s="187">
        <f t="shared" si="6"/>
        <v>0</v>
      </c>
      <c r="AM9" s="208">
        <f t="shared" si="6"/>
        <v>1</v>
      </c>
      <c r="AN9" s="187">
        <f t="shared" si="6"/>
        <v>0</v>
      </c>
      <c r="AO9" s="188">
        <f t="shared" si="6"/>
        <v>0</v>
      </c>
      <c r="AQ9" s="208">
        <f t="shared" si="7"/>
        <v>0</v>
      </c>
      <c r="AR9" s="187">
        <f t="shared" si="7"/>
        <v>0</v>
      </c>
      <c r="AS9" s="187">
        <f t="shared" si="7"/>
        <v>0</v>
      </c>
      <c r="AT9" s="187">
        <f t="shared" si="7"/>
        <v>0</v>
      </c>
      <c r="AU9" s="187">
        <f t="shared" si="7"/>
        <v>0</v>
      </c>
      <c r="AV9" s="187">
        <f t="shared" si="7"/>
        <v>0</v>
      </c>
      <c r="AW9" s="187">
        <f t="shared" si="7"/>
        <v>0</v>
      </c>
      <c r="AX9" s="187">
        <f t="shared" si="7"/>
        <v>0</v>
      </c>
      <c r="AY9" s="187">
        <f t="shared" si="7"/>
        <v>0</v>
      </c>
      <c r="AZ9" s="187">
        <f t="shared" si="7"/>
        <v>0</v>
      </c>
      <c r="BA9" s="187">
        <f t="shared" si="7"/>
        <v>0</v>
      </c>
      <c r="BB9" s="188">
        <f t="shared" si="7"/>
        <v>0</v>
      </c>
      <c r="BC9" s="208">
        <f t="shared" si="7"/>
        <v>0</v>
      </c>
      <c r="BD9" s="208">
        <f t="shared" si="7"/>
        <v>0</v>
      </c>
      <c r="BE9" s="188">
        <f t="shared" si="7"/>
        <v>0</v>
      </c>
      <c r="BG9" s="208">
        <f t="shared" si="8"/>
        <v>0</v>
      </c>
      <c r="BH9" s="187">
        <f t="shared" si="8"/>
        <v>0</v>
      </c>
      <c r="BI9" s="187">
        <f t="shared" si="8"/>
        <v>0</v>
      </c>
      <c r="BJ9" s="187">
        <f t="shared" si="8"/>
        <v>0</v>
      </c>
      <c r="BK9" s="187">
        <f t="shared" si="8"/>
        <v>0</v>
      </c>
      <c r="BL9" s="187">
        <f t="shared" si="8"/>
        <v>0</v>
      </c>
      <c r="BM9" s="187">
        <f t="shared" si="8"/>
        <v>0</v>
      </c>
      <c r="BN9" s="187">
        <f t="shared" si="8"/>
        <v>0</v>
      </c>
      <c r="BO9" s="187">
        <f t="shared" si="8"/>
        <v>0</v>
      </c>
      <c r="BP9" s="187">
        <f t="shared" si="8"/>
        <v>0</v>
      </c>
      <c r="BQ9" s="187">
        <f t="shared" si="8"/>
        <v>0</v>
      </c>
      <c r="BR9" s="188">
        <f t="shared" si="8"/>
        <v>0</v>
      </c>
      <c r="BS9" s="208">
        <f t="shared" si="8"/>
        <v>0</v>
      </c>
      <c r="BT9" s="208">
        <f t="shared" si="8"/>
        <v>0</v>
      </c>
      <c r="BU9" s="188">
        <f t="shared" si="8"/>
        <v>0</v>
      </c>
      <c r="BW9" s="208">
        <f t="shared" si="9"/>
        <v>0</v>
      </c>
      <c r="BX9" s="187">
        <f t="shared" si="9"/>
        <v>0</v>
      </c>
      <c r="BY9" s="187">
        <f t="shared" si="9"/>
        <v>0</v>
      </c>
      <c r="BZ9" s="187">
        <f t="shared" si="9"/>
        <v>0</v>
      </c>
      <c r="CA9" s="187">
        <f t="shared" si="9"/>
        <v>0</v>
      </c>
      <c r="CB9" s="187">
        <f t="shared" si="9"/>
        <v>0</v>
      </c>
      <c r="CC9" s="187">
        <f t="shared" si="9"/>
        <v>0</v>
      </c>
      <c r="CD9" s="187">
        <f t="shared" si="9"/>
        <v>0</v>
      </c>
      <c r="CE9" s="187">
        <f t="shared" si="9"/>
        <v>0</v>
      </c>
      <c r="CF9" s="187">
        <f t="shared" si="9"/>
        <v>0</v>
      </c>
      <c r="CG9" s="187">
        <f t="shared" si="9"/>
        <v>0</v>
      </c>
      <c r="CH9" s="188">
        <f t="shared" si="9"/>
        <v>0</v>
      </c>
      <c r="CI9" s="208">
        <f t="shared" si="9"/>
        <v>0</v>
      </c>
      <c r="CJ9" s="208">
        <f t="shared" si="9"/>
        <v>0</v>
      </c>
      <c r="CK9" s="188">
        <f t="shared" si="9"/>
        <v>0</v>
      </c>
      <c r="CM9" s="208">
        <f t="shared" si="10"/>
        <v>0</v>
      </c>
      <c r="CN9" s="187">
        <f t="shared" si="10"/>
        <v>0</v>
      </c>
      <c r="CO9" s="187">
        <f t="shared" si="10"/>
        <v>0</v>
      </c>
      <c r="CP9" s="187">
        <f t="shared" si="10"/>
        <v>0</v>
      </c>
      <c r="CQ9" s="187">
        <f t="shared" si="10"/>
        <v>0</v>
      </c>
      <c r="CR9" s="187">
        <f t="shared" si="10"/>
        <v>0</v>
      </c>
      <c r="CS9" s="187">
        <f t="shared" si="10"/>
        <v>0</v>
      </c>
      <c r="CT9" s="187">
        <f t="shared" si="10"/>
        <v>0</v>
      </c>
      <c r="CU9" s="187">
        <f t="shared" si="10"/>
        <v>0</v>
      </c>
      <c r="CV9" s="187">
        <f t="shared" si="10"/>
        <v>0</v>
      </c>
      <c r="CW9" s="187">
        <f t="shared" si="10"/>
        <v>0</v>
      </c>
      <c r="CX9" s="188">
        <f t="shared" si="10"/>
        <v>0</v>
      </c>
      <c r="CY9" s="208">
        <f t="shared" si="10"/>
        <v>0</v>
      </c>
      <c r="CZ9" s="208">
        <f t="shared" si="10"/>
        <v>0</v>
      </c>
      <c r="DA9" s="188">
        <f t="shared" si="10"/>
        <v>0</v>
      </c>
    </row>
    <row r="10" spans="1:105">
      <c r="A10" s="209">
        <v>1.5</v>
      </c>
      <c r="B10" s="210" t="s">
        <v>173</v>
      </c>
      <c r="C10" s="210" t="s">
        <v>131</v>
      </c>
      <c r="D10" s="188">
        <v>1</v>
      </c>
      <c r="E10" s="208">
        <v>1</v>
      </c>
      <c r="F10" s="187"/>
      <c r="G10" s="187"/>
      <c r="H10" s="187"/>
      <c r="I10" s="188"/>
      <c r="J10" s="187">
        <v>1</v>
      </c>
      <c r="K10" s="187">
        <v>1</v>
      </c>
      <c r="L10" s="187">
        <v>1</v>
      </c>
      <c r="M10" s="187">
        <v>1</v>
      </c>
      <c r="N10" s="187"/>
      <c r="O10" s="187"/>
      <c r="P10" s="187"/>
      <c r="Q10" s="187"/>
      <c r="R10" s="187"/>
      <c r="S10" s="187">
        <v>1</v>
      </c>
      <c r="T10" s="187"/>
      <c r="U10" s="188"/>
      <c r="V10" s="208">
        <v>1</v>
      </c>
      <c r="W10" s="187"/>
      <c r="X10" s="188"/>
      <c r="Y10" s="187"/>
      <c r="AA10" s="208">
        <f t="shared" si="6"/>
        <v>1</v>
      </c>
      <c r="AB10" s="187">
        <f t="shared" si="6"/>
        <v>1</v>
      </c>
      <c r="AC10" s="187">
        <f t="shared" si="6"/>
        <v>1</v>
      </c>
      <c r="AD10" s="187">
        <f t="shared" si="6"/>
        <v>1</v>
      </c>
      <c r="AE10" s="187">
        <f t="shared" si="6"/>
        <v>0</v>
      </c>
      <c r="AF10" s="187">
        <f t="shared" si="6"/>
        <v>0</v>
      </c>
      <c r="AG10" s="187">
        <f t="shared" si="6"/>
        <v>0</v>
      </c>
      <c r="AH10" s="187">
        <f t="shared" si="6"/>
        <v>0</v>
      </c>
      <c r="AI10" s="187">
        <f t="shared" si="6"/>
        <v>0</v>
      </c>
      <c r="AJ10" s="187">
        <f t="shared" si="6"/>
        <v>1</v>
      </c>
      <c r="AK10" s="187">
        <f t="shared" si="6"/>
        <v>0</v>
      </c>
      <c r="AL10" s="187">
        <f t="shared" si="6"/>
        <v>0</v>
      </c>
      <c r="AM10" s="208">
        <f t="shared" si="6"/>
        <v>1</v>
      </c>
      <c r="AN10" s="187">
        <f t="shared" si="6"/>
        <v>0</v>
      </c>
      <c r="AO10" s="188">
        <f t="shared" si="6"/>
        <v>0</v>
      </c>
      <c r="AQ10" s="208">
        <f t="shared" si="7"/>
        <v>0</v>
      </c>
      <c r="AR10" s="187">
        <f t="shared" si="7"/>
        <v>0</v>
      </c>
      <c r="AS10" s="187">
        <f t="shared" si="7"/>
        <v>0</v>
      </c>
      <c r="AT10" s="187">
        <f t="shared" si="7"/>
        <v>0</v>
      </c>
      <c r="AU10" s="187">
        <f t="shared" si="7"/>
        <v>0</v>
      </c>
      <c r="AV10" s="187">
        <f t="shared" si="7"/>
        <v>0</v>
      </c>
      <c r="AW10" s="187">
        <f t="shared" si="7"/>
        <v>0</v>
      </c>
      <c r="AX10" s="187">
        <f t="shared" si="7"/>
        <v>0</v>
      </c>
      <c r="AY10" s="187">
        <f t="shared" si="7"/>
        <v>0</v>
      </c>
      <c r="AZ10" s="187">
        <f t="shared" si="7"/>
        <v>0</v>
      </c>
      <c r="BA10" s="187">
        <f t="shared" si="7"/>
        <v>0</v>
      </c>
      <c r="BB10" s="188">
        <f t="shared" si="7"/>
        <v>0</v>
      </c>
      <c r="BC10" s="208">
        <f t="shared" si="7"/>
        <v>0</v>
      </c>
      <c r="BD10" s="208">
        <f t="shared" si="7"/>
        <v>0</v>
      </c>
      <c r="BE10" s="188">
        <f t="shared" si="7"/>
        <v>0</v>
      </c>
      <c r="BG10" s="208">
        <f t="shared" si="8"/>
        <v>0</v>
      </c>
      <c r="BH10" s="187">
        <f t="shared" si="8"/>
        <v>0</v>
      </c>
      <c r="BI10" s="187">
        <f t="shared" si="8"/>
        <v>0</v>
      </c>
      <c r="BJ10" s="187">
        <f t="shared" si="8"/>
        <v>0</v>
      </c>
      <c r="BK10" s="187">
        <f t="shared" si="8"/>
        <v>0</v>
      </c>
      <c r="BL10" s="187">
        <f t="shared" si="8"/>
        <v>0</v>
      </c>
      <c r="BM10" s="187">
        <f t="shared" si="8"/>
        <v>0</v>
      </c>
      <c r="BN10" s="187">
        <f t="shared" si="8"/>
        <v>0</v>
      </c>
      <c r="BO10" s="187">
        <f t="shared" si="8"/>
        <v>0</v>
      </c>
      <c r="BP10" s="187">
        <f t="shared" si="8"/>
        <v>0</v>
      </c>
      <c r="BQ10" s="187">
        <f t="shared" si="8"/>
        <v>0</v>
      </c>
      <c r="BR10" s="188">
        <f t="shared" si="8"/>
        <v>0</v>
      </c>
      <c r="BS10" s="208">
        <f t="shared" si="8"/>
        <v>0</v>
      </c>
      <c r="BT10" s="208">
        <f t="shared" si="8"/>
        <v>0</v>
      </c>
      <c r="BU10" s="188">
        <f t="shared" si="8"/>
        <v>0</v>
      </c>
      <c r="BW10" s="208">
        <f t="shared" si="9"/>
        <v>0</v>
      </c>
      <c r="BX10" s="187">
        <f t="shared" si="9"/>
        <v>0</v>
      </c>
      <c r="BY10" s="187">
        <f t="shared" si="9"/>
        <v>0</v>
      </c>
      <c r="BZ10" s="187">
        <f t="shared" si="9"/>
        <v>0</v>
      </c>
      <c r="CA10" s="187">
        <f t="shared" si="9"/>
        <v>0</v>
      </c>
      <c r="CB10" s="187">
        <f t="shared" si="9"/>
        <v>0</v>
      </c>
      <c r="CC10" s="187">
        <f t="shared" si="9"/>
        <v>0</v>
      </c>
      <c r="CD10" s="187">
        <f t="shared" si="9"/>
        <v>0</v>
      </c>
      <c r="CE10" s="187">
        <f t="shared" si="9"/>
        <v>0</v>
      </c>
      <c r="CF10" s="187">
        <f t="shared" si="9"/>
        <v>0</v>
      </c>
      <c r="CG10" s="187">
        <f t="shared" si="9"/>
        <v>0</v>
      </c>
      <c r="CH10" s="188">
        <f t="shared" si="9"/>
        <v>0</v>
      </c>
      <c r="CI10" s="208">
        <f t="shared" si="9"/>
        <v>0</v>
      </c>
      <c r="CJ10" s="208">
        <f t="shared" si="9"/>
        <v>0</v>
      </c>
      <c r="CK10" s="188">
        <f t="shared" si="9"/>
        <v>0</v>
      </c>
      <c r="CM10" s="208">
        <f t="shared" si="10"/>
        <v>0</v>
      </c>
      <c r="CN10" s="187">
        <f t="shared" si="10"/>
        <v>0</v>
      </c>
      <c r="CO10" s="187">
        <f t="shared" si="10"/>
        <v>0</v>
      </c>
      <c r="CP10" s="187">
        <f t="shared" si="10"/>
        <v>0</v>
      </c>
      <c r="CQ10" s="187">
        <f t="shared" si="10"/>
        <v>0</v>
      </c>
      <c r="CR10" s="187">
        <f t="shared" si="10"/>
        <v>0</v>
      </c>
      <c r="CS10" s="187">
        <f t="shared" si="10"/>
        <v>0</v>
      </c>
      <c r="CT10" s="187">
        <f t="shared" si="10"/>
        <v>0</v>
      </c>
      <c r="CU10" s="187">
        <f t="shared" si="10"/>
        <v>0</v>
      </c>
      <c r="CV10" s="187">
        <f t="shared" si="10"/>
        <v>0</v>
      </c>
      <c r="CW10" s="187">
        <f t="shared" si="10"/>
        <v>0</v>
      </c>
      <c r="CX10" s="188">
        <f t="shared" si="10"/>
        <v>0</v>
      </c>
      <c r="CY10" s="208">
        <f t="shared" si="10"/>
        <v>0</v>
      </c>
      <c r="CZ10" s="208">
        <f t="shared" si="10"/>
        <v>0</v>
      </c>
      <c r="DA10" s="188">
        <f t="shared" si="10"/>
        <v>0</v>
      </c>
    </row>
    <row r="11" spans="1:105">
      <c r="A11" s="209">
        <v>1.6</v>
      </c>
      <c r="B11" s="210" t="s">
        <v>174</v>
      </c>
      <c r="C11" s="210" t="s">
        <v>131</v>
      </c>
      <c r="D11" s="188">
        <v>1</v>
      </c>
      <c r="E11" s="208">
        <v>1</v>
      </c>
      <c r="F11" s="187"/>
      <c r="G11" s="187"/>
      <c r="H11" s="187"/>
      <c r="I11" s="188"/>
      <c r="J11" s="187">
        <v>1</v>
      </c>
      <c r="K11" s="187">
        <v>1</v>
      </c>
      <c r="L11" s="187">
        <v>1</v>
      </c>
      <c r="M11" s="187">
        <v>1</v>
      </c>
      <c r="N11" s="187"/>
      <c r="O11" s="187"/>
      <c r="P11" s="187"/>
      <c r="Q11" s="187"/>
      <c r="R11" s="187"/>
      <c r="S11" s="187"/>
      <c r="T11" s="187"/>
      <c r="U11" s="188"/>
      <c r="V11" s="208">
        <v>1</v>
      </c>
      <c r="W11" s="187">
        <v>1</v>
      </c>
      <c r="X11" s="188"/>
      <c r="Y11" s="187"/>
      <c r="AA11" s="208">
        <f t="shared" si="6"/>
        <v>1</v>
      </c>
      <c r="AB11" s="187">
        <f t="shared" si="6"/>
        <v>1</v>
      </c>
      <c r="AC11" s="187">
        <f t="shared" si="6"/>
        <v>1</v>
      </c>
      <c r="AD11" s="187">
        <f t="shared" si="6"/>
        <v>1</v>
      </c>
      <c r="AE11" s="187">
        <f t="shared" si="6"/>
        <v>0</v>
      </c>
      <c r="AF11" s="187">
        <f t="shared" si="6"/>
        <v>0</v>
      </c>
      <c r="AG11" s="187">
        <f t="shared" si="6"/>
        <v>0</v>
      </c>
      <c r="AH11" s="187">
        <f t="shared" si="6"/>
        <v>0</v>
      </c>
      <c r="AI11" s="187">
        <f t="shared" si="6"/>
        <v>0</v>
      </c>
      <c r="AJ11" s="187">
        <f t="shared" si="6"/>
        <v>0</v>
      </c>
      <c r="AK11" s="187">
        <f t="shared" si="6"/>
        <v>0</v>
      </c>
      <c r="AL11" s="187">
        <f t="shared" si="6"/>
        <v>0</v>
      </c>
      <c r="AM11" s="208">
        <f t="shared" si="6"/>
        <v>1</v>
      </c>
      <c r="AN11" s="187">
        <f t="shared" si="6"/>
        <v>1</v>
      </c>
      <c r="AO11" s="188">
        <f t="shared" si="6"/>
        <v>0</v>
      </c>
      <c r="AQ11" s="208">
        <f t="shared" si="7"/>
        <v>0</v>
      </c>
      <c r="AR11" s="187">
        <f t="shared" si="7"/>
        <v>0</v>
      </c>
      <c r="AS11" s="187">
        <f t="shared" si="7"/>
        <v>0</v>
      </c>
      <c r="AT11" s="187">
        <f t="shared" si="7"/>
        <v>0</v>
      </c>
      <c r="AU11" s="187">
        <f t="shared" si="7"/>
        <v>0</v>
      </c>
      <c r="AV11" s="187">
        <f t="shared" si="7"/>
        <v>0</v>
      </c>
      <c r="AW11" s="187">
        <f t="shared" si="7"/>
        <v>0</v>
      </c>
      <c r="AX11" s="187">
        <f t="shared" si="7"/>
        <v>0</v>
      </c>
      <c r="AY11" s="187">
        <f t="shared" si="7"/>
        <v>0</v>
      </c>
      <c r="AZ11" s="187">
        <f t="shared" si="7"/>
        <v>0</v>
      </c>
      <c r="BA11" s="187">
        <f t="shared" si="7"/>
        <v>0</v>
      </c>
      <c r="BB11" s="188">
        <f t="shared" si="7"/>
        <v>0</v>
      </c>
      <c r="BC11" s="208">
        <f t="shared" si="7"/>
        <v>0</v>
      </c>
      <c r="BD11" s="208">
        <f t="shared" si="7"/>
        <v>0</v>
      </c>
      <c r="BE11" s="188">
        <f t="shared" si="7"/>
        <v>0</v>
      </c>
      <c r="BG11" s="208">
        <f t="shared" si="8"/>
        <v>0</v>
      </c>
      <c r="BH11" s="187">
        <f t="shared" si="8"/>
        <v>0</v>
      </c>
      <c r="BI11" s="187">
        <f t="shared" si="8"/>
        <v>0</v>
      </c>
      <c r="BJ11" s="187">
        <f t="shared" si="8"/>
        <v>0</v>
      </c>
      <c r="BK11" s="187">
        <f t="shared" si="8"/>
        <v>0</v>
      </c>
      <c r="BL11" s="187">
        <f t="shared" si="8"/>
        <v>0</v>
      </c>
      <c r="BM11" s="187">
        <f t="shared" si="8"/>
        <v>0</v>
      </c>
      <c r="BN11" s="187">
        <f t="shared" si="8"/>
        <v>0</v>
      </c>
      <c r="BO11" s="187">
        <f t="shared" si="8"/>
        <v>0</v>
      </c>
      <c r="BP11" s="187">
        <f t="shared" si="8"/>
        <v>0</v>
      </c>
      <c r="BQ11" s="187">
        <f t="shared" si="8"/>
        <v>0</v>
      </c>
      <c r="BR11" s="188">
        <f t="shared" si="8"/>
        <v>0</v>
      </c>
      <c r="BS11" s="208">
        <f t="shared" si="8"/>
        <v>0</v>
      </c>
      <c r="BT11" s="208">
        <f t="shared" si="8"/>
        <v>0</v>
      </c>
      <c r="BU11" s="188">
        <f t="shared" si="8"/>
        <v>0</v>
      </c>
      <c r="BW11" s="208">
        <f t="shared" si="9"/>
        <v>0</v>
      </c>
      <c r="BX11" s="187">
        <f t="shared" si="9"/>
        <v>0</v>
      </c>
      <c r="BY11" s="187">
        <f t="shared" si="9"/>
        <v>0</v>
      </c>
      <c r="BZ11" s="187">
        <f t="shared" si="9"/>
        <v>0</v>
      </c>
      <c r="CA11" s="187">
        <f t="shared" si="9"/>
        <v>0</v>
      </c>
      <c r="CB11" s="187">
        <f t="shared" si="9"/>
        <v>0</v>
      </c>
      <c r="CC11" s="187">
        <f t="shared" si="9"/>
        <v>0</v>
      </c>
      <c r="CD11" s="187">
        <f t="shared" si="9"/>
        <v>0</v>
      </c>
      <c r="CE11" s="187">
        <f t="shared" si="9"/>
        <v>0</v>
      </c>
      <c r="CF11" s="187">
        <f t="shared" si="9"/>
        <v>0</v>
      </c>
      <c r="CG11" s="187">
        <f t="shared" si="9"/>
        <v>0</v>
      </c>
      <c r="CH11" s="188">
        <f t="shared" si="9"/>
        <v>0</v>
      </c>
      <c r="CI11" s="208">
        <f t="shared" si="9"/>
        <v>0</v>
      </c>
      <c r="CJ11" s="208">
        <f t="shared" si="9"/>
        <v>0</v>
      </c>
      <c r="CK11" s="188">
        <f t="shared" si="9"/>
        <v>0</v>
      </c>
      <c r="CM11" s="208">
        <f t="shared" si="10"/>
        <v>0</v>
      </c>
      <c r="CN11" s="187">
        <f t="shared" si="10"/>
        <v>0</v>
      </c>
      <c r="CO11" s="187">
        <f t="shared" si="10"/>
        <v>0</v>
      </c>
      <c r="CP11" s="187">
        <f t="shared" si="10"/>
        <v>0</v>
      </c>
      <c r="CQ11" s="187">
        <f t="shared" si="10"/>
        <v>0</v>
      </c>
      <c r="CR11" s="187">
        <f t="shared" si="10"/>
        <v>0</v>
      </c>
      <c r="CS11" s="187">
        <f t="shared" si="10"/>
        <v>0</v>
      </c>
      <c r="CT11" s="187">
        <f t="shared" si="10"/>
        <v>0</v>
      </c>
      <c r="CU11" s="187">
        <f t="shared" si="10"/>
        <v>0</v>
      </c>
      <c r="CV11" s="187">
        <f t="shared" si="10"/>
        <v>0</v>
      </c>
      <c r="CW11" s="187">
        <f t="shared" si="10"/>
        <v>0</v>
      </c>
      <c r="CX11" s="188">
        <f t="shared" si="10"/>
        <v>0</v>
      </c>
      <c r="CY11" s="208">
        <f t="shared" si="10"/>
        <v>0</v>
      </c>
      <c r="CZ11" s="208">
        <f t="shared" si="10"/>
        <v>0</v>
      </c>
      <c r="DA11" s="188">
        <f t="shared" si="10"/>
        <v>0</v>
      </c>
    </row>
    <row r="12" spans="1:105">
      <c r="A12" s="209">
        <v>1.7</v>
      </c>
      <c r="B12" s="210" t="s">
        <v>175</v>
      </c>
      <c r="C12" s="210" t="s">
        <v>131</v>
      </c>
      <c r="D12" s="188">
        <v>1</v>
      </c>
      <c r="E12" s="208">
        <v>1</v>
      </c>
      <c r="F12" s="187"/>
      <c r="G12" s="187"/>
      <c r="H12" s="187"/>
      <c r="I12" s="188"/>
      <c r="J12" s="187">
        <v>1</v>
      </c>
      <c r="K12" s="187">
        <v>1</v>
      </c>
      <c r="L12" s="187">
        <v>1</v>
      </c>
      <c r="M12" s="187">
        <v>1</v>
      </c>
      <c r="N12" s="187"/>
      <c r="O12" s="187"/>
      <c r="P12" s="187"/>
      <c r="Q12" s="187"/>
      <c r="R12" s="187"/>
      <c r="S12" s="187">
        <v>1</v>
      </c>
      <c r="T12" s="187"/>
      <c r="U12" s="188"/>
      <c r="V12" s="208">
        <v>1</v>
      </c>
      <c r="W12" s="187">
        <v>1</v>
      </c>
      <c r="X12" s="188"/>
      <c r="Y12" s="187"/>
      <c r="AA12" s="208">
        <f t="shared" si="6"/>
        <v>1</v>
      </c>
      <c r="AB12" s="187">
        <f t="shared" si="6"/>
        <v>1</v>
      </c>
      <c r="AC12" s="187">
        <f t="shared" si="6"/>
        <v>1</v>
      </c>
      <c r="AD12" s="187">
        <f t="shared" si="6"/>
        <v>1</v>
      </c>
      <c r="AE12" s="187">
        <f t="shared" si="6"/>
        <v>0</v>
      </c>
      <c r="AF12" s="187">
        <f t="shared" si="6"/>
        <v>0</v>
      </c>
      <c r="AG12" s="187">
        <f t="shared" si="6"/>
        <v>0</v>
      </c>
      <c r="AH12" s="187">
        <f t="shared" si="6"/>
        <v>0</v>
      </c>
      <c r="AI12" s="187">
        <f t="shared" si="6"/>
        <v>0</v>
      </c>
      <c r="AJ12" s="187">
        <f t="shared" si="6"/>
        <v>1</v>
      </c>
      <c r="AK12" s="187">
        <f t="shared" si="6"/>
        <v>0</v>
      </c>
      <c r="AL12" s="187">
        <f t="shared" si="6"/>
        <v>0</v>
      </c>
      <c r="AM12" s="208">
        <f t="shared" si="6"/>
        <v>1</v>
      </c>
      <c r="AN12" s="187">
        <f t="shared" si="6"/>
        <v>1</v>
      </c>
      <c r="AO12" s="188">
        <f t="shared" si="6"/>
        <v>0</v>
      </c>
      <c r="AQ12" s="208">
        <f t="shared" si="7"/>
        <v>0</v>
      </c>
      <c r="AR12" s="187">
        <f t="shared" si="7"/>
        <v>0</v>
      </c>
      <c r="AS12" s="187">
        <f t="shared" si="7"/>
        <v>0</v>
      </c>
      <c r="AT12" s="187">
        <f t="shared" si="7"/>
        <v>0</v>
      </c>
      <c r="AU12" s="187">
        <f t="shared" si="7"/>
        <v>0</v>
      </c>
      <c r="AV12" s="187">
        <f t="shared" si="7"/>
        <v>0</v>
      </c>
      <c r="AW12" s="187">
        <f t="shared" si="7"/>
        <v>0</v>
      </c>
      <c r="AX12" s="187">
        <f t="shared" si="7"/>
        <v>0</v>
      </c>
      <c r="AY12" s="187">
        <f t="shared" si="7"/>
        <v>0</v>
      </c>
      <c r="AZ12" s="187">
        <f t="shared" si="7"/>
        <v>0</v>
      </c>
      <c r="BA12" s="187">
        <f t="shared" si="7"/>
        <v>0</v>
      </c>
      <c r="BB12" s="188">
        <f t="shared" si="7"/>
        <v>0</v>
      </c>
      <c r="BC12" s="208">
        <f t="shared" si="7"/>
        <v>0</v>
      </c>
      <c r="BD12" s="208">
        <f t="shared" si="7"/>
        <v>0</v>
      </c>
      <c r="BE12" s="188">
        <f t="shared" si="7"/>
        <v>0</v>
      </c>
      <c r="BG12" s="208">
        <f t="shared" si="8"/>
        <v>0</v>
      </c>
      <c r="BH12" s="187">
        <f t="shared" si="8"/>
        <v>0</v>
      </c>
      <c r="BI12" s="187">
        <f t="shared" si="8"/>
        <v>0</v>
      </c>
      <c r="BJ12" s="187">
        <f t="shared" si="8"/>
        <v>0</v>
      </c>
      <c r="BK12" s="187">
        <f t="shared" si="8"/>
        <v>0</v>
      </c>
      <c r="BL12" s="187">
        <f t="shared" si="8"/>
        <v>0</v>
      </c>
      <c r="BM12" s="187">
        <f t="shared" si="8"/>
        <v>0</v>
      </c>
      <c r="BN12" s="187">
        <f t="shared" si="8"/>
        <v>0</v>
      </c>
      <c r="BO12" s="187">
        <f t="shared" si="8"/>
        <v>0</v>
      </c>
      <c r="BP12" s="187">
        <f t="shared" si="8"/>
        <v>0</v>
      </c>
      <c r="BQ12" s="187">
        <f t="shared" si="8"/>
        <v>0</v>
      </c>
      <c r="BR12" s="188">
        <f t="shared" si="8"/>
        <v>0</v>
      </c>
      <c r="BS12" s="208">
        <f t="shared" si="8"/>
        <v>0</v>
      </c>
      <c r="BT12" s="208">
        <f t="shared" si="8"/>
        <v>0</v>
      </c>
      <c r="BU12" s="188">
        <f t="shared" si="8"/>
        <v>0</v>
      </c>
      <c r="BW12" s="208">
        <f t="shared" si="9"/>
        <v>0</v>
      </c>
      <c r="BX12" s="187">
        <f t="shared" si="9"/>
        <v>0</v>
      </c>
      <c r="BY12" s="187">
        <f t="shared" si="9"/>
        <v>0</v>
      </c>
      <c r="BZ12" s="187">
        <f t="shared" si="9"/>
        <v>0</v>
      </c>
      <c r="CA12" s="187">
        <f t="shared" si="9"/>
        <v>0</v>
      </c>
      <c r="CB12" s="187">
        <f t="shared" si="9"/>
        <v>0</v>
      </c>
      <c r="CC12" s="187">
        <f t="shared" si="9"/>
        <v>0</v>
      </c>
      <c r="CD12" s="187">
        <f t="shared" si="9"/>
        <v>0</v>
      </c>
      <c r="CE12" s="187">
        <f t="shared" si="9"/>
        <v>0</v>
      </c>
      <c r="CF12" s="187">
        <f t="shared" si="9"/>
        <v>0</v>
      </c>
      <c r="CG12" s="187">
        <f t="shared" si="9"/>
        <v>0</v>
      </c>
      <c r="CH12" s="188">
        <f t="shared" si="9"/>
        <v>0</v>
      </c>
      <c r="CI12" s="208">
        <f t="shared" si="9"/>
        <v>0</v>
      </c>
      <c r="CJ12" s="208">
        <f t="shared" si="9"/>
        <v>0</v>
      </c>
      <c r="CK12" s="188">
        <f t="shared" si="9"/>
        <v>0</v>
      </c>
      <c r="CM12" s="208">
        <f t="shared" si="10"/>
        <v>0</v>
      </c>
      <c r="CN12" s="187">
        <f t="shared" si="10"/>
        <v>0</v>
      </c>
      <c r="CO12" s="187">
        <f t="shared" si="10"/>
        <v>0</v>
      </c>
      <c r="CP12" s="187">
        <f t="shared" si="10"/>
        <v>0</v>
      </c>
      <c r="CQ12" s="187">
        <f t="shared" si="10"/>
        <v>0</v>
      </c>
      <c r="CR12" s="187">
        <f t="shared" si="10"/>
        <v>0</v>
      </c>
      <c r="CS12" s="187">
        <f t="shared" si="10"/>
        <v>0</v>
      </c>
      <c r="CT12" s="187">
        <f t="shared" si="10"/>
        <v>0</v>
      </c>
      <c r="CU12" s="187">
        <f t="shared" si="10"/>
        <v>0</v>
      </c>
      <c r="CV12" s="187">
        <f t="shared" si="10"/>
        <v>0</v>
      </c>
      <c r="CW12" s="187">
        <f t="shared" si="10"/>
        <v>0</v>
      </c>
      <c r="CX12" s="188">
        <f t="shared" si="10"/>
        <v>0</v>
      </c>
      <c r="CY12" s="208">
        <f t="shared" si="10"/>
        <v>0</v>
      </c>
      <c r="CZ12" s="208">
        <f t="shared" si="10"/>
        <v>0</v>
      </c>
      <c r="DA12" s="188">
        <f t="shared" si="10"/>
        <v>0</v>
      </c>
    </row>
    <row r="13" spans="1:105">
      <c r="A13" s="203" t="s">
        <v>176</v>
      </c>
      <c r="B13" s="204" t="s">
        <v>177</v>
      </c>
      <c r="C13" s="204"/>
      <c r="D13" s="205"/>
      <c r="E13" s="206"/>
      <c r="F13" s="207"/>
      <c r="G13" s="207"/>
      <c r="H13" s="207"/>
      <c r="I13" s="205"/>
      <c r="J13" s="207"/>
      <c r="K13" s="207"/>
      <c r="L13" s="207"/>
      <c r="M13" s="207"/>
      <c r="N13" s="207"/>
      <c r="O13" s="207"/>
      <c r="P13" s="207"/>
      <c r="Q13" s="207"/>
      <c r="R13" s="207"/>
      <c r="S13" s="207"/>
      <c r="T13" s="207"/>
      <c r="U13" s="205"/>
      <c r="V13" s="206"/>
      <c r="W13" s="207"/>
      <c r="X13" s="205"/>
      <c r="Y13" s="207"/>
      <c r="AA13" s="208">
        <f t="shared" si="6"/>
        <v>0</v>
      </c>
      <c r="AB13" s="187">
        <f t="shared" si="6"/>
        <v>0</v>
      </c>
      <c r="AC13" s="187">
        <f t="shared" si="6"/>
        <v>0</v>
      </c>
      <c r="AD13" s="187">
        <f t="shared" si="6"/>
        <v>0</v>
      </c>
      <c r="AE13" s="187">
        <f t="shared" si="6"/>
        <v>0</v>
      </c>
      <c r="AF13" s="187">
        <f t="shared" si="6"/>
        <v>0</v>
      </c>
      <c r="AG13" s="187">
        <f t="shared" si="6"/>
        <v>0</v>
      </c>
      <c r="AH13" s="187">
        <f t="shared" si="6"/>
        <v>0</v>
      </c>
      <c r="AI13" s="187">
        <f t="shared" si="6"/>
        <v>0</v>
      </c>
      <c r="AJ13" s="187">
        <f t="shared" si="6"/>
        <v>0</v>
      </c>
      <c r="AK13" s="187">
        <f t="shared" si="6"/>
        <v>0</v>
      </c>
      <c r="AL13" s="187">
        <f t="shared" si="6"/>
        <v>0</v>
      </c>
      <c r="AM13" s="208">
        <f t="shared" si="6"/>
        <v>0</v>
      </c>
      <c r="AN13" s="187">
        <f t="shared" si="6"/>
        <v>0</v>
      </c>
      <c r="AO13" s="188">
        <f t="shared" si="6"/>
        <v>0</v>
      </c>
      <c r="AQ13" s="208">
        <f t="shared" si="7"/>
        <v>0</v>
      </c>
      <c r="AR13" s="187">
        <f t="shared" si="7"/>
        <v>0</v>
      </c>
      <c r="AS13" s="187">
        <f t="shared" si="7"/>
        <v>0</v>
      </c>
      <c r="AT13" s="187">
        <f t="shared" si="7"/>
        <v>0</v>
      </c>
      <c r="AU13" s="187">
        <f t="shared" si="7"/>
        <v>0</v>
      </c>
      <c r="AV13" s="187">
        <f t="shared" si="7"/>
        <v>0</v>
      </c>
      <c r="AW13" s="187">
        <f t="shared" si="7"/>
        <v>0</v>
      </c>
      <c r="AX13" s="187">
        <f t="shared" si="7"/>
        <v>0</v>
      </c>
      <c r="AY13" s="187">
        <f t="shared" si="7"/>
        <v>0</v>
      </c>
      <c r="AZ13" s="187">
        <f t="shared" si="7"/>
        <v>0</v>
      </c>
      <c r="BA13" s="187">
        <f t="shared" si="7"/>
        <v>0</v>
      </c>
      <c r="BB13" s="188">
        <f t="shared" si="7"/>
        <v>0</v>
      </c>
      <c r="BC13" s="208">
        <f t="shared" si="7"/>
        <v>0</v>
      </c>
      <c r="BD13" s="208">
        <f t="shared" si="7"/>
        <v>0</v>
      </c>
      <c r="BE13" s="188">
        <f t="shared" si="7"/>
        <v>0</v>
      </c>
      <c r="BG13" s="208">
        <f t="shared" si="8"/>
        <v>0</v>
      </c>
      <c r="BH13" s="187">
        <f t="shared" si="8"/>
        <v>0</v>
      </c>
      <c r="BI13" s="187">
        <f t="shared" si="8"/>
        <v>0</v>
      </c>
      <c r="BJ13" s="187">
        <f t="shared" si="8"/>
        <v>0</v>
      </c>
      <c r="BK13" s="187">
        <f t="shared" si="8"/>
        <v>0</v>
      </c>
      <c r="BL13" s="187">
        <f t="shared" si="8"/>
        <v>0</v>
      </c>
      <c r="BM13" s="187">
        <f t="shared" si="8"/>
        <v>0</v>
      </c>
      <c r="BN13" s="187">
        <f t="shared" si="8"/>
        <v>0</v>
      </c>
      <c r="BO13" s="187">
        <f t="shared" si="8"/>
        <v>0</v>
      </c>
      <c r="BP13" s="187">
        <f t="shared" si="8"/>
        <v>0</v>
      </c>
      <c r="BQ13" s="187">
        <f t="shared" si="8"/>
        <v>0</v>
      </c>
      <c r="BR13" s="188">
        <f t="shared" si="8"/>
        <v>0</v>
      </c>
      <c r="BS13" s="208">
        <f t="shared" si="8"/>
        <v>0</v>
      </c>
      <c r="BT13" s="208">
        <f t="shared" si="8"/>
        <v>0</v>
      </c>
      <c r="BU13" s="188">
        <f t="shared" si="8"/>
        <v>0</v>
      </c>
      <c r="BW13" s="208">
        <f t="shared" si="9"/>
        <v>0</v>
      </c>
      <c r="BX13" s="187">
        <f t="shared" si="9"/>
        <v>0</v>
      </c>
      <c r="BY13" s="187">
        <f t="shared" si="9"/>
        <v>0</v>
      </c>
      <c r="BZ13" s="187">
        <f t="shared" si="9"/>
        <v>0</v>
      </c>
      <c r="CA13" s="187">
        <f t="shared" si="9"/>
        <v>0</v>
      </c>
      <c r="CB13" s="187">
        <f t="shared" si="9"/>
        <v>0</v>
      </c>
      <c r="CC13" s="187">
        <f t="shared" si="9"/>
        <v>0</v>
      </c>
      <c r="CD13" s="187">
        <f t="shared" si="9"/>
        <v>0</v>
      </c>
      <c r="CE13" s="187">
        <f t="shared" si="9"/>
        <v>0</v>
      </c>
      <c r="CF13" s="187">
        <f t="shared" si="9"/>
        <v>0</v>
      </c>
      <c r="CG13" s="187">
        <f t="shared" si="9"/>
        <v>0</v>
      </c>
      <c r="CH13" s="188">
        <f t="shared" si="9"/>
        <v>0</v>
      </c>
      <c r="CI13" s="208">
        <f t="shared" si="9"/>
        <v>0</v>
      </c>
      <c r="CJ13" s="208">
        <f t="shared" si="9"/>
        <v>0</v>
      </c>
      <c r="CK13" s="188">
        <f t="shared" si="9"/>
        <v>0</v>
      </c>
      <c r="CM13" s="208">
        <f t="shared" si="10"/>
        <v>0</v>
      </c>
      <c r="CN13" s="187">
        <f t="shared" si="10"/>
        <v>0</v>
      </c>
      <c r="CO13" s="187">
        <f t="shared" si="10"/>
        <v>0</v>
      </c>
      <c r="CP13" s="187">
        <f t="shared" si="10"/>
        <v>0</v>
      </c>
      <c r="CQ13" s="187">
        <f t="shared" si="10"/>
        <v>0</v>
      </c>
      <c r="CR13" s="187">
        <f t="shared" si="10"/>
        <v>0</v>
      </c>
      <c r="CS13" s="187">
        <f t="shared" si="10"/>
        <v>0</v>
      </c>
      <c r="CT13" s="187">
        <f t="shared" si="10"/>
        <v>0</v>
      </c>
      <c r="CU13" s="187">
        <f t="shared" si="10"/>
        <v>0</v>
      </c>
      <c r="CV13" s="187">
        <f t="shared" si="10"/>
        <v>0</v>
      </c>
      <c r="CW13" s="187">
        <f t="shared" si="10"/>
        <v>0</v>
      </c>
      <c r="CX13" s="188">
        <f t="shared" si="10"/>
        <v>0</v>
      </c>
      <c r="CY13" s="208">
        <f t="shared" si="10"/>
        <v>0</v>
      </c>
      <c r="CZ13" s="208">
        <f t="shared" si="10"/>
        <v>0</v>
      </c>
      <c r="DA13" s="188">
        <f t="shared" si="10"/>
        <v>0</v>
      </c>
    </row>
    <row r="14" spans="1:105">
      <c r="A14" s="209">
        <v>2.1</v>
      </c>
      <c r="B14" s="210" t="s">
        <v>178</v>
      </c>
      <c r="C14" s="210" t="s">
        <v>131</v>
      </c>
      <c r="D14" s="188">
        <v>1</v>
      </c>
      <c r="E14" s="208">
        <v>1</v>
      </c>
      <c r="F14" s="187">
        <v>1</v>
      </c>
      <c r="G14" s="187"/>
      <c r="H14" s="187"/>
      <c r="I14" s="188"/>
      <c r="J14" s="187">
        <v>1</v>
      </c>
      <c r="K14" s="187">
        <v>1</v>
      </c>
      <c r="L14" s="187">
        <v>1</v>
      </c>
      <c r="M14" s="187">
        <v>1</v>
      </c>
      <c r="N14" s="187"/>
      <c r="O14" s="187"/>
      <c r="P14" s="187"/>
      <c r="Q14" s="187"/>
      <c r="R14" s="187"/>
      <c r="S14" s="187"/>
      <c r="T14" s="187"/>
      <c r="U14" s="188">
        <v>1</v>
      </c>
      <c r="V14" s="208">
        <v>1</v>
      </c>
      <c r="W14" s="187">
        <v>1</v>
      </c>
      <c r="X14" s="188"/>
      <c r="Y14" s="187"/>
      <c r="AA14" s="208">
        <f t="shared" si="6"/>
        <v>1</v>
      </c>
      <c r="AB14" s="187">
        <f t="shared" si="6"/>
        <v>1</v>
      </c>
      <c r="AC14" s="187">
        <f t="shared" si="6"/>
        <v>1</v>
      </c>
      <c r="AD14" s="187">
        <f t="shared" si="6"/>
        <v>1</v>
      </c>
      <c r="AE14" s="187">
        <f t="shared" si="6"/>
        <v>0</v>
      </c>
      <c r="AF14" s="187">
        <f t="shared" si="6"/>
        <v>0</v>
      </c>
      <c r="AG14" s="187">
        <f t="shared" si="6"/>
        <v>0</v>
      </c>
      <c r="AH14" s="187">
        <f t="shared" si="6"/>
        <v>0</v>
      </c>
      <c r="AI14" s="187">
        <f t="shared" si="6"/>
        <v>0</v>
      </c>
      <c r="AJ14" s="187">
        <f t="shared" si="6"/>
        <v>0</v>
      </c>
      <c r="AK14" s="187">
        <f t="shared" si="6"/>
        <v>0</v>
      </c>
      <c r="AL14" s="187">
        <f t="shared" si="6"/>
        <v>1</v>
      </c>
      <c r="AM14" s="208">
        <f t="shared" si="6"/>
        <v>1</v>
      </c>
      <c r="AN14" s="187">
        <f t="shared" si="6"/>
        <v>1</v>
      </c>
      <c r="AO14" s="188">
        <f t="shared" si="6"/>
        <v>0</v>
      </c>
      <c r="AQ14" s="208">
        <f t="shared" si="7"/>
        <v>1</v>
      </c>
      <c r="AR14" s="187">
        <f t="shared" si="7"/>
        <v>1</v>
      </c>
      <c r="AS14" s="187">
        <f t="shared" si="7"/>
        <v>1</v>
      </c>
      <c r="AT14" s="187">
        <f t="shared" si="7"/>
        <v>1</v>
      </c>
      <c r="AU14" s="187">
        <f t="shared" si="7"/>
        <v>0</v>
      </c>
      <c r="AV14" s="187">
        <f t="shared" si="7"/>
        <v>0</v>
      </c>
      <c r="AW14" s="187">
        <f t="shared" si="7"/>
        <v>0</v>
      </c>
      <c r="AX14" s="187">
        <f t="shared" si="7"/>
        <v>0</v>
      </c>
      <c r="AY14" s="187">
        <f t="shared" si="7"/>
        <v>0</v>
      </c>
      <c r="AZ14" s="187">
        <f t="shared" si="7"/>
        <v>0</v>
      </c>
      <c r="BA14" s="187">
        <f t="shared" si="7"/>
        <v>0</v>
      </c>
      <c r="BB14" s="188">
        <f t="shared" si="7"/>
        <v>1</v>
      </c>
      <c r="BC14" s="208">
        <f t="shared" si="7"/>
        <v>1</v>
      </c>
      <c r="BD14" s="208">
        <f t="shared" si="7"/>
        <v>1</v>
      </c>
      <c r="BE14" s="188">
        <f t="shared" si="7"/>
        <v>0</v>
      </c>
      <c r="BG14" s="208">
        <f t="shared" si="8"/>
        <v>0</v>
      </c>
      <c r="BH14" s="187">
        <f t="shared" si="8"/>
        <v>0</v>
      </c>
      <c r="BI14" s="187">
        <f t="shared" si="8"/>
        <v>0</v>
      </c>
      <c r="BJ14" s="187">
        <f t="shared" si="8"/>
        <v>0</v>
      </c>
      <c r="BK14" s="187">
        <f t="shared" si="8"/>
        <v>0</v>
      </c>
      <c r="BL14" s="187">
        <f t="shared" si="8"/>
        <v>0</v>
      </c>
      <c r="BM14" s="187">
        <f t="shared" si="8"/>
        <v>0</v>
      </c>
      <c r="BN14" s="187">
        <f t="shared" si="8"/>
        <v>0</v>
      </c>
      <c r="BO14" s="187">
        <f t="shared" si="8"/>
        <v>0</v>
      </c>
      <c r="BP14" s="187">
        <f t="shared" si="8"/>
        <v>0</v>
      </c>
      <c r="BQ14" s="187">
        <f t="shared" si="8"/>
        <v>0</v>
      </c>
      <c r="BR14" s="188">
        <f t="shared" si="8"/>
        <v>0</v>
      </c>
      <c r="BS14" s="208">
        <f t="shared" si="8"/>
        <v>0</v>
      </c>
      <c r="BT14" s="208">
        <f t="shared" si="8"/>
        <v>0</v>
      </c>
      <c r="BU14" s="188">
        <f t="shared" si="8"/>
        <v>0</v>
      </c>
      <c r="BW14" s="208">
        <f t="shared" si="9"/>
        <v>0</v>
      </c>
      <c r="BX14" s="187">
        <f t="shared" si="9"/>
        <v>0</v>
      </c>
      <c r="BY14" s="187">
        <f t="shared" si="9"/>
        <v>0</v>
      </c>
      <c r="BZ14" s="187">
        <f t="shared" si="9"/>
        <v>0</v>
      </c>
      <c r="CA14" s="187">
        <f t="shared" si="9"/>
        <v>0</v>
      </c>
      <c r="CB14" s="187">
        <f t="shared" si="9"/>
        <v>0</v>
      </c>
      <c r="CC14" s="187">
        <f t="shared" si="9"/>
        <v>0</v>
      </c>
      <c r="CD14" s="187">
        <f t="shared" si="9"/>
        <v>0</v>
      </c>
      <c r="CE14" s="187">
        <f t="shared" si="9"/>
        <v>0</v>
      </c>
      <c r="CF14" s="187">
        <f t="shared" si="9"/>
        <v>0</v>
      </c>
      <c r="CG14" s="187">
        <f t="shared" si="9"/>
        <v>0</v>
      </c>
      <c r="CH14" s="188">
        <f t="shared" si="9"/>
        <v>0</v>
      </c>
      <c r="CI14" s="208">
        <f t="shared" si="9"/>
        <v>0</v>
      </c>
      <c r="CJ14" s="208">
        <f t="shared" si="9"/>
        <v>0</v>
      </c>
      <c r="CK14" s="188">
        <f t="shared" si="9"/>
        <v>0</v>
      </c>
      <c r="CM14" s="208">
        <f t="shared" si="10"/>
        <v>0</v>
      </c>
      <c r="CN14" s="187">
        <f t="shared" si="10"/>
        <v>0</v>
      </c>
      <c r="CO14" s="187">
        <f t="shared" si="10"/>
        <v>0</v>
      </c>
      <c r="CP14" s="187">
        <f t="shared" si="10"/>
        <v>0</v>
      </c>
      <c r="CQ14" s="187">
        <f t="shared" si="10"/>
        <v>0</v>
      </c>
      <c r="CR14" s="187">
        <f t="shared" si="10"/>
        <v>0</v>
      </c>
      <c r="CS14" s="187">
        <f t="shared" si="10"/>
        <v>0</v>
      </c>
      <c r="CT14" s="187">
        <f t="shared" si="10"/>
        <v>0</v>
      </c>
      <c r="CU14" s="187">
        <f t="shared" si="10"/>
        <v>0</v>
      </c>
      <c r="CV14" s="187">
        <f t="shared" si="10"/>
        <v>0</v>
      </c>
      <c r="CW14" s="187">
        <f t="shared" si="10"/>
        <v>0</v>
      </c>
      <c r="CX14" s="188">
        <f t="shared" si="10"/>
        <v>0</v>
      </c>
      <c r="CY14" s="208">
        <f t="shared" si="10"/>
        <v>0</v>
      </c>
      <c r="CZ14" s="208">
        <f t="shared" si="10"/>
        <v>0</v>
      </c>
      <c r="DA14" s="188">
        <f t="shared" si="10"/>
        <v>0</v>
      </c>
    </row>
    <row r="15" spans="1:105">
      <c r="A15" s="209">
        <v>2.2000000000000002</v>
      </c>
      <c r="B15" s="210" t="s">
        <v>179</v>
      </c>
      <c r="C15" s="210" t="s">
        <v>131</v>
      </c>
      <c r="D15" s="188">
        <v>1</v>
      </c>
      <c r="E15" s="208">
        <v>1</v>
      </c>
      <c r="F15" s="187">
        <v>1</v>
      </c>
      <c r="G15" s="187"/>
      <c r="H15" s="187"/>
      <c r="I15" s="188"/>
      <c r="J15" s="187">
        <v>1</v>
      </c>
      <c r="K15" s="187">
        <v>1</v>
      </c>
      <c r="L15" s="187">
        <v>1</v>
      </c>
      <c r="M15" s="187"/>
      <c r="N15" s="187"/>
      <c r="O15" s="187"/>
      <c r="P15" s="187"/>
      <c r="Q15" s="187"/>
      <c r="R15" s="187"/>
      <c r="S15" s="187"/>
      <c r="T15" s="187"/>
      <c r="U15" s="188">
        <v>1</v>
      </c>
      <c r="V15" s="208">
        <v>1</v>
      </c>
      <c r="W15" s="187">
        <v>1</v>
      </c>
      <c r="X15" s="188">
        <v>1</v>
      </c>
      <c r="Y15" s="187"/>
      <c r="AA15" s="208">
        <f t="shared" si="6"/>
        <v>1</v>
      </c>
      <c r="AB15" s="187">
        <f t="shared" si="6"/>
        <v>1</v>
      </c>
      <c r="AC15" s="187">
        <f t="shared" si="6"/>
        <v>1</v>
      </c>
      <c r="AD15" s="187">
        <f t="shared" si="6"/>
        <v>0</v>
      </c>
      <c r="AE15" s="187">
        <f t="shared" si="6"/>
        <v>0</v>
      </c>
      <c r="AF15" s="187">
        <f t="shared" si="6"/>
        <v>0</v>
      </c>
      <c r="AG15" s="187">
        <f t="shared" si="6"/>
        <v>0</v>
      </c>
      <c r="AH15" s="187">
        <f t="shared" si="6"/>
        <v>0</v>
      </c>
      <c r="AI15" s="187">
        <f t="shared" si="6"/>
        <v>0</v>
      </c>
      <c r="AJ15" s="187">
        <f t="shared" si="6"/>
        <v>0</v>
      </c>
      <c r="AK15" s="187">
        <f t="shared" si="6"/>
        <v>0</v>
      </c>
      <c r="AL15" s="187">
        <f t="shared" si="6"/>
        <v>1</v>
      </c>
      <c r="AM15" s="208">
        <f t="shared" si="6"/>
        <v>1</v>
      </c>
      <c r="AN15" s="187">
        <f t="shared" si="6"/>
        <v>1</v>
      </c>
      <c r="AO15" s="188">
        <f t="shared" si="6"/>
        <v>1</v>
      </c>
      <c r="AQ15" s="208">
        <f t="shared" si="7"/>
        <v>1</v>
      </c>
      <c r="AR15" s="187">
        <f t="shared" si="7"/>
        <v>1</v>
      </c>
      <c r="AS15" s="187">
        <f t="shared" si="7"/>
        <v>1</v>
      </c>
      <c r="AT15" s="187">
        <f t="shared" si="7"/>
        <v>0</v>
      </c>
      <c r="AU15" s="187">
        <f t="shared" si="7"/>
        <v>0</v>
      </c>
      <c r="AV15" s="187">
        <f t="shared" si="7"/>
        <v>0</v>
      </c>
      <c r="AW15" s="187">
        <f t="shared" si="7"/>
        <v>0</v>
      </c>
      <c r="AX15" s="187">
        <f t="shared" si="7"/>
        <v>0</v>
      </c>
      <c r="AY15" s="187">
        <f t="shared" si="7"/>
        <v>0</v>
      </c>
      <c r="AZ15" s="187">
        <f t="shared" si="7"/>
        <v>0</v>
      </c>
      <c r="BA15" s="187">
        <f t="shared" si="7"/>
        <v>0</v>
      </c>
      <c r="BB15" s="188">
        <f t="shared" si="7"/>
        <v>1</v>
      </c>
      <c r="BC15" s="208">
        <f t="shared" si="7"/>
        <v>1</v>
      </c>
      <c r="BD15" s="208">
        <f t="shared" si="7"/>
        <v>1</v>
      </c>
      <c r="BE15" s="188">
        <f t="shared" si="7"/>
        <v>1</v>
      </c>
      <c r="BG15" s="208">
        <f t="shared" si="8"/>
        <v>0</v>
      </c>
      <c r="BH15" s="187">
        <f t="shared" si="8"/>
        <v>0</v>
      </c>
      <c r="BI15" s="187">
        <f t="shared" si="8"/>
        <v>0</v>
      </c>
      <c r="BJ15" s="187">
        <f t="shared" si="8"/>
        <v>0</v>
      </c>
      <c r="BK15" s="187">
        <f t="shared" si="8"/>
        <v>0</v>
      </c>
      <c r="BL15" s="187">
        <f t="shared" si="8"/>
        <v>0</v>
      </c>
      <c r="BM15" s="187">
        <f t="shared" si="8"/>
        <v>0</v>
      </c>
      <c r="BN15" s="187">
        <f t="shared" si="8"/>
        <v>0</v>
      </c>
      <c r="BO15" s="187">
        <f t="shared" si="8"/>
        <v>0</v>
      </c>
      <c r="BP15" s="187">
        <f t="shared" si="8"/>
        <v>0</v>
      </c>
      <c r="BQ15" s="187">
        <f t="shared" si="8"/>
        <v>0</v>
      </c>
      <c r="BR15" s="188">
        <f t="shared" si="8"/>
        <v>0</v>
      </c>
      <c r="BS15" s="208">
        <f t="shared" si="8"/>
        <v>0</v>
      </c>
      <c r="BT15" s="208">
        <f t="shared" si="8"/>
        <v>0</v>
      </c>
      <c r="BU15" s="188">
        <f t="shared" si="8"/>
        <v>0</v>
      </c>
      <c r="BW15" s="208">
        <f t="shared" si="9"/>
        <v>0</v>
      </c>
      <c r="BX15" s="187">
        <f t="shared" si="9"/>
        <v>0</v>
      </c>
      <c r="BY15" s="187">
        <f t="shared" si="9"/>
        <v>0</v>
      </c>
      <c r="BZ15" s="187">
        <f t="shared" si="9"/>
        <v>0</v>
      </c>
      <c r="CA15" s="187">
        <f t="shared" si="9"/>
        <v>0</v>
      </c>
      <c r="CB15" s="187">
        <f t="shared" si="9"/>
        <v>0</v>
      </c>
      <c r="CC15" s="187">
        <f t="shared" si="9"/>
        <v>0</v>
      </c>
      <c r="CD15" s="187">
        <f t="shared" si="9"/>
        <v>0</v>
      </c>
      <c r="CE15" s="187">
        <f t="shared" si="9"/>
        <v>0</v>
      </c>
      <c r="CF15" s="187">
        <f t="shared" si="9"/>
        <v>0</v>
      </c>
      <c r="CG15" s="187">
        <f t="shared" si="9"/>
        <v>0</v>
      </c>
      <c r="CH15" s="188">
        <f t="shared" si="9"/>
        <v>0</v>
      </c>
      <c r="CI15" s="208">
        <f t="shared" si="9"/>
        <v>0</v>
      </c>
      <c r="CJ15" s="208">
        <f t="shared" si="9"/>
        <v>0</v>
      </c>
      <c r="CK15" s="188">
        <f t="shared" si="9"/>
        <v>0</v>
      </c>
      <c r="CM15" s="208">
        <f t="shared" si="10"/>
        <v>0</v>
      </c>
      <c r="CN15" s="187">
        <f t="shared" si="10"/>
        <v>0</v>
      </c>
      <c r="CO15" s="187">
        <f t="shared" si="10"/>
        <v>0</v>
      </c>
      <c r="CP15" s="187">
        <f t="shared" si="10"/>
        <v>0</v>
      </c>
      <c r="CQ15" s="187">
        <f t="shared" si="10"/>
        <v>0</v>
      </c>
      <c r="CR15" s="187">
        <f t="shared" si="10"/>
        <v>0</v>
      </c>
      <c r="CS15" s="187">
        <f t="shared" si="10"/>
        <v>0</v>
      </c>
      <c r="CT15" s="187">
        <f t="shared" si="10"/>
        <v>0</v>
      </c>
      <c r="CU15" s="187">
        <f t="shared" si="10"/>
        <v>0</v>
      </c>
      <c r="CV15" s="187">
        <f t="shared" si="10"/>
        <v>0</v>
      </c>
      <c r="CW15" s="187">
        <f t="shared" si="10"/>
        <v>0</v>
      </c>
      <c r="CX15" s="188">
        <f t="shared" si="10"/>
        <v>0</v>
      </c>
      <c r="CY15" s="208">
        <f t="shared" si="10"/>
        <v>0</v>
      </c>
      <c r="CZ15" s="208">
        <f t="shared" si="10"/>
        <v>0</v>
      </c>
      <c r="DA15" s="188">
        <f t="shared" si="10"/>
        <v>0</v>
      </c>
    </row>
    <row r="16" spans="1:105">
      <c r="A16" s="209">
        <v>2.2999999999999998</v>
      </c>
      <c r="B16" s="210" t="s">
        <v>180</v>
      </c>
      <c r="C16" s="210" t="s">
        <v>131</v>
      </c>
      <c r="D16" s="188">
        <v>1</v>
      </c>
      <c r="E16" s="208">
        <v>1</v>
      </c>
      <c r="F16" s="187">
        <v>1</v>
      </c>
      <c r="G16" s="187"/>
      <c r="H16" s="187"/>
      <c r="I16" s="188"/>
      <c r="J16" s="187">
        <v>1</v>
      </c>
      <c r="K16" s="187">
        <v>1</v>
      </c>
      <c r="L16" s="187">
        <v>1</v>
      </c>
      <c r="M16" s="187"/>
      <c r="N16" s="187"/>
      <c r="O16" s="187"/>
      <c r="P16" s="187"/>
      <c r="Q16" s="187">
        <v>1</v>
      </c>
      <c r="R16" s="187"/>
      <c r="S16" s="187"/>
      <c r="T16" s="187"/>
      <c r="U16" s="188">
        <v>1</v>
      </c>
      <c r="V16" s="208">
        <v>1</v>
      </c>
      <c r="W16" s="187">
        <v>1</v>
      </c>
      <c r="X16" s="188">
        <v>1</v>
      </c>
      <c r="Y16" s="187"/>
      <c r="AA16" s="208">
        <f t="shared" si="6"/>
        <v>1</v>
      </c>
      <c r="AB16" s="187">
        <f t="shared" si="6"/>
        <v>1</v>
      </c>
      <c r="AC16" s="187">
        <f t="shared" si="6"/>
        <v>1</v>
      </c>
      <c r="AD16" s="187">
        <f t="shared" si="6"/>
        <v>0</v>
      </c>
      <c r="AE16" s="187">
        <f t="shared" si="6"/>
        <v>0</v>
      </c>
      <c r="AF16" s="187">
        <f t="shared" si="6"/>
        <v>0</v>
      </c>
      <c r="AG16" s="187">
        <f t="shared" si="6"/>
        <v>0</v>
      </c>
      <c r="AH16" s="187">
        <f t="shared" si="6"/>
        <v>1</v>
      </c>
      <c r="AI16" s="187">
        <f t="shared" si="6"/>
        <v>0</v>
      </c>
      <c r="AJ16" s="187">
        <f t="shared" si="6"/>
        <v>0</v>
      </c>
      <c r="AK16" s="187">
        <f t="shared" si="6"/>
        <v>0</v>
      </c>
      <c r="AL16" s="187">
        <f t="shared" si="6"/>
        <v>1</v>
      </c>
      <c r="AM16" s="208">
        <f t="shared" si="6"/>
        <v>1</v>
      </c>
      <c r="AN16" s="187">
        <f t="shared" si="6"/>
        <v>1</v>
      </c>
      <c r="AO16" s="188">
        <f t="shared" si="6"/>
        <v>1</v>
      </c>
      <c r="AQ16" s="208">
        <f t="shared" si="7"/>
        <v>1</v>
      </c>
      <c r="AR16" s="187">
        <f t="shared" si="7"/>
        <v>1</v>
      </c>
      <c r="AS16" s="187">
        <f t="shared" si="7"/>
        <v>1</v>
      </c>
      <c r="AT16" s="187">
        <f t="shared" si="7"/>
        <v>0</v>
      </c>
      <c r="AU16" s="187">
        <f t="shared" si="7"/>
        <v>0</v>
      </c>
      <c r="AV16" s="187">
        <f t="shared" si="7"/>
        <v>0</v>
      </c>
      <c r="AW16" s="187">
        <f t="shared" si="7"/>
        <v>0</v>
      </c>
      <c r="AX16" s="187">
        <f t="shared" si="7"/>
        <v>1</v>
      </c>
      <c r="AY16" s="187">
        <f t="shared" si="7"/>
        <v>0</v>
      </c>
      <c r="AZ16" s="187">
        <f t="shared" si="7"/>
        <v>0</v>
      </c>
      <c r="BA16" s="187">
        <f t="shared" si="7"/>
        <v>0</v>
      </c>
      <c r="BB16" s="188">
        <f t="shared" si="7"/>
        <v>1</v>
      </c>
      <c r="BC16" s="208">
        <f t="shared" si="7"/>
        <v>1</v>
      </c>
      <c r="BD16" s="208">
        <f t="shared" si="7"/>
        <v>1</v>
      </c>
      <c r="BE16" s="188">
        <f t="shared" si="7"/>
        <v>1</v>
      </c>
      <c r="BG16" s="208">
        <f t="shared" si="8"/>
        <v>0</v>
      </c>
      <c r="BH16" s="187">
        <f t="shared" si="8"/>
        <v>0</v>
      </c>
      <c r="BI16" s="187">
        <f t="shared" si="8"/>
        <v>0</v>
      </c>
      <c r="BJ16" s="187">
        <f t="shared" si="8"/>
        <v>0</v>
      </c>
      <c r="BK16" s="187">
        <f t="shared" si="8"/>
        <v>0</v>
      </c>
      <c r="BL16" s="187">
        <f t="shared" si="8"/>
        <v>0</v>
      </c>
      <c r="BM16" s="187">
        <f t="shared" si="8"/>
        <v>0</v>
      </c>
      <c r="BN16" s="187">
        <f t="shared" si="8"/>
        <v>0</v>
      </c>
      <c r="BO16" s="187">
        <f t="shared" si="8"/>
        <v>0</v>
      </c>
      <c r="BP16" s="187">
        <f t="shared" si="8"/>
        <v>0</v>
      </c>
      <c r="BQ16" s="187">
        <f t="shared" si="8"/>
        <v>0</v>
      </c>
      <c r="BR16" s="188">
        <f t="shared" si="8"/>
        <v>0</v>
      </c>
      <c r="BS16" s="208">
        <f t="shared" si="8"/>
        <v>0</v>
      </c>
      <c r="BT16" s="208">
        <f t="shared" si="8"/>
        <v>0</v>
      </c>
      <c r="BU16" s="188">
        <f t="shared" si="8"/>
        <v>0</v>
      </c>
      <c r="BW16" s="208">
        <f t="shared" si="9"/>
        <v>0</v>
      </c>
      <c r="BX16" s="187">
        <f t="shared" si="9"/>
        <v>0</v>
      </c>
      <c r="BY16" s="187">
        <f t="shared" si="9"/>
        <v>0</v>
      </c>
      <c r="BZ16" s="187">
        <f t="shared" si="9"/>
        <v>0</v>
      </c>
      <c r="CA16" s="187">
        <f t="shared" si="9"/>
        <v>0</v>
      </c>
      <c r="CB16" s="187">
        <f t="shared" si="9"/>
        <v>0</v>
      </c>
      <c r="CC16" s="187">
        <f t="shared" si="9"/>
        <v>0</v>
      </c>
      <c r="CD16" s="187">
        <f t="shared" si="9"/>
        <v>0</v>
      </c>
      <c r="CE16" s="187">
        <f t="shared" si="9"/>
        <v>0</v>
      </c>
      <c r="CF16" s="187">
        <f t="shared" si="9"/>
        <v>0</v>
      </c>
      <c r="CG16" s="187">
        <f t="shared" si="9"/>
        <v>0</v>
      </c>
      <c r="CH16" s="188">
        <f t="shared" si="9"/>
        <v>0</v>
      </c>
      <c r="CI16" s="208">
        <f t="shared" si="9"/>
        <v>0</v>
      </c>
      <c r="CJ16" s="208">
        <f t="shared" si="9"/>
        <v>0</v>
      </c>
      <c r="CK16" s="188">
        <f t="shared" si="9"/>
        <v>0</v>
      </c>
      <c r="CM16" s="208">
        <f t="shared" si="10"/>
        <v>0</v>
      </c>
      <c r="CN16" s="187">
        <f t="shared" si="10"/>
        <v>0</v>
      </c>
      <c r="CO16" s="187">
        <f t="shared" si="10"/>
        <v>0</v>
      </c>
      <c r="CP16" s="187">
        <f t="shared" si="10"/>
        <v>0</v>
      </c>
      <c r="CQ16" s="187">
        <f t="shared" si="10"/>
        <v>0</v>
      </c>
      <c r="CR16" s="187">
        <f t="shared" si="10"/>
        <v>0</v>
      </c>
      <c r="CS16" s="187">
        <f t="shared" si="10"/>
        <v>0</v>
      </c>
      <c r="CT16" s="187">
        <f t="shared" si="10"/>
        <v>0</v>
      </c>
      <c r="CU16" s="187">
        <f t="shared" si="10"/>
        <v>0</v>
      </c>
      <c r="CV16" s="187">
        <f t="shared" si="10"/>
        <v>0</v>
      </c>
      <c r="CW16" s="187">
        <f t="shared" si="10"/>
        <v>0</v>
      </c>
      <c r="CX16" s="188">
        <f t="shared" si="10"/>
        <v>0</v>
      </c>
      <c r="CY16" s="208">
        <f t="shared" si="10"/>
        <v>0</v>
      </c>
      <c r="CZ16" s="208">
        <f t="shared" si="10"/>
        <v>0</v>
      </c>
      <c r="DA16" s="188">
        <f t="shared" si="10"/>
        <v>0</v>
      </c>
    </row>
    <row r="17" spans="1:105">
      <c r="A17" s="209">
        <v>2.4</v>
      </c>
      <c r="B17" s="210" t="s">
        <v>181</v>
      </c>
      <c r="C17" s="210" t="s">
        <v>131</v>
      </c>
      <c r="D17" s="188">
        <v>1</v>
      </c>
      <c r="E17" s="208">
        <v>1</v>
      </c>
      <c r="F17" s="187">
        <v>1</v>
      </c>
      <c r="G17" s="187"/>
      <c r="H17" s="187"/>
      <c r="I17" s="188"/>
      <c r="J17" s="187">
        <v>1</v>
      </c>
      <c r="K17" s="187">
        <v>1</v>
      </c>
      <c r="L17" s="187">
        <v>1</v>
      </c>
      <c r="M17" s="187"/>
      <c r="N17" s="187"/>
      <c r="O17" s="187"/>
      <c r="P17" s="187"/>
      <c r="Q17" s="187"/>
      <c r="R17" s="187"/>
      <c r="S17" s="187"/>
      <c r="T17" s="187"/>
      <c r="U17" s="188"/>
      <c r="V17" s="208">
        <v>1</v>
      </c>
      <c r="W17" s="187">
        <v>1</v>
      </c>
      <c r="X17" s="188">
        <v>1</v>
      </c>
      <c r="Y17" s="187"/>
      <c r="AA17" s="208">
        <f t="shared" si="6"/>
        <v>1</v>
      </c>
      <c r="AB17" s="187">
        <f t="shared" si="6"/>
        <v>1</v>
      </c>
      <c r="AC17" s="187">
        <f t="shared" si="6"/>
        <v>1</v>
      </c>
      <c r="AD17" s="187">
        <f t="shared" si="6"/>
        <v>0</v>
      </c>
      <c r="AE17" s="187">
        <f t="shared" si="6"/>
        <v>0</v>
      </c>
      <c r="AF17" s="187">
        <f t="shared" si="6"/>
        <v>0</v>
      </c>
      <c r="AG17" s="187">
        <f t="shared" si="6"/>
        <v>0</v>
      </c>
      <c r="AH17" s="187">
        <f t="shared" si="6"/>
        <v>0</v>
      </c>
      <c r="AI17" s="187">
        <f t="shared" si="6"/>
        <v>0</v>
      </c>
      <c r="AJ17" s="187">
        <f t="shared" si="6"/>
        <v>0</v>
      </c>
      <c r="AK17" s="187">
        <f t="shared" si="6"/>
        <v>0</v>
      </c>
      <c r="AL17" s="187">
        <f t="shared" si="6"/>
        <v>0</v>
      </c>
      <c r="AM17" s="208">
        <f t="shared" si="6"/>
        <v>1</v>
      </c>
      <c r="AN17" s="187">
        <f t="shared" si="6"/>
        <v>1</v>
      </c>
      <c r="AO17" s="188">
        <f t="shared" si="6"/>
        <v>1</v>
      </c>
      <c r="AQ17" s="208">
        <f t="shared" si="7"/>
        <v>1</v>
      </c>
      <c r="AR17" s="187">
        <f t="shared" si="7"/>
        <v>1</v>
      </c>
      <c r="AS17" s="187">
        <f t="shared" si="7"/>
        <v>1</v>
      </c>
      <c r="AT17" s="187">
        <f t="shared" si="7"/>
        <v>0</v>
      </c>
      <c r="AU17" s="187">
        <f t="shared" si="7"/>
        <v>0</v>
      </c>
      <c r="AV17" s="187">
        <f t="shared" si="7"/>
        <v>0</v>
      </c>
      <c r="AW17" s="187">
        <f t="shared" si="7"/>
        <v>0</v>
      </c>
      <c r="AX17" s="187">
        <f t="shared" si="7"/>
        <v>0</v>
      </c>
      <c r="AY17" s="187">
        <f t="shared" si="7"/>
        <v>0</v>
      </c>
      <c r="AZ17" s="187">
        <f t="shared" si="7"/>
        <v>0</v>
      </c>
      <c r="BA17" s="187">
        <f t="shared" si="7"/>
        <v>0</v>
      </c>
      <c r="BB17" s="188">
        <f t="shared" si="7"/>
        <v>0</v>
      </c>
      <c r="BC17" s="208">
        <f t="shared" si="7"/>
        <v>1</v>
      </c>
      <c r="BD17" s="208">
        <f t="shared" si="7"/>
        <v>1</v>
      </c>
      <c r="BE17" s="188">
        <f t="shared" si="7"/>
        <v>1</v>
      </c>
      <c r="BG17" s="208">
        <f t="shared" si="8"/>
        <v>0</v>
      </c>
      <c r="BH17" s="187">
        <f t="shared" si="8"/>
        <v>0</v>
      </c>
      <c r="BI17" s="187">
        <f t="shared" si="8"/>
        <v>0</v>
      </c>
      <c r="BJ17" s="187">
        <f t="shared" si="8"/>
        <v>0</v>
      </c>
      <c r="BK17" s="187">
        <f t="shared" si="8"/>
        <v>0</v>
      </c>
      <c r="BL17" s="187">
        <f t="shared" si="8"/>
        <v>0</v>
      </c>
      <c r="BM17" s="187">
        <f t="shared" si="8"/>
        <v>0</v>
      </c>
      <c r="BN17" s="187">
        <f t="shared" si="8"/>
        <v>0</v>
      </c>
      <c r="BO17" s="187">
        <f t="shared" si="8"/>
        <v>0</v>
      </c>
      <c r="BP17" s="187">
        <f t="shared" si="8"/>
        <v>0</v>
      </c>
      <c r="BQ17" s="187">
        <f t="shared" si="8"/>
        <v>0</v>
      </c>
      <c r="BR17" s="188">
        <f t="shared" si="8"/>
        <v>0</v>
      </c>
      <c r="BS17" s="208">
        <f t="shared" si="8"/>
        <v>0</v>
      </c>
      <c r="BT17" s="208">
        <f t="shared" si="8"/>
        <v>0</v>
      </c>
      <c r="BU17" s="188">
        <f t="shared" si="8"/>
        <v>0</v>
      </c>
      <c r="BW17" s="208">
        <f t="shared" si="9"/>
        <v>0</v>
      </c>
      <c r="BX17" s="187">
        <f t="shared" si="9"/>
        <v>0</v>
      </c>
      <c r="BY17" s="187">
        <f t="shared" si="9"/>
        <v>0</v>
      </c>
      <c r="BZ17" s="187">
        <f t="shared" si="9"/>
        <v>0</v>
      </c>
      <c r="CA17" s="187">
        <f t="shared" si="9"/>
        <v>0</v>
      </c>
      <c r="CB17" s="187">
        <f t="shared" si="9"/>
        <v>0</v>
      </c>
      <c r="CC17" s="187">
        <f t="shared" si="9"/>
        <v>0</v>
      </c>
      <c r="CD17" s="187">
        <f t="shared" si="9"/>
        <v>0</v>
      </c>
      <c r="CE17" s="187">
        <f t="shared" si="9"/>
        <v>0</v>
      </c>
      <c r="CF17" s="187">
        <f t="shared" si="9"/>
        <v>0</v>
      </c>
      <c r="CG17" s="187">
        <f t="shared" si="9"/>
        <v>0</v>
      </c>
      <c r="CH17" s="188">
        <f t="shared" si="9"/>
        <v>0</v>
      </c>
      <c r="CI17" s="208">
        <f t="shared" si="9"/>
        <v>0</v>
      </c>
      <c r="CJ17" s="208">
        <f t="shared" si="9"/>
        <v>0</v>
      </c>
      <c r="CK17" s="188">
        <f t="shared" si="9"/>
        <v>0</v>
      </c>
      <c r="CM17" s="208">
        <f t="shared" si="10"/>
        <v>0</v>
      </c>
      <c r="CN17" s="187">
        <f t="shared" si="10"/>
        <v>0</v>
      </c>
      <c r="CO17" s="187">
        <f t="shared" si="10"/>
        <v>0</v>
      </c>
      <c r="CP17" s="187">
        <f t="shared" si="10"/>
        <v>0</v>
      </c>
      <c r="CQ17" s="187">
        <f t="shared" si="10"/>
        <v>0</v>
      </c>
      <c r="CR17" s="187">
        <f t="shared" si="10"/>
        <v>0</v>
      </c>
      <c r="CS17" s="187">
        <f t="shared" si="10"/>
        <v>0</v>
      </c>
      <c r="CT17" s="187">
        <f t="shared" si="10"/>
        <v>0</v>
      </c>
      <c r="CU17" s="187">
        <f t="shared" si="10"/>
        <v>0</v>
      </c>
      <c r="CV17" s="187">
        <f t="shared" si="10"/>
        <v>0</v>
      </c>
      <c r="CW17" s="187">
        <f t="shared" si="10"/>
        <v>0</v>
      </c>
      <c r="CX17" s="188">
        <f t="shared" si="10"/>
        <v>0</v>
      </c>
      <c r="CY17" s="208">
        <f t="shared" si="10"/>
        <v>0</v>
      </c>
      <c r="CZ17" s="208">
        <f t="shared" si="10"/>
        <v>0</v>
      </c>
      <c r="DA17" s="188">
        <f t="shared" si="10"/>
        <v>0</v>
      </c>
    </row>
    <row r="18" spans="1:105">
      <c r="A18" s="209">
        <v>2.5</v>
      </c>
      <c r="B18" s="210" t="s">
        <v>182</v>
      </c>
      <c r="C18" s="210" t="s">
        <v>131</v>
      </c>
      <c r="D18" s="188">
        <v>1</v>
      </c>
      <c r="E18" s="208">
        <v>1</v>
      </c>
      <c r="F18" s="187">
        <v>1</v>
      </c>
      <c r="G18" s="187"/>
      <c r="H18" s="187"/>
      <c r="I18" s="188"/>
      <c r="J18" s="187">
        <v>1</v>
      </c>
      <c r="K18" s="187">
        <v>1</v>
      </c>
      <c r="L18" s="187">
        <v>1</v>
      </c>
      <c r="M18" s="187">
        <v>1</v>
      </c>
      <c r="N18" s="187">
        <v>1</v>
      </c>
      <c r="O18" s="187"/>
      <c r="P18" s="187"/>
      <c r="Q18" s="187">
        <v>1</v>
      </c>
      <c r="R18" s="187"/>
      <c r="S18" s="187">
        <v>1</v>
      </c>
      <c r="T18" s="187"/>
      <c r="U18" s="188"/>
      <c r="V18" s="208">
        <v>1</v>
      </c>
      <c r="W18" s="187">
        <v>1</v>
      </c>
      <c r="X18" s="188">
        <v>1</v>
      </c>
      <c r="Y18" s="187"/>
      <c r="AA18" s="208">
        <f t="shared" si="6"/>
        <v>1</v>
      </c>
      <c r="AB18" s="187">
        <f t="shared" si="6"/>
        <v>1</v>
      </c>
      <c r="AC18" s="187">
        <f t="shared" si="6"/>
        <v>1</v>
      </c>
      <c r="AD18" s="187">
        <f t="shared" si="6"/>
        <v>1</v>
      </c>
      <c r="AE18" s="187">
        <f t="shared" si="6"/>
        <v>1</v>
      </c>
      <c r="AF18" s="187">
        <f t="shared" si="6"/>
        <v>0</v>
      </c>
      <c r="AG18" s="187">
        <f t="shared" si="6"/>
        <v>0</v>
      </c>
      <c r="AH18" s="187">
        <f t="shared" si="6"/>
        <v>1</v>
      </c>
      <c r="AI18" s="187">
        <f t="shared" si="6"/>
        <v>0</v>
      </c>
      <c r="AJ18" s="187">
        <f t="shared" si="6"/>
        <v>1</v>
      </c>
      <c r="AK18" s="187">
        <f t="shared" si="6"/>
        <v>0</v>
      </c>
      <c r="AL18" s="187">
        <f t="shared" si="6"/>
        <v>0</v>
      </c>
      <c r="AM18" s="208">
        <f t="shared" si="6"/>
        <v>1</v>
      </c>
      <c r="AN18" s="187">
        <f t="shared" si="6"/>
        <v>1</v>
      </c>
      <c r="AO18" s="188">
        <f t="shared" si="6"/>
        <v>1</v>
      </c>
      <c r="AQ18" s="208">
        <f t="shared" si="7"/>
        <v>1</v>
      </c>
      <c r="AR18" s="187">
        <f t="shared" si="7"/>
        <v>1</v>
      </c>
      <c r="AS18" s="187">
        <f t="shared" si="7"/>
        <v>1</v>
      </c>
      <c r="AT18" s="187">
        <f t="shared" si="7"/>
        <v>1</v>
      </c>
      <c r="AU18" s="187">
        <f t="shared" si="7"/>
        <v>1</v>
      </c>
      <c r="AV18" s="187">
        <f t="shared" si="7"/>
        <v>0</v>
      </c>
      <c r="AW18" s="187">
        <f t="shared" si="7"/>
        <v>0</v>
      </c>
      <c r="AX18" s="187">
        <f t="shared" si="7"/>
        <v>1</v>
      </c>
      <c r="AY18" s="187">
        <f t="shared" si="7"/>
        <v>0</v>
      </c>
      <c r="AZ18" s="187">
        <f t="shared" si="7"/>
        <v>1</v>
      </c>
      <c r="BA18" s="187">
        <f t="shared" si="7"/>
        <v>0</v>
      </c>
      <c r="BB18" s="188">
        <f t="shared" si="7"/>
        <v>0</v>
      </c>
      <c r="BC18" s="208">
        <f t="shared" si="7"/>
        <v>1</v>
      </c>
      <c r="BD18" s="208">
        <f t="shared" si="7"/>
        <v>1</v>
      </c>
      <c r="BE18" s="188">
        <f t="shared" si="7"/>
        <v>1</v>
      </c>
      <c r="BG18" s="208">
        <f t="shared" si="8"/>
        <v>0</v>
      </c>
      <c r="BH18" s="187">
        <f t="shared" si="8"/>
        <v>0</v>
      </c>
      <c r="BI18" s="187">
        <f t="shared" si="8"/>
        <v>0</v>
      </c>
      <c r="BJ18" s="187">
        <f t="shared" si="8"/>
        <v>0</v>
      </c>
      <c r="BK18" s="187">
        <f t="shared" si="8"/>
        <v>0</v>
      </c>
      <c r="BL18" s="187">
        <f t="shared" si="8"/>
        <v>0</v>
      </c>
      <c r="BM18" s="187">
        <f t="shared" si="8"/>
        <v>0</v>
      </c>
      <c r="BN18" s="187">
        <f t="shared" si="8"/>
        <v>0</v>
      </c>
      <c r="BO18" s="187">
        <f t="shared" si="8"/>
        <v>0</v>
      </c>
      <c r="BP18" s="187">
        <f t="shared" si="8"/>
        <v>0</v>
      </c>
      <c r="BQ18" s="187">
        <f t="shared" si="8"/>
        <v>0</v>
      </c>
      <c r="BR18" s="188">
        <f t="shared" si="8"/>
        <v>0</v>
      </c>
      <c r="BS18" s="208">
        <f t="shared" si="8"/>
        <v>0</v>
      </c>
      <c r="BT18" s="208">
        <f t="shared" si="8"/>
        <v>0</v>
      </c>
      <c r="BU18" s="188">
        <f t="shared" si="8"/>
        <v>0</v>
      </c>
      <c r="BW18" s="208">
        <f t="shared" si="9"/>
        <v>0</v>
      </c>
      <c r="BX18" s="187">
        <f t="shared" si="9"/>
        <v>0</v>
      </c>
      <c r="BY18" s="187">
        <f t="shared" si="9"/>
        <v>0</v>
      </c>
      <c r="BZ18" s="187">
        <f t="shared" si="9"/>
        <v>0</v>
      </c>
      <c r="CA18" s="187">
        <f t="shared" si="9"/>
        <v>0</v>
      </c>
      <c r="CB18" s="187">
        <f t="shared" si="9"/>
        <v>0</v>
      </c>
      <c r="CC18" s="187">
        <f t="shared" si="9"/>
        <v>0</v>
      </c>
      <c r="CD18" s="187">
        <f t="shared" si="9"/>
        <v>0</v>
      </c>
      <c r="CE18" s="187">
        <f t="shared" si="9"/>
        <v>0</v>
      </c>
      <c r="CF18" s="187">
        <f t="shared" si="9"/>
        <v>0</v>
      </c>
      <c r="CG18" s="187">
        <f t="shared" si="9"/>
        <v>0</v>
      </c>
      <c r="CH18" s="188">
        <f t="shared" si="9"/>
        <v>0</v>
      </c>
      <c r="CI18" s="208">
        <f t="shared" si="9"/>
        <v>0</v>
      </c>
      <c r="CJ18" s="208">
        <f t="shared" si="9"/>
        <v>0</v>
      </c>
      <c r="CK18" s="188">
        <f t="shared" si="9"/>
        <v>0</v>
      </c>
      <c r="CM18" s="208">
        <f t="shared" si="10"/>
        <v>0</v>
      </c>
      <c r="CN18" s="187">
        <f t="shared" si="10"/>
        <v>0</v>
      </c>
      <c r="CO18" s="187">
        <f t="shared" si="10"/>
        <v>0</v>
      </c>
      <c r="CP18" s="187">
        <f t="shared" si="10"/>
        <v>0</v>
      </c>
      <c r="CQ18" s="187">
        <f t="shared" si="10"/>
        <v>0</v>
      </c>
      <c r="CR18" s="187">
        <f t="shared" si="10"/>
        <v>0</v>
      </c>
      <c r="CS18" s="187">
        <f t="shared" si="10"/>
        <v>0</v>
      </c>
      <c r="CT18" s="187">
        <f t="shared" si="10"/>
        <v>0</v>
      </c>
      <c r="CU18" s="187">
        <f t="shared" si="10"/>
        <v>0</v>
      </c>
      <c r="CV18" s="187">
        <f t="shared" si="10"/>
        <v>0</v>
      </c>
      <c r="CW18" s="187">
        <f t="shared" si="10"/>
        <v>0</v>
      </c>
      <c r="CX18" s="188">
        <f t="shared" si="10"/>
        <v>0</v>
      </c>
      <c r="CY18" s="208">
        <f t="shared" si="10"/>
        <v>0</v>
      </c>
      <c r="CZ18" s="208">
        <f t="shared" si="10"/>
        <v>0</v>
      </c>
      <c r="DA18" s="188">
        <f t="shared" si="10"/>
        <v>0</v>
      </c>
    </row>
    <row r="19" spans="1:105">
      <c r="A19" s="209">
        <v>2.6</v>
      </c>
      <c r="B19" s="211" t="s">
        <v>183</v>
      </c>
      <c r="C19" s="210" t="s">
        <v>131</v>
      </c>
      <c r="D19" s="188">
        <v>1</v>
      </c>
      <c r="E19" s="208">
        <v>1</v>
      </c>
      <c r="F19" s="187">
        <v>1</v>
      </c>
      <c r="G19" s="187"/>
      <c r="H19" s="187"/>
      <c r="I19" s="188"/>
      <c r="J19" s="187">
        <v>1</v>
      </c>
      <c r="K19" s="187">
        <v>1</v>
      </c>
      <c r="L19" s="187">
        <v>1</v>
      </c>
      <c r="M19" s="187">
        <v>1</v>
      </c>
      <c r="N19" s="187">
        <v>1</v>
      </c>
      <c r="O19" s="187"/>
      <c r="P19" s="187"/>
      <c r="Q19" s="187">
        <v>1</v>
      </c>
      <c r="R19" s="187"/>
      <c r="S19" s="187">
        <v>1</v>
      </c>
      <c r="T19" s="187"/>
      <c r="U19" s="188"/>
      <c r="V19" s="208">
        <v>1</v>
      </c>
      <c r="W19" s="187">
        <v>1</v>
      </c>
      <c r="X19" s="188">
        <v>1</v>
      </c>
      <c r="Y19" s="187"/>
      <c r="AA19" s="208">
        <f t="shared" si="6"/>
        <v>1</v>
      </c>
      <c r="AB19" s="187">
        <f t="shared" si="6"/>
        <v>1</v>
      </c>
      <c r="AC19" s="187">
        <f t="shared" si="6"/>
        <v>1</v>
      </c>
      <c r="AD19" s="187">
        <f t="shared" si="6"/>
        <v>1</v>
      </c>
      <c r="AE19" s="187">
        <f t="shared" si="6"/>
        <v>1</v>
      </c>
      <c r="AF19" s="187">
        <f t="shared" si="6"/>
        <v>0</v>
      </c>
      <c r="AG19" s="187">
        <f t="shared" si="6"/>
        <v>0</v>
      </c>
      <c r="AH19" s="187">
        <f t="shared" si="6"/>
        <v>1</v>
      </c>
      <c r="AI19" s="187">
        <f t="shared" si="6"/>
        <v>0</v>
      </c>
      <c r="AJ19" s="187">
        <f t="shared" si="6"/>
        <v>1</v>
      </c>
      <c r="AK19" s="187">
        <f t="shared" si="6"/>
        <v>0</v>
      </c>
      <c r="AL19" s="187">
        <f t="shared" si="6"/>
        <v>0</v>
      </c>
      <c r="AM19" s="208">
        <f t="shared" si="6"/>
        <v>1</v>
      </c>
      <c r="AN19" s="187">
        <f t="shared" si="6"/>
        <v>1</v>
      </c>
      <c r="AO19" s="188">
        <f t="shared" si="6"/>
        <v>1</v>
      </c>
      <c r="AQ19" s="208">
        <f t="shared" si="7"/>
        <v>1</v>
      </c>
      <c r="AR19" s="187">
        <f t="shared" si="7"/>
        <v>1</v>
      </c>
      <c r="AS19" s="187">
        <f t="shared" si="7"/>
        <v>1</v>
      </c>
      <c r="AT19" s="187">
        <f t="shared" si="7"/>
        <v>1</v>
      </c>
      <c r="AU19" s="187">
        <f t="shared" si="7"/>
        <v>1</v>
      </c>
      <c r="AV19" s="187">
        <f t="shared" si="7"/>
        <v>0</v>
      </c>
      <c r="AW19" s="187">
        <f t="shared" si="7"/>
        <v>0</v>
      </c>
      <c r="AX19" s="187">
        <f t="shared" si="7"/>
        <v>1</v>
      </c>
      <c r="AY19" s="187">
        <f t="shared" si="7"/>
        <v>0</v>
      </c>
      <c r="AZ19" s="187">
        <f t="shared" si="7"/>
        <v>1</v>
      </c>
      <c r="BA19" s="187">
        <f t="shared" si="7"/>
        <v>0</v>
      </c>
      <c r="BB19" s="188">
        <f t="shared" si="7"/>
        <v>0</v>
      </c>
      <c r="BC19" s="208">
        <f t="shared" si="7"/>
        <v>1</v>
      </c>
      <c r="BD19" s="208">
        <f t="shared" si="7"/>
        <v>1</v>
      </c>
      <c r="BE19" s="188">
        <f t="shared" si="7"/>
        <v>1</v>
      </c>
      <c r="BG19" s="208">
        <f t="shared" si="8"/>
        <v>0</v>
      </c>
      <c r="BH19" s="187">
        <f t="shared" si="8"/>
        <v>0</v>
      </c>
      <c r="BI19" s="187">
        <f t="shared" si="8"/>
        <v>0</v>
      </c>
      <c r="BJ19" s="187">
        <f t="shared" si="8"/>
        <v>0</v>
      </c>
      <c r="BK19" s="187">
        <f t="shared" si="8"/>
        <v>0</v>
      </c>
      <c r="BL19" s="187">
        <f t="shared" si="8"/>
        <v>0</v>
      </c>
      <c r="BM19" s="187">
        <f t="shared" si="8"/>
        <v>0</v>
      </c>
      <c r="BN19" s="187">
        <f t="shared" si="8"/>
        <v>0</v>
      </c>
      <c r="BO19" s="187">
        <f t="shared" si="8"/>
        <v>0</v>
      </c>
      <c r="BP19" s="187">
        <f t="shared" si="8"/>
        <v>0</v>
      </c>
      <c r="BQ19" s="187">
        <f t="shared" si="8"/>
        <v>0</v>
      </c>
      <c r="BR19" s="188">
        <f t="shared" si="8"/>
        <v>0</v>
      </c>
      <c r="BS19" s="208">
        <f t="shared" si="8"/>
        <v>0</v>
      </c>
      <c r="BT19" s="208">
        <f t="shared" si="8"/>
        <v>0</v>
      </c>
      <c r="BU19" s="188">
        <f t="shared" si="8"/>
        <v>0</v>
      </c>
      <c r="BW19" s="208">
        <f t="shared" si="9"/>
        <v>0</v>
      </c>
      <c r="BX19" s="187">
        <f t="shared" si="9"/>
        <v>0</v>
      </c>
      <c r="BY19" s="187">
        <f t="shared" si="9"/>
        <v>0</v>
      </c>
      <c r="BZ19" s="187">
        <f t="shared" si="9"/>
        <v>0</v>
      </c>
      <c r="CA19" s="187">
        <f t="shared" si="9"/>
        <v>0</v>
      </c>
      <c r="CB19" s="187">
        <f t="shared" si="9"/>
        <v>0</v>
      </c>
      <c r="CC19" s="187">
        <f t="shared" si="9"/>
        <v>0</v>
      </c>
      <c r="CD19" s="187">
        <f t="shared" si="9"/>
        <v>0</v>
      </c>
      <c r="CE19" s="187">
        <f t="shared" si="9"/>
        <v>0</v>
      </c>
      <c r="CF19" s="187">
        <f t="shared" si="9"/>
        <v>0</v>
      </c>
      <c r="CG19" s="187">
        <f t="shared" si="9"/>
        <v>0</v>
      </c>
      <c r="CH19" s="188">
        <f t="shared" si="9"/>
        <v>0</v>
      </c>
      <c r="CI19" s="208">
        <f t="shared" si="9"/>
        <v>0</v>
      </c>
      <c r="CJ19" s="208">
        <f t="shared" si="9"/>
        <v>0</v>
      </c>
      <c r="CK19" s="188">
        <f t="shared" si="9"/>
        <v>0</v>
      </c>
      <c r="CM19" s="208">
        <f t="shared" si="10"/>
        <v>0</v>
      </c>
      <c r="CN19" s="187">
        <f t="shared" si="10"/>
        <v>0</v>
      </c>
      <c r="CO19" s="187">
        <f t="shared" si="10"/>
        <v>0</v>
      </c>
      <c r="CP19" s="187">
        <f t="shared" si="10"/>
        <v>0</v>
      </c>
      <c r="CQ19" s="187">
        <f t="shared" si="10"/>
        <v>0</v>
      </c>
      <c r="CR19" s="187">
        <f t="shared" si="10"/>
        <v>0</v>
      </c>
      <c r="CS19" s="187">
        <f t="shared" si="10"/>
        <v>0</v>
      </c>
      <c r="CT19" s="187">
        <f t="shared" si="10"/>
        <v>0</v>
      </c>
      <c r="CU19" s="187">
        <f t="shared" si="10"/>
        <v>0</v>
      </c>
      <c r="CV19" s="187">
        <f t="shared" si="10"/>
        <v>0</v>
      </c>
      <c r="CW19" s="187">
        <f t="shared" si="10"/>
        <v>0</v>
      </c>
      <c r="CX19" s="188">
        <f t="shared" si="10"/>
        <v>0</v>
      </c>
      <c r="CY19" s="208">
        <f t="shared" si="10"/>
        <v>0</v>
      </c>
      <c r="CZ19" s="208">
        <f t="shared" si="10"/>
        <v>0</v>
      </c>
      <c r="DA19" s="188">
        <f t="shared" si="10"/>
        <v>0</v>
      </c>
    </row>
    <row r="20" spans="1:105">
      <c r="A20" s="203" t="s">
        <v>184</v>
      </c>
      <c r="B20" s="204" t="s">
        <v>185</v>
      </c>
      <c r="C20" s="204"/>
      <c r="D20" s="205"/>
      <c r="E20" s="206"/>
      <c r="F20" s="207"/>
      <c r="G20" s="207"/>
      <c r="H20" s="207"/>
      <c r="I20" s="205"/>
      <c r="J20" s="207"/>
      <c r="K20" s="207"/>
      <c r="L20" s="207"/>
      <c r="M20" s="207"/>
      <c r="N20" s="207"/>
      <c r="O20" s="207"/>
      <c r="P20" s="207"/>
      <c r="Q20" s="207"/>
      <c r="R20" s="207"/>
      <c r="S20" s="207"/>
      <c r="T20" s="207"/>
      <c r="U20" s="205"/>
      <c r="V20" s="206"/>
      <c r="W20" s="207"/>
      <c r="X20" s="205"/>
      <c r="Y20" s="207"/>
      <c r="AA20" s="208">
        <f t="shared" si="6"/>
        <v>0</v>
      </c>
      <c r="AB20" s="187">
        <f t="shared" si="6"/>
        <v>0</v>
      </c>
      <c r="AC20" s="187">
        <f t="shared" si="6"/>
        <v>0</v>
      </c>
      <c r="AD20" s="187">
        <f t="shared" si="6"/>
        <v>0</v>
      </c>
      <c r="AE20" s="187">
        <f t="shared" si="6"/>
        <v>0</v>
      </c>
      <c r="AF20" s="187">
        <f t="shared" si="6"/>
        <v>0</v>
      </c>
      <c r="AG20" s="187">
        <f t="shared" si="6"/>
        <v>0</v>
      </c>
      <c r="AH20" s="187">
        <f t="shared" si="6"/>
        <v>0</v>
      </c>
      <c r="AI20" s="187">
        <f t="shared" si="6"/>
        <v>0</v>
      </c>
      <c r="AJ20" s="187">
        <f t="shared" si="6"/>
        <v>0</v>
      </c>
      <c r="AK20" s="187">
        <f t="shared" si="6"/>
        <v>0</v>
      </c>
      <c r="AL20" s="187">
        <f t="shared" si="6"/>
        <v>0</v>
      </c>
      <c r="AM20" s="208">
        <f t="shared" si="6"/>
        <v>0</v>
      </c>
      <c r="AN20" s="187">
        <f t="shared" si="6"/>
        <v>0</v>
      </c>
      <c r="AO20" s="188">
        <f t="shared" si="6"/>
        <v>0</v>
      </c>
      <c r="AQ20" s="208">
        <f t="shared" si="7"/>
        <v>0</v>
      </c>
      <c r="AR20" s="187">
        <f t="shared" si="7"/>
        <v>0</v>
      </c>
      <c r="AS20" s="187">
        <f t="shared" si="7"/>
        <v>0</v>
      </c>
      <c r="AT20" s="187">
        <f t="shared" si="7"/>
        <v>0</v>
      </c>
      <c r="AU20" s="187">
        <f t="shared" si="7"/>
        <v>0</v>
      </c>
      <c r="AV20" s="187">
        <f t="shared" si="7"/>
        <v>0</v>
      </c>
      <c r="AW20" s="187">
        <f t="shared" si="7"/>
        <v>0</v>
      </c>
      <c r="AX20" s="187">
        <f t="shared" si="7"/>
        <v>0</v>
      </c>
      <c r="AY20" s="187">
        <f t="shared" si="7"/>
        <v>0</v>
      </c>
      <c r="AZ20" s="187">
        <f t="shared" si="7"/>
        <v>0</v>
      </c>
      <c r="BA20" s="187">
        <f t="shared" si="7"/>
        <v>0</v>
      </c>
      <c r="BB20" s="188">
        <f t="shared" si="7"/>
        <v>0</v>
      </c>
      <c r="BC20" s="208">
        <f t="shared" si="7"/>
        <v>0</v>
      </c>
      <c r="BD20" s="208">
        <f t="shared" si="7"/>
        <v>0</v>
      </c>
      <c r="BE20" s="188">
        <f t="shared" si="7"/>
        <v>0</v>
      </c>
      <c r="BG20" s="208">
        <f t="shared" si="8"/>
        <v>0</v>
      </c>
      <c r="BH20" s="187">
        <f t="shared" si="8"/>
        <v>0</v>
      </c>
      <c r="BI20" s="187">
        <f t="shared" si="8"/>
        <v>0</v>
      </c>
      <c r="BJ20" s="187">
        <f t="shared" si="8"/>
        <v>0</v>
      </c>
      <c r="BK20" s="187">
        <f t="shared" si="8"/>
        <v>0</v>
      </c>
      <c r="BL20" s="187">
        <f t="shared" si="8"/>
        <v>0</v>
      </c>
      <c r="BM20" s="187">
        <f t="shared" si="8"/>
        <v>0</v>
      </c>
      <c r="BN20" s="187">
        <f t="shared" si="8"/>
        <v>0</v>
      </c>
      <c r="BO20" s="187">
        <f t="shared" si="8"/>
        <v>0</v>
      </c>
      <c r="BP20" s="187">
        <f t="shared" si="8"/>
        <v>0</v>
      </c>
      <c r="BQ20" s="187">
        <f t="shared" si="8"/>
        <v>0</v>
      </c>
      <c r="BR20" s="188">
        <f t="shared" si="8"/>
        <v>0</v>
      </c>
      <c r="BS20" s="208">
        <f t="shared" si="8"/>
        <v>0</v>
      </c>
      <c r="BT20" s="208">
        <f t="shared" si="8"/>
        <v>0</v>
      </c>
      <c r="BU20" s="188">
        <f t="shared" si="8"/>
        <v>0</v>
      </c>
      <c r="BW20" s="208">
        <f t="shared" si="9"/>
        <v>0</v>
      </c>
      <c r="BX20" s="187">
        <f t="shared" si="9"/>
        <v>0</v>
      </c>
      <c r="BY20" s="187">
        <f t="shared" si="9"/>
        <v>0</v>
      </c>
      <c r="BZ20" s="187">
        <f t="shared" si="9"/>
        <v>0</v>
      </c>
      <c r="CA20" s="187">
        <f t="shared" si="9"/>
        <v>0</v>
      </c>
      <c r="CB20" s="187">
        <f t="shared" si="9"/>
        <v>0</v>
      </c>
      <c r="CC20" s="187">
        <f t="shared" si="9"/>
        <v>0</v>
      </c>
      <c r="CD20" s="187">
        <f t="shared" si="9"/>
        <v>0</v>
      </c>
      <c r="CE20" s="187">
        <f t="shared" si="9"/>
        <v>0</v>
      </c>
      <c r="CF20" s="187">
        <f t="shared" si="9"/>
        <v>0</v>
      </c>
      <c r="CG20" s="187">
        <f t="shared" si="9"/>
        <v>0</v>
      </c>
      <c r="CH20" s="188">
        <f t="shared" si="9"/>
        <v>0</v>
      </c>
      <c r="CI20" s="208">
        <f t="shared" si="9"/>
        <v>0</v>
      </c>
      <c r="CJ20" s="208">
        <f t="shared" si="9"/>
        <v>0</v>
      </c>
      <c r="CK20" s="188">
        <f t="shared" si="9"/>
        <v>0</v>
      </c>
      <c r="CM20" s="208">
        <f t="shared" si="10"/>
        <v>0</v>
      </c>
      <c r="CN20" s="187">
        <f t="shared" si="10"/>
        <v>0</v>
      </c>
      <c r="CO20" s="187">
        <f t="shared" si="10"/>
        <v>0</v>
      </c>
      <c r="CP20" s="187">
        <f t="shared" si="10"/>
        <v>0</v>
      </c>
      <c r="CQ20" s="187">
        <f t="shared" si="10"/>
        <v>0</v>
      </c>
      <c r="CR20" s="187">
        <f t="shared" si="10"/>
        <v>0</v>
      </c>
      <c r="CS20" s="187">
        <f t="shared" si="10"/>
        <v>0</v>
      </c>
      <c r="CT20" s="187">
        <f t="shared" si="10"/>
        <v>0</v>
      </c>
      <c r="CU20" s="187">
        <f t="shared" si="10"/>
        <v>0</v>
      </c>
      <c r="CV20" s="187">
        <f t="shared" si="10"/>
        <v>0</v>
      </c>
      <c r="CW20" s="187">
        <f t="shared" si="10"/>
        <v>0</v>
      </c>
      <c r="CX20" s="188">
        <f t="shared" si="10"/>
        <v>0</v>
      </c>
      <c r="CY20" s="208">
        <f t="shared" si="10"/>
        <v>0</v>
      </c>
      <c r="CZ20" s="208">
        <f t="shared" si="10"/>
        <v>0</v>
      </c>
      <c r="DA20" s="188">
        <f t="shared" si="10"/>
        <v>0</v>
      </c>
    </row>
    <row r="21" spans="1:105">
      <c r="A21" s="209">
        <v>3.1</v>
      </c>
      <c r="B21" s="210" t="s">
        <v>186</v>
      </c>
      <c r="C21" s="210" t="s">
        <v>131</v>
      </c>
      <c r="D21" s="188">
        <v>1</v>
      </c>
      <c r="E21" s="208">
        <v>1</v>
      </c>
      <c r="F21" s="187"/>
      <c r="G21" s="187">
        <v>1</v>
      </c>
      <c r="H21" s="187"/>
      <c r="I21" s="188"/>
      <c r="J21" s="187">
        <v>1</v>
      </c>
      <c r="K21" s="187">
        <v>1</v>
      </c>
      <c r="L21" s="187">
        <v>1</v>
      </c>
      <c r="M21" s="187"/>
      <c r="N21" s="187"/>
      <c r="O21" s="187"/>
      <c r="P21" s="187"/>
      <c r="Q21" s="187"/>
      <c r="R21" s="187"/>
      <c r="S21" s="187">
        <v>1</v>
      </c>
      <c r="T21" s="187"/>
      <c r="U21" s="188"/>
      <c r="V21" s="208">
        <v>1</v>
      </c>
      <c r="W21" s="187">
        <v>1</v>
      </c>
      <c r="X21" s="188"/>
      <c r="Y21" s="187"/>
      <c r="AA21" s="208">
        <f t="shared" si="6"/>
        <v>1</v>
      </c>
      <c r="AB21" s="187">
        <f t="shared" si="6"/>
        <v>1</v>
      </c>
      <c r="AC21" s="187">
        <f t="shared" si="6"/>
        <v>1</v>
      </c>
      <c r="AD21" s="187">
        <f t="shared" si="6"/>
        <v>0</v>
      </c>
      <c r="AE21" s="187">
        <f t="shared" si="6"/>
        <v>0</v>
      </c>
      <c r="AF21" s="187">
        <f t="shared" si="6"/>
        <v>0</v>
      </c>
      <c r="AG21" s="187">
        <f t="shared" si="6"/>
        <v>0</v>
      </c>
      <c r="AH21" s="187">
        <f t="shared" si="6"/>
        <v>0</v>
      </c>
      <c r="AI21" s="187">
        <f t="shared" si="6"/>
        <v>0</v>
      </c>
      <c r="AJ21" s="187">
        <f t="shared" si="6"/>
        <v>1</v>
      </c>
      <c r="AK21" s="187">
        <f t="shared" si="6"/>
        <v>0</v>
      </c>
      <c r="AL21" s="187">
        <f t="shared" si="6"/>
        <v>0</v>
      </c>
      <c r="AM21" s="208">
        <f t="shared" si="6"/>
        <v>1</v>
      </c>
      <c r="AN21" s="187">
        <f t="shared" si="6"/>
        <v>1</v>
      </c>
      <c r="AO21" s="188">
        <f t="shared" si="6"/>
        <v>0</v>
      </c>
      <c r="AQ21" s="208">
        <f t="shared" si="7"/>
        <v>0</v>
      </c>
      <c r="AR21" s="187">
        <f t="shared" si="7"/>
        <v>0</v>
      </c>
      <c r="AS21" s="187">
        <f t="shared" si="7"/>
        <v>0</v>
      </c>
      <c r="AT21" s="187">
        <f t="shared" si="7"/>
        <v>0</v>
      </c>
      <c r="AU21" s="187">
        <f t="shared" si="7"/>
        <v>0</v>
      </c>
      <c r="AV21" s="187">
        <f t="shared" si="7"/>
        <v>0</v>
      </c>
      <c r="AW21" s="187">
        <f t="shared" si="7"/>
        <v>0</v>
      </c>
      <c r="AX21" s="187">
        <f t="shared" si="7"/>
        <v>0</v>
      </c>
      <c r="AY21" s="187">
        <f t="shared" si="7"/>
        <v>0</v>
      </c>
      <c r="AZ21" s="187">
        <f t="shared" si="7"/>
        <v>0</v>
      </c>
      <c r="BA21" s="187">
        <f t="shared" si="7"/>
        <v>0</v>
      </c>
      <c r="BB21" s="188">
        <f t="shared" si="7"/>
        <v>0</v>
      </c>
      <c r="BC21" s="208">
        <f t="shared" si="7"/>
        <v>0</v>
      </c>
      <c r="BD21" s="208">
        <f t="shared" si="7"/>
        <v>0</v>
      </c>
      <c r="BE21" s="188">
        <f t="shared" si="7"/>
        <v>0</v>
      </c>
      <c r="BG21" s="208">
        <f t="shared" si="8"/>
        <v>1</v>
      </c>
      <c r="BH21" s="187">
        <f t="shared" si="8"/>
        <v>1</v>
      </c>
      <c r="BI21" s="187">
        <f t="shared" si="8"/>
        <v>1</v>
      </c>
      <c r="BJ21" s="187">
        <f t="shared" si="8"/>
        <v>0</v>
      </c>
      <c r="BK21" s="187">
        <f t="shared" si="8"/>
        <v>0</v>
      </c>
      <c r="BL21" s="187">
        <f t="shared" si="8"/>
        <v>0</v>
      </c>
      <c r="BM21" s="187">
        <f t="shared" si="8"/>
        <v>0</v>
      </c>
      <c r="BN21" s="187">
        <f t="shared" si="8"/>
        <v>0</v>
      </c>
      <c r="BO21" s="187">
        <f t="shared" si="8"/>
        <v>0</v>
      </c>
      <c r="BP21" s="187">
        <f t="shared" si="8"/>
        <v>1</v>
      </c>
      <c r="BQ21" s="187">
        <f t="shared" si="8"/>
        <v>0</v>
      </c>
      <c r="BR21" s="188">
        <f t="shared" si="8"/>
        <v>0</v>
      </c>
      <c r="BS21" s="208">
        <f t="shared" si="8"/>
        <v>1</v>
      </c>
      <c r="BT21" s="208">
        <f t="shared" si="8"/>
        <v>1</v>
      </c>
      <c r="BU21" s="188">
        <f t="shared" si="8"/>
        <v>0</v>
      </c>
      <c r="BW21" s="208">
        <f t="shared" si="9"/>
        <v>0</v>
      </c>
      <c r="BX21" s="187">
        <f t="shared" si="9"/>
        <v>0</v>
      </c>
      <c r="BY21" s="187">
        <f t="shared" si="9"/>
        <v>0</v>
      </c>
      <c r="BZ21" s="187">
        <f t="shared" si="9"/>
        <v>0</v>
      </c>
      <c r="CA21" s="187">
        <f t="shared" si="9"/>
        <v>0</v>
      </c>
      <c r="CB21" s="187">
        <f t="shared" si="9"/>
        <v>0</v>
      </c>
      <c r="CC21" s="187">
        <f t="shared" si="9"/>
        <v>0</v>
      </c>
      <c r="CD21" s="187">
        <f t="shared" si="9"/>
        <v>0</v>
      </c>
      <c r="CE21" s="187">
        <f t="shared" si="9"/>
        <v>0</v>
      </c>
      <c r="CF21" s="187">
        <f t="shared" si="9"/>
        <v>0</v>
      </c>
      <c r="CG21" s="187">
        <f t="shared" si="9"/>
        <v>0</v>
      </c>
      <c r="CH21" s="188">
        <f t="shared" si="9"/>
        <v>0</v>
      </c>
      <c r="CI21" s="208">
        <f t="shared" si="9"/>
        <v>0</v>
      </c>
      <c r="CJ21" s="208">
        <f t="shared" si="9"/>
        <v>0</v>
      </c>
      <c r="CK21" s="188">
        <f t="shared" si="9"/>
        <v>0</v>
      </c>
      <c r="CM21" s="208">
        <f t="shared" si="10"/>
        <v>0</v>
      </c>
      <c r="CN21" s="187">
        <f t="shared" si="10"/>
        <v>0</v>
      </c>
      <c r="CO21" s="187">
        <f t="shared" si="10"/>
        <v>0</v>
      </c>
      <c r="CP21" s="187">
        <f t="shared" si="10"/>
        <v>0</v>
      </c>
      <c r="CQ21" s="187">
        <f t="shared" si="10"/>
        <v>0</v>
      </c>
      <c r="CR21" s="187">
        <f t="shared" si="10"/>
        <v>0</v>
      </c>
      <c r="CS21" s="187">
        <f t="shared" si="10"/>
        <v>0</v>
      </c>
      <c r="CT21" s="187">
        <f t="shared" si="10"/>
        <v>0</v>
      </c>
      <c r="CU21" s="187">
        <f t="shared" si="10"/>
        <v>0</v>
      </c>
      <c r="CV21" s="187">
        <f t="shared" si="10"/>
        <v>0</v>
      </c>
      <c r="CW21" s="187">
        <f t="shared" si="10"/>
        <v>0</v>
      </c>
      <c r="CX21" s="188">
        <f t="shared" si="10"/>
        <v>0</v>
      </c>
      <c r="CY21" s="208">
        <f t="shared" si="10"/>
        <v>0</v>
      </c>
      <c r="CZ21" s="208">
        <f t="shared" si="10"/>
        <v>0</v>
      </c>
      <c r="DA21" s="188">
        <f t="shared" si="10"/>
        <v>0</v>
      </c>
    </row>
    <row r="22" spans="1:105">
      <c r="A22" s="209">
        <v>3.2</v>
      </c>
      <c r="B22" s="210" t="s">
        <v>187</v>
      </c>
      <c r="C22" s="210" t="s">
        <v>131</v>
      </c>
      <c r="D22" s="188">
        <v>1</v>
      </c>
      <c r="E22" s="208">
        <v>1</v>
      </c>
      <c r="F22" s="187"/>
      <c r="G22" s="187">
        <v>1</v>
      </c>
      <c r="H22" s="187"/>
      <c r="I22" s="188"/>
      <c r="J22" s="187">
        <v>1</v>
      </c>
      <c r="K22" s="187">
        <v>1</v>
      </c>
      <c r="L22" s="187">
        <v>1</v>
      </c>
      <c r="M22" s="187"/>
      <c r="N22" s="187"/>
      <c r="O22" s="187"/>
      <c r="P22" s="187"/>
      <c r="Q22" s="187"/>
      <c r="R22" s="187"/>
      <c r="S22" s="187"/>
      <c r="T22" s="187"/>
      <c r="U22" s="188"/>
      <c r="V22" s="208">
        <v>1</v>
      </c>
      <c r="W22" s="187">
        <v>1</v>
      </c>
      <c r="X22" s="188"/>
      <c r="Y22" s="187"/>
      <c r="AA22" s="208">
        <f t="shared" ref="AA22:AO38" si="11">$D22*$E22*J22</f>
        <v>1</v>
      </c>
      <c r="AB22" s="187">
        <f t="shared" si="11"/>
        <v>1</v>
      </c>
      <c r="AC22" s="187">
        <f t="shared" si="11"/>
        <v>1</v>
      </c>
      <c r="AD22" s="187">
        <f t="shared" si="11"/>
        <v>0</v>
      </c>
      <c r="AE22" s="187">
        <f t="shared" si="11"/>
        <v>0</v>
      </c>
      <c r="AF22" s="187">
        <f t="shared" si="11"/>
        <v>0</v>
      </c>
      <c r="AG22" s="187">
        <f t="shared" si="11"/>
        <v>0</v>
      </c>
      <c r="AH22" s="187">
        <f t="shared" si="11"/>
        <v>0</v>
      </c>
      <c r="AI22" s="187">
        <f t="shared" si="11"/>
        <v>0</v>
      </c>
      <c r="AJ22" s="187">
        <f t="shared" si="11"/>
        <v>0</v>
      </c>
      <c r="AK22" s="187">
        <f t="shared" si="11"/>
        <v>0</v>
      </c>
      <c r="AL22" s="187">
        <f t="shared" si="11"/>
        <v>0</v>
      </c>
      <c r="AM22" s="208">
        <f t="shared" si="11"/>
        <v>1</v>
      </c>
      <c r="AN22" s="187">
        <f t="shared" si="11"/>
        <v>1</v>
      </c>
      <c r="AO22" s="188">
        <f t="shared" si="11"/>
        <v>0</v>
      </c>
      <c r="AQ22" s="208">
        <f t="shared" ref="AQ22:BE38" si="12">$D22*$F22*J22</f>
        <v>0</v>
      </c>
      <c r="AR22" s="187">
        <f t="shared" si="12"/>
        <v>0</v>
      </c>
      <c r="AS22" s="187">
        <f t="shared" si="12"/>
        <v>0</v>
      </c>
      <c r="AT22" s="187">
        <f t="shared" si="12"/>
        <v>0</v>
      </c>
      <c r="AU22" s="187">
        <f t="shared" si="12"/>
        <v>0</v>
      </c>
      <c r="AV22" s="187">
        <f t="shared" si="12"/>
        <v>0</v>
      </c>
      <c r="AW22" s="187">
        <f t="shared" si="12"/>
        <v>0</v>
      </c>
      <c r="AX22" s="187">
        <f t="shared" si="12"/>
        <v>0</v>
      </c>
      <c r="AY22" s="187">
        <f t="shared" si="12"/>
        <v>0</v>
      </c>
      <c r="AZ22" s="187">
        <f t="shared" si="12"/>
        <v>0</v>
      </c>
      <c r="BA22" s="187">
        <f t="shared" si="12"/>
        <v>0</v>
      </c>
      <c r="BB22" s="188">
        <f t="shared" si="12"/>
        <v>0</v>
      </c>
      <c r="BC22" s="208">
        <f t="shared" si="12"/>
        <v>0</v>
      </c>
      <c r="BD22" s="208">
        <f t="shared" si="12"/>
        <v>0</v>
      </c>
      <c r="BE22" s="188">
        <f t="shared" si="12"/>
        <v>0</v>
      </c>
      <c r="BG22" s="208">
        <f t="shared" ref="BG22:BU38" si="13">$D22*$G22*J22</f>
        <v>1</v>
      </c>
      <c r="BH22" s="187">
        <f t="shared" si="13"/>
        <v>1</v>
      </c>
      <c r="BI22" s="187">
        <f t="shared" si="13"/>
        <v>1</v>
      </c>
      <c r="BJ22" s="187">
        <f t="shared" si="13"/>
        <v>0</v>
      </c>
      <c r="BK22" s="187">
        <f t="shared" si="13"/>
        <v>0</v>
      </c>
      <c r="BL22" s="187">
        <f t="shared" si="13"/>
        <v>0</v>
      </c>
      <c r="BM22" s="187">
        <f t="shared" si="13"/>
        <v>0</v>
      </c>
      <c r="BN22" s="187">
        <f t="shared" si="13"/>
        <v>0</v>
      </c>
      <c r="BO22" s="187">
        <f t="shared" si="13"/>
        <v>0</v>
      </c>
      <c r="BP22" s="187">
        <f t="shared" si="13"/>
        <v>0</v>
      </c>
      <c r="BQ22" s="187">
        <f t="shared" si="13"/>
        <v>0</v>
      </c>
      <c r="BR22" s="188">
        <f t="shared" si="13"/>
        <v>0</v>
      </c>
      <c r="BS22" s="208">
        <f t="shared" si="13"/>
        <v>1</v>
      </c>
      <c r="BT22" s="208">
        <f t="shared" si="13"/>
        <v>1</v>
      </c>
      <c r="BU22" s="188">
        <f t="shared" si="13"/>
        <v>0</v>
      </c>
      <c r="BW22" s="208">
        <f t="shared" ref="BW22:CK38" si="14">$D22*$H22*J22</f>
        <v>0</v>
      </c>
      <c r="BX22" s="187">
        <f t="shared" si="14"/>
        <v>0</v>
      </c>
      <c r="BY22" s="187">
        <f t="shared" si="14"/>
        <v>0</v>
      </c>
      <c r="BZ22" s="187">
        <f t="shared" si="14"/>
        <v>0</v>
      </c>
      <c r="CA22" s="187">
        <f t="shared" si="14"/>
        <v>0</v>
      </c>
      <c r="CB22" s="187">
        <f t="shared" si="14"/>
        <v>0</v>
      </c>
      <c r="CC22" s="187">
        <f t="shared" si="14"/>
        <v>0</v>
      </c>
      <c r="CD22" s="187">
        <f t="shared" si="14"/>
        <v>0</v>
      </c>
      <c r="CE22" s="187">
        <f t="shared" si="14"/>
        <v>0</v>
      </c>
      <c r="CF22" s="187">
        <f t="shared" si="14"/>
        <v>0</v>
      </c>
      <c r="CG22" s="187">
        <f t="shared" si="14"/>
        <v>0</v>
      </c>
      <c r="CH22" s="188">
        <f t="shared" si="14"/>
        <v>0</v>
      </c>
      <c r="CI22" s="208">
        <f t="shared" si="14"/>
        <v>0</v>
      </c>
      <c r="CJ22" s="208">
        <f t="shared" si="14"/>
        <v>0</v>
      </c>
      <c r="CK22" s="188">
        <f t="shared" si="14"/>
        <v>0</v>
      </c>
      <c r="CM22" s="208">
        <f t="shared" ref="CM22:DA38" si="15">$D22*$I22*J22</f>
        <v>0</v>
      </c>
      <c r="CN22" s="187">
        <f t="shared" si="15"/>
        <v>0</v>
      </c>
      <c r="CO22" s="187">
        <f t="shared" si="15"/>
        <v>0</v>
      </c>
      <c r="CP22" s="187">
        <f t="shared" si="15"/>
        <v>0</v>
      </c>
      <c r="CQ22" s="187">
        <f t="shared" si="15"/>
        <v>0</v>
      </c>
      <c r="CR22" s="187">
        <f t="shared" si="15"/>
        <v>0</v>
      </c>
      <c r="CS22" s="187">
        <f t="shared" si="15"/>
        <v>0</v>
      </c>
      <c r="CT22" s="187">
        <f t="shared" si="15"/>
        <v>0</v>
      </c>
      <c r="CU22" s="187">
        <f t="shared" si="15"/>
        <v>0</v>
      </c>
      <c r="CV22" s="187">
        <f t="shared" si="15"/>
        <v>0</v>
      </c>
      <c r="CW22" s="187">
        <f t="shared" si="15"/>
        <v>0</v>
      </c>
      <c r="CX22" s="188">
        <f t="shared" si="15"/>
        <v>0</v>
      </c>
      <c r="CY22" s="208">
        <f t="shared" si="15"/>
        <v>0</v>
      </c>
      <c r="CZ22" s="208">
        <f t="shared" si="15"/>
        <v>0</v>
      </c>
      <c r="DA22" s="188">
        <f t="shared" si="15"/>
        <v>0</v>
      </c>
    </row>
    <row r="23" spans="1:105">
      <c r="A23" s="209">
        <v>3.3</v>
      </c>
      <c r="B23" s="210" t="s">
        <v>188</v>
      </c>
      <c r="C23" s="210" t="s">
        <v>131</v>
      </c>
      <c r="D23" s="188">
        <v>1</v>
      </c>
      <c r="E23" s="208">
        <v>1</v>
      </c>
      <c r="F23" s="187"/>
      <c r="G23" s="187">
        <v>1</v>
      </c>
      <c r="H23" s="187"/>
      <c r="I23" s="188"/>
      <c r="J23" s="187">
        <v>1</v>
      </c>
      <c r="K23" s="187">
        <v>1</v>
      </c>
      <c r="L23" s="187">
        <v>1</v>
      </c>
      <c r="M23" s="187">
        <v>1</v>
      </c>
      <c r="N23" s="187">
        <v>1</v>
      </c>
      <c r="O23" s="187"/>
      <c r="P23" s="187"/>
      <c r="Q23" s="187">
        <v>1</v>
      </c>
      <c r="R23" s="187"/>
      <c r="S23" s="187">
        <v>1</v>
      </c>
      <c r="T23" s="187">
        <v>1</v>
      </c>
      <c r="U23" s="188">
        <v>1</v>
      </c>
      <c r="V23" s="208">
        <v>1</v>
      </c>
      <c r="W23" s="187">
        <v>1</v>
      </c>
      <c r="X23" s="188"/>
      <c r="Y23" s="187"/>
      <c r="AA23" s="208">
        <f t="shared" si="11"/>
        <v>1</v>
      </c>
      <c r="AB23" s="187">
        <f t="shared" si="11"/>
        <v>1</v>
      </c>
      <c r="AC23" s="187">
        <f t="shared" si="11"/>
        <v>1</v>
      </c>
      <c r="AD23" s="187">
        <f t="shared" si="11"/>
        <v>1</v>
      </c>
      <c r="AE23" s="187">
        <f t="shared" si="11"/>
        <v>1</v>
      </c>
      <c r="AF23" s="187">
        <f t="shared" si="11"/>
        <v>0</v>
      </c>
      <c r="AG23" s="187">
        <f t="shared" si="11"/>
        <v>0</v>
      </c>
      <c r="AH23" s="187">
        <f t="shared" si="11"/>
        <v>1</v>
      </c>
      <c r="AI23" s="187">
        <f t="shared" si="11"/>
        <v>0</v>
      </c>
      <c r="AJ23" s="187">
        <f t="shared" si="11"/>
        <v>1</v>
      </c>
      <c r="AK23" s="187">
        <f t="shared" si="11"/>
        <v>1</v>
      </c>
      <c r="AL23" s="187">
        <f t="shared" si="11"/>
        <v>1</v>
      </c>
      <c r="AM23" s="208">
        <f t="shared" si="11"/>
        <v>1</v>
      </c>
      <c r="AN23" s="187">
        <f t="shared" si="11"/>
        <v>1</v>
      </c>
      <c r="AO23" s="188">
        <f t="shared" si="11"/>
        <v>0</v>
      </c>
      <c r="AQ23" s="208">
        <f t="shared" si="12"/>
        <v>0</v>
      </c>
      <c r="AR23" s="187">
        <f t="shared" si="12"/>
        <v>0</v>
      </c>
      <c r="AS23" s="187">
        <f t="shared" si="12"/>
        <v>0</v>
      </c>
      <c r="AT23" s="187">
        <f t="shared" si="12"/>
        <v>0</v>
      </c>
      <c r="AU23" s="187">
        <f t="shared" si="12"/>
        <v>0</v>
      </c>
      <c r="AV23" s="187">
        <f t="shared" si="12"/>
        <v>0</v>
      </c>
      <c r="AW23" s="187">
        <f t="shared" si="12"/>
        <v>0</v>
      </c>
      <c r="AX23" s="187">
        <f t="shared" si="12"/>
        <v>0</v>
      </c>
      <c r="AY23" s="187">
        <f t="shared" si="12"/>
        <v>0</v>
      </c>
      <c r="AZ23" s="187">
        <f t="shared" si="12"/>
        <v>0</v>
      </c>
      <c r="BA23" s="187">
        <f t="shared" si="12"/>
        <v>0</v>
      </c>
      <c r="BB23" s="188">
        <f t="shared" si="12"/>
        <v>0</v>
      </c>
      <c r="BC23" s="208">
        <f t="shared" si="12"/>
        <v>0</v>
      </c>
      <c r="BD23" s="208">
        <f t="shared" si="12"/>
        <v>0</v>
      </c>
      <c r="BE23" s="188">
        <f t="shared" si="12"/>
        <v>0</v>
      </c>
      <c r="BG23" s="208">
        <f t="shared" si="13"/>
        <v>1</v>
      </c>
      <c r="BH23" s="187">
        <f t="shared" si="13"/>
        <v>1</v>
      </c>
      <c r="BI23" s="187">
        <f t="shared" si="13"/>
        <v>1</v>
      </c>
      <c r="BJ23" s="187">
        <f t="shared" si="13"/>
        <v>1</v>
      </c>
      <c r="BK23" s="187">
        <f t="shared" si="13"/>
        <v>1</v>
      </c>
      <c r="BL23" s="187">
        <f t="shared" si="13"/>
        <v>0</v>
      </c>
      <c r="BM23" s="187">
        <f t="shared" si="13"/>
        <v>0</v>
      </c>
      <c r="BN23" s="187">
        <f t="shared" si="13"/>
        <v>1</v>
      </c>
      <c r="BO23" s="187">
        <f t="shared" si="13"/>
        <v>0</v>
      </c>
      <c r="BP23" s="187">
        <f t="shared" si="13"/>
        <v>1</v>
      </c>
      <c r="BQ23" s="187">
        <f t="shared" si="13"/>
        <v>1</v>
      </c>
      <c r="BR23" s="188">
        <f t="shared" si="13"/>
        <v>1</v>
      </c>
      <c r="BS23" s="208">
        <f t="shared" si="13"/>
        <v>1</v>
      </c>
      <c r="BT23" s="208">
        <f t="shared" si="13"/>
        <v>1</v>
      </c>
      <c r="BU23" s="188">
        <f t="shared" si="13"/>
        <v>0</v>
      </c>
      <c r="BW23" s="208">
        <f t="shared" si="14"/>
        <v>0</v>
      </c>
      <c r="BX23" s="187">
        <f t="shared" si="14"/>
        <v>0</v>
      </c>
      <c r="BY23" s="187">
        <f t="shared" si="14"/>
        <v>0</v>
      </c>
      <c r="BZ23" s="187">
        <f t="shared" si="14"/>
        <v>0</v>
      </c>
      <c r="CA23" s="187">
        <f t="shared" si="14"/>
        <v>0</v>
      </c>
      <c r="CB23" s="187">
        <f t="shared" si="14"/>
        <v>0</v>
      </c>
      <c r="CC23" s="187">
        <f t="shared" si="14"/>
        <v>0</v>
      </c>
      <c r="CD23" s="187">
        <f t="shared" si="14"/>
        <v>0</v>
      </c>
      <c r="CE23" s="187">
        <f t="shared" si="14"/>
        <v>0</v>
      </c>
      <c r="CF23" s="187">
        <f t="shared" si="14"/>
        <v>0</v>
      </c>
      <c r="CG23" s="187">
        <f t="shared" si="14"/>
        <v>0</v>
      </c>
      <c r="CH23" s="188">
        <f t="shared" si="14"/>
        <v>0</v>
      </c>
      <c r="CI23" s="208">
        <f t="shared" si="14"/>
        <v>0</v>
      </c>
      <c r="CJ23" s="208">
        <f t="shared" si="14"/>
        <v>0</v>
      </c>
      <c r="CK23" s="188">
        <f t="shared" si="14"/>
        <v>0</v>
      </c>
      <c r="CM23" s="208">
        <f t="shared" si="15"/>
        <v>0</v>
      </c>
      <c r="CN23" s="187">
        <f t="shared" si="15"/>
        <v>0</v>
      </c>
      <c r="CO23" s="187">
        <f t="shared" si="15"/>
        <v>0</v>
      </c>
      <c r="CP23" s="187">
        <f t="shared" si="15"/>
        <v>0</v>
      </c>
      <c r="CQ23" s="187">
        <f t="shared" si="15"/>
        <v>0</v>
      </c>
      <c r="CR23" s="187">
        <f t="shared" si="15"/>
        <v>0</v>
      </c>
      <c r="CS23" s="187">
        <f t="shared" si="15"/>
        <v>0</v>
      </c>
      <c r="CT23" s="187">
        <f t="shared" si="15"/>
        <v>0</v>
      </c>
      <c r="CU23" s="187">
        <f t="shared" si="15"/>
        <v>0</v>
      </c>
      <c r="CV23" s="187">
        <f t="shared" si="15"/>
        <v>0</v>
      </c>
      <c r="CW23" s="187">
        <f t="shared" si="15"/>
        <v>0</v>
      </c>
      <c r="CX23" s="188">
        <f t="shared" si="15"/>
        <v>0</v>
      </c>
      <c r="CY23" s="208">
        <f t="shared" si="15"/>
        <v>0</v>
      </c>
      <c r="CZ23" s="208">
        <f t="shared" si="15"/>
        <v>0</v>
      </c>
      <c r="DA23" s="188">
        <f t="shared" si="15"/>
        <v>0</v>
      </c>
    </row>
    <row r="24" spans="1:105">
      <c r="A24" s="209">
        <v>3.4</v>
      </c>
      <c r="B24" s="210" t="s">
        <v>189</v>
      </c>
      <c r="C24" s="210" t="s">
        <v>131</v>
      </c>
      <c r="D24" s="188">
        <v>1</v>
      </c>
      <c r="E24" s="208">
        <v>1</v>
      </c>
      <c r="F24" s="187"/>
      <c r="G24" s="187">
        <v>1</v>
      </c>
      <c r="H24" s="187"/>
      <c r="I24" s="188"/>
      <c r="J24" s="187">
        <v>1</v>
      </c>
      <c r="K24" s="187">
        <v>1</v>
      </c>
      <c r="L24" s="187">
        <v>1</v>
      </c>
      <c r="M24" s="187">
        <v>1</v>
      </c>
      <c r="N24" s="187">
        <v>1</v>
      </c>
      <c r="O24" s="187"/>
      <c r="P24" s="187"/>
      <c r="Q24" s="187">
        <v>1</v>
      </c>
      <c r="R24" s="187"/>
      <c r="S24" s="187">
        <v>1</v>
      </c>
      <c r="T24" s="187">
        <v>1</v>
      </c>
      <c r="U24" s="188"/>
      <c r="V24" s="208">
        <v>1</v>
      </c>
      <c r="W24" s="187">
        <v>1</v>
      </c>
      <c r="X24" s="188"/>
      <c r="Y24" s="187"/>
      <c r="AA24" s="208">
        <f t="shared" si="11"/>
        <v>1</v>
      </c>
      <c r="AB24" s="187">
        <f t="shared" si="11"/>
        <v>1</v>
      </c>
      <c r="AC24" s="187">
        <f t="shared" si="11"/>
        <v>1</v>
      </c>
      <c r="AD24" s="187">
        <f t="shared" si="11"/>
        <v>1</v>
      </c>
      <c r="AE24" s="187">
        <f t="shared" si="11"/>
        <v>1</v>
      </c>
      <c r="AF24" s="187">
        <f t="shared" si="11"/>
        <v>0</v>
      </c>
      <c r="AG24" s="187">
        <f t="shared" si="11"/>
        <v>0</v>
      </c>
      <c r="AH24" s="187">
        <f t="shared" si="11"/>
        <v>1</v>
      </c>
      <c r="AI24" s="187">
        <f t="shared" si="11"/>
        <v>0</v>
      </c>
      <c r="AJ24" s="187">
        <f t="shared" si="11"/>
        <v>1</v>
      </c>
      <c r="AK24" s="187">
        <f t="shared" si="11"/>
        <v>1</v>
      </c>
      <c r="AL24" s="187">
        <f t="shared" si="11"/>
        <v>0</v>
      </c>
      <c r="AM24" s="208">
        <f t="shared" si="11"/>
        <v>1</v>
      </c>
      <c r="AN24" s="187">
        <f t="shared" si="11"/>
        <v>1</v>
      </c>
      <c r="AO24" s="188">
        <f t="shared" si="11"/>
        <v>0</v>
      </c>
      <c r="AQ24" s="208">
        <f t="shared" si="12"/>
        <v>0</v>
      </c>
      <c r="AR24" s="187">
        <f t="shared" si="12"/>
        <v>0</v>
      </c>
      <c r="AS24" s="187">
        <f t="shared" si="12"/>
        <v>0</v>
      </c>
      <c r="AT24" s="187">
        <f t="shared" si="12"/>
        <v>0</v>
      </c>
      <c r="AU24" s="187">
        <f t="shared" si="12"/>
        <v>0</v>
      </c>
      <c r="AV24" s="187">
        <f t="shared" si="12"/>
        <v>0</v>
      </c>
      <c r="AW24" s="187">
        <f t="shared" si="12"/>
        <v>0</v>
      </c>
      <c r="AX24" s="187">
        <f t="shared" si="12"/>
        <v>0</v>
      </c>
      <c r="AY24" s="187">
        <f t="shared" si="12"/>
        <v>0</v>
      </c>
      <c r="AZ24" s="187">
        <f t="shared" si="12"/>
        <v>0</v>
      </c>
      <c r="BA24" s="187">
        <f t="shared" si="12"/>
        <v>0</v>
      </c>
      <c r="BB24" s="188">
        <f t="shared" si="12"/>
        <v>0</v>
      </c>
      <c r="BC24" s="208">
        <f t="shared" si="12"/>
        <v>0</v>
      </c>
      <c r="BD24" s="208">
        <f t="shared" si="12"/>
        <v>0</v>
      </c>
      <c r="BE24" s="188">
        <f t="shared" si="12"/>
        <v>0</v>
      </c>
      <c r="BG24" s="208">
        <f t="shared" si="13"/>
        <v>1</v>
      </c>
      <c r="BH24" s="187">
        <f t="shared" si="13"/>
        <v>1</v>
      </c>
      <c r="BI24" s="187">
        <f t="shared" si="13"/>
        <v>1</v>
      </c>
      <c r="BJ24" s="187">
        <f t="shared" si="13"/>
        <v>1</v>
      </c>
      <c r="BK24" s="187">
        <f t="shared" si="13"/>
        <v>1</v>
      </c>
      <c r="BL24" s="187">
        <f t="shared" si="13"/>
        <v>0</v>
      </c>
      <c r="BM24" s="187">
        <f t="shared" si="13"/>
        <v>0</v>
      </c>
      <c r="BN24" s="187">
        <f t="shared" si="13"/>
        <v>1</v>
      </c>
      <c r="BO24" s="187">
        <f t="shared" si="13"/>
        <v>0</v>
      </c>
      <c r="BP24" s="187">
        <f t="shared" si="13"/>
        <v>1</v>
      </c>
      <c r="BQ24" s="187">
        <f t="shared" si="13"/>
        <v>1</v>
      </c>
      <c r="BR24" s="188">
        <f t="shared" si="13"/>
        <v>0</v>
      </c>
      <c r="BS24" s="208">
        <f t="shared" si="13"/>
        <v>1</v>
      </c>
      <c r="BT24" s="208">
        <f t="shared" si="13"/>
        <v>1</v>
      </c>
      <c r="BU24" s="188">
        <f t="shared" si="13"/>
        <v>0</v>
      </c>
      <c r="BW24" s="208">
        <f t="shared" si="14"/>
        <v>0</v>
      </c>
      <c r="BX24" s="187">
        <f t="shared" si="14"/>
        <v>0</v>
      </c>
      <c r="BY24" s="187">
        <f t="shared" si="14"/>
        <v>0</v>
      </c>
      <c r="BZ24" s="187">
        <f t="shared" si="14"/>
        <v>0</v>
      </c>
      <c r="CA24" s="187">
        <f t="shared" si="14"/>
        <v>0</v>
      </c>
      <c r="CB24" s="187">
        <f t="shared" si="14"/>
        <v>0</v>
      </c>
      <c r="CC24" s="187">
        <f t="shared" si="14"/>
        <v>0</v>
      </c>
      <c r="CD24" s="187">
        <f t="shared" si="14"/>
        <v>0</v>
      </c>
      <c r="CE24" s="187">
        <f t="shared" si="14"/>
        <v>0</v>
      </c>
      <c r="CF24" s="187">
        <f t="shared" si="14"/>
        <v>0</v>
      </c>
      <c r="CG24" s="187">
        <f t="shared" si="14"/>
        <v>0</v>
      </c>
      <c r="CH24" s="188">
        <f t="shared" si="14"/>
        <v>0</v>
      </c>
      <c r="CI24" s="208">
        <f t="shared" si="14"/>
        <v>0</v>
      </c>
      <c r="CJ24" s="208">
        <f t="shared" si="14"/>
        <v>0</v>
      </c>
      <c r="CK24" s="188">
        <f t="shared" si="14"/>
        <v>0</v>
      </c>
      <c r="CM24" s="208">
        <f t="shared" si="15"/>
        <v>0</v>
      </c>
      <c r="CN24" s="187">
        <f t="shared" si="15"/>
        <v>0</v>
      </c>
      <c r="CO24" s="187">
        <f t="shared" si="15"/>
        <v>0</v>
      </c>
      <c r="CP24" s="187">
        <f t="shared" si="15"/>
        <v>0</v>
      </c>
      <c r="CQ24" s="187">
        <f t="shared" si="15"/>
        <v>0</v>
      </c>
      <c r="CR24" s="187">
        <f t="shared" si="15"/>
        <v>0</v>
      </c>
      <c r="CS24" s="187">
        <f t="shared" si="15"/>
        <v>0</v>
      </c>
      <c r="CT24" s="187">
        <f t="shared" si="15"/>
        <v>0</v>
      </c>
      <c r="CU24" s="187">
        <f t="shared" si="15"/>
        <v>0</v>
      </c>
      <c r="CV24" s="187">
        <f t="shared" si="15"/>
        <v>0</v>
      </c>
      <c r="CW24" s="187">
        <f t="shared" si="15"/>
        <v>0</v>
      </c>
      <c r="CX24" s="188">
        <f t="shared" si="15"/>
        <v>0</v>
      </c>
      <c r="CY24" s="208">
        <f t="shared" si="15"/>
        <v>0</v>
      </c>
      <c r="CZ24" s="208">
        <f t="shared" si="15"/>
        <v>0</v>
      </c>
      <c r="DA24" s="188">
        <f t="shared" si="15"/>
        <v>0</v>
      </c>
    </row>
    <row r="25" spans="1:105">
      <c r="A25" s="209">
        <v>3.5</v>
      </c>
      <c r="B25" s="210" t="s">
        <v>190</v>
      </c>
      <c r="C25" s="210" t="s">
        <v>131</v>
      </c>
      <c r="D25" s="188">
        <v>1</v>
      </c>
      <c r="E25" s="208">
        <v>1</v>
      </c>
      <c r="F25" s="187"/>
      <c r="G25" s="187">
        <v>1</v>
      </c>
      <c r="H25" s="187"/>
      <c r="I25" s="188"/>
      <c r="J25" s="187">
        <v>1</v>
      </c>
      <c r="K25" s="187">
        <v>1</v>
      </c>
      <c r="L25" s="187">
        <v>1</v>
      </c>
      <c r="M25" s="187"/>
      <c r="N25" s="187"/>
      <c r="O25" s="187"/>
      <c r="P25" s="187"/>
      <c r="Q25" s="187"/>
      <c r="R25" s="187"/>
      <c r="S25" s="187"/>
      <c r="T25" s="187"/>
      <c r="U25" s="188"/>
      <c r="V25" s="208">
        <v>1</v>
      </c>
      <c r="W25" s="187">
        <v>1</v>
      </c>
      <c r="X25" s="188"/>
      <c r="Y25" s="187"/>
      <c r="AA25" s="208">
        <f t="shared" si="11"/>
        <v>1</v>
      </c>
      <c r="AB25" s="187">
        <f t="shared" si="11"/>
        <v>1</v>
      </c>
      <c r="AC25" s="187">
        <f t="shared" si="11"/>
        <v>1</v>
      </c>
      <c r="AD25" s="187">
        <f t="shared" si="11"/>
        <v>0</v>
      </c>
      <c r="AE25" s="187">
        <f t="shared" si="11"/>
        <v>0</v>
      </c>
      <c r="AF25" s="187">
        <f t="shared" si="11"/>
        <v>0</v>
      </c>
      <c r="AG25" s="187">
        <f t="shared" si="11"/>
        <v>0</v>
      </c>
      <c r="AH25" s="187">
        <f t="shared" si="11"/>
        <v>0</v>
      </c>
      <c r="AI25" s="187">
        <f t="shared" si="11"/>
        <v>0</v>
      </c>
      <c r="AJ25" s="187">
        <f t="shared" si="11"/>
        <v>0</v>
      </c>
      <c r="AK25" s="187">
        <f t="shared" si="11"/>
        <v>0</v>
      </c>
      <c r="AL25" s="187">
        <f t="shared" si="11"/>
        <v>0</v>
      </c>
      <c r="AM25" s="208">
        <f t="shared" si="11"/>
        <v>1</v>
      </c>
      <c r="AN25" s="187">
        <f t="shared" si="11"/>
        <v>1</v>
      </c>
      <c r="AO25" s="188">
        <f t="shared" si="11"/>
        <v>0</v>
      </c>
      <c r="AQ25" s="208">
        <f t="shared" si="12"/>
        <v>0</v>
      </c>
      <c r="AR25" s="187">
        <f t="shared" si="12"/>
        <v>0</v>
      </c>
      <c r="AS25" s="187">
        <f t="shared" si="12"/>
        <v>0</v>
      </c>
      <c r="AT25" s="187">
        <f t="shared" si="12"/>
        <v>0</v>
      </c>
      <c r="AU25" s="187">
        <f t="shared" si="12"/>
        <v>0</v>
      </c>
      <c r="AV25" s="187">
        <f t="shared" si="12"/>
        <v>0</v>
      </c>
      <c r="AW25" s="187">
        <f t="shared" si="12"/>
        <v>0</v>
      </c>
      <c r="AX25" s="187">
        <f t="shared" si="12"/>
        <v>0</v>
      </c>
      <c r="AY25" s="187">
        <f t="shared" si="12"/>
        <v>0</v>
      </c>
      <c r="AZ25" s="187">
        <f t="shared" si="12"/>
        <v>0</v>
      </c>
      <c r="BA25" s="187">
        <f t="shared" si="12"/>
        <v>0</v>
      </c>
      <c r="BB25" s="188">
        <f t="shared" si="12"/>
        <v>0</v>
      </c>
      <c r="BC25" s="208">
        <f t="shared" si="12"/>
        <v>0</v>
      </c>
      <c r="BD25" s="208">
        <f t="shared" si="12"/>
        <v>0</v>
      </c>
      <c r="BE25" s="188">
        <f t="shared" si="12"/>
        <v>0</v>
      </c>
      <c r="BG25" s="208">
        <f t="shared" si="13"/>
        <v>1</v>
      </c>
      <c r="BH25" s="187">
        <f t="shared" si="13"/>
        <v>1</v>
      </c>
      <c r="BI25" s="187">
        <f t="shared" si="13"/>
        <v>1</v>
      </c>
      <c r="BJ25" s="187">
        <f t="shared" si="13"/>
        <v>0</v>
      </c>
      <c r="BK25" s="187">
        <f t="shared" si="13"/>
        <v>0</v>
      </c>
      <c r="BL25" s="187">
        <f t="shared" si="13"/>
        <v>0</v>
      </c>
      <c r="BM25" s="187">
        <f t="shared" si="13"/>
        <v>0</v>
      </c>
      <c r="BN25" s="187">
        <f t="shared" si="13"/>
        <v>0</v>
      </c>
      <c r="BO25" s="187">
        <f t="shared" si="13"/>
        <v>0</v>
      </c>
      <c r="BP25" s="187">
        <f t="shared" si="13"/>
        <v>0</v>
      </c>
      <c r="BQ25" s="187">
        <f t="shared" si="13"/>
        <v>0</v>
      </c>
      <c r="BR25" s="188">
        <f t="shared" si="13"/>
        <v>0</v>
      </c>
      <c r="BS25" s="208">
        <f t="shared" si="13"/>
        <v>1</v>
      </c>
      <c r="BT25" s="208">
        <f t="shared" si="13"/>
        <v>1</v>
      </c>
      <c r="BU25" s="188">
        <f t="shared" si="13"/>
        <v>0</v>
      </c>
      <c r="BW25" s="208">
        <f t="shared" si="14"/>
        <v>0</v>
      </c>
      <c r="BX25" s="187">
        <f t="shared" si="14"/>
        <v>0</v>
      </c>
      <c r="BY25" s="187">
        <f t="shared" si="14"/>
        <v>0</v>
      </c>
      <c r="BZ25" s="187">
        <f t="shared" si="14"/>
        <v>0</v>
      </c>
      <c r="CA25" s="187">
        <f t="shared" si="14"/>
        <v>0</v>
      </c>
      <c r="CB25" s="187">
        <f t="shared" si="14"/>
        <v>0</v>
      </c>
      <c r="CC25" s="187">
        <f t="shared" si="14"/>
        <v>0</v>
      </c>
      <c r="CD25" s="187">
        <f t="shared" si="14"/>
        <v>0</v>
      </c>
      <c r="CE25" s="187">
        <f t="shared" si="14"/>
        <v>0</v>
      </c>
      <c r="CF25" s="187">
        <f t="shared" si="14"/>
        <v>0</v>
      </c>
      <c r="CG25" s="187">
        <f t="shared" si="14"/>
        <v>0</v>
      </c>
      <c r="CH25" s="188">
        <f t="shared" si="14"/>
        <v>0</v>
      </c>
      <c r="CI25" s="208">
        <f t="shared" si="14"/>
        <v>0</v>
      </c>
      <c r="CJ25" s="208">
        <f t="shared" si="14"/>
        <v>0</v>
      </c>
      <c r="CK25" s="188">
        <f t="shared" si="14"/>
        <v>0</v>
      </c>
      <c r="CM25" s="208">
        <f t="shared" si="15"/>
        <v>0</v>
      </c>
      <c r="CN25" s="187">
        <f t="shared" si="15"/>
        <v>0</v>
      </c>
      <c r="CO25" s="187">
        <f t="shared" si="15"/>
        <v>0</v>
      </c>
      <c r="CP25" s="187">
        <f t="shared" si="15"/>
        <v>0</v>
      </c>
      <c r="CQ25" s="187">
        <f t="shared" si="15"/>
        <v>0</v>
      </c>
      <c r="CR25" s="187">
        <f t="shared" si="15"/>
        <v>0</v>
      </c>
      <c r="CS25" s="187">
        <f t="shared" si="15"/>
        <v>0</v>
      </c>
      <c r="CT25" s="187">
        <f t="shared" si="15"/>
        <v>0</v>
      </c>
      <c r="CU25" s="187">
        <f t="shared" si="15"/>
        <v>0</v>
      </c>
      <c r="CV25" s="187">
        <f t="shared" si="15"/>
        <v>0</v>
      </c>
      <c r="CW25" s="187">
        <f t="shared" si="15"/>
        <v>0</v>
      </c>
      <c r="CX25" s="188">
        <f t="shared" si="15"/>
        <v>0</v>
      </c>
      <c r="CY25" s="208">
        <f t="shared" si="15"/>
        <v>0</v>
      </c>
      <c r="CZ25" s="208">
        <f t="shared" si="15"/>
        <v>0</v>
      </c>
      <c r="DA25" s="188">
        <f t="shared" si="15"/>
        <v>0</v>
      </c>
    </row>
    <row r="26" spans="1:105">
      <c r="A26" s="209">
        <v>3.6</v>
      </c>
      <c r="B26" s="210" t="s">
        <v>191</v>
      </c>
      <c r="C26" s="210" t="s">
        <v>131</v>
      </c>
      <c r="D26" s="188">
        <v>1</v>
      </c>
      <c r="E26" s="208">
        <v>1</v>
      </c>
      <c r="F26" s="187"/>
      <c r="G26" s="187">
        <v>1</v>
      </c>
      <c r="H26" s="187"/>
      <c r="I26" s="188"/>
      <c r="J26" s="187">
        <v>1</v>
      </c>
      <c r="K26" s="187">
        <v>1</v>
      </c>
      <c r="L26" s="187">
        <v>1</v>
      </c>
      <c r="M26" s="187"/>
      <c r="N26" s="187"/>
      <c r="O26" s="187"/>
      <c r="P26" s="187"/>
      <c r="Q26" s="187"/>
      <c r="R26" s="187"/>
      <c r="S26" s="187"/>
      <c r="T26" s="187"/>
      <c r="U26" s="188"/>
      <c r="V26" s="208">
        <v>1</v>
      </c>
      <c r="W26" s="187">
        <v>1</v>
      </c>
      <c r="X26" s="188"/>
      <c r="Y26" s="187"/>
      <c r="AA26" s="208">
        <f t="shared" si="11"/>
        <v>1</v>
      </c>
      <c r="AB26" s="187">
        <f t="shared" si="11"/>
        <v>1</v>
      </c>
      <c r="AC26" s="187">
        <f t="shared" si="11"/>
        <v>1</v>
      </c>
      <c r="AD26" s="187">
        <f t="shared" si="11"/>
        <v>0</v>
      </c>
      <c r="AE26" s="187">
        <f t="shared" si="11"/>
        <v>0</v>
      </c>
      <c r="AF26" s="187">
        <f t="shared" si="11"/>
        <v>0</v>
      </c>
      <c r="AG26" s="187">
        <f t="shared" si="11"/>
        <v>0</v>
      </c>
      <c r="AH26" s="187">
        <f t="shared" si="11"/>
        <v>0</v>
      </c>
      <c r="AI26" s="187">
        <f t="shared" si="11"/>
        <v>0</v>
      </c>
      <c r="AJ26" s="187">
        <f t="shared" si="11"/>
        <v>0</v>
      </c>
      <c r="AK26" s="187">
        <f t="shared" si="11"/>
        <v>0</v>
      </c>
      <c r="AL26" s="187">
        <f t="shared" si="11"/>
        <v>0</v>
      </c>
      <c r="AM26" s="208">
        <f t="shared" si="11"/>
        <v>1</v>
      </c>
      <c r="AN26" s="187">
        <f t="shared" si="11"/>
        <v>1</v>
      </c>
      <c r="AO26" s="188">
        <f t="shared" si="11"/>
        <v>0</v>
      </c>
      <c r="AQ26" s="208">
        <f t="shared" si="12"/>
        <v>0</v>
      </c>
      <c r="AR26" s="187">
        <f t="shared" si="12"/>
        <v>0</v>
      </c>
      <c r="AS26" s="187">
        <f t="shared" si="12"/>
        <v>0</v>
      </c>
      <c r="AT26" s="187">
        <f t="shared" si="12"/>
        <v>0</v>
      </c>
      <c r="AU26" s="187">
        <f t="shared" si="12"/>
        <v>0</v>
      </c>
      <c r="AV26" s="187">
        <f t="shared" si="12"/>
        <v>0</v>
      </c>
      <c r="AW26" s="187">
        <f t="shared" si="12"/>
        <v>0</v>
      </c>
      <c r="AX26" s="187">
        <f t="shared" si="12"/>
        <v>0</v>
      </c>
      <c r="AY26" s="187">
        <f t="shared" si="12"/>
        <v>0</v>
      </c>
      <c r="AZ26" s="187">
        <f t="shared" si="12"/>
        <v>0</v>
      </c>
      <c r="BA26" s="187">
        <f t="shared" si="12"/>
        <v>0</v>
      </c>
      <c r="BB26" s="188">
        <f t="shared" si="12"/>
        <v>0</v>
      </c>
      <c r="BC26" s="208">
        <f t="shared" si="12"/>
        <v>0</v>
      </c>
      <c r="BD26" s="208">
        <f t="shared" si="12"/>
        <v>0</v>
      </c>
      <c r="BE26" s="188">
        <f t="shared" si="12"/>
        <v>0</v>
      </c>
      <c r="BG26" s="208">
        <f t="shared" si="13"/>
        <v>1</v>
      </c>
      <c r="BH26" s="187">
        <f t="shared" si="13"/>
        <v>1</v>
      </c>
      <c r="BI26" s="187">
        <f t="shared" si="13"/>
        <v>1</v>
      </c>
      <c r="BJ26" s="187">
        <f t="shared" si="13"/>
        <v>0</v>
      </c>
      <c r="BK26" s="187">
        <f t="shared" si="13"/>
        <v>0</v>
      </c>
      <c r="BL26" s="187">
        <f t="shared" si="13"/>
        <v>0</v>
      </c>
      <c r="BM26" s="187">
        <f t="shared" si="13"/>
        <v>0</v>
      </c>
      <c r="BN26" s="187">
        <f t="shared" si="13"/>
        <v>0</v>
      </c>
      <c r="BO26" s="187">
        <f t="shared" si="13"/>
        <v>0</v>
      </c>
      <c r="BP26" s="187">
        <f t="shared" si="13"/>
        <v>0</v>
      </c>
      <c r="BQ26" s="187">
        <f t="shared" si="13"/>
        <v>0</v>
      </c>
      <c r="BR26" s="188">
        <f t="shared" si="13"/>
        <v>0</v>
      </c>
      <c r="BS26" s="208">
        <f t="shared" si="13"/>
        <v>1</v>
      </c>
      <c r="BT26" s="208">
        <f t="shared" si="13"/>
        <v>1</v>
      </c>
      <c r="BU26" s="188">
        <f t="shared" si="13"/>
        <v>0</v>
      </c>
      <c r="BW26" s="208">
        <f t="shared" si="14"/>
        <v>0</v>
      </c>
      <c r="BX26" s="187">
        <f t="shared" si="14"/>
        <v>0</v>
      </c>
      <c r="BY26" s="187">
        <f t="shared" si="14"/>
        <v>0</v>
      </c>
      <c r="BZ26" s="187">
        <f t="shared" si="14"/>
        <v>0</v>
      </c>
      <c r="CA26" s="187">
        <f t="shared" si="14"/>
        <v>0</v>
      </c>
      <c r="CB26" s="187">
        <f t="shared" si="14"/>
        <v>0</v>
      </c>
      <c r="CC26" s="187">
        <f t="shared" si="14"/>
        <v>0</v>
      </c>
      <c r="CD26" s="187">
        <f t="shared" si="14"/>
        <v>0</v>
      </c>
      <c r="CE26" s="187">
        <f t="shared" si="14"/>
        <v>0</v>
      </c>
      <c r="CF26" s="187">
        <f t="shared" si="14"/>
        <v>0</v>
      </c>
      <c r="CG26" s="187">
        <f t="shared" si="14"/>
        <v>0</v>
      </c>
      <c r="CH26" s="188">
        <f t="shared" si="14"/>
        <v>0</v>
      </c>
      <c r="CI26" s="208">
        <f t="shared" si="14"/>
        <v>0</v>
      </c>
      <c r="CJ26" s="208">
        <f t="shared" si="14"/>
        <v>0</v>
      </c>
      <c r="CK26" s="188">
        <f t="shared" si="14"/>
        <v>0</v>
      </c>
      <c r="CM26" s="208">
        <f t="shared" si="15"/>
        <v>0</v>
      </c>
      <c r="CN26" s="187">
        <f t="shared" si="15"/>
        <v>0</v>
      </c>
      <c r="CO26" s="187">
        <f t="shared" si="15"/>
        <v>0</v>
      </c>
      <c r="CP26" s="187">
        <f t="shared" si="15"/>
        <v>0</v>
      </c>
      <c r="CQ26" s="187">
        <f t="shared" si="15"/>
        <v>0</v>
      </c>
      <c r="CR26" s="187">
        <f t="shared" si="15"/>
        <v>0</v>
      </c>
      <c r="CS26" s="187">
        <f t="shared" si="15"/>
        <v>0</v>
      </c>
      <c r="CT26" s="187">
        <f t="shared" si="15"/>
        <v>0</v>
      </c>
      <c r="CU26" s="187">
        <f t="shared" si="15"/>
        <v>0</v>
      </c>
      <c r="CV26" s="187">
        <f t="shared" si="15"/>
        <v>0</v>
      </c>
      <c r="CW26" s="187">
        <f t="shared" si="15"/>
        <v>0</v>
      </c>
      <c r="CX26" s="188">
        <f t="shared" si="15"/>
        <v>0</v>
      </c>
      <c r="CY26" s="208">
        <f t="shared" si="15"/>
        <v>0</v>
      </c>
      <c r="CZ26" s="208">
        <f t="shared" si="15"/>
        <v>0</v>
      </c>
      <c r="DA26" s="188">
        <f t="shared" si="15"/>
        <v>0</v>
      </c>
    </row>
    <row r="27" spans="1:105">
      <c r="A27" s="203" t="s">
        <v>192</v>
      </c>
      <c r="B27" s="204" t="s">
        <v>193</v>
      </c>
      <c r="C27" s="204"/>
      <c r="D27" s="205"/>
      <c r="E27" s="206"/>
      <c r="F27" s="207"/>
      <c r="G27" s="207"/>
      <c r="H27" s="207"/>
      <c r="I27" s="205"/>
      <c r="J27" s="207"/>
      <c r="K27" s="207"/>
      <c r="L27" s="207"/>
      <c r="M27" s="207"/>
      <c r="N27" s="207"/>
      <c r="O27" s="207"/>
      <c r="P27" s="207"/>
      <c r="Q27" s="207"/>
      <c r="R27" s="207"/>
      <c r="S27" s="207"/>
      <c r="T27" s="207"/>
      <c r="U27" s="205"/>
      <c r="V27" s="206"/>
      <c r="W27" s="207"/>
      <c r="X27" s="205"/>
      <c r="Y27" s="207"/>
      <c r="AA27" s="208">
        <f t="shared" si="11"/>
        <v>0</v>
      </c>
      <c r="AB27" s="187">
        <f t="shared" si="11"/>
        <v>0</v>
      </c>
      <c r="AC27" s="187">
        <f t="shared" si="11"/>
        <v>0</v>
      </c>
      <c r="AD27" s="187">
        <f t="shared" si="11"/>
        <v>0</v>
      </c>
      <c r="AE27" s="187">
        <f t="shared" si="11"/>
        <v>0</v>
      </c>
      <c r="AF27" s="187">
        <f t="shared" si="11"/>
        <v>0</v>
      </c>
      <c r="AG27" s="187">
        <f t="shared" si="11"/>
        <v>0</v>
      </c>
      <c r="AH27" s="187">
        <f t="shared" si="11"/>
        <v>0</v>
      </c>
      <c r="AI27" s="187">
        <f t="shared" si="11"/>
        <v>0</v>
      </c>
      <c r="AJ27" s="187">
        <f t="shared" si="11"/>
        <v>0</v>
      </c>
      <c r="AK27" s="187">
        <f t="shared" si="11"/>
        <v>0</v>
      </c>
      <c r="AL27" s="187">
        <f t="shared" si="11"/>
        <v>0</v>
      </c>
      <c r="AM27" s="208">
        <f t="shared" si="11"/>
        <v>0</v>
      </c>
      <c r="AN27" s="187">
        <f t="shared" si="11"/>
        <v>0</v>
      </c>
      <c r="AO27" s="188">
        <f t="shared" si="11"/>
        <v>0</v>
      </c>
      <c r="AQ27" s="208">
        <f t="shared" si="12"/>
        <v>0</v>
      </c>
      <c r="AR27" s="187">
        <f t="shared" si="12"/>
        <v>0</v>
      </c>
      <c r="AS27" s="187">
        <f t="shared" si="12"/>
        <v>0</v>
      </c>
      <c r="AT27" s="187">
        <f t="shared" si="12"/>
        <v>0</v>
      </c>
      <c r="AU27" s="187">
        <f t="shared" si="12"/>
        <v>0</v>
      </c>
      <c r="AV27" s="187">
        <f t="shared" si="12"/>
        <v>0</v>
      </c>
      <c r="AW27" s="187">
        <f t="shared" si="12"/>
        <v>0</v>
      </c>
      <c r="AX27" s="187">
        <f t="shared" si="12"/>
        <v>0</v>
      </c>
      <c r="AY27" s="187">
        <f t="shared" si="12"/>
        <v>0</v>
      </c>
      <c r="AZ27" s="187">
        <f t="shared" si="12"/>
        <v>0</v>
      </c>
      <c r="BA27" s="187">
        <f t="shared" si="12"/>
        <v>0</v>
      </c>
      <c r="BB27" s="188">
        <f t="shared" si="12"/>
        <v>0</v>
      </c>
      <c r="BC27" s="208">
        <f t="shared" si="12"/>
        <v>0</v>
      </c>
      <c r="BD27" s="208">
        <f t="shared" si="12"/>
        <v>0</v>
      </c>
      <c r="BE27" s="188">
        <f t="shared" si="12"/>
        <v>0</v>
      </c>
      <c r="BG27" s="208">
        <f t="shared" si="13"/>
        <v>0</v>
      </c>
      <c r="BH27" s="187">
        <f t="shared" si="13"/>
        <v>0</v>
      </c>
      <c r="BI27" s="187">
        <f t="shared" si="13"/>
        <v>0</v>
      </c>
      <c r="BJ27" s="187">
        <f t="shared" si="13"/>
        <v>0</v>
      </c>
      <c r="BK27" s="187">
        <f t="shared" si="13"/>
        <v>0</v>
      </c>
      <c r="BL27" s="187">
        <f t="shared" si="13"/>
        <v>0</v>
      </c>
      <c r="BM27" s="187">
        <f t="shared" si="13"/>
        <v>0</v>
      </c>
      <c r="BN27" s="187">
        <f t="shared" si="13"/>
        <v>0</v>
      </c>
      <c r="BO27" s="187">
        <f t="shared" si="13"/>
        <v>0</v>
      </c>
      <c r="BP27" s="187">
        <f t="shared" si="13"/>
        <v>0</v>
      </c>
      <c r="BQ27" s="187">
        <f t="shared" si="13"/>
        <v>0</v>
      </c>
      <c r="BR27" s="188">
        <f t="shared" si="13"/>
        <v>0</v>
      </c>
      <c r="BS27" s="208">
        <f t="shared" si="13"/>
        <v>0</v>
      </c>
      <c r="BT27" s="208">
        <f t="shared" si="13"/>
        <v>0</v>
      </c>
      <c r="BU27" s="188">
        <f t="shared" si="13"/>
        <v>0</v>
      </c>
      <c r="BW27" s="208">
        <f t="shared" si="14"/>
        <v>0</v>
      </c>
      <c r="BX27" s="187">
        <f t="shared" si="14"/>
        <v>0</v>
      </c>
      <c r="BY27" s="187">
        <f t="shared" si="14"/>
        <v>0</v>
      </c>
      <c r="BZ27" s="187">
        <f t="shared" si="14"/>
        <v>0</v>
      </c>
      <c r="CA27" s="187">
        <f t="shared" si="14"/>
        <v>0</v>
      </c>
      <c r="CB27" s="187">
        <f t="shared" si="14"/>
        <v>0</v>
      </c>
      <c r="CC27" s="187">
        <f t="shared" si="14"/>
        <v>0</v>
      </c>
      <c r="CD27" s="187">
        <f t="shared" si="14"/>
        <v>0</v>
      </c>
      <c r="CE27" s="187">
        <f t="shared" si="14"/>
        <v>0</v>
      </c>
      <c r="CF27" s="187">
        <f t="shared" si="14"/>
        <v>0</v>
      </c>
      <c r="CG27" s="187">
        <f t="shared" si="14"/>
        <v>0</v>
      </c>
      <c r="CH27" s="188">
        <f t="shared" si="14"/>
        <v>0</v>
      </c>
      <c r="CI27" s="208">
        <f t="shared" si="14"/>
        <v>0</v>
      </c>
      <c r="CJ27" s="208">
        <f t="shared" si="14"/>
        <v>0</v>
      </c>
      <c r="CK27" s="188">
        <f t="shared" si="14"/>
        <v>0</v>
      </c>
      <c r="CM27" s="208">
        <f t="shared" si="15"/>
        <v>0</v>
      </c>
      <c r="CN27" s="187">
        <f t="shared" si="15"/>
        <v>0</v>
      </c>
      <c r="CO27" s="187">
        <f t="shared" si="15"/>
        <v>0</v>
      </c>
      <c r="CP27" s="187">
        <f t="shared" si="15"/>
        <v>0</v>
      </c>
      <c r="CQ27" s="187">
        <f t="shared" si="15"/>
        <v>0</v>
      </c>
      <c r="CR27" s="187">
        <f t="shared" si="15"/>
        <v>0</v>
      </c>
      <c r="CS27" s="187">
        <f t="shared" si="15"/>
        <v>0</v>
      </c>
      <c r="CT27" s="187">
        <f t="shared" si="15"/>
        <v>0</v>
      </c>
      <c r="CU27" s="187">
        <f t="shared" si="15"/>
        <v>0</v>
      </c>
      <c r="CV27" s="187">
        <f t="shared" si="15"/>
        <v>0</v>
      </c>
      <c r="CW27" s="187">
        <f t="shared" si="15"/>
        <v>0</v>
      </c>
      <c r="CX27" s="188">
        <f t="shared" si="15"/>
        <v>0</v>
      </c>
      <c r="CY27" s="208">
        <f t="shared" si="15"/>
        <v>0</v>
      </c>
      <c r="CZ27" s="208">
        <f t="shared" si="15"/>
        <v>0</v>
      </c>
      <c r="DA27" s="188">
        <f t="shared" si="15"/>
        <v>0</v>
      </c>
    </row>
    <row r="28" spans="1:105">
      <c r="A28" s="209">
        <v>4.0999999999999996</v>
      </c>
      <c r="B28" s="210" t="s">
        <v>194</v>
      </c>
      <c r="C28" s="210" t="s">
        <v>131</v>
      </c>
      <c r="D28" s="188">
        <v>1</v>
      </c>
      <c r="E28" s="208">
        <v>1</v>
      </c>
      <c r="F28" s="187"/>
      <c r="G28" s="187"/>
      <c r="H28" s="187">
        <v>1</v>
      </c>
      <c r="I28" s="188"/>
      <c r="J28" s="187">
        <v>1</v>
      </c>
      <c r="K28" s="187">
        <v>1</v>
      </c>
      <c r="L28" s="187">
        <v>1</v>
      </c>
      <c r="M28" s="187"/>
      <c r="N28" s="187"/>
      <c r="O28" s="187"/>
      <c r="P28" s="187"/>
      <c r="Q28" s="187"/>
      <c r="R28" s="187"/>
      <c r="S28" s="187"/>
      <c r="T28" s="187"/>
      <c r="U28" s="188">
        <v>1</v>
      </c>
      <c r="V28" s="208">
        <v>1</v>
      </c>
      <c r="W28" s="187"/>
      <c r="X28" s="188"/>
      <c r="Y28" s="187"/>
      <c r="AA28" s="208">
        <f t="shared" si="11"/>
        <v>1</v>
      </c>
      <c r="AB28" s="187">
        <f t="shared" si="11"/>
        <v>1</v>
      </c>
      <c r="AC28" s="187">
        <f t="shared" si="11"/>
        <v>1</v>
      </c>
      <c r="AD28" s="187">
        <f t="shared" si="11"/>
        <v>0</v>
      </c>
      <c r="AE28" s="187">
        <f t="shared" si="11"/>
        <v>0</v>
      </c>
      <c r="AF28" s="187">
        <f t="shared" si="11"/>
        <v>0</v>
      </c>
      <c r="AG28" s="187">
        <f t="shared" si="11"/>
        <v>0</v>
      </c>
      <c r="AH28" s="187">
        <f t="shared" si="11"/>
        <v>0</v>
      </c>
      <c r="AI28" s="187">
        <f t="shared" si="11"/>
        <v>0</v>
      </c>
      <c r="AJ28" s="187">
        <f t="shared" si="11"/>
        <v>0</v>
      </c>
      <c r="AK28" s="187">
        <f t="shared" si="11"/>
        <v>0</v>
      </c>
      <c r="AL28" s="187">
        <f t="shared" si="11"/>
        <v>1</v>
      </c>
      <c r="AM28" s="208">
        <f t="shared" si="11"/>
        <v>1</v>
      </c>
      <c r="AN28" s="187">
        <f t="shared" si="11"/>
        <v>0</v>
      </c>
      <c r="AO28" s="188">
        <f t="shared" si="11"/>
        <v>0</v>
      </c>
      <c r="AQ28" s="208">
        <f t="shared" si="12"/>
        <v>0</v>
      </c>
      <c r="AR28" s="187">
        <f t="shared" si="12"/>
        <v>0</v>
      </c>
      <c r="AS28" s="187">
        <f t="shared" si="12"/>
        <v>0</v>
      </c>
      <c r="AT28" s="187">
        <f t="shared" si="12"/>
        <v>0</v>
      </c>
      <c r="AU28" s="187">
        <f t="shared" si="12"/>
        <v>0</v>
      </c>
      <c r="AV28" s="187">
        <f t="shared" si="12"/>
        <v>0</v>
      </c>
      <c r="AW28" s="187">
        <f t="shared" si="12"/>
        <v>0</v>
      </c>
      <c r="AX28" s="187">
        <f t="shared" si="12"/>
        <v>0</v>
      </c>
      <c r="AY28" s="187">
        <f t="shared" si="12"/>
        <v>0</v>
      </c>
      <c r="AZ28" s="187">
        <f t="shared" si="12"/>
        <v>0</v>
      </c>
      <c r="BA28" s="187">
        <f t="shared" si="12"/>
        <v>0</v>
      </c>
      <c r="BB28" s="188">
        <f t="shared" si="12"/>
        <v>0</v>
      </c>
      <c r="BC28" s="208">
        <f t="shared" si="12"/>
        <v>0</v>
      </c>
      <c r="BD28" s="208">
        <f t="shared" si="12"/>
        <v>0</v>
      </c>
      <c r="BE28" s="188">
        <f t="shared" si="12"/>
        <v>0</v>
      </c>
      <c r="BG28" s="208">
        <f t="shared" si="13"/>
        <v>0</v>
      </c>
      <c r="BH28" s="187">
        <f t="shared" si="13"/>
        <v>0</v>
      </c>
      <c r="BI28" s="187">
        <f t="shared" si="13"/>
        <v>0</v>
      </c>
      <c r="BJ28" s="187">
        <f t="shared" si="13"/>
        <v>0</v>
      </c>
      <c r="BK28" s="187">
        <f t="shared" si="13"/>
        <v>0</v>
      </c>
      <c r="BL28" s="187">
        <f t="shared" si="13"/>
        <v>0</v>
      </c>
      <c r="BM28" s="187">
        <f t="shared" si="13"/>
        <v>0</v>
      </c>
      <c r="BN28" s="187">
        <f t="shared" si="13"/>
        <v>0</v>
      </c>
      <c r="BO28" s="187">
        <f t="shared" si="13"/>
        <v>0</v>
      </c>
      <c r="BP28" s="187">
        <f t="shared" si="13"/>
        <v>0</v>
      </c>
      <c r="BQ28" s="187">
        <f t="shared" si="13"/>
        <v>0</v>
      </c>
      <c r="BR28" s="188">
        <f t="shared" si="13"/>
        <v>0</v>
      </c>
      <c r="BS28" s="208">
        <f t="shared" si="13"/>
        <v>0</v>
      </c>
      <c r="BT28" s="208">
        <f t="shared" si="13"/>
        <v>0</v>
      </c>
      <c r="BU28" s="188">
        <f t="shared" si="13"/>
        <v>0</v>
      </c>
      <c r="BW28" s="208">
        <f t="shared" si="14"/>
        <v>1</v>
      </c>
      <c r="BX28" s="187">
        <f t="shared" si="14"/>
        <v>1</v>
      </c>
      <c r="BY28" s="187">
        <f t="shared" si="14"/>
        <v>1</v>
      </c>
      <c r="BZ28" s="187">
        <f t="shared" si="14"/>
        <v>0</v>
      </c>
      <c r="CA28" s="187">
        <f t="shared" si="14"/>
        <v>0</v>
      </c>
      <c r="CB28" s="187">
        <f t="shared" si="14"/>
        <v>0</v>
      </c>
      <c r="CC28" s="187">
        <f t="shared" si="14"/>
        <v>0</v>
      </c>
      <c r="CD28" s="187">
        <f t="shared" si="14"/>
        <v>0</v>
      </c>
      <c r="CE28" s="187">
        <f t="shared" si="14"/>
        <v>0</v>
      </c>
      <c r="CF28" s="187">
        <f t="shared" si="14"/>
        <v>0</v>
      </c>
      <c r="CG28" s="187">
        <f t="shared" si="14"/>
        <v>0</v>
      </c>
      <c r="CH28" s="188">
        <f t="shared" si="14"/>
        <v>1</v>
      </c>
      <c r="CI28" s="208">
        <f t="shared" si="14"/>
        <v>1</v>
      </c>
      <c r="CJ28" s="208">
        <f t="shared" si="14"/>
        <v>0</v>
      </c>
      <c r="CK28" s="188">
        <f t="shared" si="14"/>
        <v>0</v>
      </c>
      <c r="CM28" s="208">
        <f t="shared" si="15"/>
        <v>0</v>
      </c>
      <c r="CN28" s="187">
        <f t="shared" si="15"/>
        <v>0</v>
      </c>
      <c r="CO28" s="187">
        <f t="shared" si="15"/>
        <v>0</v>
      </c>
      <c r="CP28" s="187">
        <f t="shared" si="15"/>
        <v>0</v>
      </c>
      <c r="CQ28" s="187">
        <f t="shared" si="15"/>
        <v>0</v>
      </c>
      <c r="CR28" s="187">
        <f t="shared" si="15"/>
        <v>0</v>
      </c>
      <c r="CS28" s="187">
        <f t="shared" si="15"/>
        <v>0</v>
      </c>
      <c r="CT28" s="187">
        <f t="shared" si="15"/>
        <v>0</v>
      </c>
      <c r="CU28" s="187">
        <f t="shared" si="15"/>
        <v>0</v>
      </c>
      <c r="CV28" s="187">
        <f t="shared" si="15"/>
        <v>0</v>
      </c>
      <c r="CW28" s="187">
        <f t="shared" si="15"/>
        <v>0</v>
      </c>
      <c r="CX28" s="188">
        <f t="shared" si="15"/>
        <v>0</v>
      </c>
      <c r="CY28" s="208">
        <f t="shared" si="15"/>
        <v>0</v>
      </c>
      <c r="CZ28" s="208">
        <f t="shared" si="15"/>
        <v>0</v>
      </c>
      <c r="DA28" s="188">
        <f t="shared" si="15"/>
        <v>0</v>
      </c>
    </row>
    <row r="29" spans="1:105">
      <c r="A29" s="209">
        <v>4.2</v>
      </c>
      <c r="B29" s="210" t="s">
        <v>195</v>
      </c>
      <c r="C29" s="210" t="s">
        <v>131</v>
      </c>
      <c r="D29" s="188">
        <v>1</v>
      </c>
      <c r="E29" s="208">
        <v>1</v>
      </c>
      <c r="F29" s="187"/>
      <c r="G29" s="187"/>
      <c r="H29" s="187">
        <v>1</v>
      </c>
      <c r="I29" s="188"/>
      <c r="J29" s="187">
        <v>1</v>
      </c>
      <c r="K29" s="187">
        <v>1</v>
      </c>
      <c r="L29" s="187">
        <v>1</v>
      </c>
      <c r="M29" s="187">
        <v>1</v>
      </c>
      <c r="N29" s="187">
        <v>1</v>
      </c>
      <c r="O29" s="187"/>
      <c r="P29" s="187"/>
      <c r="Q29" s="187"/>
      <c r="R29" s="187"/>
      <c r="S29" s="187"/>
      <c r="T29" s="187"/>
      <c r="U29" s="188"/>
      <c r="V29" s="208">
        <v>1</v>
      </c>
      <c r="W29" s="187">
        <v>1</v>
      </c>
      <c r="X29" s="188"/>
      <c r="Y29" s="187"/>
      <c r="AA29" s="208">
        <f t="shared" si="11"/>
        <v>1</v>
      </c>
      <c r="AB29" s="187">
        <f t="shared" si="11"/>
        <v>1</v>
      </c>
      <c r="AC29" s="187">
        <f t="shared" si="11"/>
        <v>1</v>
      </c>
      <c r="AD29" s="187">
        <f t="shared" si="11"/>
        <v>1</v>
      </c>
      <c r="AE29" s="187">
        <f t="shared" si="11"/>
        <v>1</v>
      </c>
      <c r="AF29" s="187">
        <f t="shared" si="11"/>
        <v>0</v>
      </c>
      <c r="AG29" s="187">
        <f t="shared" si="11"/>
        <v>0</v>
      </c>
      <c r="AH29" s="187">
        <f t="shared" si="11"/>
        <v>0</v>
      </c>
      <c r="AI29" s="187">
        <f t="shared" si="11"/>
        <v>0</v>
      </c>
      <c r="AJ29" s="187">
        <f t="shared" si="11"/>
        <v>0</v>
      </c>
      <c r="AK29" s="187">
        <f t="shared" si="11"/>
        <v>0</v>
      </c>
      <c r="AL29" s="187">
        <f t="shared" si="11"/>
        <v>0</v>
      </c>
      <c r="AM29" s="208">
        <f t="shared" si="11"/>
        <v>1</v>
      </c>
      <c r="AN29" s="187">
        <f t="shared" si="11"/>
        <v>1</v>
      </c>
      <c r="AO29" s="188">
        <f t="shared" si="11"/>
        <v>0</v>
      </c>
      <c r="AQ29" s="208">
        <f t="shared" si="12"/>
        <v>0</v>
      </c>
      <c r="AR29" s="187">
        <f t="shared" si="12"/>
        <v>0</v>
      </c>
      <c r="AS29" s="187">
        <f t="shared" si="12"/>
        <v>0</v>
      </c>
      <c r="AT29" s="187">
        <f t="shared" si="12"/>
        <v>0</v>
      </c>
      <c r="AU29" s="187">
        <f t="shared" si="12"/>
        <v>0</v>
      </c>
      <c r="AV29" s="187">
        <f t="shared" si="12"/>
        <v>0</v>
      </c>
      <c r="AW29" s="187">
        <f t="shared" si="12"/>
        <v>0</v>
      </c>
      <c r="AX29" s="187">
        <f t="shared" si="12"/>
        <v>0</v>
      </c>
      <c r="AY29" s="187">
        <f t="shared" si="12"/>
        <v>0</v>
      </c>
      <c r="AZ29" s="187">
        <f t="shared" si="12"/>
        <v>0</v>
      </c>
      <c r="BA29" s="187">
        <f t="shared" si="12"/>
        <v>0</v>
      </c>
      <c r="BB29" s="188">
        <f t="shared" si="12"/>
        <v>0</v>
      </c>
      <c r="BC29" s="208">
        <f t="shared" si="12"/>
        <v>0</v>
      </c>
      <c r="BD29" s="208">
        <f t="shared" si="12"/>
        <v>0</v>
      </c>
      <c r="BE29" s="188">
        <f t="shared" si="12"/>
        <v>0</v>
      </c>
      <c r="BG29" s="208">
        <f t="shared" si="13"/>
        <v>0</v>
      </c>
      <c r="BH29" s="187">
        <f t="shared" si="13"/>
        <v>0</v>
      </c>
      <c r="BI29" s="187">
        <f t="shared" si="13"/>
        <v>0</v>
      </c>
      <c r="BJ29" s="187">
        <f t="shared" si="13"/>
        <v>0</v>
      </c>
      <c r="BK29" s="187">
        <f t="shared" si="13"/>
        <v>0</v>
      </c>
      <c r="BL29" s="187">
        <f t="shared" si="13"/>
        <v>0</v>
      </c>
      <c r="BM29" s="187">
        <f t="shared" si="13"/>
        <v>0</v>
      </c>
      <c r="BN29" s="187">
        <f t="shared" si="13"/>
        <v>0</v>
      </c>
      <c r="BO29" s="187">
        <f t="shared" si="13"/>
        <v>0</v>
      </c>
      <c r="BP29" s="187">
        <f t="shared" si="13"/>
        <v>0</v>
      </c>
      <c r="BQ29" s="187">
        <f t="shared" si="13"/>
        <v>0</v>
      </c>
      <c r="BR29" s="188">
        <f t="shared" si="13"/>
        <v>0</v>
      </c>
      <c r="BS29" s="208">
        <f t="shared" si="13"/>
        <v>0</v>
      </c>
      <c r="BT29" s="208">
        <f t="shared" si="13"/>
        <v>0</v>
      </c>
      <c r="BU29" s="188">
        <f t="shared" si="13"/>
        <v>0</v>
      </c>
      <c r="BW29" s="208">
        <f t="shared" si="14"/>
        <v>1</v>
      </c>
      <c r="BX29" s="187">
        <f t="shared" si="14"/>
        <v>1</v>
      </c>
      <c r="BY29" s="187">
        <f t="shared" si="14"/>
        <v>1</v>
      </c>
      <c r="BZ29" s="187">
        <f t="shared" si="14"/>
        <v>1</v>
      </c>
      <c r="CA29" s="187">
        <f t="shared" si="14"/>
        <v>1</v>
      </c>
      <c r="CB29" s="187">
        <f t="shared" si="14"/>
        <v>0</v>
      </c>
      <c r="CC29" s="187">
        <f t="shared" si="14"/>
        <v>0</v>
      </c>
      <c r="CD29" s="187">
        <f t="shared" si="14"/>
        <v>0</v>
      </c>
      <c r="CE29" s="187">
        <f t="shared" si="14"/>
        <v>0</v>
      </c>
      <c r="CF29" s="187">
        <f t="shared" si="14"/>
        <v>0</v>
      </c>
      <c r="CG29" s="187">
        <f t="shared" si="14"/>
        <v>0</v>
      </c>
      <c r="CH29" s="188">
        <f t="shared" si="14"/>
        <v>0</v>
      </c>
      <c r="CI29" s="208">
        <f t="shared" si="14"/>
        <v>1</v>
      </c>
      <c r="CJ29" s="208">
        <f t="shared" si="14"/>
        <v>1</v>
      </c>
      <c r="CK29" s="188">
        <f t="shared" si="14"/>
        <v>0</v>
      </c>
      <c r="CM29" s="208">
        <f t="shared" si="15"/>
        <v>0</v>
      </c>
      <c r="CN29" s="187">
        <f t="shared" si="15"/>
        <v>0</v>
      </c>
      <c r="CO29" s="187">
        <f t="shared" si="15"/>
        <v>0</v>
      </c>
      <c r="CP29" s="187">
        <f t="shared" si="15"/>
        <v>0</v>
      </c>
      <c r="CQ29" s="187">
        <f t="shared" si="15"/>
        <v>0</v>
      </c>
      <c r="CR29" s="187">
        <f t="shared" si="15"/>
        <v>0</v>
      </c>
      <c r="CS29" s="187">
        <f t="shared" si="15"/>
        <v>0</v>
      </c>
      <c r="CT29" s="187">
        <f t="shared" si="15"/>
        <v>0</v>
      </c>
      <c r="CU29" s="187">
        <f t="shared" si="15"/>
        <v>0</v>
      </c>
      <c r="CV29" s="187">
        <f t="shared" si="15"/>
        <v>0</v>
      </c>
      <c r="CW29" s="187">
        <f t="shared" si="15"/>
        <v>0</v>
      </c>
      <c r="CX29" s="188">
        <f t="shared" si="15"/>
        <v>0</v>
      </c>
      <c r="CY29" s="208">
        <f t="shared" si="15"/>
        <v>0</v>
      </c>
      <c r="CZ29" s="208">
        <f t="shared" si="15"/>
        <v>0</v>
      </c>
      <c r="DA29" s="188">
        <f t="shared" si="15"/>
        <v>0</v>
      </c>
    </row>
    <row r="30" spans="1:105">
      <c r="A30" s="209">
        <v>4.3</v>
      </c>
      <c r="B30" s="210" t="s">
        <v>196</v>
      </c>
      <c r="C30" s="210" t="s">
        <v>131</v>
      </c>
      <c r="D30" s="188">
        <v>1</v>
      </c>
      <c r="E30" s="208">
        <v>1</v>
      </c>
      <c r="F30" s="187"/>
      <c r="G30" s="187"/>
      <c r="H30" s="187">
        <v>1</v>
      </c>
      <c r="I30" s="188"/>
      <c r="J30" s="187">
        <v>1</v>
      </c>
      <c r="K30" s="187">
        <v>1</v>
      </c>
      <c r="L30" s="187">
        <v>1</v>
      </c>
      <c r="M30" s="187">
        <v>1</v>
      </c>
      <c r="N30" s="187">
        <v>1</v>
      </c>
      <c r="O30" s="187"/>
      <c r="P30" s="187"/>
      <c r="Q30" s="187"/>
      <c r="R30" s="187"/>
      <c r="S30" s="187"/>
      <c r="T30" s="187"/>
      <c r="U30" s="188"/>
      <c r="V30" s="208">
        <v>1</v>
      </c>
      <c r="W30" s="187">
        <v>1</v>
      </c>
      <c r="X30" s="188"/>
      <c r="Y30" s="187"/>
      <c r="AA30" s="208">
        <f t="shared" si="11"/>
        <v>1</v>
      </c>
      <c r="AB30" s="187">
        <f t="shared" si="11"/>
        <v>1</v>
      </c>
      <c r="AC30" s="187">
        <f t="shared" si="11"/>
        <v>1</v>
      </c>
      <c r="AD30" s="187">
        <f t="shared" si="11"/>
        <v>1</v>
      </c>
      <c r="AE30" s="187">
        <f t="shared" si="11"/>
        <v>1</v>
      </c>
      <c r="AF30" s="187">
        <f t="shared" si="11"/>
        <v>0</v>
      </c>
      <c r="AG30" s="187">
        <f t="shared" si="11"/>
        <v>0</v>
      </c>
      <c r="AH30" s="187">
        <f t="shared" si="11"/>
        <v>0</v>
      </c>
      <c r="AI30" s="187">
        <f t="shared" si="11"/>
        <v>0</v>
      </c>
      <c r="AJ30" s="187">
        <f t="shared" si="11"/>
        <v>0</v>
      </c>
      <c r="AK30" s="187">
        <f t="shared" si="11"/>
        <v>0</v>
      </c>
      <c r="AL30" s="187">
        <f t="shared" si="11"/>
        <v>0</v>
      </c>
      <c r="AM30" s="208">
        <f t="shared" si="11"/>
        <v>1</v>
      </c>
      <c r="AN30" s="187">
        <f t="shared" si="11"/>
        <v>1</v>
      </c>
      <c r="AO30" s="188">
        <f t="shared" si="11"/>
        <v>0</v>
      </c>
      <c r="AQ30" s="208">
        <f t="shared" si="12"/>
        <v>0</v>
      </c>
      <c r="AR30" s="187">
        <f t="shared" si="12"/>
        <v>0</v>
      </c>
      <c r="AS30" s="187">
        <f t="shared" si="12"/>
        <v>0</v>
      </c>
      <c r="AT30" s="187">
        <f t="shared" si="12"/>
        <v>0</v>
      </c>
      <c r="AU30" s="187">
        <f t="shared" si="12"/>
        <v>0</v>
      </c>
      <c r="AV30" s="187">
        <f t="shared" si="12"/>
        <v>0</v>
      </c>
      <c r="AW30" s="187">
        <f t="shared" si="12"/>
        <v>0</v>
      </c>
      <c r="AX30" s="187">
        <f t="shared" si="12"/>
        <v>0</v>
      </c>
      <c r="AY30" s="187">
        <f t="shared" si="12"/>
        <v>0</v>
      </c>
      <c r="AZ30" s="187">
        <f t="shared" si="12"/>
        <v>0</v>
      </c>
      <c r="BA30" s="187">
        <f t="shared" si="12"/>
        <v>0</v>
      </c>
      <c r="BB30" s="188">
        <f t="shared" si="12"/>
        <v>0</v>
      </c>
      <c r="BC30" s="208">
        <f t="shared" si="12"/>
        <v>0</v>
      </c>
      <c r="BD30" s="208">
        <f t="shared" si="12"/>
        <v>0</v>
      </c>
      <c r="BE30" s="188">
        <f t="shared" si="12"/>
        <v>0</v>
      </c>
      <c r="BG30" s="208">
        <f t="shared" si="13"/>
        <v>0</v>
      </c>
      <c r="BH30" s="187">
        <f t="shared" si="13"/>
        <v>0</v>
      </c>
      <c r="BI30" s="187">
        <f t="shared" si="13"/>
        <v>0</v>
      </c>
      <c r="BJ30" s="187">
        <f t="shared" si="13"/>
        <v>0</v>
      </c>
      <c r="BK30" s="187">
        <f t="shared" si="13"/>
        <v>0</v>
      </c>
      <c r="BL30" s="187">
        <f t="shared" si="13"/>
        <v>0</v>
      </c>
      <c r="BM30" s="187">
        <f t="shared" si="13"/>
        <v>0</v>
      </c>
      <c r="BN30" s="187">
        <f t="shared" si="13"/>
        <v>0</v>
      </c>
      <c r="BO30" s="187">
        <f t="shared" si="13"/>
        <v>0</v>
      </c>
      <c r="BP30" s="187">
        <f t="shared" si="13"/>
        <v>0</v>
      </c>
      <c r="BQ30" s="187">
        <f t="shared" si="13"/>
        <v>0</v>
      </c>
      <c r="BR30" s="188">
        <f t="shared" si="13"/>
        <v>0</v>
      </c>
      <c r="BS30" s="208">
        <f t="shared" si="13"/>
        <v>0</v>
      </c>
      <c r="BT30" s="208">
        <f t="shared" si="13"/>
        <v>0</v>
      </c>
      <c r="BU30" s="188">
        <f t="shared" si="13"/>
        <v>0</v>
      </c>
      <c r="BW30" s="208">
        <f t="shared" si="14"/>
        <v>1</v>
      </c>
      <c r="BX30" s="187">
        <f t="shared" si="14"/>
        <v>1</v>
      </c>
      <c r="BY30" s="187">
        <f t="shared" si="14"/>
        <v>1</v>
      </c>
      <c r="BZ30" s="187">
        <f t="shared" si="14"/>
        <v>1</v>
      </c>
      <c r="CA30" s="187">
        <f t="shared" si="14"/>
        <v>1</v>
      </c>
      <c r="CB30" s="187">
        <f t="shared" si="14"/>
        <v>0</v>
      </c>
      <c r="CC30" s="187">
        <f t="shared" si="14"/>
        <v>0</v>
      </c>
      <c r="CD30" s="187">
        <f t="shared" si="14"/>
        <v>0</v>
      </c>
      <c r="CE30" s="187">
        <f t="shared" si="14"/>
        <v>0</v>
      </c>
      <c r="CF30" s="187">
        <f t="shared" si="14"/>
        <v>0</v>
      </c>
      <c r="CG30" s="187">
        <f t="shared" si="14"/>
        <v>0</v>
      </c>
      <c r="CH30" s="188">
        <f t="shared" si="14"/>
        <v>0</v>
      </c>
      <c r="CI30" s="208">
        <f t="shared" si="14"/>
        <v>1</v>
      </c>
      <c r="CJ30" s="208">
        <f t="shared" si="14"/>
        <v>1</v>
      </c>
      <c r="CK30" s="188">
        <f t="shared" si="14"/>
        <v>0</v>
      </c>
      <c r="CM30" s="208">
        <f t="shared" si="15"/>
        <v>0</v>
      </c>
      <c r="CN30" s="187">
        <f t="shared" si="15"/>
        <v>0</v>
      </c>
      <c r="CO30" s="187">
        <f t="shared" si="15"/>
        <v>0</v>
      </c>
      <c r="CP30" s="187">
        <f t="shared" si="15"/>
        <v>0</v>
      </c>
      <c r="CQ30" s="187">
        <f t="shared" si="15"/>
        <v>0</v>
      </c>
      <c r="CR30" s="187">
        <f t="shared" si="15"/>
        <v>0</v>
      </c>
      <c r="CS30" s="187">
        <f t="shared" si="15"/>
        <v>0</v>
      </c>
      <c r="CT30" s="187">
        <f t="shared" si="15"/>
        <v>0</v>
      </c>
      <c r="CU30" s="187">
        <f t="shared" si="15"/>
        <v>0</v>
      </c>
      <c r="CV30" s="187">
        <f t="shared" si="15"/>
        <v>0</v>
      </c>
      <c r="CW30" s="187">
        <f t="shared" si="15"/>
        <v>0</v>
      </c>
      <c r="CX30" s="188">
        <f t="shared" si="15"/>
        <v>0</v>
      </c>
      <c r="CY30" s="208">
        <f t="shared" si="15"/>
        <v>0</v>
      </c>
      <c r="CZ30" s="208">
        <f t="shared" si="15"/>
        <v>0</v>
      </c>
      <c r="DA30" s="188">
        <f t="shared" si="15"/>
        <v>0</v>
      </c>
    </row>
    <row r="31" spans="1:105">
      <c r="A31" s="209">
        <v>4.4000000000000004</v>
      </c>
      <c r="B31" s="210" t="s">
        <v>197</v>
      </c>
      <c r="C31" s="210" t="s">
        <v>131</v>
      </c>
      <c r="D31" s="188">
        <v>1</v>
      </c>
      <c r="E31" s="208">
        <v>1</v>
      </c>
      <c r="F31" s="187"/>
      <c r="G31" s="187"/>
      <c r="H31" s="187">
        <v>1</v>
      </c>
      <c r="I31" s="188"/>
      <c r="J31" s="187">
        <v>1</v>
      </c>
      <c r="K31" s="187">
        <v>1</v>
      </c>
      <c r="L31" s="187">
        <v>1</v>
      </c>
      <c r="M31" s="187">
        <v>1</v>
      </c>
      <c r="N31" s="187">
        <v>1</v>
      </c>
      <c r="O31" s="187"/>
      <c r="P31" s="187"/>
      <c r="Q31" s="187">
        <v>1</v>
      </c>
      <c r="R31" s="187"/>
      <c r="S31" s="187"/>
      <c r="T31" s="187"/>
      <c r="U31" s="188"/>
      <c r="V31" s="208">
        <v>1</v>
      </c>
      <c r="W31" s="187"/>
      <c r="X31" s="188">
        <v>1</v>
      </c>
      <c r="Y31" s="187"/>
      <c r="AA31" s="208">
        <f t="shared" si="11"/>
        <v>1</v>
      </c>
      <c r="AB31" s="187">
        <f t="shared" si="11"/>
        <v>1</v>
      </c>
      <c r="AC31" s="187">
        <f t="shared" si="11"/>
        <v>1</v>
      </c>
      <c r="AD31" s="187">
        <f t="shared" si="11"/>
        <v>1</v>
      </c>
      <c r="AE31" s="187">
        <f t="shared" si="11"/>
        <v>1</v>
      </c>
      <c r="AF31" s="187">
        <f t="shared" si="11"/>
        <v>0</v>
      </c>
      <c r="AG31" s="187">
        <f t="shared" si="11"/>
        <v>0</v>
      </c>
      <c r="AH31" s="187">
        <f t="shared" si="11"/>
        <v>1</v>
      </c>
      <c r="AI31" s="187">
        <f t="shared" si="11"/>
        <v>0</v>
      </c>
      <c r="AJ31" s="187">
        <f t="shared" si="11"/>
        <v>0</v>
      </c>
      <c r="AK31" s="187">
        <f t="shared" si="11"/>
        <v>0</v>
      </c>
      <c r="AL31" s="187">
        <f t="shared" si="11"/>
        <v>0</v>
      </c>
      <c r="AM31" s="208">
        <f t="shared" si="11"/>
        <v>1</v>
      </c>
      <c r="AN31" s="187">
        <f t="shared" si="11"/>
        <v>0</v>
      </c>
      <c r="AO31" s="188">
        <f t="shared" si="11"/>
        <v>1</v>
      </c>
      <c r="AQ31" s="208">
        <f t="shared" si="12"/>
        <v>0</v>
      </c>
      <c r="AR31" s="187">
        <f t="shared" si="12"/>
        <v>0</v>
      </c>
      <c r="AS31" s="187">
        <f t="shared" si="12"/>
        <v>0</v>
      </c>
      <c r="AT31" s="187">
        <f t="shared" si="12"/>
        <v>0</v>
      </c>
      <c r="AU31" s="187">
        <f t="shared" si="12"/>
        <v>0</v>
      </c>
      <c r="AV31" s="187">
        <f t="shared" si="12"/>
        <v>0</v>
      </c>
      <c r="AW31" s="187">
        <f t="shared" si="12"/>
        <v>0</v>
      </c>
      <c r="AX31" s="187">
        <f t="shared" si="12"/>
        <v>0</v>
      </c>
      <c r="AY31" s="187">
        <f t="shared" si="12"/>
        <v>0</v>
      </c>
      <c r="AZ31" s="187">
        <f t="shared" si="12"/>
        <v>0</v>
      </c>
      <c r="BA31" s="187">
        <f t="shared" si="12"/>
        <v>0</v>
      </c>
      <c r="BB31" s="188">
        <f t="shared" si="12"/>
        <v>0</v>
      </c>
      <c r="BC31" s="208">
        <f t="shared" si="12"/>
        <v>0</v>
      </c>
      <c r="BD31" s="208">
        <f t="shared" si="12"/>
        <v>0</v>
      </c>
      <c r="BE31" s="188">
        <f t="shared" si="12"/>
        <v>0</v>
      </c>
      <c r="BG31" s="208">
        <f t="shared" si="13"/>
        <v>0</v>
      </c>
      <c r="BH31" s="187">
        <f t="shared" si="13"/>
        <v>0</v>
      </c>
      <c r="BI31" s="187">
        <f t="shared" si="13"/>
        <v>0</v>
      </c>
      <c r="BJ31" s="187">
        <f t="shared" si="13"/>
        <v>0</v>
      </c>
      <c r="BK31" s="187">
        <f t="shared" si="13"/>
        <v>0</v>
      </c>
      <c r="BL31" s="187">
        <f t="shared" si="13"/>
        <v>0</v>
      </c>
      <c r="BM31" s="187">
        <f t="shared" si="13"/>
        <v>0</v>
      </c>
      <c r="BN31" s="187">
        <f t="shared" si="13"/>
        <v>0</v>
      </c>
      <c r="BO31" s="187">
        <f t="shared" si="13"/>
        <v>0</v>
      </c>
      <c r="BP31" s="187">
        <f t="shared" si="13"/>
        <v>0</v>
      </c>
      <c r="BQ31" s="187">
        <f t="shared" si="13"/>
        <v>0</v>
      </c>
      <c r="BR31" s="188">
        <f t="shared" si="13"/>
        <v>0</v>
      </c>
      <c r="BS31" s="208">
        <f t="shared" si="13"/>
        <v>0</v>
      </c>
      <c r="BT31" s="208">
        <f t="shared" si="13"/>
        <v>0</v>
      </c>
      <c r="BU31" s="188">
        <f t="shared" si="13"/>
        <v>0</v>
      </c>
      <c r="BW31" s="208">
        <f t="shared" si="14"/>
        <v>1</v>
      </c>
      <c r="BX31" s="187">
        <f t="shared" si="14"/>
        <v>1</v>
      </c>
      <c r="BY31" s="187">
        <f t="shared" si="14"/>
        <v>1</v>
      </c>
      <c r="BZ31" s="187">
        <f t="shared" si="14"/>
        <v>1</v>
      </c>
      <c r="CA31" s="187">
        <f t="shared" si="14"/>
        <v>1</v>
      </c>
      <c r="CB31" s="187">
        <f t="shared" si="14"/>
        <v>0</v>
      </c>
      <c r="CC31" s="187">
        <f t="shared" si="14"/>
        <v>0</v>
      </c>
      <c r="CD31" s="187">
        <f t="shared" si="14"/>
        <v>1</v>
      </c>
      <c r="CE31" s="187">
        <f t="shared" si="14"/>
        <v>0</v>
      </c>
      <c r="CF31" s="187">
        <f t="shared" si="14"/>
        <v>0</v>
      </c>
      <c r="CG31" s="187">
        <f t="shared" si="14"/>
        <v>0</v>
      </c>
      <c r="CH31" s="188">
        <f t="shared" si="14"/>
        <v>0</v>
      </c>
      <c r="CI31" s="208">
        <f t="shared" si="14"/>
        <v>1</v>
      </c>
      <c r="CJ31" s="208">
        <f t="shared" si="14"/>
        <v>0</v>
      </c>
      <c r="CK31" s="188">
        <f t="shared" si="14"/>
        <v>1</v>
      </c>
      <c r="CM31" s="208">
        <f t="shared" si="15"/>
        <v>0</v>
      </c>
      <c r="CN31" s="187">
        <f t="shared" si="15"/>
        <v>0</v>
      </c>
      <c r="CO31" s="187">
        <f t="shared" si="15"/>
        <v>0</v>
      </c>
      <c r="CP31" s="187">
        <f t="shared" si="15"/>
        <v>0</v>
      </c>
      <c r="CQ31" s="187">
        <f t="shared" si="15"/>
        <v>0</v>
      </c>
      <c r="CR31" s="187">
        <f t="shared" si="15"/>
        <v>0</v>
      </c>
      <c r="CS31" s="187">
        <f t="shared" si="15"/>
        <v>0</v>
      </c>
      <c r="CT31" s="187">
        <f t="shared" si="15"/>
        <v>0</v>
      </c>
      <c r="CU31" s="187">
        <f t="shared" si="15"/>
        <v>0</v>
      </c>
      <c r="CV31" s="187">
        <f t="shared" si="15"/>
        <v>0</v>
      </c>
      <c r="CW31" s="187">
        <f t="shared" si="15"/>
        <v>0</v>
      </c>
      <c r="CX31" s="188">
        <f t="shared" si="15"/>
        <v>0</v>
      </c>
      <c r="CY31" s="208">
        <f t="shared" si="15"/>
        <v>0</v>
      </c>
      <c r="CZ31" s="208">
        <f t="shared" si="15"/>
        <v>0</v>
      </c>
      <c r="DA31" s="188">
        <f t="shared" si="15"/>
        <v>0</v>
      </c>
    </row>
    <row r="32" spans="1:105">
      <c r="A32" s="209">
        <v>4.5</v>
      </c>
      <c r="B32" s="210" t="s">
        <v>198</v>
      </c>
      <c r="C32" s="210" t="s">
        <v>131</v>
      </c>
      <c r="D32" s="188">
        <v>1</v>
      </c>
      <c r="E32" s="208">
        <v>1</v>
      </c>
      <c r="F32" s="187"/>
      <c r="G32" s="187"/>
      <c r="H32" s="187">
        <v>1</v>
      </c>
      <c r="I32" s="188"/>
      <c r="J32" s="187">
        <v>1</v>
      </c>
      <c r="K32" s="187">
        <v>1</v>
      </c>
      <c r="L32" s="187">
        <v>1</v>
      </c>
      <c r="M32" s="187">
        <v>1</v>
      </c>
      <c r="N32" s="187">
        <v>1</v>
      </c>
      <c r="O32" s="187"/>
      <c r="P32" s="187"/>
      <c r="Q32" s="187">
        <v>1</v>
      </c>
      <c r="R32" s="187"/>
      <c r="S32" s="187"/>
      <c r="T32" s="187"/>
      <c r="U32" s="188"/>
      <c r="V32" s="208">
        <v>1</v>
      </c>
      <c r="W32" s="187">
        <v>1</v>
      </c>
      <c r="X32" s="188"/>
      <c r="Y32" s="187"/>
      <c r="AA32" s="208">
        <f t="shared" si="11"/>
        <v>1</v>
      </c>
      <c r="AB32" s="187">
        <f t="shared" si="11"/>
        <v>1</v>
      </c>
      <c r="AC32" s="187">
        <f t="shared" si="11"/>
        <v>1</v>
      </c>
      <c r="AD32" s="187">
        <f t="shared" si="11"/>
        <v>1</v>
      </c>
      <c r="AE32" s="187">
        <f t="shared" si="11"/>
        <v>1</v>
      </c>
      <c r="AF32" s="187">
        <f t="shared" si="11"/>
        <v>0</v>
      </c>
      <c r="AG32" s="187">
        <f t="shared" si="11"/>
        <v>0</v>
      </c>
      <c r="AH32" s="187">
        <f t="shared" si="11"/>
        <v>1</v>
      </c>
      <c r="AI32" s="187">
        <f t="shared" si="11"/>
        <v>0</v>
      </c>
      <c r="AJ32" s="187">
        <f t="shared" si="11"/>
        <v>0</v>
      </c>
      <c r="AK32" s="187">
        <f t="shared" si="11"/>
        <v>0</v>
      </c>
      <c r="AL32" s="187">
        <f t="shared" si="11"/>
        <v>0</v>
      </c>
      <c r="AM32" s="208">
        <f t="shared" si="11"/>
        <v>1</v>
      </c>
      <c r="AN32" s="187">
        <f t="shared" si="11"/>
        <v>1</v>
      </c>
      <c r="AO32" s="188">
        <f t="shared" si="11"/>
        <v>0</v>
      </c>
      <c r="AQ32" s="208">
        <f t="shared" si="12"/>
        <v>0</v>
      </c>
      <c r="AR32" s="187">
        <f t="shared" si="12"/>
        <v>0</v>
      </c>
      <c r="AS32" s="187">
        <f t="shared" si="12"/>
        <v>0</v>
      </c>
      <c r="AT32" s="187">
        <f t="shared" si="12"/>
        <v>0</v>
      </c>
      <c r="AU32" s="187">
        <f t="shared" si="12"/>
        <v>0</v>
      </c>
      <c r="AV32" s="187">
        <f t="shared" si="12"/>
        <v>0</v>
      </c>
      <c r="AW32" s="187">
        <f t="shared" si="12"/>
        <v>0</v>
      </c>
      <c r="AX32" s="187">
        <f t="shared" si="12"/>
        <v>0</v>
      </c>
      <c r="AY32" s="187">
        <f t="shared" si="12"/>
        <v>0</v>
      </c>
      <c r="AZ32" s="187">
        <f t="shared" si="12"/>
        <v>0</v>
      </c>
      <c r="BA32" s="187">
        <f t="shared" si="12"/>
        <v>0</v>
      </c>
      <c r="BB32" s="188">
        <f t="shared" si="12"/>
        <v>0</v>
      </c>
      <c r="BC32" s="208">
        <f t="shared" si="12"/>
        <v>0</v>
      </c>
      <c r="BD32" s="208">
        <f t="shared" si="12"/>
        <v>0</v>
      </c>
      <c r="BE32" s="188">
        <f t="shared" si="12"/>
        <v>0</v>
      </c>
      <c r="BG32" s="208">
        <f t="shared" si="13"/>
        <v>0</v>
      </c>
      <c r="BH32" s="187">
        <f t="shared" si="13"/>
        <v>0</v>
      </c>
      <c r="BI32" s="187">
        <f t="shared" si="13"/>
        <v>0</v>
      </c>
      <c r="BJ32" s="187">
        <f t="shared" si="13"/>
        <v>0</v>
      </c>
      <c r="BK32" s="187">
        <f t="shared" si="13"/>
        <v>0</v>
      </c>
      <c r="BL32" s="187">
        <f t="shared" si="13"/>
        <v>0</v>
      </c>
      <c r="BM32" s="187">
        <f t="shared" si="13"/>
        <v>0</v>
      </c>
      <c r="BN32" s="187">
        <f t="shared" si="13"/>
        <v>0</v>
      </c>
      <c r="BO32" s="187">
        <f t="shared" si="13"/>
        <v>0</v>
      </c>
      <c r="BP32" s="187">
        <f t="shared" si="13"/>
        <v>0</v>
      </c>
      <c r="BQ32" s="187">
        <f t="shared" si="13"/>
        <v>0</v>
      </c>
      <c r="BR32" s="188">
        <f t="shared" si="13"/>
        <v>0</v>
      </c>
      <c r="BS32" s="208">
        <f t="shared" si="13"/>
        <v>0</v>
      </c>
      <c r="BT32" s="208">
        <f t="shared" si="13"/>
        <v>0</v>
      </c>
      <c r="BU32" s="188">
        <f t="shared" si="13"/>
        <v>0</v>
      </c>
      <c r="BW32" s="208">
        <f t="shared" si="14"/>
        <v>1</v>
      </c>
      <c r="BX32" s="187">
        <f t="shared" si="14"/>
        <v>1</v>
      </c>
      <c r="BY32" s="187">
        <f t="shared" si="14"/>
        <v>1</v>
      </c>
      <c r="BZ32" s="187">
        <f t="shared" si="14"/>
        <v>1</v>
      </c>
      <c r="CA32" s="187">
        <f t="shared" si="14"/>
        <v>1</v>
      </c>
      <c r="CB32" s="187">
        <f t="shared" si="14"/>
        <v>0</v>
      </c>
      <c r="CC32" s="187">
        <f t="shared" si="14"/>
        <v>0</v>
      </c>
      <c r="CD32" s="187">
        <f t="shared" si="14"/>
        <v>1</v>
      </c>
      <c r="CE32" s="187">
        <f t="shared" si="14"/>
        <v>0</v>
      </c>
      <c r="CF32" s="187">
        <f t="shared" si="14"/>
        <v>0</v>
      </c>
      <c r="CG32" s="187">
        <f t="shared" si="14"/>
        <v>0</v>
      </c>
      <c r="CH32" s="188">
        <f t="shared" si="14"/>
        <v>0</v>
      </c>
      <c r="CI32" s="208">
        <f t="shared" si="14"/>
        <v>1</v>
      </c>
      <c r="CJ32" s="208">
        <f t="shared" si="14"/>
        <v>1</v>
      </c>
      <c r="CK32" s="188">
        <f t="shared" si="14"/>
        <v>0</v>
      </c>
      <c r="CM32" s="208">
        <f t="shared" si="15"/>
        <v>0</v>
      </c>
      <c r="CN32" s="187">
        <f t="shared" si="15"/>
        <v>0</v>
      </c>
      <c r="CO32" s="187">
        <f t="shared" si="15"/>
        <v>0</v>
      </c>
      <c r="CP32" s="187">
        <f t="shared" si="15"/>
        <v>0</v>
      </c>
      <c r="CQ32" s="187">
        <f t="shared" si="15"/>
        <v>0</v>
      </c>
      <c r="CR32" s="187">
        <f t="shared" si="15"/>
        <v>0</v>
      </c>
      <c r="CS32" s="187">
        <f t="shared" si="15"/>
        <v>0</v>
      </c>
      <c r="CT32" s="187">
        <f t="shared" si="15"/>
        <v>0</v>
      </c>
      <c r="CU32" s="187">
        <f t="shared" si="15"/>
        <v>0</v>
      </c>
      <c r="CV32" s="187">
        <f t="shared" si="15"/>
        <v>0</v>
      </c>
      <c r="CW32" s="187">
        <f t="shared" si="15"/>
        <v>0</v>
      </c>
      <c r="CX32" s="188">
        <f t="shared" si="15"/>
        <v>0</v>
      </c>
      <c r="CY32" s="208">
        <f t="shared" si="15"/>
        <v>0</v>
      </c>
      <c r="CZ32" s="208">
        <f t="shared" si="15"/>
        <v>0</v>
      </c>
      <c r="DA32" s="188">
        <f t="shared" si="15"/>
        <v>0</v>
      </c>
    </row>
    <row r="33" spans="1:105">
      <c r="A33" s="209">
        <v>4.5999999999999996</v>
      </c>
      <c r="B33" s="210" t="s">
        <v>199</v>
      </c>
      <c r="C33" s="210" t="s">
        <v>131</v>
      </c>
      <c r="D33" s="188">
        <v>1</v>
      </c>
      <c r="E33" s="208">
        <v>1</v>
      </c>
      <c r="F33" s="187"/>
      <c r="G33" s="187"/>
      <c r="H33" s="187">
        <v>1</v>
      </c>
      <c r="I33" s="188"/>
      <c r="J33" s="187">
        <v>1</v>
      </c>
      <c r="K33" s="187">
        <v>1</v>
      </c>
      <c r="L33" s="187">
        <v>1</v>
      </c>
      <c r="M33" s="187">
        <v>1</v>
      </c>
      <c r="N33" s="187">
        <v>1</v>
      </c>
      <c r="O33" s="187"/>
      <c r="P33" s="187"/>
      <c r="Q33" s="187">
        <v>1</v>
      </c>
      <c r="R33" s="187"/>
      <c r="S33" s="187">
        <v>1</v>
      </c>
      <c r="T33" s="187">
        <v>1</v>
      </c>
      <c r="U33" s="188"/>
      <c r="V33" s="208">
        <v>1</v>
      </c>
      <c r="W33" s="187">
        <v>1</v>
      </c>
      <c r="X33" s="188"/>
      <c r="Y33" s="187"/>
      <c r="AA33" s="208">
        <f t="shared" si="11"/>
        <v>1</v>
      </c>
      <c r="AB33" s="187">
        <f t="shared" si="11"/>
        <v>1</v>
      </c>
      <c r="AC33" s="187">
        <f t="shared" si="11"/>
        <v>1</v>
      </c>
      <c r="AD33" s="187">
        <f t="shared" si="11"/>
        <v>1</v>
      </c>
      <c r="AE33" s="187">
        <f t="shared" si="11"/>
        <v>1</v>
      </c>
      <c r="AF33" s="187">
        <f t="shared" si="11"/>
        <v>0</v>
      </c>
      <c r="AG33" s="187">
        <f t="shared" si="11"/>
        <v>0</v>
      </c>
      <c r="AH33" s="187">
        <f t="shared" si="11"/>
        <v>1</v>
      </c>
      <c r="AI33" s="187">
        <f t="shared" si="11"/>
        <v>0</v>
      </c>
      <c r="AJ33" s="187">
        <f t="shared" si="11"/>
        <v>1</v>
      </c>
      <c r="AK33" s="187">
        <f t="shared" si="11"/>
        <v>1</v>
      </c>
      <c r="AL33" s="187">
        <f t="shared" si="11"/>
        <v>0</v>
      </c>
      <c r="AM33" s="208">
        <f t="shared" si="11"/>
        <v>1</v>
      </c>
      <c r="AN33" s="187">
        <f t="shared" si="11"/>
        <v>1</v>
      </c>
      <c r="AO33" s="188">
        <f t="shared" si="11"/>
        <v>0</v>
      </c>
      <c r="AQ33" s="208">
        <f t="shared" si="12"/>
        <v>0</v>
      </c>
      <c r="AR33" s="187">
        <f t="shared" si="12"/>
        <v>0</v>
      </c>
      <c r="AS33" s="187">
        <f t="shared" si="12"/>
        <v>0</v>
      </c>
      <c r="AT33" s="187">
        <f t="shared" si="12"/>
        <v>0</v>
      </c>
      <c r="AU33" s="187">
        <f t="shared" si="12"/>
        <v>0</v>
      </c>
      <c r="AV33" s="187">
        <f t="shared" si="12"/>
        <v>0</v>
      </c>
      <c r="AW33" s="187">
        <f t="shared" si="12"/>
        <v>0</v>
      </c>
      <c r="AX33" s="187">
        <f t="shared" si="12"/>
        <v>0</v>
      </c>
      <c r="AY33" s="187">
        <f t="shared" si="12"/>
        <v>0</v>
      </c>
      <c r="AZ33" s="187">
        <f t="shared" si="12"/>
        <v>0</v>
      </c>
      <c r="BA33" s="187">
        <f t="shared" si="12"/>
        <v>0</v>
      </c>
      <c r="BB33" s="188">
        <f t="shared" si="12"/>
        <v>0</v>
      </c>
      <c r="BC33" s="208">
        <f t="shared" si="12"/>
        <v>0</v>
      </c>
      <c r="BD33" s="208">
        <f t="shared" si="12"/>
        <v>0</v>
      </c>
      <c r="BE33" s="188">
        <f t="shared" si="12"/>
        <v>0</v>
      </c>
      <c r="BG33" s="208">
        <f t="shared" si="13"/>
        <v>0</v>
      </c>
      <c r="BH33" s="187">
        <f t="shared" si="13"/>
        <v>0</v>
      </c>
      <c r="BI33" s="187">
        <f t="shared" si="13"/>
        <v>0</v>
      </c>
      <c r="BJ33" s="187">
        <f t="shared" si="13"/>
        <v>0</v>
      </c>
      <c r="BK33" s="187">
        <f t="shared" si="13"/>
        <v>0</v>
      </c>
      <c r="BL33" s="187">
        <f t="shared" si="13"/>
        <v>0</v>
      </c>
      <c r="BM33" s="187">
        <f t="shared" si="13"/>
        <v>0</v>
      </c>
      <c r="BN33" s="187">
        <f t="shared" si="13"/>
        <v>0</v>
      </c>
      <c r="BO33" s="187">
        <f t="shared" si="13"/>
        <v>0</v>
      </c>
      <c r="BP33" s="187">
        <f t="shared" si="13"/>
        <v>0</v>
      </c>
      <c r="BQ33" s="187">
        <f t="shared" si="13"/>
        <v>0</v>
      </c>
      <c r="BR33" s="188">
        <f t="shared" si="13"/>
        <v>0</v>
      </c>
      <c r="BS33" s="208">
        <f t="shared" si="13"/>
        <v>0</v>
      </c>
      <c r="BT33" s="208">
        <f t="shared" si="13"/>
        <v>0</v>
      </c>
      <c r="BU33" s="188">
        <f t="shared" si="13"/>
        <v>0</v>
      </c>
      <c r="BW33" s="208">
        <f t="shared" si="14"/>
        <v>1</v>
      </c>
      <c r="BX33" s="187">
        <f t="shared" si="14"/>
        <v>1</v>
      </c>
      <c r="BY33" s="187">
        <f t="shared" si="14"/>
        <v>1</v>
      </c>
      <c r="BZ33" s="187">
        <f t="shared" si="14"/>
        <v>1</v>
      </c>
      <c r="CA33" s="187">
        <f t="shared" si="14"/>
        <v>1</v>
      </c>
      <c r="CB33" s="187">
        <f t="shared" si="14"/>
        <v>0</v>
      </c>
      <c r="CC33" s="187">
        <f t="shared" si="14"/>
        <v>0</v>
      </c>
      <c r="CD33" s="187">
        <f t="shared" si="14"/>
        <v>1</v>
      </c>
      <c r="CE33" s="187">
        <f t="shared" si="14"/>
        <v>0</v>
      </c>
      <c r="CF33" s="187">
        <f t="shared" si="14"/>
        <v>1</v>
      </c>
      <c r="CG33" s="187">
        <f t="shared" si="14"/>
        <v>1</v>
      </c>
      <c r="CH33" s="188">
        <f t="shared" si="14"/>
        <v>0</v>
      </c>
      <c r="CI33" s="208">
        <f t="shared" si="14"/>
        <v>1</v>
      </c>
      <c r="CJ33" s="208">
        <f t="shared" si="14"/>
        <v>1</v>
      </c>
      <c r="CK33" s="188">
        <f t="shared" si="14"/>
        <v>0</v>
      </c>
      <c r="CM33" s="208">
        <f t="shared" si="15"/>
        <v>0</v>
      </c>
      <c r="CN33" s="187">
        <f t="shared" si="15"/>
        <v>0</v>
      </c>
      <c r="CO33" s="187">
        <f t="shared" si="15"/>
        <v>0</v>
      </c>
      <c r="CP33" s="187">
        <f t="shared" si="15"/>
        <v>0</v>
      </c>
      <c r="CQ33" s="187">
        <f t="shared" si="15"/>
        <v>0</v>
      </c>
      <c r="CR33" s="187">
        <f t="shared" si="15"/>
        <v>0</v>
      </c>
      <c r="CS33" s="187">
        <f t="shared" si="15"/>
        <v>0</v>
      </c>
      <c r="CT33" s="187">
        <f t="shared" si="15"/>
        <v>0</v>
      </c>
      <c r="CU33" s="187">
        <f t="shared" si="15"/>
        <v>0</v>
      </c>
      <c r="CV33" s="187">
        <f t="shared" si="15"/>
        <v>0</v>
      </c>
      <c r="CW33" s="187">
        <f t="shared" si="15"/>
        <v>0</v>
      </c>
      <c r="CX33" s="188">
        <f t="shared" si="15"/>
        <v>0</v>
      </c>
      <c r="CY33" s="208">
        <f t="shared" si="15"/>
        <v>0</v>
      </c>
      <c r="CZ33" s="208">
        <f t="shared" si="15"/>
        <v>0</v>
      </c>
      <c r="DA33" s="188">
        <f t="shared" si="15"/>
        <v>0</v>
      </c>
    </row>
    <row r="34" spans="1:105">
      <c r="A34" s="209">
        <v>4.7</v>
      </c>
      <c r="B34" s="210" t="s">
        <v>200</v>
      </c>
      <c r="C34" s="210" t="s">
        <v>131</v>
      </c>
      <c r="D34" s="188">
        <v>1</v>
      </c>
      <c r="E34" s="208">
        <v>1</v>
      </c>
      <c r="F34" s="187"/>
      <c r="G34" s="187"/>
      <c r="H34" s="187">
        <v>1</v>
      </c>
      <c r="I34" s="188"/>
      <c r="J34" s="187">
        <v>1</v>
      </c>
      <c r="K34" s="187">
        <v>1</v>
      </c>
      <c r="L34" s="187">
        <v>1</v>
      </c>
      <c r="M34" s="187">
        <v>1</v>
      </c>
      <c r="N34" s="187">
        <v>1</v>
      </c>
      <c r="O34" s="187"/>
      <c r="P34" s="187"/>
      <c r="Q34" s="187">
        <v>1</v>
      </c>
      <c r="R34" s="187"/>
      <c r="S34" s="187">
        <v>1</v>
      </c>
      <c r="T34" s="187">
        <v>1</v>
      </c>
      <c r="U34" s="188">
        <v>1</v>
      </c>
      <c r="V34" s="208">
        <v>1</v>
      </c>
      <c r="W34" s="187"/>
      <c r="X34" s="188">
        <v>1</v>
      </c>
      <c r="Y34" s="187"/>
      <c r="AA34" s="208">
        <f t="shared" si="11"/>
        <v>1</v>
      </c>
      <c r="AB34" s="187">
        <f t="shared" si="11"/>
        <v>1</v>
      </c>
      <c r="AC34" s="187">
        <f t="shared" si="11"/>
        <v>1</v>
      </c>
      <c r="AD34" s="187">
        <f t="shared" si="11"/>
        <v>1</v>
      </c>
      <c r="AE34" s="187">
        <f t="shared" si="11"/>
        <v>1</v>
      </c>
      <c r="AF34" s="187">
        <f t="shared" si="11"/>
        <v>0</v>
      </c>
      <c r="AG34" s="187">
        <f t="shared" si="11"/>
        <v>0</v>
      </c>
      <c r="AH34" s="187">
        <f t="shared" si="11"/>
        <v>1</v>
      </c>
      <c r="AI34" s="187">
        <f t="shared" si="11"/>
        <v>0</v>
      </c>
      <c r="AJ34" s="187">
        <f t="shared" si="11"/>
        <v>1</v>
      </c>
      <c r="AK34" s="187">
        <f t="shared" si="11"/>
        <v>1</v>
      </c>
      <c r="AL34" s="187">
        <f t="shared" si="11"/>
        <v>1</v>
      </c>
      <c r="AM34" s="208">
        <f t="shared" si="11"/>
        <v>1</v>
      </c>
      <c r="AN34" s="187">
        <f t="shared" si="11"/>
        <v>0</v>
      </c>
      <c r="AO34" s="188">
        <f t="shared" si="11"/>
        <v>1</v>
      </c>
      <c r="AQ34" s="208">
        <f t="shared" si="12"/>
        <v>0</v>
      </c>
      <c r="AR34" s="187">
        <f t="shared" si="12"/>
        <v>0</v>
      </c>
      <c r="AS34" s="187">
        <f t="shared" si="12"/>
        <v>0</v>
      </c>
      <c r="AT34" s="187">
        <f t="shared" si="12"/>
        <v>0</v>
      </c>
      <c r="AU34" s="187">
        <f t="shared" si="12"/>
        <v>0</v>
      </c>
      <c r="AV34" s="187">
        <f t="shared" si="12"/>
        <v>0</v>
      </c>
      <c r="AW34" s="187">
        <f t="shared" si="12"/>
        <v>0</v>
      </c>
      <c r="AX34" s="187">
        <f t="shared" si="12"/>
        <v>0</v>
      </c>
      <c r="AY34" s="187">
        <f t="shared" si="12"/>
        <v>0</v>
      </c>
      <c r="AZ34" s="187">
        <f t="shared" si="12"/>
        <v>0</v>
      </c>
      <c r="BA34" s="187">
        <f t="shared" si="12"/>
        <v>0</v>
      </c>
      <c r="BB34" s="188">
        <f t="shared" si="12"/>
        <v>0</v>
      </c>
      <c r="BC34" s="208">
        <f t="shared" si="12"/>
        <v>0</v>
      </c>
      <c r="BD34" s="208">
        <f t="shared" si="12"/>
        <v>0</v>
      </c>
      <c r="BE34" s="188">
        <f t="shared" si="12"/>
        <v>0</v>
      </c>
      <c r="BG34" s="208">
        <f t="shared" si="13"/>
        <v>0</v>
      </c>
      <c r="BH34" s="187">
        <f t="shared" si="13"/>
        <v>0</v>
      </c>
      <c r="BI34" s="187">
        <f t="shared" si="13"/>
        <v>0</v>
      </c>
      <c r="BJ34" s="187">
        <f t="shared" si="13"/>
        <v>0</v>
      </c>
      <c r="BK34" s="187">
        <f t="shared" si="13"/>
        <v>0</v>
      </c>
      <c r="BL34" s="187">
        <f t="shared" si="13"/>
        <v>0</v>
      </c>
      <c r="BM34" s="187">
        <f t="shared" si="13"/>
        <v>0</v>
      </c>
      <c r="BN34" s="187">
        <f t="shared" si="13"/>
        <v>0</v>
      </c>
      <c r="BO34" s="187">
        <f t="shared" si="13"/>
        <v>0</v>
      </c>
      <c r="BP34" s="187">
        <f t="shared" si="13"/>
        <v>0</v>
      </c>
      <c r="BQ34" s="187">
        <f t="shared" si="13"/>
        <v>0</v>
      </c>
      <c r="BR34" s="188">
        <f t="shared" si="13"/>
        <v>0</v>
      </c>
      <c r="BS34" s="208">
        <f t="shared" si="13"/>
        <v>0</v>
      </c>
      <c r="BT34" s="208">
        <f t="shared" si="13"/>
        <v>0</v>
      </c>
      <c r="BU34" s="188">
        <f t="shared" si="13"/>
        <v>0</v>
      </c>
      <c r="BW34" s="208">
        <f t="shared" si="14"/>
        <v>1</v>
      </c>
      <c r="BX34" s="187">
        <f t="shared" si="14"/>
        <v>1</v>
      </c>
      <c r="BY34" s="187">
        <f t="shared" si="14"/>
        <v>1</v>
      </c>
      <c r="BZ34" s="187">
        <f t="shared" si="14"/>
        <v>1</v>
      </c>
      <c r="CA34" s="187">
        <f t="shared" si="14"/>
        <v>1</v>
      </c>
      <c r="CB34" s="187">
        <f t="shared" si="14"/>
        <v>0</v>
      </c>
      <c r="CC34" s="187">
        <f t="shared" si="14"/>
        <v>0</v>
      </c>
      <c r="CD34" s="187">
        <f t="shared" si="14"/>
        <v>1</v>
      </c>
      <c r="CE34" s="187">
        <f t="shared" si="14"/>
        <v>0</v>
      </c>
      <c r="CF34" s="187">
        <f t="shared" si="14"/>
        <v>1</v>
      </c>
      <c r="CG34" s="187">
        <f t="shared" si="14"/>
        <v>1</v>
      </c>
      <c r="CH34" s="188">
        <f t="shared" si="14"/>
        <v>1</v>
      </c>
      <c r="CI34" s="208">
        <f t="shared" si="14"/>
        <v>1</v>
      </c>
      <c r="CJ34" s="208">
        <f t="shared" si="14"/>
        <v>0</v>
      </c>
      <c r="CK34" s="188">
        <f t="shared" si="14"/>
        <v>1</v>
      </c>
      <c r="CM34" s="208">
        <f t="shared" si="15"/>
        <v>0</v>
      </c>
      <c r="CN34" s="187">
        <f t="shared" si="15"/>
        <v>0</v>
      </c>
      <c r="CO34" s="187">
        <f t="shared" si="15"/>
        <v>0</v>
      </c>
      <c r="CP34" s="187">
        <f t="shared" si="15"/>
        <v>0</v>
      </c>
      <c r="CQ34" s="187">
        <f t="shared" si="15"/>
        <v>0</v>
      </c>
      <c r="CR34" s="187">
        <f t="shared" si="15"/>
        <v>0</v>
      </c>
      <c r="CS34" s="187">
        <f t="shared" si="15"/>
        <v>0</v>
      </c>
      <c r="CT34" s="187">
        <f t="shared" si="15"/>
        <v>0</v>
      </c>
      <c r="CU34" s="187">
        <f t="shared" si="15"/>
        <v>0</v>
      </c>
      <c r="CV34" s="187">
        <f t="shared" si="15"/>
        <v>0</v>
      </c>
      <c r="CW34" s="187">
        <f t="shared" si="15"/>
        <v>0</v>
      </c>
      <c r="CX34" s="188">
        <f t="shared" si="15"/>
        <v>0</v>
      </c>
      <c r="CY34" s="208">
        <f t="shared" si="15"/>
        <v>0</v>
      </c>
      <c r="CZ34" s="208">
        <f t="shared" si="15"/>
        <v>0</v>
      </c>
      <c r="DA34" s="188">
        <f t="shared" si="15"/>
        <v>0</v>
      </c>
    </row>
    <row r="35" spans="1:105">
      <c r="A35" s="209">
        <v>4.8</v>
      </c>
      <c r="B35" s="210" t="s">
        <v>201</v>
      </c>
      <c r="C35" s="210" t="s">
        <v>131</v>
      </c>
      <c r="D35" s="188">
        <v>1</v>
      </c>
      <c r="E35" s="208">
        <v>1</v>
      </c>
      <c r="F35" s="187"/>
      <c r="G35" s="187"/>
      <c r="H35" s="187">
        <v>1</v>
      </c>
      <c r="I35" s="188"/>
      <c r="J35" s="187">
        <v>1</v>
      </c>
      <c r="K35" s="187">
        <v>1</v>
      </c>
      <c r="L35" s="187">
        <v>1</v>
      </c>
      <c r="M35" s="187">
        <v>1</v>
      </c>
      <c r="N35" s="187">
        <v>1</v>
      </c>
      <c r="O35" s="187"/>
      <c r="P35" s="187"/>
      <c r="Q35" s="187">
        <v>1</v>
      </c>
      <c r="R35" s="187"/>
      <c r="S35" s="187">
        <v>1</v>
      </c>
      <c r="T35" s="187"/>
      <c r="U35" s="188"/>
      <c r="V35" s="208">
        <v>1</v>
      </c>
      <c r="W35" s="187"/>
      <c r="X35" s="188">
        <v>1</v>
      </c>
      <c r="Y35" s="187"/>
      <c r="AA35" s="208">
        <f t="shared" si="11"/>
        <v>1</v>
      </c>
      <c r="AB35" s="187">
        <f t="shared" si="11"/>
        <v>1</v>
      </c>
      <c r="AC35" s="187">
        <f t="shared" si="11"/>
        <v>1</v>
      </c>
      <c r="AD35" s="187">
        <f t="shared" si="11"/>
        <v>1</v>
      </c>
      <c r="AE35" s="187">
        <f t="shared" si="11"/>
        <v>1</v>
      </c>
      <c r="AF35" s="187">
        <f t="shared" si="11"/>
        <v>0</v>
      </c>
      <c r="AG35" s="187">
        <f t="shared" si="11"/>
        <v>0</v>
      </c>
      <c r="AH35" s="187">
        <f t="shared" si="11"/>
        <v>1</v>
      </c>
      <c r="AI35" s="187">
        <f t="shared" si="11"/>
        <v>0</v>
      </c>
      <c r="AJ35" s="187">
        <f t="shared" si="11"/>
        <v>1</v>
      </c>
      <c r="AK35" s="187">
        <f t="shared" si="11"/>
        <v>0</v>
      </c>
      <c r="AL35" s="187">
        <f t="shared" si="11"/>
        <v>0</v>
      </c>
      <c r="AM35" s="208">
        <f t="shared" si="11"/>
        <v>1</v>
      </c>
      <c r="AN35" s="187">
        <f t="shared" si="11"/>
        <v>0</v>
      </c>
      <c r="AO35" s="188">
        <f t="shared" si="11"/>
        <v>1</v>
      </c>
      <c r="AQ35" s="208">
        <f t="shared" si="12"/>
        <v>0</v>
      </c>
      <c r="AR35" s="187">
        <f t="shared" si="12"/>
        <v>0</v>
      </c>
      <c r="AS35" s="187">
        <f t="shared" si="12"/>
        <v>0</v>
      </c>
      <c r="AT35" s="187">
        <f t="shared" si="12"/>
        <v>0</v>
      </c>
      <c r="AU35" s="187">
        <f t="shared" si="12"/>
        <v>0</v>
      </c>
      <c r="AV35" s="187">
        <f t="shared" si="12"/>
        <v>0</v>
      </c>
      <c r="AW35" s="187">
        <f t="shared" si="12"/>
        <v>0</v>
      </c>
      <c r="AX35" s="187">
        <f t="shared" si="12"/>
        <v>0</v>
      </c>
      <c r="AY35" s="187">
        <f t="shared" si="12"/>
        <v>0</v>
      </c>
      <c r="AZ35" s="187">
        <f t="shared" si="12"/>
        <v>0</v>
      </c>
      <c r="BA35" s="187">
        <f t="shared" si="12"/>
        <v>0</v>
      </c>
      <c r="BB35" s="188">
        <f t="shared" si="12"/>
        <v>0</v>
      </c>
      <c r="BC35" s="208">
        <f t="shared" si="12"/>
        <v>0</v>
      </c>
      <c r="BD35" s="208">
        <f t="shared" si="12"/>
        <v>0</v>
      </c>
      <c r="BE35" s="188">
        <f t="shared" si="12"/>
        <v>0</v>
      </c>
      <c r="BG35" s="208">
        <f t="shared" si="13"/>
        <v>0</v>
      </c>
      <c r="BH35" s="187">
        <f t="shared" si="13"/>
        <v>0</v>
      </c>
      <c r="BI35" s="187">
        <f t="shared" si="13"/>
        <v>0</v>
      </c>
      <c r="BJ35" s="187">
        <f t="shared" si="13"/>
        <v>0</v>
      </c>
      <c r="BK35" s="187">
        <f t="shared" si="13"/>
        <v>0</v>
      </c>
      <c r="BL35" s="187">
        <f t="shared" si="13"/>
        <v>0</v>
      </c>
      <c r="BM35" s="187">
        <f t="shared" si="13"/>
        <v>0</v>
      </c>
      <c r="BN35" s="187">
        <f t="shared" si="13"/>
        <v>0</v>
      </c>
      <c r="BO35" s="187">
        <f t="shared" si="13"/>
        <v>0</v>
      </c>
      <c r="BP35" s="187">
        <f t="shared" si="13"/>
        <v>0</v>
      </c>
      <c r="BQ35" s="187">
        <f t="shared" si="13"/>
        <v>0</v>
      </c>
      <c r="BR35" s="188">
        <f t="shared" si="13"/>
        <v>0</v>
      </c>
      <c r="BS35" s="208">
        <f t="shared" si="13"/>
        <v>0</v>
      </c>
      <c r="BT35" s="208">
        <f t="shared" si="13"/>
        <v>0</v>
      </c>
      <c r="BU35" s="188">
        <f t="shared" si="13"/>
        <v>0</v>
      </c>
      <c r="BW35" s="208">
        <f t="shared" si="14"/>
        <v>1</v>
      </c>
      <c r="BX35" s="187">
        <f t="shared" si="14"/>
        <v>1</v>
      </c>
      <c r="BY35" s="187">
        <f t="shared" si="14"/>
        <v>1</v>
      </c>
      <c r="BZ35" s="187">
        <f t="shared" si="14"/>
        <v>1</v>
      </c>
      <c r="CA35" s="187">
        <f t="shared" si="14"/>
        <v>1</v>
      </c>
      <c r="CB35" s="187">
        <f t="shared" si="14"/>
        <v>0</v>
      </c>
      <c r="CC35" s="187">
        <f t="shared" si="14"/>
        <v>0</v>
      </c>
      <c r="CD35" s="187">
        <f t="shared" si="14"/>
        <v>1</v>
      </c>
      <c r="CE35" s="187">
        <f t="shared" si="14"/>
        <v>0</v>
      </c>
      <c r="CF35" s="187">
        <f t="shared" si="14"/>
        <v>1</v>
      </c>
      <c r="CG35" s="187">
        <f t="shared" si="14"/>
        <v>0</v>
      </c>
      <c r="CH35" s="188">
        <f t="shared" si="14"/>
        <v>0</v>
      </c>
      <c r="CI35" s="208">
        <f t="shared" si="14"/>
        <v>1</v>
      </c>
      <c r="CJ35" s="208">
        <f t="shared" si="14"/>
        <v>0</v>
      </c>
      <c r="CK35" s="188">
        <f t="shared" si="14"/>
        <v>1</v>
      </c>
      <c r="CM35" s="208">
        <f t="shared" si="15"/>
        <v>0</v>
      </c>
      <c r="CN35" s="187">
        <f t="shared" si="15"/>
        <v>0</v>
      </c>
      <c r="CO35" s="187">
        <f t="shared" si="15"/>
        <v>0</v>
      </c>
      <c r="CP35" s="187">
        <f t="shared" si="15"/>
        <v>0</v>
      </c>
      <c r="CQ35" s="187">
        <f t="shared" si="15"/>
        <v>0</v>
      </c>
      <c r="CR35" s="187">
        <f t="shared" si="15"/>
        <v>0</v>
      </c>
      <c r="CS35" s="187">
        <f t="shared" si="15"/>
        <v>0</v>
      </c>
      <c r="CT35" s="187">
        <f t="shared" si="15"/>
        <v>0</v>
      </c>
      <c r="CU35" s="187">
        <f t="shared" si="15"/>
        <v>0</v>
      </c>
      <c r="CV35" s="187">
        <f t="shared" si="15"/>
        <v>0</v>
      </c>
      <c r="CW35" s="187">
        <f t="shared" si="15"/>
        <v>0</v>
      </c>
      <c r="CX35" s="188">
        <f t="shared" si="15"/>
        <v>0</v>
      </c>
      <c r="CY35" s="208">
        <f t="shared" si="15"/>
        <v>0</v>
      </c>
      <c r="CZ35" s="208">
        <f t="shared" si="15"/>
        <v>0</v>
      </c>
      <c r="DA35" s="188">
        <f t="shared" si="15"/>
        <v>0</v>
      </c>
    </row>
    <row r="36" spans="1:105">
      <c r="A36" s="203" t="s">
        <v>202</v>
      </c>
      <c r="B36" s="204" t="s">
        <v>203</v>
      </c>
      <c r="C36" s="204"/>
      <c r="D36" s="205"/>
      <c r="E36" s="206"/>
      <c r="F36" s="207"/>
      <c r="G36" s="207"/>
      <c r="H36" s="207"/>
      <c r="I36" s="205"/>
      <c r="J36" s="207"/>
      <c r="K36" s="207"/>
      <c r="L36" s="207"/>
      <c r="M36" s="207"/>
      <c r="N36" s="207"/>
      <c r="O36" s="207"/>
      <c r="P36" s="207"/>
      <c r="Q36" s="207"/>
      <c r="R36" s="207"/>
      <c r="S36" s="207"/>
      <c r="T36" s="207"/>
      <c r="U36" s="205"/>
      <c r="V36" s="206"/>
      <c r="W36" s="207"/>
      <c r="X36" s="205"/>
      <c r="Y36" s="207"/>
      <c r="AA36" s="208">
        <f t="shared" si="11"/>
        <v>0</v>
      </c>
      <c r="AB36" s="187">
        <f t="shared" si="11"/>
        <v>0</v>
      </c>
      <c r="AC36" s="187">
        <f t="shared" si="11"/>
        <v>0</v>
      </c>
      <c r="AD36" s="187">
        <f t="shared" si="11"/>
        <v>0</v>
      </c>
      <c r="AE36" s="187">
        <f t="shared" si="11"/>
        <v>0</v>
      </c>
      <c r="AF36" s="187">
        <f t="shared" si="11"/>
        <v>0</v>
      </c>
      <c r="AG36" s="187">
        <f t="shared" si="11"/>
        <v>0</v>
      </c>
      <c r="AH36" s="187">
        <f t="shared" si="11"/>
        <v>0</v>
      </c>
      <c r="AI36" s="187">
        <f t="shared" si="11"/>
        <v>0</v>
      </c>
      <c r="AJ36" s="187">
        <f t="shared" si="11"/>
        <v>0</v>
      </c>
      <c r="AK36" s="187">
        <f t="shared" si="11"/>
        <v>0</v>
      </c>
      <c r="AL36" s="187">
        <f t="shared" si="11"/>
        <v>0</v>
      </c>
      <c r="AM36" s="208">
        <f t="shared" si="11"/>
        <v>0</v>
      </c>
      <c r="AN36" s="187">
        <f t="shared" si="11"/>
        <v>0</v>
      </c>
      <c r="AO36" s="188">
        <f t="shared" si="11"/>
        <v>0</v>
      </c>
      <c r="AQ36" s="208">
        <f t="shared" si="12"/>
        <v>0</v>
      </c>
      <c r="AR36" s="187">
        <f t="shared" si="12"/>
        <v>0</v>
      </c>
      <c r="AS36" s="187">
        <f t="shared" si="12"/>
        <v>0</v>
      </c>
      <c r="AT36" s="187">
        <f t="shared" si="12"/>
        <v>0</v>
      </c>
      <c r="AU36" s="187">
        <f t="shared" si="12"/>
        <v>0</v>
      </c>
      <c r="AV36" s="187">
        <f t="shared" si="12"/>
        <v>0</v>
      </c>
      <c r="AW36" s="187">
        <f t="shared" si="12"/>
        <v>0</v>
      </c>
      <c r="AX36" s="187">
        <f t="shared" si="12"/>
        <v>0</v>
      </c>
      <c r="AY36" s="187">
        <f t="shared" si="12"/>
        <v>0</v>
      </c>
      <c r="AZ36" s="187">
        <f t="shared" si="12"/>
        <v>0</v>
      </c>
      <c r="BA36" s="187">
        <f t="shared" si="12"/>
        <v>0</v>
      </c>
      <c r="BB36" s="188">
        <f t="shared" si="12"/>
        <v>0</v>
      </c>
      <c r="BC36" s="208">
        <f t="shared" si="12"/>
        <v>0</v>
      </c>
      <c r="BD36" s="208">
        <f t="shared" si="12"/>
        <v>0</v>
      </c>
      <c r="BE36" s="188">
        <f t="shared" si="12"/>
        <v>0</v>
      </c>
      <c r="BG36" s="208">
        <f t="shared" si="13"/>
        <v>0</v>
      </c>
      <c r="BH36" s="187">
        <f t="shared" si="13"/>
        <v>0</v>
      </c>
      <c r="BI36" s="187">
        <f t="shared" si="13"/>
        <v>0</v>
      </c>
      <c r="BJ36" s="187">
        <f t="shared" si="13"/>
        <v>0</v>
      </c>
      <c r="BK36" s="187">
        <f t="shared" si="13"/>
        <v>0</v>
      </c>
      <c r="BL36" s="187">
        <f t="shared" si="13"/>
        <v>0</v>
      </c>
      <c r="BM36" s="187">
        <f t="shared" si="13"/>
        <v>0</v>
      </c>
      <c r="BN36" s="187">
        <f t="shared" si="13"/>
        <v>0</v>
      </c>
      <c r="BO36" s="187">
        <f t="shared" si="13"/>
        <v>0</v>
      </c>
      <c r="BP36" s="187">
        <f t="shared" si="13"/>
        <v>0</v>
      </c>
      <c r="BQ36" s="187">
        <f t="shared" si="13"/>
        <v>0</v>
      </c>
      <c r="BR36" s="188">
        <f t="shared" si="13"/>
        <v>0</v>
      </c>
      <c r="BS36" s="208">
        <f t="shared" si="13"/>
        <v>0</v>
      </c>
      <c r="BT36" s="208">
        <f t="shared" si="13"/>
        <v>0</v>
      </c>
      <c r="BU36" s="188">
        <f t="shared" si="13"/>
        <v>0</v>
      </c>
      <c r="BW36" s="208">
        <f t="shared" si="14"/>
        <v>0</v>
      </c>
      <c r="BX36" s="187">
        <f t="shared" si="14"/>
        <v>0</v>
      </c>
      <c r="BY36" s="187">
        <f t="shared" si="14"/>
        <v>0</v>
      </c>
      <c r="BZ36" s="187">
        <f t="shared" si="14"/>
        <v>0</v>
      </c>
      <c r="CA36" s="187">
        <f t="shared" si="14"/>
        <v>0</v>
      </c>
      <c r="CB36" s="187">
        <f t="shared" si="14"/>
        <v>0</v>
      </c>
      <c r="CC36" s="187">
        <f t="shared" si="14"/>
        <v>0</v>
      </c>
      <c r="CD36" s="187">
        <f t="shared" si="14"/>
        <v>0</v>
      </c>
      <c r="CE36" s="187">
        <f t="shared" si="14"/>
        <v>0</v>
      </c>
      <c r="CF36" s="187">
        <f t="shared" si="14"/>
        <v>0</v>
      </c>
      <c r="CG36" s="187">
        <f t="shared" si="14"/>
        <v>0</v>
      </c>
      <c r="CH36" s="188">
        <f t="shared" si="14"/>
        <v>0</v>
      </c>
      <c r="CI36" s="208">
        <f t="shared" si="14"/>
        <v>0</v>
      </c>
      <c r="CJ36" s="208">
        <f t="shared" si="14"/>
        <v>0</v>
      </c>
      <c r="CK36" s="188">
        <f t="shared" si="14"/>
        <v>0</v>
      </c>
      <c r="CM36" s="208">
        <f t="shared" si="15"/>
        <v>0</v>
      </c>
      <c r="CN36" s="187">
        <f t="shared" si="15"/>
        <v>0</v>
      </c>
      <c r="CO36" s="187">
        <f t="shared" si="15"/>
        <v>0</v>
      </c>
      <c r="CP36" s="187">
        <f t="shared" si="15"/>
        <v>0</v>
      </c>
      <c r="CQ36" s="187">
        <f t="shared" si="15"/>
        <v>0</v>
      </c>
      <c r="CR36" s="187">
        <f t="shared" si="15"/>
        <v>0</v>
      </c>
      <c r="CS36" s="187">
        <f t="shared" si="15"/>
        <v>0</v>
      </c>
      <c r="CT36" s="187">
        <f t="shared" si="15"/>
        <v>0</v>
      </c>
      <c r="CU36" s="187">
        <f t="shared" si="15"/>
        <v>0</v>
      </c>
      <c r="CV36" s="187">
        <f t="shared" si="15"/>
        <v>0</v>
      </c>
      <c r="CW36" s="187">
        <f t="shared" si="15"/>
        <v>0</v>
      </c>
      <c r="CX36" s="188">
        <f t="shared" si="15"/>
        <v>0</v>
      </c>
      <c r="CY36" s="208">
        <f t="shared" si="15"/>
        <v>0</v>
      </c>
      <c r="CZ36" s="208">
        <f t="shared" si="15"/>
        <v>0</v>
      </c>
      <c r="DA36" s="188">
        <f t="shared" si="15"/>
        <v>0</v>
      </c>
    </row>
    <row r="37" spans="1:105">
      <c r="A37" s="209">
        <v>5.0999999999999996</v>
      </c>
      <c r="B37" s="210" t="s">
        <v>204</v>
      </c>
      <c r="C37" s="210" t="s">
        <v>131</v>
      </c>
      <c r="D37" s="188">
        <v>1</v>
      </c>
      <c r="E37" s="208">
        <v>1</v>
      </c>
      <c r="F37" s="187"/>
      <c r="H37" s="187">
        <v>1</v>
      </c>
      <c r="I37" s="188"/>
      <c r="J37" s="187">
        <v>1</v>
      </c>
      <c r="K37" s="187">
        <v>1</v>
      </c>
      <c r="L37" s="187">
        <v>1</v>
      </c>
      <c r="M37" s="187"/>
      <c r="N37" s="187"/>
      <c r="O37" s="187"/>
      <c r="P37" s="187"/>
      <c r="Q37" s="187"/>
      <c r="R37" s="187"/>
      <c r="S37" s="187"/>
      <c r="T37" s="187"/>
      <c r="U37" s="188"/>
      <c r="V37" s="208">
        <v>1</v>
      </c>
      <c r="W37" s="187"/>
      <c r="X37" s="188"/>
      <c r="Y37" s="187"/>
      <c r="AA37" s="208">
        <f t="shared" si="11"/>
        <v>1</v>
      </c>
      <c r="AB37" s="187">
        <f t="shared" si="11"/>
        <v>1</v>
      </c>
      <c r="AC37" s="187">
        <f t="shared" si="11"/>
        <v>1</v>
      </c>
      <c r="AD37" s="187">
        <f t="shared" si="11"/>
        <v>0</v>
      </c>
      <c r="AE37" s="187">
        <f t="shared" si="11"/>
        <v>0</v>
      </c>
      <c r="AF37" s="187">
        <f t="shared" si="11"/>
        <v>0</v>
      </c>
      <c r="AG37" s="187">
        <f t="shared" si="11"/>
        <v>0</v>
      </c>
      <c r="AH37" s="187">
        <f t="shared" si="11"/>
        <v>0</v>
      </c>
      <c r="AI37" s="187">
        <f t="shared" si="11"/>
        <v>0</v>
      </c>
      <c r="AJ37" s="187">
        <f t="shared" si="11"/>
        <v>0</v>
      </c>
      <c r="AK37" s="187">
        <f t="shared" si="11"/>
        <v>0</v>
      </c>
      <c r="AL37" s="187">
        <f t="shared" si="11"/>
        <v>0</v>
      </c>
      <c r="AM37" s="208">
        <f t="shared" si="11"/>
        <v>1</v>
      </c>
      <c r="AN37" s="187">
        <f t="shared" si="11"/>
        <v>0</v>
      </c>
      <c r="AO37" s="188">
        <f t="shared" si="11"/>
        <v>0</v>
      </c>
      <c r="AQ37" s="208">
        <f t="shared" si="12"/>
        <v>0</v>
      </c>
      <c r="AR37" s="187">
        <f t="shared" si="12"/>
        <v>0</v>
      </c>
      <c r="AS37" s="187">
        <f t="shared" si="12"/>
        <v>0</v>
      </c>
      <c r="AT37" s="187">
        <f t="shared" si="12"/>
        <v>0</v>
      </c>
      <c r="AU37" s="187">
        <f t="shared" si="12"/>
        <v>0</v>
      </c>
      <c r="AV37" s="187">
        <f t="shared" si="12"/>
        <v>0</v>
      </c>
      <c r="AW37" s="187">
        <f t="shared" si="12"/>
        <v>0</v>
      </c>
      <c r="AX37" s="187">
        <f t="shared" si="12"/>
        <v>0</v>
      </c>
      <c r="AY37" s="187">
        <f t="shared" si="12"/>
        <v>0</v>
      </c>
      <c r="AZ37" s="187">
        <f t="shared" si="12"/>
        <v>0</v>
      </c>
      <c r="BA37" s="187">
        <f t="shared" si="12"/>
        <v>0</v>
      </c>
      <c r="BB37" s="188">
        <f t="shared" si="12"/>
        <v>0</v>
      </c>
      <c r="BC37" s="208">
        <f t="shared" si="12"/>
        <v>0</v>
      </c>
      <c r="BD37" s="208">
        <f t="shared" si="12"/>
        <v>0</v>
      </c>
      <c r="BE37" s="188">
        <f t="shared" si="12"/>
        <v>0</v>
      </c>
      <c r="BG37" s="208">
        <f t="shared" si="13"/>
        <v>0</v>
      </c>
      <c r="BH37" s="187">
        <f t="shared" si="13"/>
        <v>0</v>
      </c>
      <c r="BI37" s="187">
        <f t="shared" si="13"/>
        <v>0</v>
      </c>
      <c r="BJ37" s="187">
        <f t="shared" si="13"/>
        <v>0</v>
      </c>
      <c r="BK37" s="187">
        <f t="shared" si="13"/>
        <v>0</v>
      </c>
      <c r="BL37" s="187">
        <f t="shared" si="13"/>
        <v>0</v>
      </c>
      <c r="BM37" s="187">
        <f t="shared" si="13"/>
        <v>0</v>
      </c>
      <c r="BN37" s="187">
        <f t="shared" si="13"/>
        <v>0</v>
      </c>
      <c r="BO37" s="187">
        <f t="shared" si="13"/>
        <v>0</v>
      </c>
      <c r="BP37" s="187">
        <f t="shared" si="13"/>
        <v>0</v>
      </c>
      <c r="BQ37" s="187">
        <f t="shared" si="13"/>
        <v>0</v>
      </c>
      <c r="BR37" s="188">
        <f t="shared" si="13"/>
        <v>0</v>
      </c>
      <c r="BS37" s="208">
        <f t="shared" si="13"/>
        <v>0</v>
      </c>
      <c r="BT37" s="208">
        <f t="shared" si="13"/>
        <v>0</v>
      </c>
      <c r="BU37" s="188">
        <f t="shared" si="13"/>
        <v>0</v>
      </c>
      <c r="BW37" s="208">
        <f t="shared" si="14"/>
        <v>1</v>
      </c>
      <c r="BX37" s="187">
        <f t="shared" si="14"/>
        <v>1</v>
      </c>
      <c r="BY37" s="187">
        <f t="shared" si="14"/>
        <v>1</v>
      </c>
      <c r="BZ37" s="187">
        <f t="shared" si="14"/>
        <v>0</v>
      </c>
      <c r="CA37" s="187">
        <f t="shared" si="14"/>
        <v>0</v>
      </c>
      <c r="CB37" s="187">
        <f t="shared" si="14"/>
        <v>0</v>
      </c>
      <c r="CC37" s="187">
        <f t="shared" si="14"/>
        <v>0</v>
      </c>
      <c r="CD37" s="187">
        <f t="shared" si="14"/>
        <v>0</v>
      </c>
      <c r="CE37" s="187">
        <f t="shared" si="14"/>
        <v>0</v>
      </c>
      <c r="CF37" s="187">
        <f t="shared" si="14"/>
        <v>0</v>
      </c>
      <c r="CG37" s="187">
        <f t="shared" si="14"/>
        <v>0</v>
      </c>
      <c r="CH37" s="188">
        <f t="shared" si="14"/>
        <v>0</v>
      </c>
      <c r="CI37" s="208">
        <f t="shared" si="14"/>
        <v>1</v>
      </c>
      <c r="CJ37" s="208">
        <f t="shared" si="14"/>
        <v>0</v>
      </c>
      <c r="CK37" s="188">
        <f t="shared" si="14"/>
        <v>0</v>
      </c>
      <c r="CM37" s="208">
        <f t="shared" si="15"/>
        <v>0</v>
      </c>
      <c r="CN37" s="187">
        <f t="shared" si="15"/>
        <v>0</v>
      </c>
      <c r="CO37" s="187">
        <f t="shared" si="15"/>
        <v>0</v>
      </c>
      <c r="CP37" s="187">
        <f t="shared" si="15"/>
        <v>0</v>
      </c>
      <c r="CQ37" s="187">
        <f t="shared" si="15"/>
        <v>0</v>
      </c>
      <c r="CR37" s="187">
        <f t="shared" si="15"/>
        <v>0</v>
      </c>
      <c r="CS37" s="187">
        <f t="shared" si="15"/>
        <v>0</v>
      </c>
      <c r="CT37" s="187">
        <f t="shared" si="15"/>
        <v>0</v>
      </c>
      <c r="CU37" s="187">
        <f t="shared" si="15"/>
        <v>0</v>
      </c>
      <c r="CV37" s="187">
        <f t="shared" si="15"/>
        <v>0</v>
      </c>
      <c r="CW37" s="187">
        <f t="shared" si="15"/>
        <v>0</v>
      </c>
      <c r="CX37" s="188">
        <f t="shared" si="15"/>
        <v>0</v>
      </c>
      <c r="CY37" s="208">
        <f t="shared" si="15"/>
        <v>0</v>
      </c>
      <c r="CZ37" s="208">
        <f t="shared" si="15"/>
        <v>0</v>
      </c>
      <c r="DA37" s="188">
        <f t="shared" si="15"/>
        <v>0</v>
      </c>
    </row>
    <row r="38" spans="1:105">
      <c r="A38" s="209">
        <v>5.2</v>
      </c>
      <c r="B38" s="210" t="s">
        <v>205</v>
      </c>
      <c r="C38" s="210" t="s">
        <v>131</v>
      </c>
      <c r="D38" s="188">
        <v>1</v>
      </c>
      <c r="E38" s="208">
        <v>1</v>
      </c>
      <c r="F38" s="187"/>
      <c r="H38" s="187">
        <v>1</v>
      </c>
      <c r="I38" s="188"/>
      <c r="J38" s="187">
        <v>1</v>
      </c>
      <c r="K38" s="187">
        <v>1</v>
      </c>
      <c r="L38" s="187">
        <v>1</v>
      </c>
      <c r="M38" s="187"/>
      <c r="N38" s="187"/>
      <c r="O38" s="187"/>
      <c r="P38" s="187"/>
      <c r="Q38" s="187"/>
      <c r="R38" s="187"/>
      <c r="S38" s="187"/>
      <c r="T38" s="187"/>
      <c r="U38" s="188"/>
      <c r="V38" s="208">
        <v>1</v>
      </c>
      <c r="W38" s="187">
        <v>1</v>
      </c>
      <c r="X38" s="188"/>
      <c r="Y38" s="187"/>
      <c r="AA38" s="208">
        <f t="shared" si="11"/>
        <v>1</v>
      </c>
      <c r="AB38" s="187">
        <f t="shared" si="11"/>
        <v>1</v>
      </c>
      <c r="AC38" s="187">
        <f t="shared" si="11"/>
        <v>1</v>
      </c>
      <c r="AD38" s="187">
        <f t="shared" si="11"/>
        <v>0</v>
      </c>
      <c r="AE38" s="187">
        <f t="shared" si="11"/>
        <v>0</v>
      </c>
      <c r="AF38" s="187">
        <f t="shared" si="11"/>
        <v>0</v>
      </c>
      <c r="AG38" s="187">
        <f t="shared" si="11"/>
        <v>0</v>
      </c>
      <c r="AH38" s="187">
        <f t="shared" si="11"/>
        <v>0</v>
      </c>
      <c r="AI38" s="187">
        <f t="shared" si="11"/>
        <v>0</v>
      </c>
      <c r="AJ38" s="187">
        <f t="shared" si="11"/>
        <v>0</v>
      </c>
      <c r="AK38" s="187">
        <f t="shared" si="11"/>
        <v>0</v>
      </c>
      <c r="AL38" s="187">
        <f t="shared" si="11"/>
        <v>0</v>
      </c>
      <c r="AM38" s="208">
        <f t="shared" si="11"/>
        <v>1</v>
      </c>
      <c r="AN38" s="187">
        <f t="shared" si="11"/>
        <v>1</v>
      </c>
      <c r="AO38" s="188">
        <f t="shared" si="11"/>
        <v>0</v>
      </c>
      <c r="AQ38" s="208">
        <f t="shared" si="12"/>
        <v>0</v>
      </c>
      <c r="AR38" s="187">
        <f t="shared" si="12"/>
        <v>0</v>
      </c>
      <c r="AS38" s="187">
        <f t="shared" si="12"/>
        <v>0</v>
      </c>
      <c r="AT38" s="187">
        <f t="shared" si="12"/>
        <v>0</v>
      </c>
      <c r="AU38" s="187">
        <f t="shared" si="12"/>
        <v>0</v>
      </c>
      <c r="AV38" s="187">
        <f t="shared" si="12"/>
        <v>0</v>
      </c>
      <c r="AW38" s="187">
        <f t="shared" si="12"/>
        <v>0</v>
      </c>
      <c r="AX38" s="187">
        <f t="shared" si="12"/>
        <v>0</v>
      </c>
      <c r="AY38" s="187">
        <f t="shared" si="12"/>
        <v>0</v>
      </c>
      <c r="AZ38" s="187">
        <f t="shared" si="12"/>
        <v>0</v>
      </c>
      <c r="BA38" s="187">
        <f t="shared" si="12"/>
        <v>0</v>
      </c>
      <c r="BB38" s="188">
        <f t="shared" si="12"/>
        <v>0</v>
      </c>
      <c r="BC38" s="208">
        <f t="shared" si="12"/>
        <v>0</v>
      </c>
      <c r="BD38" s="208">
        <f t="shared" si="12"/>
        <v>0</v>
      </c>
      <c r="BE38" s="188">
        <f t="shared" si="12"/>
        <v>0</v>
      </c>
      <c r="BG38" s="208">
        <f t="shared" si="13"/>
        <v>0</v>
      </c>
      <c r="BH38" s="187">
        <f t="shared" si="13"/>
        <v>0</v>
      </c>
      <c r="BI38" s="187">
        <f t="shared" si="13"/>
        <v>0</v>
      </c>
      <c r="BJ38" s="187">
        <f t="shared" si="13"/>
        <v>0</v>
      </c>
      <c r="BK38" s="187">
        <f t="shared" si="13"/>
        <v>0</v>
      </c>
      <c r="BL38" s="187">
        <f t="shared" si="13"/>
        <v>0</v>
      </c>
      <c r="BM38" s="187">
        <f t="shared" si="13"/>
        <v>0</v>
      </c>
      <c r="BN38" s="187">
        <f t="shared" si="13"/>
        <v>0</v>
      </c>
      <c r="BO38" s="187">
        <f t="shared" si="13"/>
        <v>0</v>
      </c>
      <c r="BP38" s="187">
        <f t="shared" si="13"/>
        <v>0</v>
      </c>
      <c r="BQ38" s="187">
        <f t="shared" si="13"/>
        <v>0</v>
      </c>
      <c r="BR38" s="188">
        <f t="shared" si="13"/>
        <v>0</v>
      </c>
      <c r="BS38" s="208">
        <f t="shared" si="13"/>
        <v>0</v>
      </c>
      <c r="BT38" s="208">
        <f t="shared" si="13"/>
        <v>0</v>
      </c>
      <c r="BU38" s="188">
        <f t="shared" si="13"/>
        <v>0</v>
      </c>
      <c r="BW38" s="208">
        <f t="shared" si="14"/>
        <v>1</v>
      </c>
      <c r="BX38" s="187">
        <f t="shared" si="14"/>
        <v>1</v>
      </c>
      <c r="BY38" s="187">
        <f t="shared" si="14"/>
        <v>1</v>
      </c>
      <c r="BZ38" s="187">
        <f t="shared" si="14"/>
        <v>0</v>
      </c>
      <c r="CA38" s="187">
        <f t="shared" si="14"/>
        <v>0</v>
      </c>
      <c r="CB38" s="187">
        <f t="shared" si="14"/>
        <v>0</v>
      </c>
      <c r="CC38" s="187">
        <f t="shared" si="14"/>
        <v>0</v>
      </c>
      <c r="CD38" s="187">
        <f t="shared" si="14"/>
        <v>0</v>
      </c>
      <c r="CE38" s="187">
        <f t="shared" si="14"/>
        <v>0</v>
      </c>
      <c r="CF38" s="187">
        <f t="shared" si="14"/>
        <v>0</v>
      </c>
      <c r="CG38" s="187">
        <f t="shared" si="14"/>
        <v>0</v>
      </c>
      <c r="CH38" s="188">
        <f t="shared" si="14"/>
        <v>0</v>
      </c>
      <c r="CI38" s="208">
        <f t="shared" si="14"/>
        <v>1</v>
      </c>
      <c r="CJ38" s="208">
        <f t="shared" si="14"/>
        <v>1</v>
      </c>
      <c r="CK38" s="188">
        <f t="shared" si="14"/>
        <v>0</v>
      </c>
      <c r="CM38" s="208">
        <f t="shared" si="15"/>
        <v>0</v>
      </c>
      <c r="CN38" s="187">
        <f t="shared" si="15"/>
        <v>0</v>
      </c>
      <c r="CO38" s="187">
        <f t="shared" si="15"/>
        <v>0</v>
      </c>
      <c r="CP38" s="187">
        <f t="shared" si="15"/>
        <v>0</v>
      </c>
      <c r="CQ38" s="187">
        <f t="shared" si="15"/>
        <v>0</v>
      </c>
      <c r="CR38" s="187">
        <f t="shared" si="15"/>
        <v>0</v>
      </c>
      <c r="CS38" s="187">
        <f t="shared" si="15"/>
        <v>0</v>
      </c>
      <c r="CT38" s="187">
        <f t="shared" si="15"/>
        <v>0</v>
      </c>
      <c r="CU38" s="187">
        <f t="shared" si="15"/>
        <v>0</v>
      </c>
      <c r="CV38" s="187">
        <f t="shared" si="15"/>
        <v>0</v>
      </c>
      <c r="CW38" s="187">
        <f t="shared" si="15"/>
        <v>0</v>
      </c>
      <c r="CX38" s="188">
        <f t="shared" si="15"/>
        <v>0</v>
      </c>
      <c r="CY38" s="208">
        <f t="shared" si="15"/>
        <v>0</v>
      </c>
      <c r="CZ38" s="208">
        <f t="shared" si="15"/>
        <v>0</v>
      </c>
      <c r="DA38" s="188">
        <f t="shared" si="15"/>
        <v>0</v>
      </c>
    </row>
    <row r="39" spans="1:105">
      <c r="A39" s="209">
        <v>5.3</v>
      </c>
      <c r="B39" s="210" t="s">
        <v>206</v>
      </c>
      <c r="C39" s="210" t="s">
        <v>131</v>
      </c>
      <c r="D39" s="188">
        <v>1</v>
      </c>
      <c r="E39" s="208">
        <v>1</v>
      </c>
      <c r="F39" s="187"/>
      <c r="H39" s="187">
        <v>1</v>
      </c>
      <c r="I39" s="188"/>
      <c r="J39" s="187">
        <v>1</v>
      </c>
      <c r="K39" s="187">
        <v>1</v>
      </c>
      <c r="L39" s="187">
        <v>1</v>
      </c>
      <c r="M39" s="187">
        <v>1</v>
      </c>
      <c r="N39" s="187">
        <v>1</v>
      </c>
      <c r="O39" s="187"/>
      <c r="P39" s="187"/>
      <c r="Q39" s="187"/>
      <c r="R39" s="187"/>
      <c r="S39" s="187">
        <v>1</v>
      </c>
      <c r="T39" s="187">
        <v>1</v>
      </c>
      <c r="U39" s="188">
        <v>1</v>
      </c>
      <c r="V39" s="208">
        <v>1</v>
      </c>
      <c r="W39" s="187"/>
      <c r="X39" s="188">
        <v>1</v>
      </c>
      <c r="Y39" s="187"/>
      <c r="AA39" s="208">
        <f t="shared" ref="AA39:AO55" si="16">$D39*$E39*J39</f>
        <v>1</v>
      </c>
      <c r="AB39" s="187">
        <f t="shared" si="16"/>
        <v>1</v>
      </c>
      <c r="AC39" s="187">
        <f t="shared" si="16"/>
        <v>1</v>
      </c>
      <c r="AD39" s="187">
        <f t="shared" si="16"/>
        <v>1</v>
      </c>
      <c r="AE39" s="187">
        <f t="shared" si="16"/>
        <v>1</v>
      </c>
      <c r="AF39" s="187">
        <f t="shared" si="16"/>
        <v>0</v>
      </c>
      <c r="AG39" s="187">
        <f t="shared" si="16"/>
        <v>0</v>
      </c>
      <c r="AH39" s="187">
        <f t="shared" si="16"/>
        <v>0</v>
      </c>
      <c r="AI39" s="187">
        <f t="shared" si="16"/>
        <v>0</v>
      </c>
      <c r="AJ39" s="187">
        <f t="shared" si="16"/>
        <v>1</v>
      </c>
      <c r="AK39" s="187">
        <f t="shared" si="16"/>
        <v>1</v>
      </c>
      <c r="AL39" s="187">
        <f t="shared" si="16"/>
        <v>1</v>
      </c>
      <c r="AM39" s="208">
        <f t="shared" si="16"/>
        <v>1</v>
      </c>
      <c r="AN39" s="187">
        <f t="shared" si="16"/>
        <v>0</v>
      </c>
      <c r="AO39" s="188">
        <f t="shared" si="16"/>
        <v>1</v>
      </c>
      <c r="AQ39" s="208">
        <f t="shared" ref="AQ39:BE55" si="17">$D39*$F39*J39</f>
        <v>0</v>
      </c>
      <c r="AR39" s="187">
        <f t="shared" si="17"/>
        <v>0</v>
      </c>
      <c r="AS39" s="187">
        <f t="shared" si="17"/>
        <v>0</v>
      </c>
      <c r="AT39" s="187">
        <f t="shared" si="17"/>
        <v>0</v>
      </c>
      <c r="AU39" s="187">
        <f t="shared" si="17"/>
        <v>0</v>
      </c>
      <c r="AV39" s="187">
        <f t="shared" si="17"/>
        <v>0</v>
      </c>
      <c r="AW39" s="187">
        <f t="shared" si="17"/>
        <v>0</v>
      </c>
      <c r="AX39" s="187">
        <f t="shared" si="17"/>
        <v>0</v>
      </c>
      <c r="AY39" s="187">
        <f t="shared" si="17"/>
        <v>0</v>
      </c>
      <c r="AZ39" s="187">
        <f t="shared" si="17"/>
        <v>0</v>
      </c>
      <c r="BA39" s="187">
        <f t="shared" si="17"/>
        <v>0</v>
      </c>
      <c r="BB39" s="188">
        <f t="shared" si="17"/>
        <v>0</v>
      </c>
      <c r="BC39" s="208">
        <f t="shared" si="17"/>
        <v>0</v>
      </c>
      <c r="BD39" s="208">
        <f t="shared" si="17"/>
        <v>0</v>
      </c>
      <c r="BE39" s="188">
        <f t="shared" si="17"/>
        <v>0</v>
      </c>
      <c r="BG39" s="208">
        <f t="shared" ref="BG39:BU55" si="18">$D39*$G39*J39</f>
        <v>0</v>
      </c>
      <c r="BH39" s="187">
        <f t="shared" si="18"/>
        <v>0</v>
      </c>
      <c r="BI39" s="187">
        <f t="shared" si="18"/>
        <v>0</v>
      </c>
      <c r="BJ39" s="187">
        <f t="shared" si="18"/>
        <v>0</v>
      </c>
      <c r="BK39" s="187">
        <f t="shared" si="18"/>
        <v>0</v>
      </c>
      <c r="BL39" s="187">
        <f t="shared" si="18"/>
        <v>0</v>
      </c>
      <c r="BM39" s="187">
        <f t="shared" si="18"/>
        <v>0</v>
      </c>
      <c r="BN39" s="187">
        <f t="shared" si="18"/>
        <v>0</v>
      </c>
      <c r="BO39" s="187">
        <f t="shared" si="18"/>
        <v>0</v>
      </c>
      <c r="BP39" s="187">
        <f t="shared" si="18"/>
        <v>0</v>
      </c>
      <c r="BQ39" s="187">
        <f t="shared" si="18"/>
        <v>0</v>
      </c>
      <c r="BR39" s="188">
        <f t="shared" si="18"/>
        <v>0</v>
      </c>
      <c r="BS39" s="208">
        <f t="shared" si="18"/>
        <v>0</v>
      </c>
      <c r="BT39" s="208">
        <f t="shared" si="18"/>
        <v>0</v>
      </c>
      <c r="BU39" s="188">
        <f t="shared" si="18"/>
        <v>0</v>
      </c>
      <c r="BW39" s="208">
        <f t="shared" ref="BW39:CK55" si="19">$D39*$H39*J39</f>
        <v>1</v>
      </c>
      <c r="BX39" s="187">
        <f t="shared" si="19"/>
        <v>1</v>
      </c>
      <c r="BY39" s="187">
        <f t="shared" si="19"/>
        <v>1</v>
      </c>
      <c r="BZ39" s="187">
        <f t="shared" si="19"/>
        <v>1</v>
      </c>
      <c r="CA39" s="187">
        <f t="shared" si="19"/>
        <v>1</v>
      </c>
      <c r="CB39" s="187">
        <f t="shared" si="19"/>
        <v>0</v>
      </c>
      <c r="CC39" s="187">
        <f t="shared" si="19"/>
        <v>0</v>
      </c>
      <c r="CD39" s="187">
        <f t="shared" si="19"/>
        <v>0</v>
      </c>
      <c r="CE39" s="187">
        <f t="shared" si="19"/>
        <v>0</v>
      </c>
      <c r="CF39" s="187">
        <f t="shared" si="19"/>
        <v>1</v>
      </c>
      <c r="CG39" s="187">
        <f t="shared" si="19"/>
        <v>1</v>
      </c>
      <c r="CH39" s="188">
        <f t="shared" si="19"/>
        <v>1</v>
      </c>
      <c r="CI39" s="208">
        <f t="shared" si="19"/>
        <v>1</v>
      </c>
      <c r="CJ39" s="208">
        <f t="shared" si="19"/>
        <v>0</v>
      </c>
      <c r="CK39" s="188">
        <f t="shared" si="19"/>
        <v>1</v>
      </c>
      <c r="CM39" s="208">
        <f t="shared" ref="CM39:DA55" si="20">$D39*$I39*J39</f>
        <v>0</v>
      </c>
      <c r="CN39" s="187">
        <f t="shared" si="20"/>
        <v>0</v>
      </c>
      <c r="CO39" s="187">
        <f t="shared" si="20"/>
        <v>0</v>
      </c>
      <c r="CP39" s="187">
        <f t="shared" si="20"/>
        <v>0</v>
      </c>
      <c r="CQ39" s="187">
        <f t="shared" si="20"/>
        <v>0</v>
      </c>
      <c r="CR39" s="187">
        <f t="shared" si="20"/>
        <v>0</v>
      </c>
      <c r="CS39" s="187">
        <f t="shared" si="20"/>
        <v>0</v>
      </c>
      <c r="CT39" s="187">
        <f t="shared" si="20"/>
        <v>0</v>
      </c>
      <c r="CU39" s="187">
        <f t="shared" si="20"/>
        <v>0</v>
      </c>
      <c r="CV39" s="187">
        <f t="shared" si="20"/>
        <v>0</v>
      </c>
      <c r="CW39" s="187">
        <f t="shared" si="20"/>
        <v>0</v>
      </c>
      <c r="CX39" s="188">
        <f t="shared" si="20"/>
        <v>0</v>
      </c>
      <c r="CY39" s="208">
        <f t="shared" si="20"/>
        <v>0</v>
      </c>
      <c r="CZ39" s="208">
        <f t="shared" si="20"/>
        <v>0</v>
      </c>
      <c r="DA39" s="188">
        <f t="shared" si="20"/>
        <v>0</v>
      </c>
    </row>
    <row r="40" spans="1:105">
      <c r="A40" s="209">
        <v>5.4</v>
      </c>
      <c r="B40" s="210" t="s">
        <v>207</v>
      </c>
      <c r="C40" s="210" t="s">
        <v>131</v>
      </c>
      <c r="D40" s="188">
        <v>1</v>
      </c>
      <c r="E40" s="208">
        <v>1</v>
      </c>
      <c r="F40" s="187"/>
      <c r="H40" s="187">
        <v>1</v>
      </c>
      <c r="I40" s="188"/>
      <c r="J40" s="187">
        <v>1</v>
      </c>
      <c r="K40" s="187">
        <v>1</v>
      </c>
      <c r="L40" s="187">
        <v>1</v>
      </c>
      <c r="M40" s="187">
        <v>1</v>
      </c>
      <c r="N40" s="187">
        <v>1</v>
      </c>
      <c r="O40" s="187"/>
      <c r="P40" s="187"/>
      <c r="Q40" s="187"/>
      <c r="R40" s="187"/>
      <c r="S40" s="187">
        <v>1</v>
      </c>
      <c r="T40" s="187"/>
      <c r="U40" s="188">
        <v>1</v>
      </c>
      <c r="V40" s="208">
        <v>1</v>
      </c>
      <c r="W40" s="187"/>
      <c r="X40" s="188">
        <v>1</v>
      </c>
      <c r="Y40" s="187"/>
      <c r="AA40" s="208">
        <f t="shared" si="16"/>
        <v>1</v>
      </c>
      <c r="AB40" s="187">
        <f t="shared" si="16"/>
        <v>1</v>
      </c>
      <c r="AC40" s="187">
        <f t="shared" si="16"/>
        <v>1</v>
      </c>
      <c r="AD40" s="187">
        <f t="shared" si="16"/>
        <v>1</v>
      </c>
      <c r="AE40" s="187">
        <f t="shared" si="16"/>
        <v>1</v>
      </c>
      <c r="AF40" s="187">
        <f t="shared" si="16"/>
        <v>0</v>
      </c>
      <c r="AG40" s="187">
        <f t="shared" si="16"/>
        <v>0</v>
      </c>
      <c r="AH40" s="187">
        <f t="shared" si="16"/>
        <v>0</v>
      </c>
      <c r="AI40" s="187">
        <f t="shared" si="16"/>
        <v>0</v>
      </c>
      <c r="AJ40" s="187">
        <f t="shared" si="16"/>
        <v>1</v>
      </c>
      <c r="AK40" s="187">
        <f t="shared" si="16"/>
        <v>0</v>
      </c>
      <c r="AL40" s="187">
        <f t="shared" si="16"/>
        <v>1</v>
      </c>
      <c r="AM40" s="208">
        <f t="shared" si="16"/>
        <v>1</v>
      </c>
      <c r="AN40" s="187">
        <f t="shared" si="16"/>
        <v>0</v>
      </c>
      <c r="AO40" s="188">
        <f t="shared" si="16"/>
        <v>1</v>
      </c>
      <c r="AQ40" s="208">
        <f t="shared" si="17"/>
        <v>0</v>
      </c>
      <c r="AR40" s="187">
        <f t="shared" si="17"/>
        <v>0</v>
      </c>
      <c r="AS40" s="187">
        <f t="shared" si="17"/>
        <v>0</v>
      </c>
      <c r="AT40" s="187">
        <f t="shared" si="17"/>
        <v>0</v>
      </c>
      <c r="AU40" s="187">
        <f t="shared" si="17"/>
        <v>0</v>
      </c>
      <c r="AV40" s="187">
        <f t="shared" si="17"/>
        <v>0</v>
      </c>
      <c r="AW40" s="187">
        <f t="shared" si="17"/>
        <v>0</v>
      </c>
      <c r="AX40" s="187">
        <f t="shared" si="17"/>
        <v>0</v>
      </c>
      <c r="AY40" s="187">
        <f t="shared" si="17"/>
        <v>0</v>
      </c>
      <c r="AZ40" s="187">
        <f t="shared" si="17"/>
        <v>0</v>
      </c>
      <c r="BA40" s="187">
        <f t="shared" si="17"/>
        <v>0</v>
      </c>
      <c r="BB40" s="188">
        <f t="shared" si="17"/>
        <v>0</v>
      </c>
      <c r="BC40" s="208">
        <f t="shared" si="17"/>
        <v>0</v>
      </c>
      <c r="BD40" s="208">
        <f t="shared" si="17"/>
        <v>0</v>
      </c>
      <c r="BE40" s="188">
        <f t="shared" si="17"/>
        <v>0</v>
      </c>
      <c r="BG40" s="208">
        <f t="shared" si="18"/>
        <v>0</v>
      </c>
      <c r="BH40" s="187">
        <f t="shared" si="18"/>
        <v>0</v>
      </c>
      <c r="BI40" s="187">
        <f t="shared" si="18"/>
        <v>0</v>
      </c>
      <c r="BJ40" s="187">
        <f t="shared" si="18"/>
        <v>0</v>
      </c>
      <c r="BK40" s="187">
        <f t="shared" si="18"/>
        <v>0</v>
      </c>
      <c r="BL40" s="187">
        <f t="shared" si="18"/>
        <v>0</v>
      </c>
      <c r="BM40" s="187">
        <f t="shared" si="18"/>
        <v>0</v>
      </c>
      <c r="BN40" s="187">
        <f t="shared" si="18"/>
        <v>0</v>
      </c>
      <c r="BO40" s="187">
        <f t="shared" si="18"/>
        <v>0</v>
      </c>
      <c r="BP40" s="187">
        <f t="shared" si="18"/>
        <v>0</v>
      </c>
      <c r="BQ40" s="187">
        <f t="shared" si="18"/>
        <v>0</v>
      </c>
      <c r="BR40" s="188">
        <f t="shared" si="18"/>
        <v>0</v>
      </c>
      <c r="BS40" s="208">
        <f t="shared" si="18"/>
        <v>0</v>
      </c>
      <c r="BT40" s="208">
        <f t="shared" si="18"/>
        <v>0</v>
      </c>
      <c r="BU40" s="188">
        <f t="shared" si="18"/>
        <v>0</v>
      </c>
      <c r="BW40" s="208">
        <f t="shared" si="19"/>
        <v>1</v>
      </c>
      <c r="BX40" s="187">
        <f t="shared" si="19"/>
        <v>1</v>
      </c>
      <c r="BY40" s="187">
        <f t="shared" si="19"/>
        <v>1</v>
      </c>
      <c r="BZ40" s="187">
        <f t="shared" si="19"/>
        <v>1</v>
      </c>
      <c r="CA40" s="187">
        <f t="shared" si="19"/>
        <v>1</v>
      </c>
      <c r="CB40" s="187">
        <f t="shared" si="19"/>
        <v>0</v>
      </c>
      <c r="CC40" s="187">
        <f t="shared" si="19"/>
        <v>0</v>
      </c>
      <c r="CD40" s="187">
        <f t="shared" si="19"/>
        <v>0</v>
      </c>
      <c r="CE40" s="187">
        <f t="shared" si="19"/>
        <v>0</v>
      </c>
      <c r="CF40" s="187">
        <f t="shared" si="19"/>
        <v>1</v>
      </c>
      <c r="CG40" s="187">
        <f t="shared" si="19"/>
        <v>0</v>
      </c>
      <c r="CH40" s="188">
        <f t="shared" si="19"/>
        <v>1</v>
      </c>
      <c r="CI40" s="208">
        <f t="shared" si="19"/>
        <v>1</v>
      </c>
      <c r="CJ40" s="208">
        <f t="shared" si="19"/>
        <v>0</v>
      </c>
      <c r="CK40" s="188">
        <f t="shared" si="19"/>
        <v>1</v>
      </c>
      <c r="CM40" s="208">
        <f t="shared" si="20"/>
        <v>0</v>
      </c>
      <c r="CN40" s="187">
        <f t="shared" si="20"/>
        <v>0</v>
      </c>
      <c r="CO40" s="187">
        <f t="shared" si="20"/>
        <v>0</v>
      </c>
      <c r="CP40" s="187">
        <f t="shared" si="20"/>
        <v>0</v>
      </c>
      <c r="CQ40" s="187">
        <f t="shared" si="20"/>
        <v>0</v>
      </c>
      <c r="CR40" s="187">
        <f t="shared" si="20"/>
        <v>0</v>
      </c>
      <c r="CS40" s="187">
        <f t="shared" si="20"/>
        <v>0</v>
      </c>
      <c r="CT40" s="187">
        <f t="shared" si="20"/>
        <v>0</v>
      </c>
      <c r="CU40" s="187">
        <f t="shared" si="20"/>
        <v>0</v>
      </c>
      <c r="CV40" s="187">
        <f t="shared" si="20"/>
        <v>0</v>
      </c>
      <c r="CW40" s="187">
        <f t="shared" si="20"/>
        <v>0</v>
      </c>
      <c r="CX40" s="188">
        <f t="shared" si="20"/>
        <v>0</v>
      </c>
      <c r="CY40" s="208">
        <f t="shared" si="20"/>
        <v>0</v>
      </c>
      <c r="CZ40" s="208">
        <f t="shared" si="20"/>
        <v>0</v>
      </c>
      <c r="DA40" s="188">
        <f t="shared" si="20"/>
        <v>0</v>
      </c>
    </row>
    <row r="41" spans="1:105">
      <c r="A41" s="209">
        <v>5.5</v>
      </c>
      <c r="B41" s="210" t="s">
        <v>208</v>
      </c>
      <c r="C41" s="210" t="s">
        <v>131</v>
      </c>
      <c r="D41" s="188">
        <v>1</v>
      </c>
      <c r="E41" s="208">
        <v>1</v>
      </c>
      <c r="F41" s="187"/>
      <c r="H41" s="187">
        <v>1</v>
      </c>
      <c r="I41" s="188"/>
      <c r="J41" s="187">
        <v>1</v>
      </c>
      <c r="K41" s="187">
        <v>1</v>
      </c>
      <c r="L41" s="187">
        <v>1</v>
      </c>
      <c r="M41" s="187">
        <v>1</v>
      </c>
      <c r="N41" s="187">
        <v>1</v>
      </c>
      <c r="O41" s="187"/>
      <c r="P41" s="187"/>
      <c r="Q41" s="187"/>
      <c r="R41" s="187"/>
      <c r="S41" s="187"/>
      <c r="T41" s="187"/>
      <c r="U41" s="188"/>
      <c r="V41" s="208">
        <v>1</v>
      </c>
      <c r="W41" s="187">
        <v>1</v>
      </c>
      <c r="X41" s="188"/>
      <c r="Y41" s="187"/>
      <c r="AA41" s="208">
        <f t="shared" si="16"/>
        <v>1</v>
      </c>
      <c r="AB41" s="187">
        <f t="shared" si="16"/>
        <v>1</v>
      </c>
      <c r="AC41" s="187">
        <f t="shared" si="16"/>
        <v>1</v>
      </c>
      <c r="AD41" s="187">
        <f t="shared" si="16"/>
        <v>1</v>
      </c>
      <c r="AE41" s="187">
        <f t="shared" si="16"/>
        <v>1</v>
      </c>
      <c r="AF41" s="187">
        <f t="shared" si="16"/>
        <v>0</v>
      </c>
      <c r="AG41" s="187">
        <f t="shared" si="16"/>
        <v>0</v>
      </c>
      <c r="AH41" s="187">
        <f t="shared" si="16"/>
        <v>0</v>
      </c>
      <c r="AI41" s="187">
        <f t="shared" si="16"/>
        <v>0</v>
      </c>
      <c r="AJ41" s="187">
        <f t="shared" si="16"/>
        <v>0</v>
      </c>
      <c r="AK41" s="187">
        <f t="shared" si="16"/>
        <v>0</v>
      </c>
      <c r="AL41" s="187">
        <f t="shared" si="16"/>
        <v>0</v>
      </c>
      <c r="AM41" s="208">
        <f t="shared" si="16"/>
        <v>1</v>
      </c>
      <c r="AN41" s="187">
        <f t="shared" si="16"/>
        <v>1</v>
      </c>
      <c r="AO41" s="188">
        <f t="shared" si="16"/>
        <v>0</v>
      </c>
      <c r="AQ41" s="208">
        <f t="shared" si="17"/>
        <v>0</v>
      </c>
      <c r="AR41" s="187">
        <f t="shared" si="17"/>
        <v>0</v>
      </c>
      <c r="AS41" s="187">
        <f t="shared" si="17"/>
        <v>0</v>
      </c>
      <c r="AT41" s="187">
        <f t="shared" si="17"/>
        <v>0</v>
      </c>
      <c r="AU41" s="187">
        <f t="shared" si="17"/>
        <v>0</v>
      </c>
      <c r="AV41" s="187">
        <f t="shared" si="17"/>
        <v>0</v>
      </c>
      <c r="AW41" s="187">
        <f t="shared" si="17"/>
        <v>0</v>
      </c>
      <c r="AX41" s="187">
        <f t="shared" si="17"/>
        <v>0</v>
      </c>
      <c r="AY41" s="187">
        <f t="shared" si="17"/>
        <v>0</v>
      </c>
      <c r="AZ41" s="187">
        <f t="shared" si="17"/>
        <v>0</v>
      </c>
      <c r="BA41" s="187">
        <f t="shared" si="17"/>
        <v>0</v>
      </c>
      <c r="BB41" s="188">
        <f t="shared" si="17"/>
        <v>0</v>
      </c>
      <c r="BC41" s="208">
        <f t="shared" si="17"/>
        <v>0</v>
      </c>
      <c r="BD41" s="208">
        <f t="shared" si="17"/>
        <v>0</v>
      </c>
      <c r="BE41" s="188">
        <f t="shared" si="17"/>
        <v>0</v>
      </c>
      <c r="BG41" s="208">
        <f t="shared" si="18"/>
        <v>0</v>
      </c>
      <c r="BH41" s="187">
        <f t="shared" si="18"/>
        <v>0</v>
      </c>
      <c r="BI41" s="187">
        <f t="shared" si="18"/>
        <v>0</v>
      </c>
      <c r="BJ41" s="187">
        <f t="shared" si="18"/>
        <v>0</v>
      </c>
      <c r="BK41" s="187">
        <f t="shared" si="18"/>
        <v>0</v>
      </c>
      <c r="BL41" s="187">
        <f t="shared" si="18"/>
        <v>0</v>
      </c>
      <c r="BM41" s="187">
        <f t="shared" si="18"/>
        <v>0</v>
      </c>
      <c r="BN41" s="187">
        <f t="shared" si="18"/>
        <v>0</v>
      </c>
      <c r="BO41" s="187">
        <f t="shared" si="18"/>
        <v>0</v>
      </c>
      <c r="BP41" s="187">
        <f t="shared" si="18"/>
        <v>0</v>
      </c>
      <c r="BQ41" s="187">
        <f t="shared" si="18"/>
        <v>0</v>
      </c>
      <c r="BR41" s="188">
        <f t="shared" si="18"/>
        <v>0</v>
      </c>
      <c r="BS41" s="208">
        <f t="shared" si="18"/>
        <v>0</v>
      </c>
      <c r="BT41" s="208">
        <f t="shared" si="18"/>
        <v>0</v>
      </c>
      <c r="BU41" s="188">
        <f t="shared" si="18"/>
        <v>0</v>
      </c>
      <c r="BW41" s="208">
        <f t="shared" si="19"/>
        <v>1</v>
      </c>
      <c r="BX41" s="187">
        <f t="shared" si="19"/>
        <v>1</v>
      </c>
      <c r="BY41" s="187">
        <f t="shared" si="19"/>
        <v>1</v>
      </c>
      <c r="BZ41" s="187">
        <f t="shared" si="19"/>
        <v>1</v>
      </c>
      <c r="CA41" s="187">
        <f t="shared" si="19"/>
        <v>1</v>
      </c>
      <c r="CB41" s="187">
        <f t="shared" si="19"/>
        <v>0</v>
      </c>
      <c r="CC41" s="187">
        <f t="shared" si="19"/>
        <v>0</v>
      </c>
      <c r="CD41" s="187">
        <f t="shared" si="19"/>
        <v>0</v>
      </c>
      <c r="CE41" s="187">
        <f t="shared" si="19"/>
        <v>0</v>
      </c>
      <c r="CF41" s="187">
        <f t="shared" si="19"/>
        <v>0</v>
      </c>
      <c r="CG41" s="187">
        <f t="shared" si="19"/>
        <v>0</v>
      </c>
      <c r="CH41" s="188">
        <f t="shared" si="19"/>
        <v>0</v>
      </c>
      <c r="CI41" s="208">
        <f t="shared" si="19"/>
        <v>1</v>
      </c>
      <c r="CJ41" s="208">
        <f t="shared" si="19"/>
        <v>1</v>
      </c>
      <c r="CK41" s="188">
        <f t="shared" si="19"/>
        <v>0</v>
      </c>
      <c r="CM41" s="208">
        <f t="shared" si="20"/>
        <v>0</v>
      </c>
      <c r="CN41" s="187">
        <f t="shared" si="20"/>
        <v>0</v>
      </c>
      <c r="CO41" s="187">
        <f t="shared" si="20"/>
        <v>0</v>
      </c>
      <c r="CP41" s="187">
        <f t="shared" si="20"/>
        <v>0</v>
      </c>
      <c r="CQ41" s="187">
        <f t="shared" si="20"/>
        <v>0</v>
      </c>
      <c r="CR41" s="187">
        <f t="shared" si="20"/>
        <v>0</v>
      </c>
      <c r="CS41" s="187">
        <f t="shared" si="20"/>
        <v>0</v>
      </c>
      <c r="CT41" s="187">
        <f t="shared" si="20"/>
        <v>0</v>
      </c>
      <c r="CU41" s="187">
        <f t="shared" si="20"/>
        <v>0</v>
      </c>
      <c r="CV41" s="187">
        <f t="shared" si="20"/>
        <v>0</v>
      </c>
      <c r="CW41" s="187">
        <f t="shared" si="20"/>
        <v>0</v>
      </c>
      <c r="CX41" s="188">
        <f t="shared" si="20"/>
        <v>0</v>
      </c>
      <c r="CY41" s="208">
        <f t="shared" si="20"/>
        <v>0</v>
      </c>
      <c r="CZ41" s="208">
        <f t="shared" si="20"/>
        <v>0</v>
      </c>
      <c r="DA41" s="188">
        <f t="shared" si="20"/>
        <v>0</v>
      </c>
    </row>
    <row r="42" spans="1:105">
      <c r="A42" s="209">
        <v>5.6</v>
      </c>
      <c r="B42" s="210" t="s">
        <v>209</v>
      </c>
      <c r="C42" s="210" t="s">
        <v>131</v>
      </c>
      <c r="D42" s="188">
        <v>1</v>
      </c>
      <c r="E42" s="208">
        <v>1</v>
      </c>
      <c r="F42" s="187"/>
      <c r="H42" s="187">
        <v>1</v>
      </c>
      <c r="I42" s="188"/>
      <c r="J42" s="187">
        <v>1</v>
      </c>
      <c r="K42" s="187">
        <v>1</v>
      </c>
      <c r="L42" s="187">
        <v>1</v>
      </c>
      <c r="M42" s="187">
        <v>1</v>
      </c>
      <c r="N42" s="187">
        <v>1</v>
      </c>
      <c r="O42" s="187"/>
      <c r="P42" s="187"/>
      <c r="Q42" s="187"/>
      <c r="R42" s="187"/>
      <c r="S42" s="187"/>
      <c r="T42" s="187"/>
      <c r="U42" s="188"/>
      <c r="V42" s="208">
        <v>1</v>
      </c>
      <c r="W42" s="187">
        <v>1</v>
      </c>
      <c r="X42" s="188"/>
      <c r="Y42" s="187"/>
      <c r="AA42" s="208">
        <f t="shared" si="16"/>
        <v>1</v>
      </c>
      <c r="AB42" s="187">
        <f t="shared" si="16"/>
        <v>1</v>
      </c>
      <c r="AC42" s="187">
        <f t="shared" si="16"/>
        <v>1</v>
      </c>
      <c r="AD42" s="187">
        <f t="shared" si="16"/>
        <v>1</v>
      </c>
      <c r="AE42" s="187">
        <f t="shared" si="16"/>
        <v>1</v>
      </c>
      <c r="AF42" s="187">
        <f t="shared" si="16"/>
        <v>0</v>
      </c>
      <c r="AG42" s="187">
        <f t="shared" si="16"/>
        <v>0</v>
      </c>
      <c r="AH42" s="187">
        <f t="shared" si="16"/>
        <v>0</v>
      </c>
      <c r="AI42" s="187">
        <f t="shared" si="16"/>
        <v>0</v>
      </c>
      <c r="AJ42" s="187">
        <f t="shared" si="16"/>
        <v>0</v>
      </c>
      <c r="AK42" s="187">
        <f t="shared" si="16"/>
        <v>0</v>
      </c>
      <c r="AL42" s="187">
        <f t="shared" si="16"/>
        <v>0</v>
      </c>
      <c r="AM42" s="208">
        <f t="shared" si="16"/>
        <v>1</v>
      </c>
      <c r="AN42" s="187">
        <f t="shared" si="16"/>
        <v>1</v>
      </c>
      <c r="AO42" s="188">
        <f t="shared" si="16"/>
        <v>0</v>
      </c>
      <c r="AQ42" s="208">
        <f t="shared" si="17"/>
        <v>0</v>
      </c>
      <c r="AR42" s="187">
        <f t="shared" si="17"/>
        <v>0</v>
      </c>
      <c r="AS42" s="187">
        <f t="shared" si="17"/>
        <v>0</v>
      </c>
      <c r="AT42" s="187">
        <f t="shared" si="17"/>
        <v>0</v>
      </c>
      <c r="AU42" s="187">
        <f t="shared" si="17"/>
        <v>0</v>
      </c>
      <c r="AV42" s="187">
        <f t="shared" si="17"/>
        <v>0</v>
      </c>
      <c r="AW42" s="187">
        <f t="shared" si="17"/>
        <v>0</v>
      </c>
      <c r="AX42" s="187">
        <f t="shared" si="17"/>
        <v>0</v>
      </c>
      <c r="AY42" s="187">
        <f t="shared" si="17"/>
        <v>0</v>
      </c>
      <c r="AZ42" s="187">
        <f t="shared" si="17"/>
        <v>0</v>
      </c>
      <c r="BA42" s="187">
        <f t="shared" si="17"/>
        <v>0</v>
      </c>
      <c r="BB42" s="188">
        <f t="shared" si="17"/>
        <v>0</v>
      </c>
      <c r="BC42" s="208">
        <f t="shared" si="17"/>
        <v>0</v>
      </c>
      <c r="BD42" s="208">
        <f t="shared" si="17"/>
        <v>0</v>
      </c>
      <c r="BE42" s="188">
        <f t="shared" si="17"/>
        <v>0</v>
      </c>
      <c r="BG42" s="208">
        <f t="shared" si="18"/>
        <v>0</v>
      </c>
      <c r="BH42" s="187">
        <f t="shared" si="18"/>
        <v>0</v>
      </c>
      <c r="BI42" s="187">
        <f t="shared" si="18"/>
        <v>0</v>
      </c>
      <c r="BJ42" s="187">
        <f t="shared" si="18"/>
        <v>0</v>
      </c>
      <c r="BK42" s="187">
        <f t="shared" si="18"/>
        <v>0</v>
      </c>
      <c r="BL42" s="187">
        <f t="shared" si="18"/>
        <v>0</v>
      </c>
      <c r="BM42" s="187">
        <f t="shared" si="18"/>
        <v>0</v>
      </c>
      <c r="BN42" s="187">
        <f t="shared" si="18"/>
        <v>0</v>
      </c>
      <c r="BO42" s="187">
        <f t="shared" si="18"/>
        <v>0</v>
      </c>
      <c r="BP42" s="187">
        <f t="shared" si="18"/>
        <v>0</v>
      </c>
      <c r="BQ42" s="187">
        <f t="shared" si="18"/>
        <v>0</v>
      </c>
      <c r="BR42" s="188">
        <f t="shared" si="18"/>
        <v>0</v>
      </c>
      <c r="BS42" s="208">
        <f t="shared" si="18"/>
        <v>0</v>
      </c>
      <c r="BT42" s="208">
        <f t="shared" si="18"/>
        <v>0</v>
      </c>
      <c r="BU42" s="188">
        <f t="shared" si="18"/>
        <v>0</v>
      </c>
      <c r="BW42" s="208">
        <f t="shared" si="19"/>
        <v>1</v>
      </c>
      <c r="BX42" s="187">
        <f t="shared" si="19"/>
        <v>1</v>
      </c>
      <c r="BY42" s="187">
        <f t="shared" si="19"/>
        <v>1</v>
      </c>
      <c r="BZ42" s="187">
        <f t="shared" si="19"/>
        <v>1</v>
      </c>
      <c r="CA42" s="187">
        <f t="shared" si="19"/>
        <v>1</v>
      </c>
      <c r="CB42" s="187">
        <f t="shared" si="19"/>
        <v>0</v>
      </c>
      <c r="CC42" s="187">
        <f t="shared" si="19"/>
        <v>0</v>
      </c>
      <c r="CD42" s="187">
        <f t="shared" si="19"/>
        <v>0</v>
      </c>
      <c r="CE42" s="187">
        <f t="shared" si="19"/>
        <v>0</v>
      </c>
      <c r="CF42" s="187">
        <f t="shared" si="19"/>
        <v>0</v>
      </c>
      <c r="CG42" s="187">
        <f t="shared" si="19"/>
        <v>0</v>
      </c>
      <c r="CH42" s="188">
        <f t="shared" si="19"/>
        <v>0</v>
      </c>
      <c r="CI42" s="208">
        <f t="shared" si="19"/>
        <v>1</v>
      </c>
      <c r="CJ42" s="208">
        <f t="shared" si="19"/>
        <v>1</v>
      </c>
      <c r="CK42" s="188">
        <f t="shared" si="19"/>
        <v>0</v>
      </c>
      <c r="CM42" s="208">
        <f t="shared" si="20"/>
        <v>0</v>
      </c>
      <c r="CN42" s="187">
        <f t="shared" si="20"/>
        <v>0</v>
      </c>
      <c r="CO42" s="187">
        <f t="shared" si="20"/>
        <v>0</v>
      </c>
      <c r="CP42" s="187">
        <f t="shared" si="20"/>
        <v>0</v>
      </c>
      <c r="CQ42" s="187">
        <f t="shared" si="20"/>
        <v>0</v>
      </c>
      <c r="CR42" s="187">
        <f t="shared" si="20"/>
        <v>0</v>
      </c>
      <c r="CS42" s="187">
        <f t="shared" si="20"/>
        <v>0</v>
      </c>
      <c r="CT42" s="187">
        <f t="shared" si="20"/>
        <v>0</v>
      </c>
      <c r="CU42" s="187">
        <f t="shared" si="20"/>
        <v>0</v>
      </c>
      <c r="CV42" s="187">
        <f t="shared" si="20"/>
        <v>0</v>
      </c>
      <c r="CW42" s="187">
        <f t="shared" si="20"/>
        <v>0</v>
      </c>
      <c r="CX42" s="188">
        <f t="shared" si="20"/>
        <v>0</v>
      </c>
      <c r="CY42" s="208">
        <f t="shared" si="20"/>
        <v>0</v>
      </c>
      <c r="CZ42" s="208">
        <f t="shared" si="20"/>
        <v>0</v>
      </c>
      <c r="DA42" s="188">
        <f t="shared" si="20"/>
        <v>0</v>
      </c>
    </row>
    <row r="43" spans="1:105">
      <c r="A43" s="209">
        <v>5.7</v>
      </c>
      <c r="B43" s="210" t="s">
        <v>210</v>
      </c>
      <c r="C43" s="210" t="s">
        <v>131</v>
      </c>
      <c r="D43" s="188">
        <v>1</v>
      </c>
      <c r="E43" s="208">
        <v>1</v>
      </c>
      <c r="F43" s="187"/>
      <c r="H43" s="187">
        <v>1</v>
      </c>
      <c r="I43" s="188"/>
      <c r="J43" s="187">
        <v>1</v>
      </c>
      <c r="K43" s="187">
        <v>1</v>
      </c>
      <c r="L43" s="187">
        <v>1</v>
      </c>
      <c r="M43" s="187">
        <v>1</v>
      </c>
      <c r="N43" s="187">
        <v>1</v>
      </c>
      <c r="O43" s="187"/>
      <c r="P43" s="187"/>
      <c r="Q43" s="187"/>
      <c r="R43" s="187"/>
      <c r="S43" s="187">
        <v>1</v>
      </c>
      <c r="T43" s="187"/>
      <c r="U43" s="188">
        <v>1</v>
      </c>
      <c r="V43" s="208">
        <v>1</v>
      </c>
      <c r="W43" s="187"/>
      <c r="X43" s="188">
        <v>1</v>
      </c>
      <c r="Y43" s="187"/>
      <c r="AA43" s="208">
        <f t="shared" si="16"/>
        <v>1</v>
      </c>
      <c r="AB43" s="187">
        <f t="shared" si="16"/>
        <v>1</v>
      </c>
      <c r="AC43" s="187">
        <f t="shared" si="16"/>
        <v>1</v>
      </c>
      <c r="AD43" s="187">
        <f t="shared" si="16"/>
        <v>1</v>
      </c>
      <c r="AE43" s="187">
        <f t="shared" si="16"/>
        <v>1</v>
      </c>
      <c r="AF43" s="187">
        <f t="shared" si="16"/>
        <v>0</v>
      </c>
      <c r="AG43" s="187">
        <f t="shared" si="16"/>
        <v>0</v>
      </c>
      <c r="AH43" s="187">
        <f t="shared" si="16"/>
        <v>0</v>
      </c>
      <c r="AI43" s="187">
        <f t="shared" si="16"/>
        <v>0</v>
      </c>
      <c r="AJ43" s="187">
        <f t="shared" si="16"/>
        <v>1</v>
      </c>
      <c r="AK43" s="187">
        <f t="shared" si="16"/>
        <v>0</v>
      </c>
      <c r="AL43" s="187">
        <f t="shared" si="16"/>
        <v>1</v>
      </c>
      <c r="AM43" s="208">
        <f t="shared" si="16"/>
        <v>1</v>
      </c>
      <c r="AN43" s="187">
        <f t="shared" si="16"/>
        <v>0</v>
      </c>
      <c r="AO43" s="188">
        <f t="shared" si="16"/>
        <v>1</v>
      </c>
      <c r="AQ43" s="208">
        <f t="shared" si="17"/>
        <v>0</v>
      </c>
      <c r="AR43" s="187">
        <f t="shared" si="17"/>
        <v>0</v>
      </c>
      <c r="AS43" s="187">
        <f t="shared" si="17"/>
        <v>0</v>
      </c>
      <c r="AT43" s="187">
        <f t="shared" si="17"/>
        <v>0</v>
      </c>
      <c r="AU43" s="187">
        <f t="shared" si="17"/>
        <v>0</v>
      </c>
      <c r="AV43" s="187">
        <f t="shared" si="17"/>
        <v>0</v>
      </c>
      <c r="AW43" s="187">
        <f t="shared" si="17"/>
        <v>0</v>
      </c>
      <c r="AX43" s="187">
        <f t="shared" si="17"/>
        <v>0</v>
      </c>
      <c r="AY43" s="187">
        <f t="shared" si="17"/>
        <v>0</v>
      </c>
      <c r="AZ43" s="187">
        <f t="shared" si="17"/>
        <v>0</v>
      </c>
      <c r="BA43" s="187">
        <f t="shared" si="17"/>
        <v>0</v>
      </c>
      <c r="BB43" s="188">
        <f t="shared" si="17"/>
        <v>0</v>
      </c>
      <c r="BC43" s="208">
        <f t="shared" si="17"/>
        <v>0</v>
      </c>
      <c r="BD43" s="208">
        <f t="shared" si="17"/>
        <v>0</v>
      </c>
      <c r="BE43" s="188">
        <f t="shared" si="17"/>
        <v>0</v>
      </c>
      <c r="BG43" s="208">
        <f t="shared" si="18"/>
        <v>0</v>
      </c>
      <c r="BH43" s="187">
        <f t="shared" si="18"/>
        <v>0</v>
      </c>
      <c r="BI43" s="187">
        <f t="shared" si="18"/>
        <v>0</v>
      </c>
      <c r="BJ43" s="187">
        <f t="shared" si="18"/>
        <v>0</v>
      </c>
      <c r="BK43" s="187">
        <f t="shared" si="18"/>
        <v>0</v>
      </c>
      <c r="BL43" s="187">
        <f t="shared" si="18"/>
        <v>0</v>
      </c>
      <c r="BM43" s="187">
        <f t="shared" si="18"/>
        <v>0</v>
      </c>
      <c r="BN43" s="187">
        <f t="shared" si="18"/>
        <v>0</v>
      </c>
      <c r="BO43" s="187">
        <f t="shared" si="18"/>
        <v>0</v>
      </c>
      <c r="BP43" s="187">
        <f t="shared" si="18"/>
        <v>0</v>
      </c>
      <c r="BQ43" s="187">
        <f t="shared" si="18"/>
        <v>0</v>
      </c>
      <c r="BR43" s="188">
        <f t="shared" si="18"/>
        <v>0</v>
      </c>
      <c r="BS43" s="208">
        <f t="shared" si="18"/>
        <v>0</v>
      </c>
      <c r="BT43" s="208">
        <f t="shared" si="18"/>
        <v>0</v>
      </c>
      <c r="BU43" s="188">
        <f t="shared" si="18"/>
        <v>0</v>
      </c>
      <c r="BW43" s="208">
        <f t="shared" si="19"/>
        <v>1</v>
      </c>
      <c r="BX43" s="187">
        <f t="shared" si="19"/>
        <v>1</v>
      </c>
      <c r="BY43" s="187">
        <f t="shared" si="19"/>
        <v>1</v>
      </c>
      <c r="BZ43" s="187">
        <f t="shared" si="19"/>
        <v>1</v>
      </c>
      <c r="CA43" s="187">
        <f t="shared" si="19"/>
        <v>1</v>
      </c>
      <c r="CB43" s="187">
        <f t="shared" si="19"/>
        <v>0</v>
      </c>
      <c r="CC43" s="187">
        <f t="shared" si="19"/>
        <v>0</v>
      </c>
      <c r="CD43" s="187">
        <f t="shared" si="19"/>
        <v>0</v>
      </c>
      <c r="CE43" s="187">
        <f t="shared" si="19"/>
        <v>0</v>
      </c>
      <c r="CF43" s="187">
        <f t="shared" si="19"/>
        <v>1</v>
      </c>
      <c r="CG43" s="187">
        <f t="shared" si="19"/>
        <v>0</v>
      </c>
      <c r="CH43" s="188">
        <f t="shared" si="19"/>
        <v>1</v>
      </c>
      <c r="CI43" s="208">
        <f t="shared" si="19"/>
        <v>1</v>
      </c>
      <c r="CJ43" s="208">
        <f t="shared" si="19"/>
        <v>0</v>
      </c>
      <c r="CK43" s="188">
        <f t="shared" si="19"/>
        <v>1</v>
      </c>
      <c r="CM43" s="208">
        <f t="shared" si="20"/>
        <v>0</v>
      </c>
      <c r="CN43" s="187">
        <f t="shared" si="20"/>
        <v>0</v>
      </c>
      <c r="CO43" s="187">
        <f t="shared" si="20"/>
        <v>0</v>
      </c>
      <c r="CP43" s="187">
        <f t="shared" si="20"/>
        <v>0</v>
      </c>
      <c r="CQ43" s="187">
        <f t="shared" si="20"/>
        <v>0</v>
      </c>
      <c r="CR43" s="187">
        <f t="shared" si="20"/>
        <v>0</v>
      </c>
      <c r="CS43" s="187">
        <f t="shared" si="20"/>
        <v>0</v>
      </c>
      <c r="CT43" s="187">
        <f t="shared" si="20"/>
        <v>0</v>
      </c>
      <c r="CU43" s="187">
        <f t="shared" si="20"/>
        <v>0</v>
      </c>
      <c r="CV43" s="187">
        <f t="shared" si="20"/>
        <v>0</v>
      </c>
      <c r="CW43" s="187">
        <f t="shared" si="20"/>
        <v>0</v>
      </c>
      <c r="CX43" s="188">
        <f t="shared" si="20"/>
        <v>0</v>
      </c>
      <c r="CY43" s="208">
        <f t="shared" si="20"/>
        <v>0</v>
      </c>
      <c r="CZ43" s="208">
        <f t="shared" si="20"/>
        <v>0</v>
      </c>
      <c r="DA43" s="188">
        <f t="shared" si="20"/>
        <v>0</v>
      </c>
    </row>
    <row r="44" spans="1:105">
      <c r="A44" s="209">
        <v>5.8</v>
      </c>
      <c r="B44" s="210" t="s">
        <v>211</v>
      </c>
      <c r="C44" s="210" t="s">
        <v>131</v>
      </c>
      <c r="D44" s="188">
        <v>1</v>
      </c>
      <c r="E44" s="208">
        <v>1</v>
      </c>
      <c r="F44" s="187"/>
      <c r="H44" s="187">
        <v>1</v>
      </c>
      <c r="I44" s="188"/>
      <c r="J44" s="187">
        <v>1</v>
      </c>
      <c r="K44" s="187">
        <v>1</v>
      </c>
      <c r="L44" s="187">
        <v>1</v>
      </c>
      <c r="M44" s="187">
        <v>1</v>
      </c>
      <c r="N44" s="187"/>
      <c r="O44" s="187"/>
      <c r="P44" s="187"/>
      <c r="Q44" s="187"/>
      <c r="R44" s="187"/>
      <c r="S44" s="187"/>
      <c r="T44" s="187"/>
      <c r="U44" s="188"/>
      <c r="V44" s="208">
        <v>1</v>
      </c>
      <c r="W44" s="187">
        <v>1</v>
      </c>
      <c r="X44" s="188"/>
      <c r="Y44" s="187"/>
      <c r="AA44" s="208">
        <f t="shared" si="16"/>
        <v>1</v>
      </c>
      <c r="AB44" s="187">
        <f t="shared" si="16"/>
        <v>1</v>
      </c>
      <c r="AC44" s="187">
        <f t="shared" si="16"/>
        <v>1</v>
      </c>
      <c r="AD44" s="187">
        <f t="shared" si="16"/>
        <v>1</v>
      </c>
      <c r="AE44" s="187">
        <f t="shared" si="16"/>
        <v>0</v>
      </c>
      <c r="AF44" s="187">
        <f t="shared" si="16"/>
        <v>0</v>
      </c>
      <c r="AG44" s="187">
        <f t="shared" si="16"/>
        <v>0</v>
      </c>
      <c r="AH44" s="187">
        <f t="shared" si="16"/>
        <v>0</v>
      </c>
      <c r="AI44" s="187">
        <f t="shared" si="16"/>
        <v>0</v>
      </c>
      <c r="AJ44" s="187">
        <f t="shared" si="16"/>
        <v>0</v>
      </c>
      <c r="AK44" s="187">
        <f t="shared" si="16"/>
        <v>0</v>
      </c>
      <c r="AL44" s="187">
        <f t="shared" si="16"/>
        <v>0</v>
      </c>
      <c r="AM44" s="208">
        <f t="shared" si="16"/>
        <v>1</v>
      </c>
      <c r="AN44" s="187">
        <f t="shared" si="16"/>
        <v>1</v>
      </c>
      <c r="AO44" s="188">
        <f t="shared" si="16"/>
        <v>0</v>
      </c>
      <c r="AQ44" s="208">
        <f t="shared" si="17"/>
        <v>0</v>
      </c>
      <c r="AR44" s="187">
        <f t="shared" si="17"/>
        <v>0</v>
      </c>
      <c r="AS44" s="187">
        <f t="shared" si="17"/>
        <v>0</v>
      </c>
      <c r="AT44" s="187">
        <f t="shared" si="17"/>
        <v>0</v>
      </c>
      <c r="AU44" s="187">
        <f t="shared" si="17"/>
        <v>0</v>
      </c>
      <c r="AV44" s="187">
        <f t="shared" si="17"/>
        <v>0</v>
      </c>
      <c r="AW44" s="187">
        <f t="shared" si="17"/>
        <v>0</v>
      </c>
      <c r="AX44" s="187">
        <f t="shared" si="17"/>
        <v>0</v>
      </c>
      <c r="AY44" s="187">
        <f t="shared" si="17"/>
        <v>0</v>
      </c>
      <c r="AZ44" s="187">
        <f t="shared" si="17"/>
        <v>0</v>
      </c>
      <c r="BA44" s="187">
        <f t="shared" si="17"/>
        <v>0</v>
      </c>
      <c r="BB44" s="188">
        <f t="shared" si="17"/>
        <v>0</v>
      </c>
      <c r="BC44" s="208">
        <f t="shared" si="17"/>
        <v>0</v>
      </c>
      <c r="BD44" s="208">
        <f t="shared" si="17"/>
        <v>0</v>
      </c>
      <c r="BE44" s="188">
        <f t="shared" si="17"/>
        <v>0</v>
      </c>
      <c r="BG44" s="208">
        <f t="shared" si="18"/>
        <v>0</v>
      </c>
      <c r="BH44" s="187">
        <f t="shared" si="18"/>
        <v>0</v>
      </c>
      <c r="BI44" s="187">
        <f t="shared" si="18"/>
        <v>0</v>
      </c>
      <c r="BJ44" s="187">
        <f t="shared" si="18"/>
        <v>0</v>
      </c>
      <c r="BK44" s="187">
        <f t="shared" si="18"/>
        <v>0</v>
      </c>
      <c r="BL44" s="187">
        <f t="shared" si="18"/>
        <v>0</v>
      </c>
      <c r="BM44" s="187">
        <f t="shared" si="18"/>
        <v>0</v>
      </c>
      <c r="BN44" s="187">
        <f t="shared" si="18"/>
        <v>0</v>
      </c>
      <c r="BO44" s="187">
        <f t="shared" si="18"/>
        <v>0</v>
      </c>
      <c r="BP44" s="187">
        <f t="shared" si="18"/>
        <v>0</v>
      </c>
      <c r="BQ44" s="187">
        <f t="shared" si="18"/>
        <v>0</v>
      </c>
      <c r="BR44" s="188">
        <f t="shared" si="18"/>
        <v>0</v>
      </c>
      <c r="BS44" s="208">
        <f t="shared" si="18"/>
        <v>0</v>
      </c>
      <c r="BT44" s="208">
        <f t="shared" si="18"/>
        <v>0</v>
      </c>
      <c r="BU44" s="188">
        <f t="shared" si="18"/>
        <v>0</v>
      </c>
      <c r="BW44" s="208">
        <f t="shared" si="19"/>
        <v>1</v>
      </c>
      <c r="BX44" s="187">
        <f t="shared" si="19"/>
        <v>1</v>
      </c>
      <c r="BY44" s="187">
        <f t="shared" si="19"/>
        <v>1</v>
      </c>
      <c r="BZ44" s="187">
        <f t="shared" si="19"/>
        <v>1</v>
      </c>
      <c r="CA44" s="187">
        <f t="shared" si="19"/>
        <v>0</v>
      </c>
      <c r="CB44" s="187">
        <f t="shared" si="19"/>
        <v>0</v>
      </c>
      <c r="CC44" s="187">
        <f t="shared" si="19"/>
        <v>0</v>
      </c>
      <c r="CD44" s="187">
        <f t="shared" si="19"/>
        <v>0</v>
      </c>
      <c r="CE44" s="187">
        <f t="shared" si="19"/>
        <v>0</v>
      </c>
      <c r="CF44" s="187">
        <f t="shared" si="19"/>
        <v>0</v>
      </c>
      <c r="CG44" s="187">
        <f t="shared" si="19"/>
        <v>0</v>
      </c>
      <c r="CH44" s="188">
        <f t="shared" si="19"/>
        <v>0</v>
      </c>
      <c r="CI44" s="208">
        <f t="shared" si="19"/>
        <v>1</v>
      </c>
      <c r="CJ44" s="208">
        <f t="shared" si="19"/>
        <v>1</v>
      </c>
      <c r="CK44" s="188">
        <f t="shared" si="19"/>
        <v>0</v>
      </c>
      <c r="CM44" s="208">
        <f t="shared" si="20"/>
        <v>0</v>
      </c>
      <c r="CN44" s="187">
        <f t="shared" si="20"/>
        <v>0</v>
      </c>
      <c r="CO44" s="187">
        <f t="shared" si="20"/>
        <v>0</v>
      </c>
      <c r="CP44" s="187">
        <f t="shared" si="20"/>
        <v>0</v>
      </c>
      <c r="CQ44" s="187">
        <f t="shared" si="20"/>
        <v>0</v>
      </c>
      <c r="CR44" s="187">
        <f t="shared" si="20"/>
        <v>0</v>
      </c>
      <c r="CS44" s="187">
        <f t="shared" si="20"/>
        <v>0</v>
      </c>
      <c r="CT44" s="187">
        <f t="shared" si="20"/>
        <v>0</v>
      </c>
      <c r="CU44" s="187">
        <f t="shared" si="20"/>
        <v>0</v>
      </c>
      <c r="CV44" s="187">
        <f t="shared" si="20"/>
        <v>0</v>
      </c>
      <c r="CW44" s="187">
        <f t="shared" si="20"/>
        <v>0</v>
      </c>
      <c r="CX44" s="188">
        <f t="shared" si="20"/>
        <v>0</v>
      </c>
      <c r="CY44" s="208">
        <f t="shared" si="20"/>
        <v>0</v>
      </c>
      <c r="CZ44" s="208">
        <f t="shared" si="20"/>
        <v>0</v>
      </c>
      <c r="DA44" s="188">
        <f t="shared" si="20"/>
        <v>0</v>
      </c>
    </row>
    <row r="45" spans="1:105">
      <c r="A45" s="209">
        <v>5.9</v>
      </c>
      <c r="B45" s="210" t="s">
        <v>212</v>
      </c>
      <c r="C45" s="210" t="s">
        <v>131</v>
      </c>
      <c r="D45" s="188">
        <v>1</v>
      </c>
      <c r="E45" s="208">
        <v>1</v>
      </c>
      <c r="F45" s="187"/>
      <c r="H45" s="187">
        <v>1</v>
      </c>
      <c r="I45" s="188"/>
      <c r="J45" s="187">
        <v>1</v>
      </c>
      <c r="K45" s="187">
        <v>1</v>
      </c>
      <c r="L45" s="187">
        <v>1</v>
      </c>
      <c r="M45" s="187">
        <v>1</v>
      </c>
      <c r="N45" s="187"/>
      <c r="O45" s="187"/>
      <c r="P45" s="187"/>
      <c r="Q45" s="187"/>
      <c r="R45" s="187"/>
      <c r="S45" s="187">
        <v>1</v>
      </c>
      <c r="T45" s="187">
        <v>1</v>
      </c>
      <c r="U45" s="188">
        <v>1</v>
      </c>
      <c r="V45" s="208">
        <v>1</v>
      </c>
      <c r="W45" s="187"/>
      <c r="X45" s="188">
        <v>1</v>
      </c>
      <c r="Y45" s="187"/>
      <c r="AA45" s="208">
        <f t="shared" si="16"/>
        <v>1</v>
      </c>
      <c r="AB45" s="187">
        <f t="shared" si="16"/>
        <v>1</v>
      </c>
      <c r="AC45" s="187">
        <f t="shared" si="16"/>
        <v>1</v>
      </c>
      <c r="AD45" s="187">
        <f t="shared" si="16"/>
        <v>1</v>
      </c>
      <c r="AE45" s="187">
        <f t="shared" si="16"/>
        <v>0</v>
      </c>
      <c r="AF45" s="187">
        <f t="shared" si="16"/>
        <v>0</v>
      </c>
      <c r="AG45" s="187">
        <f t="shared" si="16"/>
        <v>0</v>
      </c>
      <c r="AH45" s="187">
        <f t="shared" si="16"/>
        <v>0</v>
      </c>
      <c r="AI45" s="187">
        <f t="shared" si="16"/>
        <v>0</v>
      </c>
      <c r="AJ45" s="187">
        <f t="shared" si="16"/>
        <v>1</v>
      </c>
      <c r="AK45" s="187">
        <f t="shared" si="16"/>
        <v>1</v>
      </c>
      <c r="AL45" s="187">
        <f t="shared" si="16"/>
        <v>1</v>
      </c>
      <c r="AM45" s="208">
        <f t="shared" si="16"/>
        <v>1</v>
      </c>
      <c r="AN45" s="187">
        <f t="shared" si="16"/>
        <v>0</v>
      </c>
      <c r="AO45" s="188">
        <f t="shared" si="16"/>
        <v>1</v>
      </c>
      <c r="AQ45" s="208">
        <f t="shared" si="17"/>
        <v>0</v>
      </c>
      <c r="AR45" s="187">
        <f t="shared" si="17"/>
        <v>0</v>
      </c>
      <c r="AS45" s="187">
        <f t="shared" si="17"/>
        <v>0</v>
      </c>
      <c r="AT45" s="187">
        <f t="shared" si="17"/>
        <v>0</v>
      </c>
      <c r="AU45" s="187">
        <f t="shared" si="17"/>
        <v>0</v>
      </c>
      <c r="AV45" s="187">
        <f t="shared" si="17"/>
        <v>0</v>
      </c>
      <c r="AW45" s="187">
        <f t="shared" si="17"/>
        <v>0</v>
      </c>
      <c r="AX45" s="187">
        <f t="shared" si="17"/>
        <v>0</v>
      </c>
      <c r="AY45" s="187">
        <f t="shared" si="17"/>
        <v>0</v>
      </c>
      <c r="AZ45" s="187">
        <f t="shared" si="17"/>
        <v>0</v>
      </c>
      <c r="BA45" s="187">
        <f t="shared" si="17"/>
        <v>0</v>
      </c>
      <c r="BB45" s="188">
        <f t="shared" si="17"/>
        <v>0</v>
      </c>
      <c r="BC45" s="208">
        <f t="shared" si="17"/>
        <v>0</v>
      </c>
      <c r="BD45" s="208">
        <f t="shared" si="17"/>
        <v>0</v>
      </c>
      <c r="BE45" s="188">
        <f t="shared" si="17"/>
        <v>0</v>
      </c>
      <c r="BG45" s="208">
        <f t="shared" si="18"/>
        <v>0</v>
      </c>
      <c r="BH45" s="187">
        <f t="shared" si="18"/>
        <v>0</v>
      </c>
      <c r="BI45" s="187">
        <f t="shared" si="18"/>
        <v>0</v>
      </c>
      <c r="BJ45" s="187">
        <f t="shared" si="18"/>
        <v>0</v>
      </c>
      <c r="BK45" s="187">
        <f t="shared" si="18"/>
        <v>0</v>
      </c>
      <c r="BL45" s="187">
        <f t="shared" si="18"/>
        <v>0</v>
      </c>
      <c r="BM45" s="187">
        <f t="shared" si="18"/>
        <v>0</v>
      </c>
      <c r="BN45" s="187">
        <f t="shared" si="18"/>
        <v>0</v>
      </c>
      <c r="BO45" s="187">
        <f t="shared" si="18"/>
        <v>0</v>
      </c>
      <c r="BP45" s="187">
        <f t="shared" si="18"/>
        <v>0</v>
      </c>
      <c r="BQ45" s="187">
        <f t="shared" si="18"/>
        <v>0</v>
      </c>
      <c r="BR45" s="188">
        <f t="shared" si="18"/>
        <v>0</v>
      </c>
      <c r="BS45" s="208">
        <f t="shared" si="18"/>
        <v>0</v>
      </c>
      <c r="BT45" s="208">
        <f t="shared" si="18"/>
        <v>0</v>
      </c>
      <c r="BU45" s="188">
        <f t="shared" si="18"/>
        <v>0</v>
      </c>
      <c r="BW45" s="208">
        <f t="shared" si="19"/>
        <v>1</v>
      </c>
      <c r="BX45" s="187">
        <f t="shared" si="19"/>
        <v>1</v>
      </c>
      <c r="BY45" s="187">
        <f t="shared" si="19"/>
        <v>1</v>
      </c>
      <c r="BZ45" s="187">
        <f t="shared" si="19"/>
        <v>1</v>
      </c>
      <c r="CA45" s="187">
        <f t="shared" si="19"/>
        <v>0</v>
      </c>
      <c r="CB45" s="187">
        <f t="shared" si="19"/>
        <v>0</v>
      </c>
      <c r="CC45" s="187">
        <f t="shared" si="19"/>
        <v>0</v>
      </c>
      <c r="CD45" s="187">
        <f t="shared" si="19"/>
        <v>0</v>
      </c>
      <c r="CE45" s="187">
        <f t="shared" si="19"/>
        <v>0</v>
      </c>
      <c r="CF45" s="187">
        <f t="shared" si="19"/>
        <v>1</v>
      </c>
      <c r="CG45" s="187">
        <f t="shared" si="19"/>
        <v>1</v>
      </c>
      <c r="CH45" s="188">
        <f t="shared" si="19"/>
        <v>1</v>
      </c>
      <c r="CI45" s="208">
        <f t="shared" si="19"/>
        <v>1</v>
      </c>
      <c r="CJ45" s="208">
        <f t="shared" si="19"/>
        <v>0</v>
      </c>
      <c r="CK45" s="188">
        <f t="shared" si="19"/>
        <v>1</v>
      </c>
      <c r="CM45" s="208">
        <f t="shared" si="20"/>
        <v>0</v>
      </c>
      <c r="CN45" s="187">
        <f t="shared" si="20"/>
        <v>0</v>
      </c>
      <c r="CO45" s="187">
        <f t="shared" si="20"/>
        <v>0</v>
      </c>
      <c r="CP45" s="187">
        <f t="shared" si="20"/>
        <v>0</v>
      </c>
      <c r="CQ45" s="187">
        <f t="shared" si="20"/>
        <v>0</v>
      </c>
      <c r="CR45" s="187">
        <f t="shared" si="20"/>
        <v>0</v>
      </c>
      <c r="CS45" s="187">
        <f t="shared" si="20"/>
        <v>0</v>
      </c>
      <c r="CT45" s="187">
        <f t="shared" si="20"/>
        <v>0</v>
      </c>
      <c r="CU45" s="187">
        <f t="shared" si="20"/>
        <v>0</v>
      </c>
      <c r="CV45" s="187">
        <f t="shared" si="20"/>
        <v>0</v>
      </c>
      <c r="CW45" s="187">
        <f t="shared" si="20"/>
        <v>0</v>
      </c>
      <c r="CX45" s="188">
        <f t="shared" si="20"/>
        <v>0</v>
      </c>
      <c r="CY45" s="208">
        <f t="shared" si="20"/>
        <v>0</v>
      </c>
      <c r="CZ45" s="208">
        <f t="shared" si="20"/>
        <v>0</v>
      </c>
      <c r="DA45" s="188">
        <f t="shared" si="20"/>
        <v>0</v>
      </c>
    </row>
    <row r="46" spans="1:105">
      <c r="A46" s="203" t="s">
        <v>213</v>
      </c>
      <c r="B46" s="204" t="s">
        <v>214</v>
      </c>
      <c r="C46" s="204"/>
      <c r="D46" s="205"/>
      <c r="E46" s="206"/>
      <c r="F46" s="207"/>
      <c r="G46" s="207"/>
      <c r="H46" s="207"/>
      <c r="I46" s="205"/>
      <c r="J46" s="207"/>
      <c r="K46" s="207"/>
      <c r="L46" s="207"/>
      <c r="M46" s="207"/>
      <c r="N46" s="207"/>
      <c r="O46" s="207"/>
      <c r="P46" s="207"/>
      <c r="Q46" s="207"/>
      <c r="R46" s="207"/>
      <c r="S46" s="207"/>
      <c r="T46" s="207"/>
      <c r="U46" s="205"/>
      <c r="V46" s="206"/>
      <c r="W46" s="207"/>
      <c r="X46" s="205"/>
      <c r="Y46" s="207"/>
      <c r="AA46" s="208">
        <f t="shared" si="16"/>
        <v>0</v>
      </c>
      <c r="AB46" s="187">
        <f t="shared" si="16"/>
        <v>0</v>
      </c>
      <c r="AC46" s="187">
        <f t="shared" si="16"/>
        <v>0</v>
      </c>
      <c r="AD46" s="187">
        <f t="shared" si="16"/>
        <v>0</v>
      </c>
      <c r="AE46" s="187">
        <f t="shared" si="16"/>
        <v>0</v>
      </c>
      <c r="AF46" s="187">
        <f t="shared" si="16"/>
        <v>0</v>
      </c>
      <c r="AG46" s="187">
        <f t="shared" si="16"/>
        <v>0</v>
      </c>
      <c r="AH46" s="187">
        <f t="shared" si="16"/>
        <v>0</v>
      </c>
      <c r="AI46" s="187">
        <f t="shared" si="16"/>
        <v>0</v>
      </c>
      <c r="AJ46" s="187">
        <f t="shared" si="16"/>
        <v>0</v>
      </c>
      <c r="AK46" s="187">
        <f t="shared" si="16"/>
        <v>0</v>
      </c>
      <c r="AL46" s="187">
        <f t="shared" si="16"/>
        <v>0</v>
      </c>
      <c r="AM46" s="208">
        <f t="shared" si="16"/>
        <v>0</v>
      </c>
      <c r="AN46" s="187">
        <f t="shared" si="16"/>
        <v>0</v>
      </c>
      <c r="AO46" s="188">
        <f t="shared" si="16"/>
        <v>0</v>
      </c>
      <c r="AQ46" s="208">
        <f t="shared" si="17"/>
        <v>0</v>
      </c>
      <c r="AR46" s="187">
        <f t="shared" si="17"/>
        <v>0</v>
      </c>
      <c r="AS46" s="187">
        <f t="shared" si="17"/>
        <v>0</v>
      </c>
      <c r="AT46" s="187">
        <f t="shared" si="17"/>
        <v>0</v>
      </c>
      <c r="AU46" s="187">
        <f t="shared" si="17"/>
        <v>0</v>
      </c>
      <c r="AV46" s="187">
        <f t="shared" si="17"/>
        <v>0</v>
      </c>
      <c r="AW46" s="187">
        <f t="shared" si="17"/>
        <v>0</v>
      </c>
      <c r="AX46" s="187">
        <f t="shared" si="17"/>
        <v>0</v>
      </c>
      <c r="AY46" s="187">
        <f t="shared" si="17"/>
        <v>0</v>
      </c>
      <c r="AZ46" s="187">
        <f t="shared" si="17"/>
        <v>0</v>
      </c>
      <c r="BA46" s="187">
        <f t="shared" si="17"/>
        <v>0</v>
      </c>
      <c r="BB46" s="188">
        <f t="shared" si="17"/>
        <v>0</v>
      </c>
      <c r="BC46" s="208">
        <f t="shared" si="17"/>
        <v>0</v>
      </c>
      <c r="BD46" s="208">
        <f t="shared" si="17"/>
        <v>0</v>
      </c>
      <c r="BE46" s="188">
        <f t="shared" si="17"/>
        <v>0</v>
      </c>
      <c r="BG46" s="208">
        <f t="shared" si="18"/>
        <v>0</v>
      </c>
      <c r="BH46" s="187">
        <f t="shared" si="18"/>
        <v>0</v>
      </c>
      <c r="BI46" s="187">
        <f t="shared" si="18"/>
        <v>0</v>
      </c>
      <c r="BJ46" s="187">
        <f t="shared" si="18"/>
        <v>0</v>
      </c>
      <c r="BK46" s="187">
        <f t="shared" si="18"/>
        <v>0</v>
      </c>
      <c r="BL46" s="187">
        <f t="shared" si="18"/>
        <v>0</v>
      </c>
      <c r="BM46" s="187">
        <f t="shared" si="18"/>
        <v>0</v>
      </c>
      <c r="BN46" s="187">
        <f t="shared" si="18"/>
        <v>0</v>
      </c>
      <c r="BO46" s="187">
        <f t="shared" si="18"/>
        <v>0</v>
      </c>
      <c r="BP46" s="187">
        <f t="shared" si="18"/>
        <v>0</v>
      </c>
      <c r="BQ46" s="187">
        <f t="shared" si="18"/>
        <v>0</v>
      </c>
      <c r="BR46" s="188">
        <f t="shared" si="18"/>
        <v>0</v>
      </c>
      <c r="BS46" s="208">
        <f t="shared" si="18"/>
        <v>0</v>
      </c>
      <c r="BT46" s="208">
        <f t="shared" si="18"/>
        <v>0</v>
      </c>
      <c r="BU46" s="188">
        <f t="shared" si="18"/>
        <v>0</v>
      </c>
      <c r="BW46" s="208">
        <f t="shared" si="19"/>
        <v>0</v>
      </c>
      <c r="BX46" s="187">
        <f t="shared" si="19"/>
        <v>0</v>
      </c>
      <c r="BY46" s="187">
        <f t="shared" si="19"/>
        <v>0</v>
      </c>
      <c r="BZ46" s="187">
        <f t="shared" si="19"/>
        <v>0</v>
      </c>
      <c r="CA46" s="187">
        <f t="shared" si="19"/>
        <v>0</v>
      </c>
      <c r="CB46" s="187">
        <f t="shared" si="19"/>
        <v>0</v>
      </c>
      <c r="CC46" s="187">
        <f t="shared" si="19"/>
        <v>0</v>
      </c>
      <c r="CD46" s="187">
        <f t="shared" si="19"/>
        <v>0</v>
      </c>
      <c r="CE46" s="187">
        <f t="shared" si="19"/>
        <v>0</v>
      </c>
      <c r="CF46" s="187">
        <f t="shared" si="19"/>
        <v>0</v>
      </c>
      <c r="CG46" s="187">
        <f t="shared" si="19"/>
        <v>0</v>
      </c>
      <c r="CH46" s="188">
        <f t="shared" si="19"/>
        <v>0</v>
      </c>
      <c r="CI46" s="208">
        <f t="shared" si="19"/>
        <v>0</v>
      </c>
      <c r="CJ46" s="208">
        <f t="shared" si="19"/>
        <v>0</v>
      </c>
      <c r="CK46" s="188">
        <f t="shared" si="19"/>
        <v>0</v>
      </c>
      <c r="CM46" s="208">
        <f t="shared" si="20"/>
        <v>0</v>
      </c>
      <c r="CN46" s="187">
        <f t="shared" si="20"/>
        <v>0</v>
      </c>
      <c r="CO46" s="187">
        <f t="shared" si="20"/>
        <v>0</v>
      </c>
      <c r="CP46" s="187">
        <f t="shared" si="20"/>
        <v>0</v>
      </c>
      <c r="CQ46" s="187">
        <f t="shared" si="20"/>
        <v>0</v>
      </c>
      <c r="CR46" s="187">
        <f t="shared" si="20"/>
        <v>0</v>
      </c>
      <c r="CS46" s="187">
        <f t="shared" si="20"/>
        <v>0</v>
      </c>
      <c r="CT46" s="187">
        <f t="shared" si="20"/>
        <v>0</v>
      </c>
      <c r="CU46" s="187">
        <f t="shared" si="20"/>
        <v>0</v>
      </c>
      <c r="CV46" s="187">
        <f t="shared" si="20"/>
        <v>0</v>
      </c>
      <c r="CW46" s="187">
        <f t="shared" si="20"/>
        <v>0</v>
      </c>
      <c r="CX46" s="188">
        <f t="shared" si="20"/>
        <v>0</v>
      </c>
      <c r="CY46" s="208">
        <f t="shared" si="20"/>
        <v>0</v>
      </c>
      <c r="CZ46" s="208">
        <f t="shared" si="20"/>
        <v>0</v>
      </c>
      <c r="DA46" s="188">
        <f t="shared" si="20"/>
        <v>0</v>
      </c>
    </row>
    <row r="47" spans="1:105">
      <c r="A47" s="209">
        <v>6.1</v>
      </c>
      <c r="B47" s="212" t="s">
        <v>215</v>
      </c>
      <c r="C47" s="210" t="s">
        <v>131</v>
      </c>
      <c r="D47" s="188">
        <v>1</v>
      </c>
      <c r="E47" s="208">
        <v>1</v>
      </c>
      <c r="F47" s="187"/>
      <c r="H47" s="187"/>
      <c r="I47" s="188">
        <v>1</v>
      </c>
      <c r="J47" s="187">
        <v>1</v>
      </c>
      <c r="K47" s="187">
        <v>1</v>
      </c>
      <c r="L47" s="187">
        <v>1</v>
      </c>
      <c r="M47" s="187"/>
      <c r="N47" s="187"/>
      <c r="O47" s="187"/>
      <c r="P47" s="187"/>
      <c r="Q47" s="187"/>
      <c r="R47" s="187"/>
      <c r="S47" s="187"/>
      <c r="T47" s="187"/>
      <c r="U47" s="188"/>
      <c r="V47" s="208">
        <v>1</v>
      </c>
      <c r="W47" s="187">
        <v>1</v>
      </c>
      <c r="X47" s="188"/>
      <c r="Y47" s="187"/>
      <c r="AA47" s="208">
        <f t="shared" si="16"/>
        <v>1</v>
      </c>
      <c r="AB47" s="187">
        <f t="shared" si="16"/>
        <v>1</v>
      </c>
      <c r="AC47" s="187">
        <f t="shared" si="16"/>
        <v>1</v>
      </c>
      <c r="AD47" s="187">
        <f t="shared" si="16"/>
        <v>0</v>
      </c>
      <c r="AE47" s="187">
        <f t="shared" si="16"/>
        <v>0</v>
      </c>
      <c r="AF47" s="187">
        <f t="shared" si="16"/>
        <v>0</v>
      </c>
      <c r="AG47" s="187">
        <f t="shared" si="16"/>
        <v>0</v>
      </c>
      <c r="AH47" s="187">
        <f t="shared" si="16"/>
        <v>0</v>
      </c>
      <c r="AI47" s="187">
        <f t="shared" si="16"/>
        <v>0</v>
      </c>
      <c r="AJ47" s="187">
        <f t="shared" si="16"/>
        <v>0</v>
      </c>
      <c r="AK47" s="187">
        <f t="shared" si="16"/>
        <v>0</v>
      </c>
      <c r="AL47" s="187">
        <f t="shared" si="16"/>
        <v>0</v>
      </c>
      <c r="AM47" s="208">
        <f t="shared" si="16"/>
        <v>1</v>
      </c>
      <c r="AN47" s="187">
        <f t="shared" si="16"/>
        <v>1</v>
      </c>
      <c r="AO47" s="188">
        <f t="shared" si="16"/>
        <v>0</v>
      </c>
      <c r="AQ47" s="208">
        <f t="shared" si="17"/>
        <v>0</v>
      </c>
      <c r="AR47" s="187">
        <f t="shared" si="17"/>
        <v>0</v>
      </c>
      <c r="AS47" s="187">
        <f t="shared" si="17"/>
        <v>0</v>
      </c>
      <c r="AT47" s="187">
        <f t="shared" si="17"/>
        <v>0</v>
      </c>
      <c r="AU47" s="187">
        <f t="shared" si="17"/>
        <v>0</v>
      </c>
      <c r="AV47" s="187">
        <f t="shared" si="17"/>
        <v>0</v>
      </c>
      <c r="AW47" s="187">
        <f t="shared" si="17"/>
        <v>0</v>
      </c>
      <c r="AX47" s="187">
        <f t="shared" si="17"/>
        <v>0</v>
      </c>
      <c r="AY47" s="187">
        <f t="shared" si="17"/>
        <v>0</v>
      </c>
      <c r="AZ47" s="187">
        <f t="shared" si="17"/>
        <v>0</v>
      </c>
      <c r="BA47" s="187">
        <f t="shared" si="17"/>
        <v>0</v>
      </c>
      <c r="BB47" s="188">
        <f t="shared" si="17"/>
        <v>0</v>
      </c>
      <c r="BC47" s="208">
        <f t="shared" si="17"/>
        <v>0</v>
      </c>
      <c r="BD47" s="208">
        <f t="shared" si="17"/>
        <v>0</v>
      </c>
      <c r="BE47" s="188">
        <f t="shared" si="17"/>
        <v>0</v>
      </c>
      <c r="BG47" s="208">
        <f t="shared" si="18"/>
        <v>0</v>
      </c>
      <c r="BH47" s="187">
        <f t="shared" si="18"/>
        <v>0</v>
      </c>
      <c r="BI47" s="187">
        <f t="shared" si="18"/>
        <v>0</v>
      </c>
      <c r="BJ47" s="187">
        <f t="shared" si="18"/>
        <v>0</v>
      </c>
      <c r="BK47" s="187">
        <f t="shared" si="18"/>
        <v>0</v>
      </c>
      <c r="BL47" s="187">
        <f t="shared" si="18"/>
        <v>0</v>
      </c>
      <c r="BM47" s="187">
        <f t="shared" si="18"/>
        <v>0</v>
      </c>
      <c r="BN47" s="187">
        <f t="shared" si="18"/>
        <v>0</v>
      </c>
      <c r="BO47" s="187">
        <f t="shared" si="18"/>
        <v>0</v>
      </c>
      <c r="BP47" s="187">
        <f t="shared" si="18"/>
        <v>0</v>
      </c>
      <c r="BQ47" s="187">
        <f t="shared" si="18"/>
        <v>0</v>
      </c>
      <c r="BR47" s="188">
        <f t="shared" si="18"/>
        <v>0</v>
      </c>
      <c r="BS47" s="208">
        <f t="shared" si="18"/>
        <v>0</v>
      </c>
      <c r="BT47" s="208">
        <f t="shared" si="18"/>
        <v>0</v>
      </c>
      <c r="BU47" s="188">
        <f t="shared" si="18"/>
        <v>0</v>
      </c>
      <c r="BW47" s="208">
        <f t="shared" si="19"/>
        <v>0</v>
      </c>
      <c r="BX47" s="187">
        <f t="shared" si="19"/>
        <v>0</v>
      </c>
      <c r="BY47" s="187">
        <f t="shared" si="19"/>
        <v>0</v>
      </c>
      <c r="BZ47" s="187">
        <f t="shared" si="19"/>
        <v>0</v>
      </c>
      <c r="CA47" s="187">
        <f t="shared" si="19"/>
        <v>0</v>
      </c>
      <c r="CB47" s="187">
        <f t="shared" si="19"/>
        <v>0</v>
      </c>
      <c r="CC47" s="187">
        <f t="shared" si="19"/>
        <v>0</v>
      </c>
      <c r="CD47" s="187">
        <f t="shared" si="19"/>
        <v>0</v>
      </c>
      <c r="CE47" s="187">
        <f t="shared" si="19"/>
        <v>0</v>
      </c>
      <c r="CF47" s="187">
        <f t="shared" si="19"/>
        <v>0</v>
      </c>
      <c r="CG47" s="187">
        <f t="shared" si="19"/>
        <v>0</v>
      </c>
      <c r="CH47" s="188">
        <f t="shared" si="19"/>
        <v>0</v>
      </c>
      <c r="CI47" s="208">
        <f t="shared" si="19"/>
        <v>0</v>
      </c>
      <c r="CJ47" s="208">
        <f t="shared" si="19"/>
        <v>0</v>
      </c>
      <c r="CK47" s="188">
        <f t="shared" si="19"/>
        <v>0</v>
      </c>
      <c r="CM47" s="208">
        <f t="shared" si="20"/>
        <v>1</v>
      </c>
      <c r="CN47" s="187">
        <f t="shared" si="20"/>
        <v>1</v>
      </c>
      <c r="CO47" s="187">
        <f t="shared" si="20"/>
        <v>1</v>
      </c>
      <c r="CP47" s="187">
        <f t="shared" si="20"/>
        <v>0</v>
      </c>
      <c r="CQ47" s="187">
        <f t="shared" si="20"/>
        <v>0</v>
      </c>
      <c r="CR47" s="187">
        <f t="shared" si="20"/>
        <v>0</v>
      </c>
      <c r="CS47" s="187">
        <f t="shared" si="20"/>
        <v>0</v>
      </c>
      <c r="CT47" s="187">
        <f t="shared" si="20"/>
        <v>0</v>
      </c>
      <c r="CU47" s="187">
        <f t="shared" si="20"/>
        <v>0</v>
      </c>
      <c r="CV47" s="187">
        <f t="shared" si="20"/>
        <v>0</v>
      </c>
      <c r="CW47" s="187">
        <f t="shared" si="20"/>
        <v>0</v>
      </c>
      <c r="CX47" s="188">
        <f t="shared" si="20"/>
        <v>0</v>
      </c>
      <c r="CY47" s="208">
        <f t="shared" si="20"/>
        <v>1</v>
      </c>
      <c r="CZ47" s="208">
        <f t="shared" si="20"/>
        <v>1</v>
      </c>
      <c r="DA47" s="188">
        <f t="shared" si="20"/>
        <v>0</v>
      </c>
    </row>
    <row r="48" spans="1:105">
      <c r="A48" s="209">
        <v>6.2</v>
      </c>
      <c r="B48" s="212" t="s">
        <v>216</v>
      </c>
      <c r="C48" s="210" t="s">
        <v>131</v>
      </c>
      <c r="D48" s="188">
        <v>1</v>
      </c>
      <c r="E48" s="208">
        <v>1</v>
      </c>
      <c r="F48" s="187"/>
      <c r="H48" s="187"/>
      <c r="I48" s="188">
        <v>1</v>
      </c>
      <c r="J48" s="187">
        <v>1</v>
      </c>
      <c r="K48" s="187">
        <v>1</v>
      </c>
      <c r="L48" s="187">
        <v>1</v>
      </c>
      <c r="M48" s="187"/>
      <c r="N48" s="187"/>
      <c r="O48" s="187"/>
      <c r="P48" s="187"/>
      <c r="Q48" s="187"/>
      <c r="R48" s="187"/>
      <c r="S48" s="187"/>
      <c r="T48" s="187"/>
      <c r="U48" s="188"/>
      <c r="V48" s="208">
        <v>1</v>
      </c>
      <c r="W48" s="187">
        <v>1</v>
      </c>
      <c r="X48" s="188"/>
      <c r="Y48" s="187"/>
      <c r="AA48" s="208">
        <f t="shared" si="16"/>
        <v>1</v>
      </c>
      <c r="AB48" s="187">
        <f t="shared" si="16"/>
        <v>1</v>
      </c>
      <c r="AC48" s="187">
        <f t="shared" si="16"/>
        <v>1</v>
      </c>
      <c r="AD48" s="187">
        <f t="shared" si="16"/>
        <v>0</v>
      </c>
      <c r="AE48" s="187">
        <f t="shared" si="16"/>
        <v>0</v>
      </c>
      <c r="AF48" s="187">
        <f t="shared" si="16"/>
        <v>0</v>
      </c>
      <c r="AG48" s="187">
        <f t="shared" si="16"/>
        <v>0</v>
      </c>
      <c r="AH48" s="187">
        <f t="shared" si="16"/>
        <v>0</v>
      </c>
      <c r="AI48" s="187">
        <f t="shared" si="16"/>
        <v>0</v>
      </c>
      <c r="AJ48" s="187">
        <f t="shared" si="16"/>
        <v>0</v>
      </c>
      <c r="AK48" s="187">
        <f t="shared" si="16"/>
        <v>0</v>
      </c>
      <c r="AL48" s="187">
        <f t="shared" si="16"/>
        <v>0</v>
      </c>
      <c r="AM48" s="208">
        <f t="shared" si="16"/>
        <v>1</v>
      </c>
      <c r="AN48" s="187">
        <f t="shared" si="16"/>
        <v>1</v>
      </c>
      <c r="AO48" s="188">
        <f t="shared" si="16"/>
        <v>0</v>
      </c>
      <c r="AQ48" s="208">
        <f t="shared" si="17"/>
        <v>0</v>
      </c>
      <c r="AR48" s="187">
        <f t="shared" si="17"/>
        <v>0</v>
      </c>
      <c r="AS48" s="187">
        <f t="shared" si="17"/>
        <v>0</v>
      </c>
      <c r="AT48" s="187">
        <f t="shared" si="17"/>
        <v>0</v>
      </c>
      <c r="AU48" s="187">
        <f t="shared" si="17"/>
        <v>0</v>
      </c>
      <c r="AV48" s="187">
        <f t="shared" si="17"/>
        <v>0</v>
      </c>
      <c r="AW48" s="187">
        <f t="shared" si="17"/>
        <v>0</v>
      </c>
      <c r="AX48" s="187">
        <f t="shared" si="17"/>
        <v>0</v>
      </c>
      <c r="AY48" s="187">
        <f t="shared" si="17"/>
        <v>0</v>
      </c>
      <c r="AZ48" s="187">
        <f t="shared" si="17"/>
        <v>0</v>
      </c>
      <c r="BA48" s="187">
        <f t="shared" si="17"/>
        <v>0</v>
      </c>
      <c r="BB48" s="188">
        <f t="shared" si="17"/>
        <v>0</v>
      </c>
      <c r="BC48" s="208">
        <f t="shared" si="17"/>
        <v>0</v>
      </c>
      <c r="BD48" s="208">
        <f t="shared" si="17"/>
        <v>0</v>
      </c>
      <c r="BE48" s="188">
        <f t="shared" si="17"/>
        <v>0</v>
      </c>
      <c r="BG48" s="208">
        <f t="shared" si="18"/>
        <v>0</v>
      </c>
      <c r="BH48" s="187">
        <f t="shared" si="18"/>
        <v>0</v>
      </c>
      <c r="BI48" s="187">
        <f t="shared" si="18"/>
        <v>0</v>
      </c>
      <c r="BJ48" s="187">
        <f t="shared" si="18"/>
        <v>0</v>
      </c>
      <c r="BK48" s="187">
        <f t="shared" si="18"/>
        <v>0</v>
      </c>
      <c r="BL48" s="187">
        <f t="shared" si="18"/>
        <v>0</v>
      </c>
      <c r="BM48" s="187">
        <f t="shared" si="18"/>
        <v>0</v>
      </c>
      <c r="BN48" s="187">
        <f t="shared" si="18"/>
        <v>0</v>
      </c>
      <c r="BO48" s="187">
        <f t="shared" si="18"/>
        <v>0</v>
      </c>
      <c r="BP48" s="187">
        <f t="shared" si="18"/>
        <v>0</v>
      </c>
      <c r="BQ48" s="187">
        <f t="shared" si="18"/>
        <v>0</v>
      </c>
      <c r="BR48" s="188">
        <f t="shared" si="18"/>
        <v>0</v>
      </c>
      <c r="BS48" s="208">
        <f t="shared" si="18"/>
        <v>0</v>
      </c>
      <c r="BT48" s="208">
        <f t="shared" si="18"/>
        <v>0</v>
      </c>
      <c r="BU48" s="188">
        <f t="shared" si="18"/>
        <v>0</v>
      </c>
      <c r="BW48" s="208">
        <f t="shared" si="19"/>
        <v>0</v>
      </c>
      <c r="BX48" s="187">
        <f t="shared" si="19"/>
        <v>0</v>
      </c>
      <c r="BY48" s="187">
        <f t="shared" si="19"/>
        <v>0</v>
      </c>
      <c r="BZ48" s="187">
        <f t="shared" si="19"/>
        <v>0</v>
      </c>
      <c r="CA48" s="187">
        <f t="shared" si="19"/>
        <v>0</v>
      </c>
      <c r="CB48" s="187">
        <f t="shared" si="19"/>
        <v>0</v>
      </c>
      <c r="CC48" s="187">
        <f t="shared" si="19"/>
        <v>0</v>
      </c>
      <c r="CD48" s="187">
        <f t="shared" si="19"/>
        <v>0</v>
      </c>
      <c r="CE48" s="187">
        <f t="shared" si="19"/>
        <v>0</v>
      </c>
      <c r="CF48" s="187">
        <f t="shared" si="19"/>
        <v>0</v>
      </c>
      <c r="CG48" s="187">
        <f t="shared" si="19"/>
        <v>0</v>
      </c>
      <c r="CH48" s="188">
        <f t="shared" si="19"/>
        <v>0</v>
      </c>
      <c r="CI48" s="208">
        <f t="shared" si="19"/>
        <v>0</v>
      </c>
      <c r="CJ48" s="208">
        <f t="shared" si="19"/>
        <v>0</v>
      </c>
      <c r="CK48" s="188">
        <f t="shared" si="19"/>
        <v>0</v>
      </c>
      <c r="CM48" s="208">
        <f t="shared" si="20"/>
        <v>1</v>
      </c>
      <c r="CN48" s="187">
        <f t="shared" si="20"/>
        <v>1</v>
      </c>
      <c r="CO48" s="187">
        <f t="shared" si="20"/>
        <v>1</v>
      </c>
      <c r="CP48" s="187">
        <f t="shared" si="20"/>
        <v>0</v>
      </c>
      <c r="CQ48" s="187">
        <f t="shared" si="20"/>
        <v>0</v>
      </c>
      <c r="CR48" s="187">
        <f t="shared" si="20"/>
        <v>0</v>
      </c>
      <c r="CS48" s="187">
        <f t="shared" si="20"/>
        <v>0</v>
      </c>
      <c r="CT48" s="187">
        <f t="shared" si="20"/>
        <v>0</v>
      </c>
      <c r="CU48" s="187">
        <f t="shared" si="20"/>
        <v>0</v>
      </c>
      <c r="CV48" s="187">
        <f t="shared" si="20"/>
        <v>0</v>
      </c>
      <c r="CW48" s="187">
        <f t="shared" si="20"/>
        <v>0</v>
      </c>
      <c r="CX48" s="188">
        <f t="shared" si="20"/>
        <v>0</v>
      </c>
      <c r="CY48" s="208">
        <f t="shared" si="20"/>
        <v>1</v>
      </c>
      <c r="CZ48" s="208">
        <f t="shared" si="20"/>
        <v>1</v>
      </c>
      <c r="DA48" s="188">
        <f t="shared" si="20"/>
        <v>0</v>
      </c>
    </row>
    <row r="49" spans="1:105">
      <c r="A49" s="209">
        <v>6.3</v>
      </c>
      <c r="B49" s="212" t="s">
        <v>217</v>
      </c>
      <c r="C49" s="210" t="s">
        <v>131</v>
      </c>
      <c r="D49" s="188">
        <v>1</v>
      </c>
      <c r="E49" s="208">
        <v>1</v>
      </c>
      <c r="F49" s="187"/>
      <c r="H49" s="187"/>
      <c r="I49" s="188">
        <v>1</v>
      </c>
      <c r="J49" s="187">
        <v>1</v>
      </c>
      <c r="K49" s="187">
        <v>1</v>
      </c>
      <c r="L49" s="187">
        <v>1</v>
      </c>
      <c r="M49" s="187"/>
      <c r="N49" s="187"/>
      <c r="O49" s="187"/>
      <c r="P49" s="187"/>
      <c r="Q49" s="187"/>
      <c r="R49" s="187"/>
      <c r="S49" s="187">
        <v>1</v>
      </c>
      <c r="T49" s="187">
        <v>1</v>
      </c>
      <c r="U49" s="188">
        <v>1</v>
      </c>
      <c r="V49" s="208">
        <v>1</v>
      </c>
      <c r="W49" s="187">
        <v>1</v>
      </c>
      <c r="X49" s="188"/>
      <c r="Y49" s="187"/>
      <c r="AA49" s="208">
        <f t="shared" si="16"/>
        <v>1</v>
      </c>
      <c r="AB49" s="187">
        <f t="shared" si="16"/>
        <v>1</v>
      </c>
      <c r="AC49" s="187">
        <f t="shared" si="16"/>
        <v>1</v>
      </c>
      <c r="AD49" s="187">
        <f t="shared" si="16"/>
        <v>0</v>
      </c>
      <c r="AE49" s="187">
        <f t="shared" si="16"/>
        <v>0</v>
      </c>
      <c r="AF49" s="187">
        <f t="shared" si="16"/>
        <v>0</v>
      </c>
      <c r="AG49" s="187">
        <f t="shared" si="16"/>
        <v>0</v>
      </c>
      <c r="AH49" s="187">
        <f t="shared" si="16"/>
        <v>0</v>
      </c>
      <c r="AI49" s="187">
        <f t="shared" si="16"/>
        <v>0</v>
      </c>
      <c r="AJ49" s="187">
        <f t="shared" si="16"/>
        <v>1</v>
      </c>
      <c r="AK49" s="187">
        <f t="shared" si="16"/>
        <v>1</v>
      </c>
      <c r="AL49" s="187">
        <f t="shared" si="16"/>
        <v>1</v>
      </c>
      <c r="AM49" s="208">
        <f t="shared" si="16"/>
        <v>1</v>
      </c>
      <c r="AN49" s="187">
        <f t="shared" si="16"/>
        <v>1</v>
      </c>
      <c r="AO49" s="188">
        <f t="shared" si="16"/>
        <v>0</v>
      </c>
      <c r="AQ49" s="208">
        <f t="shared" si="17"/>
        <v>0</v>
      </c>
      <c r="AR49" s="187">
        <f t="shared" si="17"/>
        <v>0</v>
      </c>
      <c r="AS49" s="187">
        <f t="shared" si="17"/>
        <v>0</v>
      </c>
      <c r="AT49" s="187">
        <f t="shared" si="17"/>
        <v>0</v>
      </c>
      <c r="AU49" s="187">
        <f t="shared" si="17"/>
        <v>0</v>
      </c>
      <c r="AV49" s="187">
        <f t="shared" si="17"/>
        <v>0</v>
      </c>
      <c r="AW49" s="187">
        <f t="shared" si="17"/>
        <v>0</v>
      </c>
      <c r="AX49" s="187">
        <f t="shared" si="17"/>
        <v>0</v>
      </c>
      <c r="AY49" s="187">
        <f t="shared" si="17"/>
        <v>0</v>
      </c>
      <c r="AZ49" s="187">
        <f t="shared" si="17"/>
        <v>0</v>
      </c>
      <c r="BA49" s="187">
        <f t="shared" si="17"/>
        <v>0</v>
      </c>
      <c r="BB49" s="188">
        <f t="shared" si="17"/>
        <v>0</v>
      </c>
      <c r="BC49" s="208">
        <f t="shared" si="17"/>
        <v>0</v>
      </c>
      <c r="BD49" s="208">
        <f t="shared" si="17"/>
        <v>0</v>
      </c>
      <c r="BE49" s="188">
        <f t="shared" si="17"/>
        <v>0</v>
      </c>
      <c r="BG49" s="208">
        <f t="shared" si="18"/>
        <v>0</v>
      </c>
      <c r="BH49" s="187">
        <f t="shared" si="18"/>
        <v>0</v>
      </c>
      <c r="BI49" s="187">
        <f t="shared" si="18"/>
        <v>0</v>
      </c>
      <c r="BJ49" s="187">
        <f t="shared" si="18"/>
        <v>0</v>
      </c>
      <c r="BK49" s="187">
        <f t="shared" si="18"/>
        <v>0</v>
      </c>
      <c r="BL49" s="187">
        <f t="shared" si="18"/>
        <v>0</v>
      </c>
      <c r="BM49" s="187">
        <f t="shared" si="18"/>
        <v>0</v>
      </c>
      <c r="BN49" s="187">
        <f t="shared" si="18"/>
        <v>0</v>
      </c>
      <c r="BO49" s="187">
        <f t="shared" si="18"/>
        <v>0</v>
      </c>
      <c r="BP49" s="187">
        <f t="shared" si="18"/>
        <v>0</v>
      </c>
      <c r="BQ49" s="187">
        <f t="shared" si="18"/>
        <v>0</v>
      </c>
      <c r="BR49" s="188">
        <f t="shared" si="18"/>
        <v>0</v>
      </c>
      <c r="BS49" s="208">
        <f t="shared" si="18"/>
        <v>0</v>
      </c>
      <c r="BT49" s="208">
        <f t="shared" si="18"/>
        <v>0</v>
      </c>
      <c r="BU49" s="188">
        <f t="shared" si="18"/>
        <v>0</v>
      </c>
      <c r="BW49" s="208">
        <f t="shared" si="19"/>
        <v>0</v>
      </c>
      <c r="BX49" s="187">
        <f t="shared" si="19"/>
        <v>0</v>
      </c>
      <c r="BY49" s="187">
        <f t="shared" si="19"/>
        <v>0</v>
      </c>
      <c r="BZ49" s="187">
        <f t="shared" si="19"/>
        <v>0</v>
      </c>
      <c r="CA49" s="187">
        <f t="shared" si="19"/>
        <v>0</v>
      </c>
      <c r="CB49" s="187">
        <f t="shared" si="19"/>
        <v>0</v>
      </c>
      <c r="CC49" s="187">
        <f t="shared" si="19"/>
        <v>0</v>
      </c>
      <c r="CD49" s="187">
        <f t="shared" si="19"/>
        <v>0</v>
      </c>
      <c r="CE49" s="187">
        <f t="shared" si="19"/>
        <v>0</v>
      </c>
      <c r="CF49" s="187">
        <f t="shared" si="19"/>
        <v>0</v>
      </c>
      <c r="CG49" s="187">
        <f t="shared" si="19"/>
        <v>0</v>
      </c>
      <c r="CH49" s="188">
        <f t="shared" si="19"/>
        <v>0</v>
      </c>
      <c r="CI49" s="208">
        <f t="shared" si="19"/>
        <v>0</v>
      </c>
      <c r="CJ49" s="208">
        <f t="shared" si="19"/>
        <v>0</v>
      </c>
      <c r="CK49" s="188">
        <f t="shared" si="19"/>
        <v>0</v>
      </c>
      <c r="CM49" s="208">
        <f t="shared" si="20"/>
        <v>1</v>
      </c>
      <c r="CN49" s="187">
        <f t="shared" si="20"/>
        <v>1</v>
      </c>
      <c r="CO49" s="187">
        <f t="shared" si="20"/>
        <v>1</v>
      </c>
      <c r="CP49" s="187">
        <f t="shared" si="20"/>
        <v>0</v>
      </c>
      <c r="CQ49" s="187">
        <f t="shared" si="20"/>
        <v>0</v>
      </c>
      <c r="CR49" s="187">
        <f t="shared" si="20"/>
        <v>0</v>
      </c>
      <c r="CS49" s="187">
        <f t="shared" si="20"/>
        <v>0</v>
      </c>
      <c r="CT49" s="187">
        <f t="shared" si="20"/>
        <v>0</v>
      </c>
      <c r="CU49" s="187">
        <f t="shared" si="20"/>
        <v>0</v>
      </c>
      <c r="CV49" s="187">
        <f t="shared" si="20"/>
        <v>1</v>
      </c>
      <c r="CW49" s="187">
        <f t="shared" si="20"/>
        <v>1</v>
      </c>
      <c r="CX49" s="188">
        <f t="shared" si="20"/>
        <v>1</v>
      </c>
      <c r="CY49" s="208">
        <f t="shared" si="20"/>
        <v>1</v>
      </c>
      <c r="CZ49" s="208">
        <f t="shared" si="20"/>
        <v>1</v>
      </c>
      <c r="DA49" s="188">
        <f t="shared" si="20"/>
        <v>0</v>
      </c>
    </row>
    <row r="50" spans="1:105">
      <c r="A50" s="209">
        <v>6.4</v>
      </c>
      <c r="B50" s="212" t="s">
        <v>218</v>
      </c>
      <c r="C50" s="210" t="s">
        <v>131</v>
      </c>
      <c r="D50" s="188">
        <v>1</v>
      </c>
      <c r="E50" s="208">
        <v>1</v>
      </c>
      <c r="F50" s="187"/>
      <c r="H50" s="187"/>
      <c r="I50" s="188">
        <v>1</v>
      </c>
      <c r="J50" s="187">
        <v>1</v>
      </c>
      <c r="K50" s="187">
        <v>1</v>
      </c>
      <c r="L50" s="187">
        <v>1</v>
      </c>
      <c r="M50" s="187"/>
      <c r="N50" s="187"/>
      <c r="O50" s="187"/>
      <c r="P50" s="187"/>
      <c r="Q50" s="187"/>
      <c r="R50" s="187"/>
      <c r="S50" s="187"/>
      <c r="T50" s="187"/>
      <c r="U50" s="188"/>
      <c r="V50" s="208">
        <v>1</v>
      </c>
      <c r="W50" s="187">
        <v>1</v>
      </c>
      <c r="X50" s="188"/>
      <c r="Y50" s="187"/>
      <c r="AA50" s="208">
        <f t="shared" si="16"/>
        <v>1</v>
      </c>
      <c r="AB50" s="187">
        <f t="shared" si="16"/>
        <v>1</v>
      </c>
      <c r="AC50" s="187">
        <f t="shared" si="16"/>
        <v>1</v>
      </c>
      <c r="AD50" s="187">
        <f t="shared" si="16"/>
        <v>0</v>
      </c>
      <c r="AE50" s="187">
        <f t="shared" si="16"/>
        <v>0</v>
      </c>
      <c r="AF50" s="187">
        <f t="shared" si="16"/>
        <v>0</v>
      </c>
      <c r="AG50" s="187">
        <f t="shared" si="16"/>
        <v>0</v>
      </c>
      <c r="AH50" s="187">
        <f t="shared" si="16"/>
        <v>0</v>
      </c>
      <c r="AI50" s="187">
        <f t="shared" si="16"/>
        <v>0</v>
      </c>
      <c r="AJ50" s="187">
        <f t="shared" si="16"/>
        <v>0</v>
      </c>
      <c r="AK50" s="187">
        <f t="shared" si="16"/>
        <v>0</v>
      </c>
      <c r="AL50" s="187">
        <f t="shared" si="16"/>
        <v>0</v>
      </c>
      <c r="AM50" s="208">
        <f t="shared" si="16"/>
        <v>1</v>
      </c>
      <c r="AN50" s="187">
        <f t="shared" si="16"/>
        <v>1</v>
      </c>
      <c r="AO50" s="188">
        <f t="shared" si="16"/>
        <v>0</v>
      </c>
      <c r="AQ50" s="208">
        <f t="shared" si="17"/>
        <v>0</v>
      </c>
      <c r="AR50" s="187">
        <f t="shared" si="17"/>
        <v>0</v>
      </c>
      <c r="AS50" s="187">
        <f t="shared" si="17"/>
        <v>0</v>
      </c>
      <c r="AT50" s="187">
        <f t="shared" si="17"/>
        <v>0</v>
      </c>
      <c r="AU50" s="187">
        <f t="shared" si="17"/>
        <v>0</v>
      </c>
      <c r="AV50" s="187">
        <f t="shared" si="17"/>
        <v>0</v>
      </c>
      <c r="AW50" s="187">
        <f t="shared" si="17"/>
        <v>0</v>
      </c>
      <c r="AX50" s="187">
        <f t="shared" si="17"/>
        <v>0</v>
      </c>
      <c r="AY50" s="187">
        <f t="shared" si="17"/>
        <v>0</v>
      </c>
      <c r="AZ50" s="187">
        <f t="shared" si="17"/>
        <v>0</v>
      </c>
      <c r="BA50" s="187">
        <f t="shared" si="17"/>
        <v>0</v>
      </c>
      <c r="BB50" s="188">
        <f t="shared" si="17"/>
        <v>0</v>
      </c>
      <c r="BC50" s="208">
        <f t="shared" si="17"/>
        <v>0</v>
      </c>
      <c r="BD50" s="208">
        <f t="shared" si="17"/>
        <v>0</v>
      </c>
      <c r="BE50" s="188">
        <f t="shared" si="17"/>
        <v>0</v>
      </c>
      <c r="BG50" s="208">
        <f t="shared" si="18"/>
        <v>0</v>
      </c>
      <c r="BH50" s="187">
        <f t="shared" si="18"/>
        <v>0</v>
      </c>
      <c r="BI50" s="187">
        <f t="shared" si="18"/>
        <v>0</v>
      </c>
      <c r="BJ50" s="187">
        <f t="shared" si="18"/>
        <v>0</v>
      </c>
      <c r="BK50" s="187">
        <f t="shared" si="18"/>
        <v>0</v>
      </c>
      <c r="BL50" s="187">
        <f t="shared" si="18"/>
        <v>0</v>
      </c>
      <c r="BM50" s="187">
        <f t="shared" si="18"/>
        <v>0</v>
      </c>
      <c r="BN50" s="187">
        <f t="shared" si="18"/>
        <v>0</v>
      </c>
      <c r="BO50" s="187">
        <f t="shared" si="18"/>
        <v>0</v>
      </c>
      <c r="BP50" s="187">
        <f t="shared" si="18"/>
        <v>0</v>
      </c>
      <c r="BQ50" s="187">
        <f t="shared" si="18"/>
        <v>0</v>
      </c>
      <c r="BR50" s="188">
        <f t="shared" si="18"/>
        <v>0</v>
      </c>
      <c r="BS50" s="208">
        <f t="shared" si="18"/>
        <v>0</v>
      </c>
      <c r="BT50" s="208">
        <f t="shared" si="18"/>
        <v>0</v>
      </c>
      <c r="BU50" s="188">
        <f t="shared" si="18"/>
        <v>0</v>
      </c>
      <c r="BW50" s="208">
        <f t="shared" si="19"/>
        <v>0</v>
      </c>
      <c r="BX50" s="187">
        <f t="shared" si="19"/>
        <v>0</v>
      </c>
      <c r="BY50" s="187">
        <f t="shared" si="19"/>
        <v>0</v>
      </c>
      <c r="BZ50" s="187">
        <f t="shared" si="19"/>
        <v>0</v>
      </c>
      <c r="CA50" s="187">
        <f t="shared" si="19"/>
        <v>0</v>
      </c>
      <c r="CB50" s="187">
        <f t="shared" si="19"/>
        <v>0</v>
      </c>
      <c r="CC50" s="187">
        <f t="shared" si="19"/>
        <v>0</v>
      </c>
      <c r="CD50" s="187">
        <f t="shared" si="19"/>
        <v>0</v>
      </c>
      <c r="CE50" s="187">
        <f t="shared" si="19"/>
        <v>0</v>
      </c>
      <c r="CF50" s="187">
        <f t="shared" si="19"/>
        <v>0</v>
      </c>
      <c r="CG50" s="187">
        <f t="shared" si="19"/>
        <v>0</v>
      </c>
      <c r="CH50" s="188">
        <f t="shared" si="19"/>
        <v>0</v>
      </c>
      <c r="CI50" s="208">
        <f t="shared" si="19"/>
        <v>0</v>
      </c>
      <c r="CJ50" s="208">
        <f t="shared" si="19"/>
        <v>0</v>
      </c>
      <c r="CK50" s="188">
        <f t="shared" si="19"/>
        <v>0</v>
      </c>
      <c r="CM50" s="208">
        <f t="shared" si="20"/>
        <v>1</v>
      </c>
      <c r="CN50" s="187">
        <f t="shared" si="20"/>
        <v>1</v>
      </c>
      <c r="CO50" s="187">
        <f t="shared" si="20"/>
        <v>1</v>
      </c>
      <c r="CP50" s="187">
        <f t="shared" si="20"/>
        <v>0</v>
      </c>
      <c r="CQ50" s="187">
        <f t="shared" si="20"/>
        <v>0</v>
      </c>
      <c r="CR50" s="187">
        <f t="shared" si="20"/>
        <v>0</v>
      </c>
      <c r="CS50" s="187">
        <f t="shared" si="20"/>
        <v>0</v>
      </c>
      <c r="CT50" s="187">
        <f t="shared" si="20"/>
        <v>0</v>
      </c>
      <c r="CU50" s="187">
        <f t="shared" si="20"/>
        <v>0</v>
      </c>
      <c r="CV50" s="187">
        <f t="shared" si="20"/>
        <v>0</v>
      </c>
      <c r="CW50" s="187">
        <f t="shared" si="20"/>
        <v>0</v>
      </c>
      <c r="CX50" s="188">
        <f t="shared" si="20"/>
        <v>0</v>
      </c>
      <c r="CY50" s="208">
        <f t="shared" si="20"/>
        <v>1</v>
      </c>
      <c r="CZ50" s="208">
        <f t="shared" si="20"/>
        <v>1</v>
      </c>
      <c r="DA50" s="188">
        <f t="shared" si="20"/>
        <v>0</v>
      </c>
    </row>
    <row r="51" spans="1:105">
      <c r="A51" s="209">
        <v>6.5</v>
      </c>
      <c r="B51" s="212" t="s">
        <v>219</v>
      </c>
      <c r="C51" s="210" t="s">
        <v>131</v>
      </c>
      <c r="D51" s="188">
        <v>1</v>
      </c>
      <c r="E51" s="208">
        <v>1</v>
      </c>
      <c r="F51" s="187"/>
      <c r="H51" s="187"/>
      <c r="I51" s="188">
        <v>1</v>
      </c>
      <c r="J51" s="187">
        <v>1</v>
      </c>
      <c r="K51" s="187">
        <v>1</v>
      </c>
      <c r="L51" s="187">
        <v>1</v>
      </c>
      <c r="M51" s="187"/>
      <c r="N51" s="187"/>
      <c r="O51" s="187"/>
      <c r="P51" s="187"/>
      <c r="Q51" s="187"/>
      <c r="R51" s="187"/>
      <c r="S51" s="187"/>
      <c r="T51" s="187"/>
      <c r="U51" s="188"/>
      <c r="V51" s="208">
        <v>1</v>
      </c>
      <c r="W51" s="187">
        <v>1</v>
      </c>
      <c r="X51" s="188"/>
      <c r="Y51" s="187"/>
      <c r="AA51" s="208">
        <f t="shared" si="16"/>
        <v>1</v>
      </c>
      <c r="AB51" s="187">
        <f t="shared" si="16"/>
        <v>1</v>
      </c>
      <c r="AC51" s="187">
        <f t="shared" si="16"/>
        <v>1</v>
      </c>
      <c r="AD51" s="187">
        <f t="shared" si="16"/>
        <v>0</v>
      </c>
      <c r="AE51" s="187">
        <f t="shared" si="16"/>
        <v>0</v>
      </c>
      <c r="AF51" s="187">
        <f t="shared" si="16"/>
        <v>0</v>
      </c>
      <c r="AG51" s="187">
        <f t="shared" si="16"/>
        <v>0</v>
      </c>
      <c r="AH51" s="187">
        <f t="shared" si="16"/>
        <v>0</v>
      </c>
      <c r="AI51" s="187">
        <f t="shared" si="16"/>
        <v>0</v>
      </c>
      <c r="AJ51" s="187">
        <f t="shared" si="16"/>
        <v>0</v>
      </c>
      <c r="AK51" s="187">
        <f t="shared" si="16"/>
        <v>0</v>
      </c>
      <c r="AL51" s="187">
        <f t="shared" si="16"/>
        <v>0</v>
      </c>
      <c r="AM51" s="208">
        <f t="shared" si="16"/>
        <v>1</v>
      </c>
      <c r="AN51" s="187">
        <f t="shared" si="16"/>
        <v>1</v>
      </c>
      <c r="AO51" s="188">
        <f t="shared" si="16"/>
        <v>0</v>
      </c>
      <c r="AQ51" s="208">
        <f t="shared" si="17"/>
        <v>0</v>
      </c>
      <c r="AR51" s="187">
        <f t="shared" si="17"/>
        <v>0</v>
      </c>
      <c r="AS51" s="187">
        <f t="shared" si="17"/>
        <v>0</v>
      </c>
      <c r="AT51" s="187">
        <f t="shared" si="17"/>
        <v>0</v>
      </c>
      <c r="AU51" s="187">
        <f t="shared" si="17"/>
        <v>0</v>
      </c>
      <c r="AV51" s="187">
        <f t="shared" si="17"/>
        <v>0</v>
      </c>
      <c r="AW51" s="187">
        <f t="shared" si="17"/>
        <v>0</v>
      </c>
      <c r="AX51" s="187">
        <f t="shared" si="17"/>
        <v>0</v>
      </c>
      <c r="AY51" s="187">
        <f t="shared" si="17"/>
        <v>0</v>
      </c>
      <c r="AZ51" s="187">
        <f t="shared" si="17"/>
        <v>0</v>
      </c>
      <c r="BA51" s="187">
        <f t="shared" si="17"/>
        <v>0</v>
      </c>
      <c r="BB51" s="188">
        <f t="shared" si="17"/>
        <v>0</v>
      </c>
      <c r="BC51" s="208">
        <f t="shared" si="17"/>
        <v>0</v>
      </c>
      <c r="BD51" s="208">
        <f t="shared" si="17"/>
        <v>0</v>
      </c>
      <c r="BE51" s="188">
        <f t="shared" si="17"/>
        <v>0</v>
      </c>
      <c r="BG51" s="208">
        <f t="shared" si="18"/>
        <v>0</v>
      </c>
      <c r="BH51" s="187">
        <f t="shared" si="18"/>
        <v>0</v>
      </c>
      <c r="BI51" s="187">
        <f t="shared" si="18"/>
        <v>0</v>
      </c>
      <c r="BJ51" s="187">
        <f t="shared" si="18"/>
        <v>0</v>
      </c>
      <c r="BK51" s="187">
        <f t="shared" si="18"/>
        <v>0</v>
      </c>
      <c r="BL51" s="187">
        <f t="shared" si="18"/>
        <v>0</v>
      </c>
      <c r="BM51" s="187">
        <f t="shared" si="18"/>
        <v>0</v>
      </c>
      <c r="BN51" s="187">
        <f t="shared" si="18"/>
        <v>0</v>
      </c>
      <c r="BO51" s="187">
        <f t="shared" si="18"/>
        <v>0</v>
      </c>
      <c r="BP51" s="187">
        <f t="shared" si="18"/>
        <v>0</v>
      </c>
      <c r="BQ51" s="187">
        <f t="shared" si="18"/>
        <v>0</v>
      </c>
      <c r="BR51" s="188">
        <f t="shared" si="18"/>
        <v>0</v>
      </c>
      <c r="BS51" s="208">
        <f t="shared" si="18"/>
        <v>0</v>
      </c>
      <c r="BT51" s="208">
        <f t="shared" si="18"/>
        <v>0</v>
      </c>
      <c r="BU51" s="188">
        <f t="shared" si="18"/>
        <v>0</v>
      </c>
      <c r="BW51" s="208">
        <f t="shared" si="19"/>
        <v>0</v>
      </c>
      <c r="BX51" s="187">
        <f t="shared" si="19"/>
        <v>0</v>
      </c>
      <c r="BY51" s="187">
        <f t="shared" si="19"/>
        <v>0</v>
      </c>
      <c r="BZ51" s="187">
        <f t="shared" si="19"/>
        <v>0</v>
      </c>
      <c r="CA51" s="187">
        <f t="shared" si="19"/>
        <v>0</v>
      </c>
      <c r="CB51" s="187">
        <f t="shared" si="19"/>
        <v>0</v>
      </c>
      <c r="CC51" s="187">
        <f t="shared" si="19"/>
        <v>0</v>
      </c>
      <c r="CD51" s="187">
        <f t="shared" si="19"/>
        <v>0</v>
      </c>
      <c r="CE51" s="187">
        <f t="shared" si="19"/>
        <v>0</v>
      </c>
      <c r="CF51" s="187">
        <f t="shared" si="19"/>
        <v>0</v>
      </c>
      <c r="CG51" s="187">
        <f t="shared" si="19"/>
        <v>0</v>
      </c>
      <c r="CH51" s="188">
        <f t="shared" si="19"/>
        <v>0</v>
      </c>
      <c r="CI51" s="208">
        <f t="shared" si="19"/>
        <v>0</v>
      </c>
      <c r="CJ51" s="208">
        <f t="shared" si="19"/>
        <v>0</v>
      </c>
      <c r="CK51" s="188">
        <f t="shared" si="19"/>
        <v>0</v>
      </c>
      <c r="CM51" s="208">
        <f t="shared" si="20"/>
        <v>1</v>
      </c>
      <c r="CN51" s="187">
        <f t="shared" si="20"/>
        <v>1</v>
      </c>
      <c r="CO51" s="187">
        <f t="shared" si="20"/>
        <v>1</v>
      </c>
      <c r="CP51" s="187">
        <f t="shared" si="20"/>
        <v>0</v>
      </c>
      <c r="CQ51" s="187">
        <f t="shared" si="20"/>
        <v>0</v>
      </c>
      <c r="CR51" s="187">
        <f t="shared" si="20"/>
        <v>0</v>
      </c>
      <c r="CS51" s="187">
        <f t="shared" si="20"/>
        <v>0</v>
      </c>
      <c r="CT51" s="187">
        <f t="shared" si="20"/>
        <v>0</v>
      </c>
      <c r="CU51" s="187">
        <f t="shared" si="20"/>
        <v>0</v>
      </c>
      <c r="CV51" s="187">
        <f t="shared" si="20"/>
        <v>0</v>
      </c>
      <c r="CW51" s="187">
        <f t="shared" si="20"/>
        <v>0</v>
      </c>
      <c r="CX51" s="188">
        <f t="shared" si="20"/>
        <v>0</v>
      </c>
      <c r="CY51" s="208">
        <f t="shared" si="20"/>
        <v>1</v>
      </c>
      <c r="CZ51" s="208">
        <f t="shared" si="20"/>
        <v>1</v>
      </c>
      <c r="DA51" s="188">
        <f t="shared" si="20"/>
        <v>0</v>
      </c>
    </row>
    <row r="52" spans="1:105">
      <c r="A52" s="209">
        <v>6.6</v>
      </c>
      <c r="B52" s="212" t="s">
        <v>220</v>
      </c>
      <c r="C52" s="210" t="s">
        <v>131</v>
      </c>
      <c r="D52" s="188">
        <v>1</v>
      </c>
      <c r="E52" s="208">
        <v>1</v>
      </c>
      <c r="F52" s="187"/>
      <c r="H52" s="187"/>
      <c r="I52" s="188">
        <v>1</v>
      </c>
      <c r="J52" s="187">
        <v>1</v>
      </c>
      <c r="K52" s="187">
        <v>1</v>
      </c>
      <c r="L52" s="187">
        <v>1</v>
      </c>
      <c r="M52" s="187"/>
      <c r="N52" s="187"/>
      <c r="O52" s="187"/>
      <c r="P52" s="187"/>
      <c r="Q52" s="187"/>
      <c r="R52" s="187"/>
      <c r="S52" s="187"/>
      <c r="T52" s="187"/>
      <c r="U52" s="188"/>
      <c r="V52" s="208">
        <v>1</v>
      </c>
      <c r="W52" s="187">
        <v>1</v>
      </c>
      <c r="X52" s="188"/>
      <c r="Y52" s="187"/>
      <c r="AA52" s="208">
        <f t="shared" si="16"/>
        <v>1</v>
      </c>
      <c r="AB52" s="187">
        <f t="shared" si="16"/>
        <v>1</v>
      </c>
      <c r="AC52" s="187">
        <f t="shared" si="16"/>
        <v>1</v>
      </c>
      <c r="AD52" s="187">
        <f t="shared" si="16"/>
        <v>0</v>
      </c>
      <c r="AE52" s="187">
        <f t="shared" si="16"/>
        <v>0</v>
      </c>
      <c r="AF52" s="187">
        <f t="shared" si="16"/>
        <v>0</v>
      </c>
      <c r="AG52" s="187">
        <f t="shared" si="16"/>
        <v>0</v>
      </c>
      <c r="AH52" s="187">
        <f t="shared" si="16"/>
        <v>0</v>
      </c>
      <c r="AI52" s="187">
        <f t="shared" si="16"/>
        <v>0</v>
      </c>
      <c r="AJ52" s="187">
        <f t="shared" si="16"/>
        <v>0</v>
      </c>
      <c r="AK52" s="187">
        <f t="shared" si="16"/>
        <v>0</v>
      </c>
      <c r="AL52" s="187">
        <f t="shared" si="16"/>
        <v>0</v>
      </c>
      <c r="AM52" s="208">
        <f t="shared" si="16"/>
        <v>1</v>
      </c>
      <c r="AN52" s="187">
        <f t="shared" si="16"/>
        <v>1</v>
      </c>
      <c r="AO52" s="188">
        <f t="shared" si="16"/>
        <v>0</v>
      </c>
      <c r="AQ52" s="208">
        <f t="shared" si="17"/>
        <v>0</v>
      </c>
      <c r="AR52" s="187">
        <f t="shared" si="17"/>
        <v>0</v>
      </c>
      <c r="AS52" s="187">
        <f t="shared" si="17"/>
        <v>0</v>
      </c>
      <c r="AT52" s="187">
        <f t="shared" si="17"/>
        <v>0</v>
      </c>
      <c r="AU52" s="187">
        <f t="shared" si="17"/>
        <v>0</v>
      </c>
      <c r="AV52" s="187">
        <f t="shared" si="17"/>
        <v>0</v>
      </c>
      <c r="AW52" s="187">
        <f t="shared" si="17"/>
        <v>0</v>
      </c>
      <c r="AX52" s="187">
        <f t="shared" si="17"/>
        <v>0</v>
      </c>
      <c r="AY52" s="187">
        <f t="shared" si="17"/>
        <v>0</v>
      </c>
      <c r="AZ52" s="187">
        <f t="shared" si="17"/>
        <v>0</v>
      </c>
      <c r="BA52" s="187">
        <f t="shared" si="17"/>
        <v>0</v>
      </c>
      <c r="BB52" s="188">
        <f t="shared" si="17"/>
        <v>0</v>
      </c>
      <c r="BC52" s="208">
        <f t="shared" si="17"/>
        <v>0</v>
      </c>
      <c r="BD52" s="208">
        <f t="shared" si="17"/>
        <v>0</v>
      </c>
      <c r="BE52" s="188">
        <f t="shared" si="17"/>
        <v>0</v>
      </c>
      <c r="BG52" s="208">
        <f t="shared" si="18"/>
        <v>0</v>
      </c>
      <c r="BH52" s="187">
        <f t="shared" si="18"/>
        <v>0</v>
      </c>
      <c r="BI52" s="187">
        <f t="shared" si="18"/>
        <v>0</v>
      </c>
      <c r="BJ52" s="187">
        <f t="shared" si="18"/>
        <v>0</v>
      </c>
      <c r="BK52" s="187">
        <f t="shared" si="18"/>
        <v>0</v>
      </c>
      <c r="BL52" s="187">
        <f t="shared" si="18"/>
        <v>0</v>
      </c>
      <c r="BM52" s="187">
        <f t="shared" si="18"/>
        <v>0</v>
      </c>
      <c r="BN52" s="187">
        <f t="shared" si="18"/>
        <v>0</v>
      </c>
      <c r="BO52" s="187">
        <f t="shared" si="18"/>
        <v>0</v>
      </c>
      <c r="BP52" s="187">
        <f t="shared" si="18"/>
        <v>0</v>
      </c>
      <c r="BQ52" s="187">
        <f t="shared" si="18"/>
        <v>0</v>
      </c>
      <c r="BR52" s="188">
        <f t="shared" si="18"/>
        <v>0</v>
      </c>
      <c r="BS52" s="208">
        <f t="shared" si="18"/>
        <v>0</v>
      </c>
      <c r="BT52" s="208">
        <f t="shared" si="18"/>
        <v>0</v>
      </c>
      <c r="BU52" s="188">
        <f t="shared" si="18"/>
        <v>0</v>
      </c>
      <c r="BW52" s="208">
        <f t="shared" si="19"/>
        <v>0</v>
      </c>
      <c r="BX52" s="187">
        <f t="shared" si="19"/>
        <v>0</v>
      </c>
      <c r="BY52" s="187">
        <f t="shared" si="19"/>
        <v>0</v>
      </c>
      <c r="BZ52" s="187">
        <f t="shared" si="19"/>
        <v>0</v>
      </c>
      <c r="CA52" s="187">
        <f t="shared" si="19"/>
        <v>0</v>
      </c>
      <c r="CB52" s="187">
        <f t="shared" si="19"/>
        <v>0</v>
      </c>
      <c r="CC52" s="187">
        <f t="shared" si="19"/>
        <v>0</v>
      </c>
      <c r="CD52" s="187">
        <f t="shared" si="19"/>
        <v>0</v>
      </c>
      <c r="CE52" s="187">
        <f t="shared" si="19"/>
        <v>0</v>
      </c>
      <c r="CF52" s="187">
        <f t="shared" si="19"/>
        <v>0</v>
      </c>
      <c r="CG52" s="187">
        <f t="shared" si="19"/>
        <v>0</v>
      </c>
      <c r="CH52" s="188">
        <f t="shared" si="19"/>
        <v>0</v>
      </c>
      <c r="CI52" s="208">
        <f t="shared" si="19"/>
        <v>0</v>
      </c>
      <c r="CJ52" s="208">
        <f t="shared" si="19"/>
        <v>0</v>
      </c>
      <c r="CK52" s="188">
        <f t="shared" si="19"/>
        <v>0</v>
      </c>
      <c r="CM52" s="208">
        <f t="shared" si="20"/>
        <v>1</v>
      </c>
      <c r="CN52" s="187">
        <f t="shared" si="20"/>
        <v>1</v>
      </c>
      <c r="CO52" s="187">
        <f t="shared" si="20"/>
        <v>1</v>
      </c>
      <c r="CP52" s="187">
        <f t="shared" si="20"/>
        <v>0</v>
      </c>
      <c r="CQ52" s="187">
        <f t="shared" si="20"/>
        <v>0</v>
      </c>
      <c r="CR52" s="187">
        <f t="shared" si="20"/>
        <v>0</v>
      </c>
      <c r="CS52" s="187">
        <f t="shared" si="20"/>
        <v>0</v>
      </c>
      <c r="CT52" s="187">
        <f t="shared" si="20"/>
        <v>0</v>
      </c>
      <c r="CU52" s="187">
        <f t="shared" si="20"/>
        <v>0</v>
      </c>
      <c r="CV52" s="187">
        <f t="shared" si="20"/>
        <v>0</v>
      </c>
      <c r="CW52" s="187">
        <f t="shared" si="20"/>
        <v>0</v>
      </c>
      <c r="CX52" s="188">
        <f t="shared" si="20"/>
        <v>0</v>
      </c>
      <c r="CY52" s="208">
        <f t="shared" si="20"/>
        <v>1</v>
      </c>
      <c r="CZ52" s="208">
        <f t="shared" si="20"/>
        <v>1</v>
      </c>
      <c r="DA52" s="188">
        <f t="shared" si="20"/>
        <v>0</v>
      </c>
    </row>
    <row r="53" spans="1:105">
      <c r="A53" s="209">
        <v>6.7</v>
      </c>
      <c r="B53" s="212" t="s">
        <v>221</v>
      </c>
      <c r="C53" s="210" t="s">
        <v>131</v>
      </c>
      <c r="D53" s="188">
        <v>1</v>
      </c>
      <c r="E53" s="208">
        <v>1</v>
      </c>
      <c r="F53" s="187"/>
      <c r="H53" s="187"/>
      <c r="I53" s="188">
        <v>1</v>
      </c>
      <c r="J53" s="187">
        <v>1</v>
      </c>
      <c r="K53" s="187">
        <v>1</v>
      </c>
      <c r="L53" s="187">
        <v>1</v>
      </c>
      <c r="M53" s="187"/>
      <c r="N53" s="187"/>
      <c r="O53" s="187"/>
      <c r="P53" s="187"/>
      <c r="Q53" s="187"/>
      <c r="R53" s="187"/>
      <c r="S53" s="187"/>
      <c r="T53" s="187"/>
      <c r="U53" s="188"/>
      <c r="V53" s="208">
        <v>1</v>
      </c>
      <c r="W53" s="187">
        <v>1</v>
      </c>
      <c r="X53" s="188"/>
      <c r="Y53" s="187"/>
      <c r="AA53" s="208">
        <f t="shared" si="16"/>
        <v>1</v>
      </c>
      <c r="AB53" s="187">
        <f t="shared" si="16"/>
        <v>1</v>
      </c>
      <c r="AC53" s="187">
        <f t="shared" si="16"/>
        <v>1</v>
      </c>
      <c r="AD53" s="187">
        <f t="shared" si="16"/>
        <v>0</v>
      </c>
      <c r="AE53" s="187">
        <f t="shared" si="16"/>
        <v>0</v>
      </c>
      <c r="AF53" s="187">
        <f t="shared" si="16"/>
        <v>0</v>
      </c>
      <c r="AG53" s="187">
        <f t="shared" si="16"/>
        <v>0</v>
      </c>
      <c r="AH53" s="187">
        <f t="shared" si="16"/>
        <v>0</v>
      </c>
      <c r="AI53" s="187">
        <f t="shared" si="16"/>
        <v>0</v>
      </c>
      <c r="AJ53" s="187">
        <f t="shared" si="16"/>
        <v>0</v>
      </c>
      <c r="AK53" s="187">
        <f t="shared" si="16"/>
        <v>0</v>
      </c>
      <c r="AL53" s="187">
        <f t="shared" si="16"/>
        <v>0</v>
      </c>
      <c r="AM53" s="208">
        <f t="shared" si="16"/>
        <v>1</v>
      </c>
      <c r="AN53" s="187">
        <f t="shared" si="16"/>
        <v>1</v>
      </c>
      <c r="AO53" s="188">
        <f t="shared" si="16"/>
        <v>0</v>
      </c>
      <c r="AQ53" s="208">
        <f t="shared" si="17"/>
        <v>0</v>
      </c>
      <c r="AR53" s="187">
        <f t="shared" si="17"/>
        <v>0</v>
      </c>
      <c r="AS53" s="187">
        <f t="shared" si="17"/>
        <v>0</v>
      </c>
      <c r="AT53" s="187">
        <f t="shared" si="17"/>
        <v>0</v>
      </c>
      <c r="AU53" s="187">
        <f t="shared" si="17"/>
        <v>0</v>
      </c>
      <c r="AV53" s="187">
        <f t="shared" si="17"/>
        <v>0</v>
      </c>
      <c r="AW53" s="187">
        <f t="shared" si="17"/>
        <v>0</v>
      </c>
      <c r="AX53" s="187">
        <f t="shared" si="17"/>
        <v>0</v>
      </c>
      <c r="AY53" s="187">
        <f t="shared" si="17"/>
        <v>0</v>
      </c>
      <c r="AZ53" s="187">
        <f t="shared" si="17"/>
        <v>0</v>
      </c>
      <c r="BA53" s="187">
        <f t="shared" si="17"/>
        <v>0</v>
      </c>
      <c r="BB53" s="188">
        <f t="shared" si="17"/>
        <v>0</v>
      </c>
      <c r="BC53" s="208">
        <f t="shared" si="17"/>
        <v>0</v>
      </c>
      <c r="BD53" s="208">
        <f t="shared" si="17"/>
        <v>0</v>
      </c>
      <c r="BE53" s="188">
        <f t="shared" si="17"/>
        <v>0</v>
      </c>
      <c r="BG53" s="208">
        <f t="shared" si="18"/>
        <v>0</v>
      </c>
      <c r="BH53" s="187">
        <f t="shared" si="18"/>
        <v>0</v>
      </c>
      <c r="BI53" s="187">
        <f t="shared" si="18"/>
        <v>0</v>
      </c>
      <c r="BJ53" s="187">
        <f t="shared" si="18"/>
        <v>0</v>
      </c>
      <c r="BK53" s="187">
        <f t="shared" si="18"/>
        <v>0</v>
      </c>
      <c r="BL53" s="187">
        <f t="shared" si="18"/>
        <v>0</v>
      </c>
      <c r="BM53" s="187">
        <f t="shared" si="18"/>
        <v>0</v>
      </c>
      <c r="BN53" s="187">
        <f t="shared" si="18"/>
        <v>0</v>
      </c>
      <c r="BO53" s="187">
        <f t="shared" si="18"/>
        <v>0</v>
      </c>
      <c r="BP53" s="187">
        <f t="shared" si="18"/>
        <v>0</v>
      </c>
      <c r="BQ53" s="187">
        <f t="shared" si="18"/>
        <v>0</v>
      </c>
      <c r="BR53" s="188">
        <f t="shared" si="18"/>
        <v>0</v>
      </c>
      <c r="BS53" s="208">
        <f t="shared" si="18"/>
        <v>0</v>
      </c>
      <c r="BT53" s="208">
        <f t="shared" si="18"/>
        <v>0</v>
      </c>
      <c r="BU53" s="188">
        <f t="shared" si="18"/>
        <v>0</v>
      </c>
      <c r="BW53" s="208">
        <f t="shared" si="19"/>
        <v>0</v>
      </c>
      <c r="BX53" s="187">
        <f t="shared" si="19"/>
        <v>0</v>
      </c>
      <c r="BY53" s="187">
        <f t="shared" si="19"/>
        <v>0</v>
      </c>
      <c r="BZ53" s="187">
        <f t="shared" si="19"/>
        <v>0</v>
      </c>
      <c r="CA53" s="187">
        <f t="shared" si="19"/>
        <v>0</v>
      </c>
      <c r="CB53" s="187">
        <f t="shared" si="19"/>
        <v>0</v>
      </c>
      <c r="CC53" s="187">
        <f t="shared" si="19"/>
        <v>0</v>
      </c>
      <c r="CD53" s="187">
        <f t="shared" si="19"/>
        <v>0</v>
      </c>
      <c r="CE53" s="187">
        <f t="shared" si="19"/>
        <v>0</v>
      </c>
      <c r="CF53" s="187">
        <f t="shared" si="19"/>
        <v>0</v>
      </c>
      <c r="CG53" s="187">
        <f t="shared" si="19"/>
        <v>0</v>
      </c>
      <c r="CH53" s="188">
        <f t="shared" si="19"/>
        <v>0</v>
      </c>
      <c r="CI53" s="208">
        <f t="shared" si="19"/>
        <v>0</v>
      </c>
      <c r="CJ53" s="208">
        <f t="shared" si="19"/>
        <v>0</v>
      </c>
      <c r="CK53" s="188">
        <f t="shared" si="19"/>
        <v>0</v>
      </c>
      <c r="CM53" s="208">
        <f t="shared" si="20"/>
        <v>1</v>
      </c>
      <c r="CN53" s="187">
        <f t="shared" si="20"/>
        <v>1</v>
      </c>
      <c r="CO53" s="187">
        <f t="shared" si="20"/>
        <v>1</v>
      </c>
      <c r="CP53" s="187">
        <f t="shared" si="20"/>
        <v>0</v>
      </c>
      <c r="CQ53" s="187">
        <f t="shared" si="20"/>
        <v>0</v>
      </c>
      <c r="CR53" s="187">
        <f t="shared" si="20"/>
        <v>0</v>
      </c>
      <c r="CS53" s="187">
        <f t="shared" si="20"/>
        <v>0</v>
      </c>
      <c r="CT53" s="187">
        <f t="shared" si="20"/>
        <v>0</v>
      </c>
      <c r="CU53" s="187">
        <f t="shared" si="20"/>
        <v>0</v>
      </c>
      <c r="CV53" s="187">
        <f t="shared" si="20"/>
        <v>0</v>
      </c>
      <c r="CW53" s="187">
        <f t="shared" si="20"/>
        <v>0</v>
      </c>
      <c r="CX53" s="188">
        <f t="shared" si="20"/>
        <v>0</v>
      </c>
      <c r="CY53" s="208">
        <f t="shared" si="20"/>
        <v>1</v>
      </c>
      <c r="CZ53" s="208">
        <f t="shared" si="20"/>
        <v>1</v>
      </c>
      <c r="DA53" s="188">
        <f t="shared" si="20"/>
        <v>0</v>
      </c>
    </row>
    <row r="54" spans="1:105" ht="15" thickBot="1">
      <c r="A54" s="213">
        <v>6.8</v>
      </c>
      <c r="B54" s="214" t="s">
        <v>222</v>
      </c>
      <c r="C54" s="210" t="s">
        <v>131</v>
      </c>
      <c r="D54" s="188">
        <v>1</v>
      </c>
      <c r="E54" s="208">
        <v>1</v>
      </c>
      <c r="F54" s="215"/>
      <c r="G54" s="215"/>
      <c r="H54" s="215"/>
      <c r="I54" s="188">
        <v>1</v>
      </c>
      <c r="J54" s="187">
        <v>1</v>
      </c>
      <c r="K54" s="187">
        <v>1</v>
      </c>
      <c r="L54" s="187">
        <v>1</v>
      </c>
      <c r="M54" s="215"/>
      <c r="N54" s="215"/>
      <c r="O54" s="215"/>
      <c r="P54" s="215"/>
      <c r="Q54" s="215"/>
      <c r="R54" s="215"/>
      <c r="S54" s="215">
        <v>1</v>
      </c>
      <c r="T54" s="187">
        <v>1</v>
      </c>
      <c r="U54" s="215">
        <v>1</v>
      </c>
      <c r="V54" s="208">
        <v>1</v>
      </c>
      <c r="W54" s="187">
        <v>1</v>
      </c>
      <c r="X54" s="188"/>
      <c r="Y54" s="187"/>
      <c r="AA54" s="208">
        <f t="shared" si="16"/>
        <v>1</v>
      </c>
      <c r="AB54" s="187">
        <f t="shared" si="16"/>
        <v>1</v>
      </c>
      <c r="AC54" s="187">
        <f t="shared" si="16"/>
        <v>1</v>
      </c>
      <c r="AD54" s="187">
        <f t="shared" si="16"/>
        <v>0</v>
      </c>
      <c r="AE54" s="187">
        <f t="shared" si="16"/>
        <v>0</v>
      </c>
      <c r="AF54" s="187">
        <f t="shared" si="16"/>
        <v>0</v>
      </c>
      <c r="AG54" s="187">
        <f t="shared" si="16"/>
        <v>0</v>
      </c>
      <c r="AH54" s="187">
        <f t="shared" si="16"/>
        <v>0</v>
      </c>
      <c r="AI54" s="187">
        <f t="shared" si="16"/>
        <v>0</v>
      </c>
      <c r="AJ54" s="187">
        <f t="shared" si="16"/>
        <v>1</v>
      </c>
      <c r="AK54" s="187">
        <f t="shared" si="16"/>
        <v>1</v>
      </c>
      <c r="AL54" s="187">
        <f t="shared" si="16"/>
        <v>1</v>
      </c>
      <c r="AM54" s="208">
        <f t="shared" si="16"/>
        <v>1</v>
      </c>
      <c r="AN54" s="187">
        <f t="shared" si="16"/>
        <v>1</v>
      </c>
      <c r="AO54" s="188">
        <f t="shared" si="16"/>
        <v>0</v>
      </c>
      <c r="AQ54" s="208">
        <f t="shared" si="17"/>
        <v>0</v>
      </c>
      <c r="AR54" s="187">
        <f t="shared" si="17"/>
        <v>0</v>
      </c>
      <c r="AS54" s="187">
        <f t="shared" si="17"/>
        <v>0</v>
      </c>
      <c r="AT54" s="187">
        <f t="shared" si="17"/>
        <v>0</v>
      </c>
      <c r="AU54" s="187">
        <f t="shared" si="17"/>
        <v>0</v>
      </c>
      <c r="AV54" s="187">
        <f t="shared" si="17"/>
        <v>0</v>
      </c>
      <c r="AW54" s="187">
        <f t="shared" si="17"/>
        <v>0</v>
      </c>
      <c r="AX54" s="187">
        <f t="shared" si="17"/>
        <v>0</v>
      </c>
      <c r="AY54" s="187">
        <f t="shared" si="17"/>
        <v>0</v>
      </c>
      <c r="AZ54" s="187">
        <f t="shared" si="17"/>
        <v>0</v>
      </c>
      <c r="BA54" s="187">
        <f t="shared" si="17"/>
        <v>0</v>
      </c>
      <c r="BB54" s="188">
        <f t="shared" si="17"/>
        <v>0</v>
      </c>
      <c r="BC54" s="208">
        <f t="shared" si="17"/>
        <v>0</v>
      </c>
      <c r="BD54" s="208">
        <f t="shared" si="17"/>
        <v>0</v>
      </c>
      <c r="BE54" s="188">
        <f t="shared" si="17"/>
        <v>0</v>
      </c>
      <c r="BG54" s="208">
        <f t="shared" si="18"/>
        <v>0</v>
      </c>
      <c r="BH54" s="187">
        <f t="shared" si="18"/>
        <v>0</v>
      </c>
      <c r="BI54" s="187">
        <f t="shared" si="18"/>
        <v>0</v>
      </c>
      <c r="BJ54" s="187">
        <f t="shared" si="18"/>
        <v>0</v>
      </c>
      <c r="BK54" s="187">
        <f t="shared" si="18"/>
        <v>0</v>
      </c>
      <c r="BL54" s="187">
        <f t="shared" si="18"/>
        <v>0</v>
      </c>
      <c r="BM54" s="187">
        <f t="shared" si="18"/>
        <v>0</v>
      </c>
      <c r="BN54" s="187">
        <f t="shared" si="18"/>
        <v>0</v>
      </c>
      <c r="BO54" s="187">
        <f t="shared" si="18"/>
        <v>0</v>
      </c>
      <c r="BP54" s="187">
        <f t="shared" si="18"/>
        <v>0</v>
      </c>
      <c r="BQ54" s="187">
        <f t="shared" si="18"/>
        <v>0</v>
      </c>
      <c r="BR54" s="188">
        <f t="shared" si="18"/>
        <v>0</v>
      </c>
      <c r="BS54" s="208">
        <f t="shared" si="18"/>
        <v>0</v>
      </c>
      <c r="BT54" s="208">
        <f t="shared" si="18"/>
        <v>0</v>
      </c>
      <c r="BU54" s="188">
        <f t="shared" si="18"/>
        <v>0</v>
      </c>
      <c r="BW54" s="208">
        <f t="shared" si="19"/>
        <v>0</v>
      </c>
      <c r="BX54" s="187">
        <f t="shared" si="19"/>
        <v>0</v>
      </c>
      <c r="BY54" s="187">
        <f t="shared" si="19"/>
        <v>0</v>
      </c>
      <c r="BZ54" s="187">
        <f t="shared" si="19"/>
        <v>0</v>
      </c>
      <c r="CA54" s="187">
        <f t="shared" si="19"/>
        <v>0</v>
      </c>
      <c r="CB54" s="187">
        <f t="shared" si="19"/>
        <v>0</v>
      </c>
      <c r="CC54" s="187">
        <f t="shared" si="19"/>
        <v>0</v>
      </c>
      <c r="CD54" s="187">
        <f t="shared" si="19"/>
        <v>0</v>
      </c>
      <c r="CE54" s="187">
        <f t="shared" si="19"/>
        <v>0</v>
      </c>
      <c r="CF54" s="187">
        <f t="shared" si="19"/>
        <v>0</v>
      </c>
      <c r="CG54" s="187">
        <f t="shared" si="19"/>
        <v>0</v>
      </c>
      <c r="CH54" s="188">
        <f t="shared" si="19"/>
        <v>0</v>
      </c>
      <c r="CI54" s="208">
        <f t="shared" si="19"/>
        <v>0</v>
      </c>
      <c r="CJ54" s="208">
        <f t="shared" si="19"/>
        <v>0</v>
      </c>
      <c r="CK54" s="188">
        <f t="shared" si="19"/>
        <v>0</v>
      </c>
      <c r="CM54" s="208">
        <f t="shared" si="20"/>
        <v>1</v>
      </c>
      <c r="CN54" s="187">
        <f t="shared" si="20"/>
        <v>1</v>
      </c>
      <c r="CO54" s="187">
        <f t="shared" si="20"/>
        <v>1</v>
      </c>
      <c r="CP54" s="187">
        <f t="shared" si="20"/>
        <v>0</v>
      </c>
      <c r="CQ54" s="187">
        <f t="shared" si="20"/>
        <v>0</v>
      </c>
      <c r="CR54" s="187">
        <f t="shared" si="20"/>
        <v>0</v>
      </c>
      <c r="CS54" s="187">
        <f t="shared" si="20"/>
        <v>0</v>
      </c>
      <c r="CT54" s="187">
        <f t="shared" si="20"/>
        <v>0</v>
      </c>
      <c r="CU54" s="187">
        <f t="shared" si="20"/>
        <v>0</v>
      </c>
      <c r="CV54" s="187">
        <f t="shared" si="20"/>
        <v>1</v>
      </c>
      <c r="CW54" s="187">
        <f t="shared" si="20"/>
        <v>1</v>
      </c>
      <c r="CX54" s="188">
        <f t="shared" si="20"/>
        <v>1</v>
      </c>
      <c r="CY54" s="208">
        <f t="shared" si="20"/>
        <v>1</v>
      </c>
      <c r="CZ54" s="208">
        <f t="shared" si="20"/>
        <v>1</v>
      </c>
      <c r="DA54" s="188">
        <f t="shared" si="20"/>
        <v>0</v>
      </c>
    </row>
    <row r="55" spans="1:105" ht="15" thickBot="1">
      <c r="A55" s="209"/>
      <c r="C55" s="216"/>
      <c r="D55" s="217"/>
      <c r="E55" s="216"/>
      <c r="F55" s="216"/>
      <c r="G55" s="216"/>
      <c r="H55" s="216"/>
      <c r="I55" s="216"/>
      <c r="J55" s="216"/>
      <c r="K55" s="216"/>
      <c r="L55" s="216"/>
      <c r="M55" s="216"/>
      <c r="N55" s="216"/>
      <c r="O55" s="216"/>
      <c r="P55" s="216"/>
      <c r="Q55" s="216"/>
      <c r="R55" s="216"/>
      <c r="S55" s="216"/>
      <c r="T55" s="216"/>
      <c r="U55" s="216"/>
      <c r="V55" s="216"/>
      <c r="W55" s="216"/>
      <c r="X55" s="218"/>
      <c r="AA55" s="208">
        <f t="shared" si="16"/>
        <v>0</v>
      </c>
      <c r="AB55" s="187">
        <f t="shared" si="16"/>
        <v>0</v>
      </c>
      <c r="AC55" s="187">
        <f t="shared" si="16"/>
        <v>0</v>
      </c>
      <c r="AD55" s="187">
        <f t="shared" si="16"/>
        <v>0</v>
      </c>
      <c r="AE55" s="187">
        <f t="shared" si="16"/>
        <v>0</v>
      </c>
      <c r="AF55" s="187">
        <f t="shared" si="16"/>
        <v>0</v>
      </c>
      <c r="AG55" s="187">
        <f t="shared" si="16"/>
        <v>0</v>
      </c>
      <c r="AH55" s="187">
        <f t="shared" si="16"/>
        <v>0</v>
      </c>
      <c r="AI55" s="187">
        <f t="shared" si="16"/>
        <v>0</v>
      </c>
      <c r="AJ55" s="187">
        <f t="shared" si="16"/>
        <v>0</v>
      </c>
      <c r="AK55" s="187">
        <f t="shared" si="16"/>
        <v>0</v>
      </c>
      <c r="AL55" s="187">
        <f t="shared" si="16"/>
        <v>0</v>
      </c>
      <c r="AM55" s="208">
        <f t="shared" si="16"/>
        <v>0</v>
      </c>
      <c r="AN55" s="187">
        <f t="shared" si="16"/>
        <v>0</v>
      </c>
      <c r="AO55" s="188">
        <f t="shared" si="16"/>
        <v>0</v>
      </c>
      <c r="AQ55" s="208">
        <f t="shared" si="17"/>
        <v>0</v>
      </c>
      <c r="AR55" s="187">
        <f t="shared" si="17"/>
        <v>0</v>
      </c>
      <c r="AS55" s="187">
        <f t="shared" si="17"/>
        <v>0</v>
      </c>
      <c r="AT55" s="187">
        <f t="shared" si="17"/>
        <v>0</v>
      </c>
      <c r="AU55" s="187">
        <f t="shared" si="17"/>
        <v>0</v>
      </c>
      <c r="AV55" s="187">
        <f t="shared" si="17"/>
        <v>0</v>
      </c>
      <c r="AW55" s="187">
        <f t="shared" si="17"/>
        <v>0</v>
      </c>
      <c r="AX55" s="187">
        <f t="shared" si="17"/>
        <v>0</v>
      </c>
      <c r="AY55" s="187">
        <f t="shared" si="17"/>
        <v>0</v>
      </c>
      <c r="AZ55" s="187">
        <f t="shared" si="17"/>
        <v>0</v>
      </c>
      <c r="BA55" s="187">
        <f t="shared" si="17"/>
        <v>0</v>
      </c>
      <c r="BB55" s="188">
        <f t="shared" si="17"/>
        <v>0</v>
      </c>
      <c r="BC55" s="208">
        <f t="shared" si="17"/>
        <v>0</v>
      </c>
      <c r="BD55" s="208">
        <f t="shared" si="17"/>
        <v>0</v>
      </c>
      <c r="BE55" s="188">
        <f t="shared" si="17"/>
        <v>0</v>
      </c>
      <c r="BG55" s="208">
        <f t="shared" si="18"/>
        <v>0</v>
      </c>
      <c r="BH55" s="187">
        <f t="shared" si="18"/>
        <v>0</v>
      </c>
      <c r="BI55" s="187">
        <f t="shared" si="18"/>
        <v>0</v>
      </c>
      <c r="BJ55" s="187">
        <f t="shared" si="18"/>
        <v>0</v>
      </c>
      <c r="BK55" s="187">
        <f t="shared" si="18"/>
        <v>0</v>
      </c>
      <c r="BL55" s="187">
        <f t="shared" si="18"/>
        <v>0</v>
      </c>
      <c r="BM55" s="187">
        <f t="shared" si="18"/>
        <v>0</v>
      </c>
      <c r="BN55" s="187">
        <f t="shared" si="18"/>
        <v>0</v>
      </c>
      <c r="BO55" s="187">
        <f t="shared" si="18"/>
        <v>0</v>
      </c>
      <c r="BP55" s="187">
        <f t="shared" si="18"/>
        <v>0</v>
      </c>
      <c r="BQ55" s="187">
        <f t="shared" si="18"/>
        <v>0</v>
      </c>
      <c r="BR55" s="188">
        <f t="shared" si="18"/>
        <v>0</v>
      </c>
      <c r="BS55" s="208">
        <f t="shared" si="18"/>
        <v>0</v>
      </c>
      <c r="BT55" s="208">
        <f t="shared" si="18"/>
        <v>0</v>
      </c>
      <c r="BU55" s="188">
        <f t="shared" si="18"/>
        <v>0</v>
      </c>
      <c r="BW55" s="208">
        <f t="shared" si="19"/>
        <v>0</v>
      </c>
      <c r="BX55" s="187">
        <f t="shared" si="19"/>
        <v>0</v>
      </c>
      <c r="BY55" s="187">
        <f t="shared" si="19"/>
        <v>0</v>
      </c>
      <c r="BZ55" s="187">
        <f t="shared" si="19"/>
        <v>0</v>
      </c>
      <c r="CA55" s="187">
        <f t="shared" si="19"/>
        <v>0</v>
      </c>
      <c r="CB55" s="187">
        <f t="shared" si="19"/>
        <v>0</v>
      </c>
      <c r="CC55" s="187">
        <f t="shared" si="19"/>
        <v>0</v>
      </c>
      <c r="CD55" s="187">
        <f t="shared" si="19"/>
        <v>0</v>
      </c>
      <c r="CE55" s="187">
        <f t="shared" si="19"/>
        <v>0</v>
      </c>
      <c r="CF55" s="187">
        <f t="shared" si="19"/>
        <v>0</v>
      </c>
      <c r="CG55" s="187">
        <f t="shared" si="19"/>
        <v>0</v>
      </c>
      <c r="CH55" s="188">
        <f t="shared" si="19"/>
        <v>0</v>
      </c>
      <c r="CI55" s="208">
        <f t="shared" si="19"/>
        <v>0</v>
      </c>
      <c r="CJ55" s="208">
        <f t="shared" si="19"/>
        <v>0</v>
      </c>
      <c r="CK55" s="188">
        <f t="shared" si="19"/>
        <v>0</v>
      </c>
      <c r="CM55" s="208">
        <f t="shared" si="20"/>
        <v>0</v>
      </c>
      <c r="CN55" s="187">
        <f t="shared" si="20"/>
        <v>0</v>
      </c>
      <c r="CO55" s="187">
        <f t="shared" si="20"/>
        <v>0</v>
      </c>
      <c r="CP55" s="187">
        <f t="shared" si="20"/>
        <v>0</v>
      </c>
      <c r="CQ55" s="187">
        <f t="shared" si="20"/>
        <v>0</v>
      </c>
      <c r="CR55" s="187">
        <f t="shared" si="20"/>
        <v>0</v>
      </c>
      <c r="CS55" s="187">
        <f t="shared" si="20"/>
        <v>0</v>
      </c>
      <c r="CT55" s="187">
        <f t="shared" si="20"/>
        <v>0</v>
      </c>
      <c r="CU55" s="187">
        <f t="shared" si="20"/>
        <v>0</v>
      </c>
      <c r="CV55" s="187">
        <f t="shared" si="20"/>
        <v>0</v>
      </c>
      <c r="CW55" s="187">
        <f t="shared" si="20"/>
        <v>0</v>
      </c>
      <c r="CX55" s="188">
        <f t="shared" si="20"/>
        <v>0</v>
      </c>
      <c r="CY55" s="208">
        <f t="shared" si="20"/>
        <v>0</v>
      </c>
      <c r="CZ55" s="208">
        <f t="shared" si="20"/>
        <v>0</v>
      </c>
      <c r="DA55" s="188">
        <f t="shared" si="20"/>
        <v>0</v>
      </c>
    </row>
    <row r="56" spans="1:105" ht="28.8">
      <c r="A56" s="219" t="s">
        <v>223</v>
      </c>
      <c r="B56" s="220" t="s">
        <v>224</v>
      </c>
      <c r="C56" s="221" t="s">
        <v>225</v>
      </c>
      <c r="D56" s="188">
        <v>2</v>
      </c>
      <c r="E56" s="187">
        <v>1</v>
      </c>
      <c r="F56" s="187">
        <v>1</v>
      </c>
      <c r="G56" s="187"/>
      <c r="H56" s="187"/>
      <c r="I56" s="187"/>
      <c r="J56" s="208">
        <v>1</v>
      </c>
      <c r="K56" s="187">
        <v>1</v>
      </c>
      <c r="L56" s="187">
        <v>1</v>
      </c>
      <c r="M56" s="187"/>
      <c r="N56" s="187">
        <v>1</v>
      </c>
      <c r="O56" s="187"/>
      <c r="P56" s="187"/>
      <c r="Q56" s="187"/>
      <c r="R56" s="187"/>
      <c r="S56" s="187">
        <v>1</v>
      </c>
      <c r="T56" s="187"/>
      <c r="U56" s="188"/>
      <c r="V56" s="208"/>
      <c r="W56" s="187"/>
      <c r="X56" s="188"/>
      <c r="Y56" s="187"/>
      <c r="AA56" s="208">
        <f t="shared" ref="AA56:AO72" si="21">$D56*$E56*J56</f>
        <v>2</v>
      </c>
      <c r="AB56" s="187">
        <f t="shared" si="21"/>
        <v>2</v>
      </c>
      <c r="AC56" s="187">
        <f t="shared" si="21"/>
        <v>2</v>
      </c>
      <c r="AD56" s="187">
        <f t="shared" si="21"/>
        <v>0</v>
      </c>
      <c r="AE56" s="187">
        <f t="shared" si="21"/>
        <v>2</v>
      </c>
      <c r="AF56" s="187">
        <f t="shared" si="21"/>
        <v>0</v>
      </c>
      <c r="AG56" s="187">
        <f t="shared" si="21"/>
        <v>0</v>
      </c>
      <c r="AH56" s="187">
        <f t="shared" si="21"/>
        <v>0</v>
      </c>
      <c r="AI56" s="187">
        <f t="shared" si="21"/>
        <v>0</v>
      </c>
      <c r="AJ56" s="187">
        <f t="shared" si="21"/>
        <v>2</v>
      </c>
      <c r="AK56" s="187">
        <f t="shared" si="21"/>
        <v>0</v>
      </c>
      <c r="AL56" s="187">
        <f t="shared" si="21"/>
        <v>0</v>
      </c>
      <c r="AM56" s="208">
        <f t="shared" si="21"/>
        <v>0</v>
      </c>
      <c r="AN56" s="187">
        <f t="shared" si="21"/>
        <v>0</v>
      </c>
      <c r="AO56" s="188">
        <f t="shared" si="21"/>
        <v>0</v>
      </c>
      <c r="AQ56" s="208">
        <f t="shared" ref="AQ56:BE72" si="22">$D56*$F56*J56</f>
        <v>2</v>
      </c>
      <c r="AR56" s="187">
        <f t="shared" si="22"/>
        <v>2</v>
      </c>
      <c r="AS56" s="187">
        <f t="shared" si="22"/>
        <v>2</v>
      </c>
      <c r="AT56" s="187">
        <f t="shared" si="22"/>
        <v>0</v>
      </c>
      <c r="AU56" s="187">
        <f t="shared" si="22"/>
        <v>2</v>
      </c>
      <c r="AV56" s="187">
        <f t="shared" si="22"/>
        <v>0</v>
      </c>
      <c r="AW56" s="187">
        <f t="shared" si="22"/>
        <v>0</v>
      </c>
      <c r="AX56" s="187">
        <f t="shared" si="22"/>
        <v>0</v>
      </c>
      <c r="AY56" s="187">
        <f t="shared" si="22"/>
        <v>0</v>
      </c>
      <c r="AZ56" s="187">
        <f t="shared" si="22"/>
        <v>2</v>
      </c>
      <c r="BA56" s="187">
        <f t="shared" si="22"/>
        <v>0</v>
      </c>
      <c r="BB56" s="188">
        <f t="shared" si="22"/>
        <v>0</v>
      </c>
      <c r="BC56" s="208">
        <f t="shared" si="22"/>
        <v>0</v>
      </c>
      <c r="BD56" s="208">
        <f t="shared" si="22"/>
        <v>0</v>
      </c>
      <c r="BE56" s="188">
        <f t="shared" si="22"/>
        <v>0</v>
      </c>
      <c r="BG56" s="208">
        <f t="shared" ref="BG56:BU72" si="23">$D56*$G56*J56</f>
        <v>0</v>
      </c>
      <c r="BH56" s="187">
        <f t="shared" si="23"/>
        <v>0</v>
      </c>
      <c r="BI56" s="187">
        <f t="shared" si="23"/>
        <v>0</v>
      </c>
      <c r="BJ56" s="187">
        <f t="shared" si="23"/>
        <v>0</v>
      </c>
      <c r="BK56" s="187">
        <f t="shared" si="23"/>
        <v>0</v>
      </c>
      <c r="BL56" s="187">
        <f t="shared" si="23"/>
        <v>0</v>
      </c>
      <c r="BM56" s="187">
        <f t="shared" si="23"/>
        <v>0</v>
      </c>
      <c r="BN56" s="187">
        <f t="shared" si="23"/>
        <v>0</v>
      </c>
      <c r="BO56" s="187">
        <f t="shared" si="23"/>
        <v>0</v>
      </c>
      <c r="BP56" s="187">
        <f t="shared" si="23"/>
        <v>0</v>
      </c>
      <c r="BQ56" s="187">
        <f t="shared" si="23"/>
        <v>0</v>
      </c>
      <c r="BR56" s="188">
        <f t="shared" si="23"/>
        <v>0</v>
      </c>
      <c r="BS56" s="208">
        <f t="shared" si="23"/>
        <v>0</v>
      </c>
      <c r="BT56" s="208">
        <f t="shared" si="23"/>
        <v>0</v>
      </c>
      <c r="BU56" s="188">
        <f t="shared" si="23"/>
        <v>0</v>
      </c>
      <c r="BW56" s="208">
        <f t="shared" ref="BW56:CK72" si="24">$D56*$H56*J56</f>
        <v>0</v>
      </c>
      <c r="BX56" s="187">
        <f t="shared" si="24"/>
        <v>0</v>
      </c>
      <c r="BY56" s="187">
        <f t="shared" si="24"/>
        <v>0</v>
      </c>
      <c r="BZ56" s="187">
        <f t="shared" si="24"/>
        <v>0</v>
      </c>
      <c r="CA56" s="187">
        <f t="shared" si="24"/>
        <v>0</v>
      </c>
      <c r="CB56" s="187">
        <f t="shared" si="24"/>
        <v>0</v>
      </c>
      <c r="CC56" s="187">
        <f t="shared" si="24"/>
        <v>0</v>
      </c>
      <c r="CD56" s="187">
        <f t="shared" si="24"/>
        <v>0</v>
      </c>
      <c r="CE56" s="187">
        <f t="shared" si="24"/>
        <v>0</v>
      </c>
      <c r="CF56" s="187">
        <f t="shared" si="24"/>
        <v>0</v>
      </c>
      <c r="CG56" s="187">
        <f t="shared" si="24"/>
        <v>0</v>
      </c>
      <c r="CH56" s="188">
        <f t="shared" si="24"/>
        <v>0</v>
      </c>
      <c r="CI56" s="208">
        <f t="shared" si="24"/>
        <v>0</v>
      </c>
      <c r="CJ56" s="208">
        <f t="shared" si="24"/>
        <v>0</v>
      </c>
      <c r="CK56" s="188">
        <f t="shared" si="24"/>
        <v>0</v>
      </c>
      <c r="CM56" s="208">
        <f t="shared" ref="CM56:DA72" si="25">$D56*$I56*J56</f>
        <v>0</v>
      </c>
      <c r="CN56" s="187">
        <f t="shared" si="25"/>
        <v>0</v>
      </c>
      <c r="CO56" s="187">
        <f t="shared" si="25"/>
        <v>0</v>
      </c>
      <c r="CP56" s="187">
        <f t="shared" si="25"/>
        <v>0</v>
      </c>
      <c r="CQ56" s="187">
        <f t="shared" si="25"/>
        <v>0</v>
      </c>
      <c r="CR56" s="187">
        <f t="shared" si="25"/>
        <v>0</v>
      </c>
      <c r="CS56" s="187">
        <f t="shared" si="25"/>
        <v>0</v>
      </c>
      <c r="CT56" s="187">
        <f t="shared" si="25"/>
        <v>0</v>
      </c>
      <c r="CU56" s="187">
        <f t="shared" si="25"/>
        <v>0</v>
      </c>
      <c r="CV56" s="187">
        <f t="shared" si="25"/>
        <v>0</v>
      </c>
      <c r="CW56" s="187">
        <f t="shared" si="25"/>
        <v>0</v>
      </c>
      <c r="CX56" s="188">
        <f t="shared" si="25"/>
        <v>0</v>
      </c>
      <c r="CY56" s="208">
        <f t="shared" si="25"/>
        <v>0</v>
      </c>
      <c r="CZ56" s="208">
        <f t="shared" si="25"/>
        <v>0</v>
      </c>
      <c r="DA56" s="188">
        <f t="shared" si="25"/>
        <v>0</v>
      </c>
    </row>
    <row r="57" spans="1:105" ht="28.8">
      <c r="A57" s="219" t="s">
        <v>226</v>
      </c>
      <c r="B57" s="220" t="s">
        <v>227</v>
      </c>
      <c r="C57" s="221" t="s">
        <v>225</v>
      </c>
      <c r="D57" s="188">
        <v>2</v>
      </c>
      <c r="E57" s="187">
        <v>1</v>
      </c>
      <c r="F57" s="187">
        <v>1</v>
      </c>
      <c r="G57" s="187"/>
      <c r="H57" s="187"/>
      <c r="I57" s="187"/>
      <c r="J57" s="208">
        <v>1</v>
      </c>
      <c r="K57" s="187">
        <v>1</v>
      </c>
      <c r="L57" s="187">
        <v>1</v>
      </c>
      <c r="M57" s="187"/>
      <c r="N57" s="187">
        <v>1</v>
      </c>
      <c r="O57" s="187"/>
      <c r="P57" s="187"/>
      <c r="Q57" s="187"/>
      <c r="R57" s="187"/>
      <c r="S57" s="187">
        <v>1</v>
      </c>
      <c r="T57" s="187"/>
      <c r="U57" s="188"/>
      <c r="V57" s="208"/>
      <c r="W57" s="187"/>
      <c r="X57" s="188"/>
      <c r="Y57" s="187"/>
      <c r="AA57" s="208">
        <f t="shared" si="21"/>
        <v>2</v>
      </c>
      <c r="AB57" s="187">
        <f t="shared" si="21"/>
        <v>2</v>
      </c>
      <c r="AC57" s="187">
        <f t="shared" si="21"/>
        <v>2</v>
      </c>
      <c r="AD57" s="187">
        <f t="shared" si="21"/>
        <v>0</v>
      </c>
      <c r="AE57" s="187">
        <f t="shared" si="21"/>
        <v>2</v>
      </c>
      <c r="AF57" s="187">
        <f t="shared" si="21"/>
        <v>0</v>
      </c>
      <c r="AG57" s="187">
        <f t="shared" si="21"/>
        <v>0</v>
      </c>
      <c r="AH57" s="187">
        <f t="shared" si="21"/>
        <v>0</v>
      </c>
      <c r="AI57" s="187">
        <f t="shared" si="21"/>
        <v>0</v>
      </c>
      <c r="AJ57" s="187">
        <f t="shared" si="21"/>
        <v>2</v>
      </c>
      <c r="AK57" s="187">
        <f t="shared" si="21"/>
        <v>0</v>
      </c>
      <c r="AL57" s="187">
        <f t="shared" si="21"/>
        <v>0</v>
      </c>
      <c r="AM57" s="208">
        <f t="shared" si="21"/>
        <v>0</v>
      </c>
      <c r="AN57" s="187">
        <f t="shared" si="21"/>
        <v>0</v>
      </c>
      <c r="AO57" s="188">
        <f t="shared" si="21"/>
        <v>0</v>
      </c>
      <c r="AQ57" s="208">
        <f t="shared" si="22"/>
        <v>2</v>
      </c>
      <c r="AR57" s="187">
        <f t="shared" si="22"/>
        <v>2</v>
      </c>
      <c r="AS57" s="187">
        <f t="shared" si="22"/>
        <v>2</v>
      </c>
      <c r="AT57" s="187">
        <f t="shared" si="22"/>
        <v>0</v>
      </c>
      <c r="AU57" s="187">
        <f t="shared" si="22"/>
        <v>2</v>
      </c>
      <c r="AV57" s="187">
        <f t="shared" si="22"/>
        <v>0</v>
      </c>
      <c r="AW57" s="187">
        <f t="shared" si="22"/>
        <v>0</v>
      </c>
      <c r="AX57" s="187">
        <f t="shared" si="22"/>
        <v>0</v>
      </c>
      <c r="AY57" s="187">
        <f t="shared" si="22"/>
        <v>0</v>
      </c>
      <c r="AZ57" s="187">
        <f t="shared" si="22"/>
        <v>2</v>
      </c>
      <c r="BA57" s="187">
        <f t="shared" si="22"/>
        <v>0</v>
      </c>
      <c r="BB57" s="188">
        <f t="shared" si="22"/>
        <v>0</v>
      </c>
      <c r="BC57" s="208">
        <f t="shared" si="22"/>
        <v>0</v>
      </c>
      <c r="BD57" s="208">
        <f t="shared" si="22"/>
        <v>0</v>
      </c>
      <c r="BE57" s="188">
        <f t="shared" si="22"/>
        <v>0</v>
      </c>
      <c r="BG57" s="208">
        <f t="shared" si="23"/>
        <v>0</v>
      </c>
      <c r="BH57" s="187">
        <f t="shared" si="23"/>
        <v>0</v>
      </c>
      <c r="BI57" s="187">
        <f t="shared" si="23"/>
        <v>0</v>
      </c>
      <c r="BJ57" s="187">
        <f t="shared" si="23"/>
        <v>0</v>
      </c>
      <c r="BK57" s="187">
        <f t="shared" si="23"/>
        <v>0</v>
      </c>
      <c r="BL57" s="187">
        <f t="shared" si="23"/>
        <v>0</v>
      </c>
      <c r="BM57" s="187">
        <f t="shared" si="23"/>
        <v>0</v>
      </c>
      <c r="BN57" s="187">
        <f t="shared" si="23"/>
        <v>0</v>
      </c>
      <c r="BO57" s="187">
        <f t="shared" si="23"/>
        <v>0</v>
      </c>
      <c r="BP57" s="187">
        <f t="shared" si="23"/>
        <v>0</v>
      </c>
      <c r="BQ57" s="187">
        <f t="shared" si="23"/>
        <v>0</v>
      </c>
      <c r="BR57" s="188">
        <f t="shared" si="23"/>
        <v>0</v>
      </c>
      <c r="BS57" s="208">
        <f t="shared" si="23"/>
        <v>0</v>
      </c>
      <c r="BT57" s="208">
        <f t="shared" si="23"/>
        <v>0</v>
      </c>
      <c r="BU57" s="188">
        <f t="shared" si="23"/>
        <v>0</v>
      </c>
      <c r="BW57" s="208">
        <f t="shared" si="24"/>
        <v>0</v>
      </c>
      <c r="BX57" s="187">
        <f t="shared" si="24"/>
        <v>0</v>
      </c>
      <c r="BY57" s="187">
        <f t="shared" si="24"/>
        <v>0</v>
      </c>
      <c r="BZ57" s="187">
        <f t="shared" si="24"/>
        <v>0</v>
      </c>
      <c r="CA57" s="187">
        <f t="shared" si="24"/>
        <v>0</v>
      </c>
      <c r="CB57" s="187">
        <f t="shared" si="24"/>
        <v>0</v>
      </c>
      <c r="CC57" s="187">
        <f t="shared" si="24"/>
        <v>0</v>
      </c>
      <c r="CD57" s="187">
        <f t="shared" si="24"/>
        <v>0</v>
      </c>
      <c r="CE57" s="187">
        <f t="shared" si="24"/>
        <v>0</v>
      </c>
      <c r="CF57" s="187">
        <f t="shared" si="24"/>
        <v>0</v>
      </c>
      <c r="CG57" s="187">
        <f t="shared" si="24"/>
        <v>0</v>
      </c>
      <c r="CH57" s="188">
        <f t="shared" si="24"/>
        <v>0</v>
      </c>
      <c r="CI57" s="208">
        <f t="shared" si="24"/>
        <v>0</v>
      </c>
      <c r="CJ57" s="208">
        <f t="shared" si="24"/>
        <v>0</v>
      </c>
      <c r="CK57" s="188">
        <f t="shared" si="24"/>
        <v>0</v>
      </c>
      <c r="CM57" s="208">
        <f t="shared" si="25"/>
        <v>0</v>
      </c>
      <c r="CN57" s="187">
        <f t="shared" si="25"/>
        <v>0</v>
      </c>
      <c r="CO57" s="187">
        <f t="shared" si="25"/>
        <v>0</v>
      </c>
      <c r="CP57" s="187">
        <f t="shared" si="25"/>
        <v>0</v>
      </c>
      <c r="CQ57" s="187">
        <f t="shared" si="25"/>
        <v>0</v>
      </c>
      <c r="CR57" s="187">
        <f t="shared" si="25"/>
        <v>0</v>
      </c>
      <c r="CS57" s="187">
        <f t="shared" si="25"/>
        <v>0</v>
      </c>
      <c r="CT57" s="187">
        <f t="shared" si="25"/>
        <v>0</v>
      </c>
      <c r="CU57" s="187">
        <f t="shared" si="25"/>
        <v>0</v>
      </c>
      <c r="CV57" s="187">
        <f t="shared" si="25"/>
        <v>0</v>
      </c>
      <c r="CW57" s="187">
        <f t="shared" si="25"/>
        <v>0</v>
      </c>
      <c r="CX57" s="188">
        <f t="shared" si="25"/>
        <v>0</v>
      </c>
      <c r="CY57" s="208">
        <f t="shared" si="25"/>
        <v>0</v>
      </c>
      <c r="CZ57" s="208">
        <f t="shared" si="25"/>
        <v>0</v>
      </c>
      <c r="DA57" s="188">
        <f t="shared" si="25"/>
        <v>0</v>
      </c>
    </row>
    <row r="58" spans="1:105" ht="15">
      <c r="A58" s="219" t="s">
        <v>228</v>
      </c>
      <c r="B58" s="220" t="s">
        <v>229</v>
      </c>
      <c r="C58" s="221" t="s">
        <v>225</v>
      </c>
      <c r="D58" s="188">
        <v>2</v>
      </c>
      <c r="E58" s="187">
        <v>1</v>
      </c>
      <c r="F58" s="187"/>
      <c r="G58" s="187">
        <v>1</v>
      </c>
      <c r="H58" s="187"/>
      <c r="I58" s="187"/>
      <c r="J58" s="208">
        <v>1</v>
      </c>
      <c r="K58" s="187">
        <v>1</v>
      </c>
      <c r="L58" s="187">
        <v>1</v>
      </c>
      <c r="M58" s="187"/>
      <c r="N58" s="187">
        <v>1</v>
      </c>
      <c r="O58" s="187"/>
      <c r="P58" s="187"/>
      <c r="Q58" s="187"/>
      <c r="R58" s="187"/>
      <c r="S58" s="187">
        <v>1</v>
      </c>
      <c r="T58" s="187"/>
      <c r="U58" s="188"/>
      <c r="V58" s="208"/>
      <c r="W58" s="187"/>
      <c r="X58" s="188"/>
      <c r="Y58" s="187"/>
      <c r="AA58" s="208">
        <f t="shared" si="21"/>
        <v>2</v>
      </c>
      <c r="AB58" s="187">
        <f t="shared" si="21"/>
        <v>2</v>
      </c>
      <c r="AC58" s="187">
        <f t="shared" si="21"/>
        <v>2</v>
      </c>
      <c r="AD58" s="187">
        <f t="shared" si="21"/>
        <v>0</v>
      </c>
      <c r="AE58" s="187">
        <f t="shared" si="21"/>
        <v>2</v>
      </c>
      <c r="AF58" s="187">
        <f t="shared" si="21"/>
        <v>0</v>
      </c>
      <c r="AG58" s="187">
        <f t="shared" si="21"/>
        <v>0</v>
      </c>
      <c r="AH58" s="187">
        <f t="shared" si="21"/>
        <v>0</v>
      </c>
      <c r="AI58" s="187">
        <f t="shared" si="21"/>
        <v>0</v>
      </c>
      <c r="AJ58" s="187">
        <f t="shared" si="21"/>
        <v>2</v>
      </c>
      <c r="AK58" s="187">
        <f t="shared" si="21"/>
        <v>0</v>
      </c>
      <c r="AL58" s="187">
        <f t="shared" si="21"/>
        <v>0</v>
      </c>
      <c r="AM58" s="208">
        <f t="shared" si="21"/>
        <v>0</v>
      </c>
      <c r="AN58" s="187">
        <f t="shared" si="21"/>
        <v>0</v>
      </c>
      <c r="AO58" s="188">
        <f t="shared" si="21"/>
        <v>0</v>
      </c>
      <c r="AQ58" s="208">
        <f t="shared" si="22"/>
        <v>0</v>
      </c>
      <c r="AR58" s="187">
        <f t="shared" si="22"/>
        <v>0</v>
      </c>
      <c r="AS58" s="187">
        <f t="shared" si="22"/>
        <v>0</v>
      </c>
      <c r="AT58" s="187">
        <f t="shared" si="22"/>
        <v>0</v>
      </c>
      <c r="AU58" s="187">
        <f t="shared" si="22"/>
        <v>0</v>
      </c>
      <c r="AV58" s="187">
        <f t="shared" si="22"/>
        <v>0</v>
      </c>
      <c r="AW58" s="187">
        <f t="shared" si="22"/>
        <v>0</v>
      </c>
      <c r="AX58" s="187">
        <f t="shared" si="22"/>
        <v>0</v>
      </c>
      <c r="AY58" s="187">
        <f t="shared" si="22"/>
        <v>0</v>
      </c>
      <c r="AZ58" s="187">
        <f t="shared" si="22"/>
        <v>0</v>
      </c>
      <c r="BA58" s="187">
        <f t="shared" si="22"/>
        <v>0</v>
      </c>
      <c r="BB58" s="188">
        <f t="shared" si="22"/>
        <v>0</v>
      </c>
      <c r="BC58" s="208">
        <f t="shared" si="22"/>
        <v>0</v>
      </c>
      <c r="BD58" s="208">
        <f t="shared" si="22"/>
        <v>0</v>
      </c>
      <c r="BE58" s="188">
        <f t="shared" si="22"/>
        <v>0</v>
      </c>
      <c r="BG58" s="208">
        <f t="shared" si="23"/>
        <v>2</v>
      </c>
      <c r="BH58" s="187">
        <f t="shared" si="23"/>
        <v>2</v>
      </c>
      <c r="BI58" s="187">
        <f t="shared" si="23"/>
        <v>2</v>
      </c>
      <c r="BJ58" s="187">
        <f t="shared" si="23"/>
        <v>0</v>
      </c>
      <c r="BK58" s="187">
        <f t="shared" si="23"/>
        <v>2</v>
      </c>
      <c r="BL58" s="187">
        <f t="shared" si="23"/>
        <v>0</v>
      </c>
      <c r="BM58" s="187">
        <f t="shared" si="23"/>
        <v>0</v>
      </c>
      <c r="BN58" s="187">
        <f t="shared" si="23"/>
        <v>0</v>
      </c>
      <c r="BO58" s="187">
        <f t="shared" si="23"/>
        <v>0</v>
      </c>
      <c r="BP58" s="187">
        <f t="shared" si="23"/>
        <v>2</v>
      </c>
      <c r="BQ58" s="187">
        <f t="shared" si="23"/>
        <v>0</v>
      </c>
      <c r="BR58" s="188">
        <f t="shared" si="23"/>
        <v>0</v>
      </c>
      <c r="BS58" s="208">
        <f t="shared" si="23"/>
        <v>0</v>
      </c>
      <c r="BT58" s="208">
        <f t="shared" si="23"/>
        <v>0</v>
      </c>
      <c r="BU58" s="188">
        <f t="shared" si="23"/>
        <v>0</v>
      </c>
      <c r="BW58" s="208">
        <f t="shared" si="24"/>
        <v>0</v>
      </c>
      <c r="BX58" s="187">
        <f t="shared" si="24"/>
        <v>0</v>
      </c>
      <c r="BY58" s="187">
        <f t="shared" si="24"/>
        <v>0</v>
      </c>
      <c r="BZ58" s="187">
        <f t="shared" si="24"/>
        <v>0</v>
      </c>
      <c r="CA58" s="187">
        <f t="shared" si="24"/>
        <v>0</v>
      </c>
      <c r="CB58" s="187">
        <f t="shared" si="24"/>
        <v>0</v>
      </c>
      <c r="CC58" s="187">
        <f t="shared" si="24"/>
        <v>0</v>
      </c>
      <c r="CD58" s="187">
        <f t="shared" si="24"/>
        <v>0</v>
      </c>
      <c r="CE58" s="187">
        <f t="shared" si="24"/>
        <v>0</v>
      </c>
      <c r="CF58" s="187">
        <f t="shared" si="24"/>
        <v>0</v>
      </c>
      <c r="CG58" s="187">
        <f t="shared" si="24"/>
        <v>0</v>
      </c>
      <c r="CH58" s="188">
        <f t="shared" si="24"/>
        <v>0</v>
      </c>
      <c r="CI58" s="208">
        <f t="shared" si="24"/>
        <v>0</v>
      </c>
      <c r="CJ58" s="208">
        <f t="shared" si="24"/>
        <v>0</v>
      </c>
      <c r="CK58" s="188">
        <f t="shared" si="24"/>
        <v>0</v>
      </c>
      <c r="CM58" s="208">
        <f t="shared" si="25"/>
        <v>0</v>
      </c>
      <c r="CN58" s="187">
        <f t="shared" si="25"/>
        <v>0</v>
      </c>
      <c r="CO58" s="187">
        <f t="shared" si="25"/>
        <v>0</v>
      </c>
      <c r="CP58" s="187">
        <f t="shared" si="25"/>
        <v>0</v>
      </c>
      <c r="CQ58" s="187">
        <f t="shared" si="25"/>
        <v>0</v>
      </c>
      <c r="CR58" s="187">
        <f t="shared" si="25"/>
        <v>0</v>
      </c>
      <c r="CS58" s="187">
        <f t="shared" si="25"/>
        <v>0</v>
      </c>
      <c r="CT58" s="187">
        <f t="shared" si="25"/>
        <v>0</v>
      </c>
      <c r="CU58" s="187">
        <f t="shared" si="25"/>
        <v>0</v>
      </c>
      <c r="CV58" s="187">
        <f t="shared" si="25"/>
        <v>0</v>
      </c>
      <c r="CW58" s="187">
        <f t="shared" si="25"/>
        <v>0</v>
      </c>
      <c r="CX58" s="188">
        <f t="shared" si="25"/>
        <v>0</v>
      </c>
      <c r="CY58" s="208">
        <f t="shared" si="25"/>
        <v>0</v>
      </c>
      <c r="CZ58" s="208">
        <f t="shared" si="25"/>
        <v>0</v>
      </c>
      <c r="DA58" s="188">
        <f t="shared" si="25"/>
        <v>0</v>
      </c>
    </row>
    <row r="59" spans="1:105" ht="28.8">
      <c r="A59" s="219" t="s">
        <v>230</v>
      </c>
      <c r="B59" s="220" t="s">
        <v>231</v>
      </c>
      <c r="C59" s="221" t="s">
        <v>225</v>
      </c>
      <c r="D59" s="188">
        <v>2</v>
      </c>
      <c r="E59" s="187">
        <v>1</v>
      </c>
      <c r="F59" s="187"/>
      <c r="G59" s="187">
        <v>1</v>
      </c>
      <c r="H59" s="187"/>
      <c r="I59" s="187"/>
      <c r="J59" s="208">
        <v>1</v>
      </c>
      <c r="K59" s="187">
        <v>1</v>
      </c>
      <c r="L59" s="187">
        <v>1</v>
      </c>
      <c r="M59" s="187"/>
      <c r="N59" s="187">
        <v>1</v>
      </c>
      <c r="O59" s="187"/>
      <c r="P59" s="187"/>
      <c r="Q59" s="187"/>
      <c r="R59" s="187"/>
      <c r="S59" s="187">
        <v>1</v>
      </c>
      <c r="T59" s="187"/>
      <c r="U59" s="188"/>
      <c r="V59" s="208"/>
      <c r="W59" s="187"/>
      <c r="X59" s="188"/>
      <c r="Y59" s="187"/>
      <c r="AA59" s="208">
        <f t="shared" si="21"/>
        <v>2</v>
      </c>
      <c r="AB59" s="187">
        <f t="shared" si="21"/>
        <v>2</v>
      </c>
      <c r="AC59" s="187">
        <f t="shared" si="21"/>
        <v>2</v>
      </c>
      <c r="AD59" s="187">
        <f t="shared" si="21"/>
        <v>0</v>
      </c>
      <c r="AE59" s="187">
        <f t="shared" si="21"/>
        <v>2</v>
      </c>
      <c r="AF59" s="187">
        <f t="shared" si="21"/>
        <v>0</v>
      </c>
      <c r="AG59" s="187">
        <f t="shared" si="21"/>
        <v>0</v>
      </c>
      <c r="AH59" s="187">
        <f t="shared" si="21"/>
        <v>0</v>
      </c>
      <c r="AI59" s="187">
        <f t="shared" si="21"/>
        <v>0</v>
      </c>
      <c r="AJ59" s="187">
        <f t="shared" si="21"/>
        <v>2</v>
      </c>
      <c r="AK59" s="187">
        <f t="shared" si="21"/>
        <v>0</v>
      </c>
      <c r="AL59" s="187">
        <f t="shared" si="21"/>
        <v>0</v>
      </c>
      <c r="AM59" s="208">
        <f t="shared" si="21"/>
        <v>0</v>
      </c>
      <c r="AN59" s="187">
        <f t="shared" si="21"/>
        <v>0</v>
      </c>
      <c r="AO59" s="188">
        <f t="shared" si="21"/>
        <v>0</v>
      </c>
      <c r="AQ59" s="208">
        <f t="shared" si="22"/>
        <v>0</v>
      </c>
      <c r="AR59" s="187">
        <f t="shared" si="22"/>
        <v>0</v>
      </c>
      <c r="AS59" s="187">
        <f t="shared" si="22"/>
        <v>0</v>
      </c>
      <c r="AT59" s="187">
        <f t="shared" si="22"/>
        <v>0</v>
      </c>
      <c r="AU59" s="187">
        <f t="shared" si="22"/>
        <v>0</v>
      </c>
      <c r="AV59" s="187">
        <f t="shared" si="22"/>
        <v>0</v>
      </c>
      <c r="AW59" s="187">
        <f t="shared" si="22"/>
        <v>0</v>
      </c>
      <c r="AX59" s="187">
        <f t="shared" si="22"/>
        <v>0</v>
      </c>
      <c r="AY59" s="187">
        <f t="shared" si="22"/>
        <v>0</v>
      </c>
      <c r="AZ59" s="187">
        <f t="shared" si="22"/>
        <v>0</v>
      </c>
      <c r="BA59" s="187">
        <f t="shared" si="22"/>
        <v>0</v>
      </c>
      <c r="BB59" s="188">
        <f t="shared" si="22"/>
        <v>0</v>
      </c>
      <c r="BC59" s="208">
        <f t="shared" si="22"/>
        <v>0</v>
      </c>
      <c r="BD59" s="208">
        <f t="shared" si="22"/>
        <v>0</v>
      </c>
      <c r="BE59" s="188">
        <f t="shared" si="22"/>
        <v>0</v>
      </c>
      <c r="BG59" s="208">
        <f t="shared" si="23"/>
        <v>2</v>
      </c>
      <c r="BH59" s="187">
        <f t="shared" si="23"/>
        <v>2</v>
      </c>
      <c r="BI59" s="187">
        <f t="shared" si="23"/>
        <v>2</v>
      </c>
      <c r="BJ59" s="187">
        <f t="shared" si="23"/>
        <v>0</v>
      </c>
      <c r="BK59" s="187">
        <f t="shared" si="23"/>
        <v>2</v>
      </c>
      <c r="BL59" s="187">
        <f t="shared" si="23"/>
        <v>0</v>
      </c>
      <c r="BM59" s="187">
        <f t="shared" si="23"/>
        <v>0</v>
      </c>
      <c r="BN59" s="187">
        <f t="shared" si="23"/>
        <v>0</v>
      </c>
      <c r="BO59" s="187">
        <f t="shared" si="23"/>
        <v>0</v>
      </c>
      <c r="BP59" s="187">
        <f t="shared" si="23"/>
        <v>2</v>
      </c>
      <c r="BQ59" s="187">
        <f t="shared" si="23"/>
        <v>0</v>
      </c>
      <c r="BR59" s="188">
        <f t="shared" si="23"/>
        <v>0</v>
      </c>
      <c r="BS59" s="208">
        <f t="shared" si="23"/>
        <v>0</v>
      </c>
      <c r="BT59" s="208">
        <f t="shared" si="23"/>
        <v>0</v>
      </c>
      <c r="BU59" s="188">
        <f t="shared" si="23"/>
        <v>0</v>
      </c>
      <c r="BW59" s="208">
        <f t="shared" si="24"/>
        <v>0</v>
      </c>
      <c r="BX59" s="187">
        <f t="shared" si="24"/>
        <v>0</v>
      </c>
      <c r="BY59" s="187">
        <f t="shared" si="24"/>
        <v>0</v>
      </c>
      <c r="BZ59" s="187">
        <f t="shared" si="24"/>
        <v>0</v>
      </c>
      <c r="CA59" s="187">
        <f t="shared" si="24"/>
        <v>0</v>
      </c>
      <c r="CB59" s="187">
        <f t="shared" si="24"/>
        <v>0</v>
      </c>
      <c r="CC59" s="187">
        <f t="shared" si="24"/>
        <v>0</v>
      </c>
      <c r="CD59" s="187">
        <f t="shared" si="24"/>
        <v>0</v>
      </c>
      <c r="CE59" s="187">
        <f t="shared" si="24"/>
        <v>0</v>
      </c>
      <c r="CF59" s="187">
        <f t="shared" si="24"/>
        <v>0</v>
      </c>
      <c r="CG59" s="187">
        <f t="shared" si="24"/>
        <v>0</v>
      </c>
      <c r="CH59" s="188">
        <f t="shared" si="24"/>
        <v>0</v>
      </c>
      <c r="CI59" s="208">
        <f t="shared" si="24"/>
        <v>0</v>
      </c>
      <c r="CJ59" s="208">
        <f t="shared" si="24"/>
        <v>0</v>
      </c>
      <c r="CK59" s="188">
        <f t="shared" si="24"/>
        <v>0</v>
      </c>
      <c r="CM59" s="208">
        <f t="shared" si="25"/>
        <v>0</v>
      </c>
      <c r="CN59" s="187">
        <f t="shared" si="25"/>
        <v>0</v>
      </c>
      <c r="CO59" s="187">
        <f t="shared" si="25"/>
        <v>0</v>
      </c>
      <c r="CP59" s="187">
        <f t="shared" si="25"/>
        <v>0</v>
      </c>
      <c r="CQ59" s="187">
        <f t="shared" si="25"/>
        <v>0</v>
      </c>
      <c r="CR59" s="187">
        <f t="shared" si="25"/>
        <v>0</v>
      </c>
      <c r="CS59" s="187">
        <f t="shared" si="25"/>
        <v>0</v>
      </c>
      <c r="CT59" s="187">
        <f t="shared" si="25"/>
        <v>0</v>
      </c>
      <c r="CU59" s="187">
        <f t="shared" si="25"/>
        <v>0</v>
      </c>
      <c r="CV59" s="187">
        <f t="shared" si="25"/>
        <v>0</v>
      </c>
      <c r="CW59" s="187">
        <f t="shared" si="25"/>
        <v>0</v>
      </c>
      <c r="CX59" s="188">
        <f t="shared" si="25"/>
        <v>0</v>
      </c>
      <c r="CY59" s="208">
        <f t="shared" si="25"/>
        <v>0</v>
      </c>
      <c r="CZ59" s="208">
        <f t="shared" si="25"/>
        <v>0</v>
      </c>
      <c r="DA59" s="188">
        <f t="shared" si="25"/>
        <v>0</v>
      </c>
    </row>
    <row r="60" spans="1:105" ht="28.8">
      <c r="A60" s="219" t="s">
        <v>232</v>
      </c>
      <c r="B60" s="220" t="s">
        <v>233</v>
      </c>
      <c r="C60" s="221" t="s">
        <v>225</v>
      </c>
      <c r="D60" s="188">
        <v>2</v>
      </c>
      <c r="E60" s="187">
        <v>1</v>
      </c>
      <c r="F60" s="187"/>
      <c r="G60" s="187">
        <v>1</v>
      </c>
      <c r="H60" s="187"/>
      <c r="I60" s="187"/>
      <c r="J60" s="208">
        <v>1</v>
      </c>
      <c r="K60" s="187">
        <v>1</v>
      </c>
      <c r="L60" s="187">
        <v>1</v>
      </c>
      <c r="M60" s="187"/>
      <c r="N60" s="187">
        <v>1</v>
      </c>
      <c r="O60" s="187"/>
      <c r="P60" s="187"/>
      <c r="Q60" s="187"/>
      <c r="R60" s="187"/>
      <c r="S60" s="187">
        <v>1</v>
      </c>
      <c r="T60" s="187"/>
      <c r="U60" s="188"/>
      <c r="V60" s="208"/>
      <c r="W60" s="187"/>
      <c r="X60" s="188"/>
      <c r="Y60" s="187"/>
      <c r="AA60" s="208">
        <f t="shared" si="21"/>
        <v>2</v>
      </c>
      <c r="AB60" s="187">
        <f t="shared" si="21"/>
        <v>2</v>
      </c>
      <c r="AC60" s="187">
        <f t="shared" si="21"/>
        <v>2</v>
      </c>
      <c r="AD60" s="187">
        <f t="shared" si="21"/>
        <v>0</v>
      </c>
      <c r="AE60" s="187">
        <f t="shared" si="21"/>
        <v>2</v>
      </c>
      <c r="AF60" s="187">
        <f t="shared" si="21"/>
        <v>0</v>
      </c>
      <c r="AG60" s="187">
        <f t="shared" si="21"/>
        <v>0</v>
      </c>
      <c r="AH60" s="187">
        <f t="shared" si="21"/>
        <v>0</v>
      </c>
      <c r="AI60" s="187">
        <f t="shared" si="21"/>
        <v>0</v>
      </c>
      <c r="AJ60" s="187">
        <f t="shared" si="21"/>
        <v>2</v>
      </c>
      <c r="AK60" s="187">
        <f t="shared" si="21"/>
        <v>0</v>
      </c>
      <c r="AL60" s="187">
        <f t="shared" si="21"/>
        <v>0</v>
      </c>
      <c r="AM60" s="208">
        <f t="shared" si="21"/>
        <v>0</v>
      </c>
      <c r="AN60" s="187">
        <f t="shared" si="21"/>
        <v>0</v>
      </c>
      <c r="AO60" s="188">
        <f t="shared" si="21"/>
        <v>0</v>
      </c>
      <c r="AQ60" s="208">
        <f t="shared" si="22"/>
        <v>0</v>
      </c>
      <c r="AR60" s="187">
        <f t="shared" si="22"/>
        <v>0</v>
      </c>
      <c r="AS60" s="187">
        <f t="shared" si="22"/>
        <v>0</v>
      </c>
      <c r="AT60" s="187">
        <f t="shared" si="22"/>
        <v>0</v>
      </c>
      <c r="AU60" s="187">
        <f t="shared" si="22"/>
        <v>0</v>
      </c>
      <c r="AV60" s="187">
        <f t="shared" si="22"/>
        <v>0</v>
      </c>
      <c r="AW60" s="187">
        <f t="shared" si="22"/>
        <v>0</v>
      </c>
      <c r="AX60" s="187">
        <f t="shared" si="22"/>
        <v>0</v>
      </c>
      <c r="AY60" s="187">
        <f t="shared" si="22"/>
        <v>0</v>
      </c>
      <c r="AZ60" s="187">
        <f t="shared" si="22"/>
        <v>0</v>
      </c>
      <c r="BA60" s="187">
        <f t="shared" si="22"/>
        <v>0</v>
      </c>
      <c r="BB60" s="188">
        <f t="shared" si="22"/>
        <v>0</v>
      </c>
      <c r="BC60" s="208">
        <f t="shared" si="22"/>
        <v>0</v>
      </c>
      <c r="BD60" s="208">
        <f t="shared" si="22"/>
        <v>0</v>
      </c>
      <c r="BE60" s="188">
        <f t="shared" si="22"/>
        <v>0</v>
      </c>
      <c r="BG60" s="208">
        <f t="shared" si="23"/>
        <v>2</v>
      </c>
      <c r="BH60" s="187">
        <f t="shared" si="23"/>
        <v>2</v>
      </c>
      <c r="BI60" s="187">
        <f t="shared" si="23"/>
        <v>2</v>
      </c>
      <c r="BJ60" s="187">
        <f t="shared" si="23"/>
        <v>0</v>
      </c>
      <c r="BK60" s="187">
        <f t="shared" si="23"/>
        <v>2</v>
      </c>
      <c r="BL60" s="187">
        <f t="shared" si="23"/>
        <v>0</v>
      </c>
      <c r="BM60" s="187">
        <f t="shared" si="23"/>
        <v>0</v>
      </c>
      <c r="BN60" s="187">
        <f t="shared" si="23"/>
        <v>0</v>
      </c>
      <c r="BO60" s="187">
        <f t="shared" si="23"/>
        <v>0</v>
      </c>
      <c r="BP60" s="187">
        <f t="shared" si="23"/>
        <v>2</v>
      </c>
      <c r="BQ60" s="187">
        <f t="shared" si="23"/>
        <v>0</v>
      </c>
      <c r="BR60" s="188">
        <f t="shared" si="23"/>
        <v>0</v>
      </c>
      <c r="BS60" s="208">
        <f t="shared" si="23"/>
        <v>0</v>
      </c>
      <c r="BT60" s="208">
        <f t="shared" si="23"/>
        <v>0</v>
      </c>
      <c r="BU60" s="188">
        <f t="shared" si="23"/>
        <v>0</v>
      </c>
      <c r="BW60" s="208">
        <f t="shared" si="24"/>
        <v>0</v>
      </c>
      <c r="BX60" s="187">
        <f t="shared" si="24"/>
        <v>0</v>
      </c>
      <c r="BY60" s="187">
        <f t="shared" si="24"/>
        <v>0</v>
      </c>
      <c r="BZ60" s="187">
        <f t="shared" si="24"/>
        <v>0</v>
      </c>
      <c r="CA60" s="187">
        <f t="shared" si="24"/>
        <v>0</v>
      </c>
      <c r="CB60" s="187">
        <f t="shared" si="24"/>
        <v>0</v>
      </c>
      <c r="CC60" s="187">
        <f t="shared" si="24"/>
        <v>0</v>
      </c>
      <c r="CD60" s="187">
        <f t="shared" si="24"/>
        <v>0</v>
      </c>
      <c r="CE60" s="187">
        <f t="shared" si="24"/>
        <v>0</v>
      </c>
      <c r="CF60" s="187">
        <f t="shared" si="24"/>
        <v>0</v>
      </c>
      <c r="CG60" s="187">
        <f t="shared" si="24"/>
        <v>0</v>
      </c>
      <c r="CH60" s="188">
        <f t="shared" si="24"/>
        <v>0</v>
      </c>
      <c r="CI60" s="208">
        <f t="shared" si="24"/>
        <v>0</v>
      </c>
      <c r="CJ60" s="208">
        <f t="shared" si="24"/>
        <v>0</v>
      </c>
      <c r="CK60" s="188">
        <f t="shared" si="24"/>
        <v>0</v>
      </c>
      <c r="CM60" s="208">
        <f t="shared" si="25"/>
        <v>0</v>
      </c>
      <c r="CN60" s="187">
        <f t="shared" si="25"/>
        <v>0</v>
      </c>
      <c r="CO60" s="187">
        <f t="shared" si="25"/>
        <v>0</v>
      </c>
      <c r="CP60" s="187">
        <f t="shared" si="25"/>
        <v>0</v>
      </c>
      <c r="CQ60" s="187">
        <f t="shared" si="25"/>
        <v>0</v>
      </c>
      <c r="CR60" s="187">
        <f t="shared" si="25"/>
        <v>0</v>
      </c>
      <c r="CS60" s="187">
        <f t="shared" si="25"/>
        <v>0</v>
      </c>
      <c r="CT60" s="187">
        <f t="shared" si="25"/>
        <v>0</v>
      </c>
      <c r="CU60" s="187">
        <f t="shared" si="25"/>
        <v>0</v>
      </c>
      <c r="CV60" s="187">
        <f t="shared" si="25"/>
        <v>0</v>
      </c>
      <c r="CW60" s="187">
        <f t="shared" si="25"/>
        <v>0</v>
      </c>
      <c r="CX60" s="188">
        <f t="shared" si="25"/>
        <v>0</v>
      </c>
      <c r="CY60" s="208">
        <f t="shared" si="25"/>
        <v>0</v>
      </c>
      <c r="CZ60" s="208">
        <f t="shared" si="25"/>
        <v>0</v>
      </c>
      <c r="DA60" s="188">
        <f t="shared" si="25"/>
        <v>0</v>
      </c>
    </row>
    <row r="61" spans="1:105" ht="28.8">
      <c r="A61" s="219" t="s">
        <v>234</v>
      </c>
      <c r="B61" s="220" t="s">
        <v>235</v>
      </c>
      <c r="C61" s="221" t="s">
        <v>225</v>
      </c>
      <c r="D61" s="188">
        <v>2</v>
      </c>
      <c r="E61" s="187">
        <v>1</v>
      </c>
      <c r="F61" s="187"/>
      <c r="G61" s="187"/>
      <c r="H61" s="187">
        <v>1</v>
      </c>
      <c r="I61" s="187"/>
      <c r="J61" s="208">
        <v>1</v>
      </c>
      <c r="K61" s="187">
        <v>1</v>
      </c>
      <c r="L61" s="187">
        <v>1</v>
      </c>
      <c r="M61" s="187"/>
      <c r="N61" s="187">
        <v>1</v>
      </c>
      <c r="O61" s="187"/>
      <c r="P61" s="187"/>
      <c r="Q61" s="187"/>
      <c r="R61" s="187"/>
      <c r="S61" s="187">
        <v>1</v>
      </c>
      <c r="T61" s="187"/>
      <c r="U61" s="188"/>
      <c r="V61" s="208"/>
      <c r="W61" s="187"/>
      <c r="X61" s="188"/>
      <c r="Y61" s="187"/>
      <c r="AA61" s="208">
        <f t="shared" si="21"/>
        <v>2</v>
      </c>
      <c r="AB61" s="187">
        <f t="shared" si="21"/>
        <v>2</v>
      </c>
      <c r="AC61" s="187">
        <f t="shared" si="21"/>
        <v>2</v>
      </c>
      <c r="AD61" s="187">
        <f t="shared" si="21"/>
        <v>0</v>
      </c>
      <c r="AE61" s="187">
        <f t="shared" si="21"/>
        <v>2</v>
      </c>
      <c r="AF61" s="187">
        <f t="shared" si="21"/>
        <v>0</v>
      </c>
      <c r="AG61" s="187">
        <f t="shared" si="21"/>
        <v>0</v>
      </c>
      <c r="AH61" s="187">
        <f t="shared" si="21"/>
        <v>0</v>
      </c>
      <c r="AI61" s="187">
        <f t="shared" si="21"/>
        <v>0</v>
      </c>
      <c r="AJ61" s="187">
        <f t="shared" si="21"/>
        <v>2</v>
      </c>
      <c r="AK61" s="187">
        <f t="shared" si="21"/>
        <v>0</v>
      </c>
      <c r="AL61" s="187">
        <f t="shared" si="21"/>
        <v>0</v>
      </c>
      <c r="AM61" s="208">
        <f t="shared" si="21"/>
        <v>0</v>
      </c>
      <c r="AN61" s="187">
        <f t="shared" si="21"/>
        <v>0</v>
      </c>
      <c r="AO61" s="188">
        <f t="shared" si="21"/>
        <v>0</v>
      </c>
      <c r="AQ61" s="208">
        <f t="shared" si="22"/>
        <v>0</v>
      </c>
      <c r="AR61" s="187">
        <f t="shared" si="22"/>
        <v>0</v>
      </c>
      <c r="AS61" s="187">
        <f t="shared" si="22"/>
        <v>0</v>
      </c>
      <c r="AT61" s="187">
        <f t="shared" si="22"/>
        <v>0</v>
      </c>
      <c r="AU61" s="187">
        <f t="shared" si="22"/>
        <v>0</v>
      </c>
      <c r="AV61" s="187">
        <f t="shared" si="22"/>
        <v>0</v>
      </c>
      <c r="AW61" s="187">
        <f t="shared" si="22"/>
        <v>0</v>
      </c>
      <c r="AX61" s="187">
        <f t="shared" si="22"/>
        <v>0</v>
      </c>
      <c r="AY61" s="187">
        <f t="shared" si="22"/>
        <v>0</v>
      </c>
      <c r="AZ61" s="187">
        <f t="shared" si="22"/>
        <v>0</v>
      </c>
      <c r="BA61" s="187">
        <f t="shared" si="22"/>
        <v>0</v>
      </c>
      <c r="BB61" s="188">
        <f t="shared" si="22"/>
        <v>0</v>
      </c>
      <c r="BC61" s="208">
        <f t="shared" si="22"/>
        <v>0</v>
      </c>
      <c r="BD61" s="208">
        <f t="shared" si="22"/>
        <v>0</v>
      </c>
      <c r="BE61" s="188">
        <f t="shared" si="22"/>
        <v>0</v>
      </c>
      <c r="BG61" s="208">
        <f t="shared" si="23"/>
        <v>0</v>
      </c>
      <c r="BH61" s="187">
        <f t="shared" si="23"/>
        <v>0</v>
      </c>
      <c r="BI61" s="187">
        <f t="shared" si="23"/>
        <v>0</v>
      </c>
      <c r="BJ61" s="187">
        <f t="shared" si="23"/>
        <v>0</v>
      </c>
      <c r="BK61" s="187">
        <f t="shared" si="23"/>
        <v>0</v>
      </c>
      <c r="BL61" s="187">
        <f t="shared" si="23"/>
        <v>0</v>
      </c>
      <c r="BM61" s="187">
        <f t="shared" si="23"/>
        <v>0</v>
      </c>
      <c r="BN61" s="187">
        <f t="shared" si="23"/>
        <v>0</v>
      </c>
      <c r="BO61" s="187">
        <f t="shared" si="23"/>
        <v>0</v>
      </c>
      <c r="BP61" s="187">
        <f t="shared" si="23"/>
        <v>0</v>
      </c>
      <c r="BQ61" s="187">
        <f t="shared" si="23"/>
        <v>0</v>
      </c>
      <c r="BR61" s="188">
        <f t="shared" si="23"/>
        <v>0</v>
      </c>
      <c r="BS61" s="208">
        <f t="shared" si="23"/>
        <v>0</v>
      </c>
      <c r="BT61" s="208">
        <f t="shared" si="23"/>
        <v>0</v>
      </c>
      <c r="BU61" s="188">
        <f t="shared" si="23"/>
        <v>0</v>
      </c>
      <c r="BW61" s="208">
        <f t="shared" si="24"/>
        <v>2</v>
      </c>
      <c r="BX61" s="187">
        <f t="shared" si="24"/>
        <v>2</v>
      </c>
      <c r="BY61" s="187">
        <f t="shared" si="24"/>
        <v>2</v>
      </c>
      <c r="BZ61" s="187">
        <f t="shared" si="24"/>
        <v>0</v>
      </c>
      <c r="CA61" s="187">
        <f t="shared" si="24"/>
        <v>2</v>
      </c>
      <c r="CB61" s="187">
        <f t="shared" si="24"/>
        <v>0</v>
      </c>
      <c r="CC61" s="187">
        <f t="shared" si="24"/>
        <v>0</v>
      </c>
      <c r="CD61" s="187">
        <f t="shared" si="24"/>
        <v>0</v>
      </c>
      <c r="CE61" s="187">
        <f t="shared" si="24"/>
        <v>0</v>
      </c>
      <c r="CF61" s="187">
        <f t="shared" si="24"/>
        <v>2</v>
      </c>
      <c r="CG61" s="187">
        <f t="shared" si="24"/>
        <v>0</v>
      </c>
      <c r="CH61" s="188">
        <f t="shared" si="24"/>
        <v>0</v>
      </c>
      <c r="CI61" s="208">
        <f t="shared" si="24"/>
        <v>0</v>
      </c>
      <c r="CJ61" s="208">
        <f t="shared" si="24"/>
        <v>0</v>
      </c>
      <c r="CK61" s="188">
        <f t="shared" si="24"/>
        <v>0</v>
      </c>
      <c r="CM61" s="208">
        <f t="shared" si="25"/>
        <v>0</v>
      </c>
      <c r="CN61" s="187">
        <f t="shared" si="25"/>
        <v>0</v>
      </c>
      <c r="CO61" s="187">
        <f t="shared" si="25"/>
        <v>0</v>
      </c>
      <c r="CP61" s="187">
        <f t="shared" si="25"/>
        <v>0</v>
      </c>
      <c r="CQ61" s="187">
        <f t="shared" si="25"/>
        <v>0</v>
      </c>
      <c r="CR61" s="187">
        <f t="shared" si="25"/>
        <v>0</v>
      </c>
      <c r="CS61" s="187">
        <f t="shared" si="25"/>
        <v>0</v>
      </c>
      <c r="CT61" s="187">
        <f t="shared" si="25"/>
        <v>0</v>
      </c>
      <c r="CU61" s="187">
        <f t="shared" si="25"/>
        <v>0</v>
      </c>
      <c r="CV61" s="187">
        <f t="shared" si="25"/>
        <v>0</v>
      </c>
      <c r="CW61" s="187">
        <f t="shared" si="25"/>
        <v>0</v>
      </c>
      <c r="CX61" s="188">
        <f t="shared" si="25"/>
        <v>0</v>
      </c>
      <c r="CY61" s="208">
        <f t="shared" si="25"/>
        <v>0</v>
      </c>
      <c r="CZ61" s="208">
        <f t="shared" si="25"/>
        <v>0</v>
      </c>
      <c r="DA61" s="188">
        <f t="shared" si="25"/>
        <v>0</v>
      </c>
    </row>
    <row r="62" spans="1:105" ht="15">
      <c r="A62" s="219" t="s">
        <v>236</v>
      </c>
      <c r="B62" s="220" t="s">
        <v>237</v>
      </c>
      <c r="C62" s="221" t="s">
        <v>225</v>
      </c>
      <c r="D62" s="188">
        <v>2</v>
      </c>
      <c r="E62" s="208">
        <v>1</v>
      </c>
      <c r="F62" s="187"/>
      <c r="G62" s="187"/>
      <c r="H62" s="187">
        <v>1</v>
      </c>
      <c r="I62" s="187"/>
      <c r="J62" s="208">
        <v>1</v>
      </c>
      <c r="K62" s="187">
        <v>1</v>
      </c>
      <c r="L62" s="187">
        <v>1</v>
      </c>
      <c r="M62" s="187"/>
      <c r="N62" s="187">
        <v>1</v>
      </c>
      <c r="O62" s="187"/>
      <c r="P62" s="187"/>
      <c r="Q62" s="187"/>
      <c r="R62" s="187"/>
      <c r="S62" s="187">
        <v>1</v>
      </c>
      <c r="T62" s="187"/>
      <c r="U62" s="188"/>
      <c r="V62" s="208"/>
      <c r="W62" s="187"/>
      <c r="X62" s="188"/>
      <c r="Y62" s="187"/>
      <c r="AA62" s="208">
        <f t="shared" si="21"/>
        <v>2</v>
      </c>
      <c r="AB62" s="187">
        <f t="shared" si="21"/>
        <v>2</v>
      </c>
      <c r="AC62" s="187">
        <f t="shared" si="21"/>
        <v>2</v>
      </c>
      <c r="AD62" s="187">
        <f t="shared" si="21"/>
        <v>0</v>
      </c>
      <c r="AE62" s="187">
        <f t="shared" si="21"/>
        <v>2</v>
      </c>
      <c r="AF62" s="187">
        <f t="shared" si="21"/>
        <v>0</v>
      </c>
      <c r="AG62" s="187">
        <f t="shared" si="21"/>
        <v>0</v>
      </c>
      <c r="AH62" s="187">
        <f t="shared" si="21"/>
        <v>0</v>
      </c>
      <c r="AI62" s="187">
        <f t="shared" si="21"/>
        <v>0</v>
      </c>
      <c r="AJ62" s="187">
        <f t="shared" si="21"/>
        <v>2</v>
      </c>
      <c r="AK62" s="187">
        <f t="shared" si="21"/>
        <v>0</v>
      </c>
      <c r="AL62" s="187">
        <f t="shared" si="21"/>
        <v>0</v>
      </c>
      <c r="AM62" s="208">
        <f t="shared" si="21"/>
        <v>0</v>
      </c>
      <c r="AN62" s="187">
        <f t="shared" si="21"/>
        <v>0</v>
      </c>
      <c r="AO62" s="188">
        <f t="shared" si="21"/>
        <v>0</v>
      </c>
      <c r="AQ62" s="208">
        <f t="shared" si="22"/>
        <v>0</v>
      </c>
      <c r="AR62" s="187">
        <f t="shared" si="22"/>
        <v>0</v>
      </c>
      <c r="AS62" s="187">
        <f t="shared" si="22"/>
        <v>0</v>
      </c>
      <c r="AT62" s="187">
        <f t="shared" si="22"/>
        <v>0</v>
      </c>
      <c r="AU62" s="187">
        <f t="shared" si="22"/>
        <v>0</v>
      </c>
      <c r="AV62" s="187">
        <f t="shared" si="22"/>
        <v>0</v>
      </c>
      <c r="AW62" s="187">
        <f t="shared" si="22"/>
        <v>0</v>
      </c>
      <c r="AX62" s="187">
        <f t="shared" si="22"/>
        <v>0</v>
      </c>
      <c r="AY62" s="187">
        <f t="shared" si="22"/>
        <v>0</v>
      </c>
      <c r="AZ62" s="187">
        <f t="shared" si="22"/>
        <v>0</v>
      </c>
      <c r="BA62" s="187">
        <f t="shared" si="22"/>
        <v>0</v>
      </c>
      <c r="BB62" s="188">
        <f t="shared" si="22"/>
        <v>0</v>
      </c>
      <c r="BC62" s="208">
        <f t="shared" si="22"/>
        <v>0</v>
      </c>
      <c r="BD62" s="208">
        <f t="shared" si="22"/>
        <v>0</v>
      </c>
      <c r="BE62" s="188">
        <f t="shared" si="22"/>
        <v>0</v>
      </c>
      <c r="BG62" s="208">
        <f t="shared" si="23"/>
        <v>0</v>
      </c>
      <c r="BH62" s="187">
        <f t="shared" si="23"/>
        <v>0</v>
      </c>
      <c r="BI62" s="187">
        <f t="shared" si="23"/>
        <v>0</v>
      </c>
      <c r="BJ62" s="187">
        <f t="shared" si="23"/>
        <v>0</v>
      </c>
      <c r="BK62" s="187">
        <f t="shared" si="23"/>
        <v>0</v>
      </c>
      <c r="BL62" s="187">
        <f t="shared" si="23"/>
        <v>0</v>
      </c>
      <c r="BM62" s="187">
        <f t="shared" si="23"/>
        <v>0</v>
      </c>
      <c r="BN62" s="187">
        <f t="shared" si="23"/>
        <v>0</v>
      </c>
      <c r="BO62" s="187">
        <f t="shared" si="23"/>
        <v>0</v>
      </c>
      <c r="BP62" s="187">
        <f t="shared" si="23"/>
        <v>0</v>
      </c>
      <c r="BQ62" s="187">
        <f t="shared" si="23"/>
        <v>0</v>
      </c>
      <c r="BR62" s="188">
        <f t="shared" si="23"/>
        <v>0</v>
      </c>
      <c r="BS62" s="208">
        <f t="shared" si="23"/>
        <v>0</v>
      </c>
      <c r="BT62" s="208">
        <f t="shared" si="23"/>
        <v>0</v>
      </c>
      <c r="BU62" s="188">
        <f t="shared" si="23"/>
        <v>0</v>
      </c>
      <c r="BW62" s="208">
        <f t="shared" si="24"/>
        <v>2</v>
      </c>
      <c r="BX62" s="187">
        <f t="shared" si="24"/>
        <v>2</v>
      </c>
      <c r="BY62" s="187">
        <f t="shared" si="24"/>
        <v>2</v>
      </c>
      <c r="BZ62" s="187">
        <f t="shared" si="24"/>
        <v>0</v>
      </c>
      <c r="CA62" s="187">
        <f t="shared" si="24"/>
        <v>2</v>
      </c>
      <c r="CB62" s="187">
        <f t="shared" si="24"/>
        <v>0</v>
      </c>
      <c r="CC62" s="187">
        <f t="shared" si="24"/>
        <v>0</v>
      </c>
      <c r="CD62" s="187">
        <f t="shared" si="24"/>
        <v>0</v>
      </c>
      <c r="CE62" s="187">
        <f t="shared" si="24"/>
        <v>0</v>
      </c>
      <c r="CF62" s="187">
        <f t="shared" si="24"/>
        <v>2</v>
      </c>
      <c r="CG62" s="187">
        <f t="shared" si="24"/>
        <v>0</v>
      </c>
      <c r="CH62" s="188">
        <f t="shared" si="24"/>
        <v>0</v>
      </c>
      <c r="CI62" s="208">
        <f t="shared" si="24"/>
        <v>0</v>
      </c>
      <c r="CJ62" s="208">
        <f t="shared" si="24"/>
        <v>0</v>
      </c>
      <c r="CK62" s="188">
        <f t="shared" si="24"/>
        <v>0</v>
      </c>
      <c r="CM62" s="208">
        <f t="shared" si="25"/>
        <v>0</v>
      </c>
      <c r="CN62" s="187">
        <f t="shared" si="25"/>
        <v>0</v>
      </c>
      <c r="CO62" s="187">
        <f t="shared" si="25"/>
        <v>0</v>
      </c>
      <c r="CP62" s="187">
        <f t="shared" si="25"/>
        <v>0</v>
      </c>
      <c r="CQ62" s="187">
        <f t="shared" si="25"/>
        <v>0</v>
      </c>
      <c r="CR62" s="187">
        <f t="shared" si="25"/>
        <v>0</v>
      </c>
      <c r="CS62" s="187">
        <f t="shared" si="25"/>
        <v>0</v>
      </c>
      <c r="CT62" s="187">
        <f t="shared" si="25"/>
        <v>0</v>
      </c>
      <c r="CU62" s="187">
        <f t="shared" si="25"/>
        <v>0</v>
      </c>
      <c r="CV62" s="187">
        <f t="shared" si="25"/>
        <v>0</v>
      </c>
      <c r="CW62" s="187">
        <f t="shared" si="25"/>
        <v>0</v>
      </c>
      <c r="CX62" s="188">
        <f t="shared" si="25"/>
        <v>0</v>
      </c>
      <c r="CY62" s="208">
        <f t="shared" si="25"/>
        <v>0</v>
      </c>
      <c r="CZ62" s="208">
        <f t="shared" si="25"/>
        <v>0</v>
      </c>
      <c r="DA62" s="188">
        <f t="shared" si="25"/>
        <v>0</v>
      </c>
    </row>
    <row r="63" spans="1:105" ht="28.8">
      <c r="A63" s="219" t="s">
        <v>238</v>
      </c>
      <c r="B63" s="220" t="s">
        <v>239</v>
      </c>
      <c r="C63" s="221" t="s">
        <v>225</v>
      </c>
      <c r="D63" s="188">
        <v>2</v>
      </c>
      <c r="E63" s="208"/>
      <c r="F63" s="187"/>
      <c r="G63" s="187"/>
      <c r="H63" s="187">
        <v>1</v>
      </c>
      <c r="I63" s="187"/>
      <c r="J63" s="208">
        <v>1</v>
      </c>
      <c r="K63" s="187">
        <v>1</v>
      </c>
      <c r="L63" s="187">
        <v>1</v>
      </c>
      <c r="M63" s="187"/>
      <c r="N63" s="187">
        <v>1</v>
      </c>
      <c r="O63" s="187"/>
      <c r="P63" s="187"/>
      <c r="Q63" s="187"/>
      <c r="R63" s="187"/>
      <c r="S63" s="187">
        <v>1</v>
      </c>
      <c r="T63" s="187"/>
      <c r="U63" s="188"/>
      <c r="V63" s="208"/>
      <c r="W63" s="187"/>
      <c r="X63" s="188"/>
      <c r="Y63" s="187"/>
      <c r="AA63" s="208">
        <f t="shared" si="21"/>
        <v>0</v>
      </c>
      <c r="AB63" s="187">
        <f t="shared" si="21"/>
        <v>0</v>
      </c>
      <c r="AC63" s="187">
        <f t="shared" si="21"/>
        <v>0</v>
      </c>
      <c r="AD63" s="187">
        <f t="shared" si="21"/>
        <v>0</v>
      </c>
      <c r="AE63" s="187">
        <f t="shared" si="21"/>
        <v>0</v>
      </c>
      <c r="AF63" s="187">
        <f t="shared" si="21"/>
        <v>0</v>
      </c>
      <c r="AG63" s="187">
        <f t="shared" si="21"/>
        <v>0</v>
      </c>
      <c r="AH63" s="187">
        <f t="shared" si="21"/>
        <v>0</v>
      </c>
      <c r="AI63" s="187">
        <f t="shared" si="21"/>
        <v>0</v>
      </c>
      <c r="AJ63" s="187">
        <f t="shared" si="21"/>
        <v>0</v>
      </c>
      <c r="AK63" s="187">
        <f t="shared" si="21"/>
        <v>0</v>
      </c>
      <c r="AL63" s="187">
        <f t="shared" si="21"/>
        <v>0</v>
      </c>
      <c r="AM63" s="208">
        <f t="shared" si="21"/>
        <v>0</v>
      </c>
      <c r="AN63" s="187">
        <f t="shared" si="21"/>
        <v>0</v>
      </c>
      <c r="AO63" s="188">
        <f t="shared" si="21"/>
        <v>0</v>
      </c>
      <c r="AQ63" s="208">
        <f t="shared" si="22"/>
        <v>0</v>
      </c>
      <c r="AR63" s="187">
        <f t="shared" si="22"/>
        <v>0</v>
      </c>
      <c r="AS63" s="187">
        <f t="shared" si="22"/>
        <v>0</v>
      </c>
      <c r="AT63" s="187">
        <f t="shared" si="22"/>
        <v>0</v>
      </c>
      <c r="AU63" s="187">
        <f t="shared" si="22"/>
        <v>0</v>
      </c>
      <c r="AV63" s="187">
        <f t="shared" si="22"/>
        <v>0</v>
      </c>
      <c r="AW63" s="187">
        <f t="shared" si="22"/>
        <v>0</v>
      </c>
      <c r="AX63" s="187">
        <f t="shared" si="22"/>
        <v>0</v>
      </c>
      <c r="AY63" s="187">
        <f t="shared" si="22"/>
        <v>0</v>
      </c>
      <c r="AZ63" s="187">
        <f t="shared" si="22"/>
        <v>0</v>
      </c>
      <c r="BA63" s="187">
        <f t="shared" si="22"/>
        <v>0</v>
      </c>
      <c r="BB63" s="188">
        <f t="shared" si="22"/>
        <v>0</v>
      </c>
      <c r="BC63" s="208">
        <f t="shared" si="22"/>
        <v>0</v>
      </c>
      <c r="BD63" s="208">
        <f t="shared" si="22"/>
        <v>0</v>
      </c>
      <c r="BE63" s="188">
        <f t="shared" si="22"/>
        <v>0</v>
      </c>
      <c r="BG63" s="208">
        <f t="shared" si="23"/>
        <v>0</v>
      </c>
      <c r="BH63" s="187">
        <f t="shared" si="23"/>
        <v>0</v>
      </c>
      <c r="BI63" s="187">
        <f t="shared" si="23"/>
        <v>0</v>
      </c>
      <c r="BJ63" s="187">
        <f t="shared" si="23"/>
        <v>0</v>
      </c>
      <c r="BK63" s="187">
        <f t="shared" si="23"/>
        <v>0</v>
      </c>
      <c r="BL63" s="187">
        <f t="shared" si="23"/>
        <v>0</v>
      </c>
      <c r="BM63" s="187">
        <f t="shared" si="23"/>
        <v>0</v>
      </c>
      <c r="BN63" s="187">
        <f t="shared" si="23"/>
        <v>0</v>
      </c>
      <c r="BO63" s="187">
        <f t="shared" si="23"/>
        <v>0</v>
      </c>
      <c r="BP63" s="187">
        <f t="shared" si="23"/>
        <v>0</v>
      </c>
      <c r="BQ63" s="187">
        <f t="shared" si="23"/>
        <v>0</v>
      </c>
      <c r="BR63" s="188">
        <f t="shared" si="23"/>
        <v>0</v>
      </c>
      <c r="BS63" s="208">
        <f t="shared" si="23"/>
        <v>0</v>
      </c>
      <c r="BT63" s="208">
        <f t="shared" si="23"/>
        <v>0</v>
      </c>
      <c r="BU63" s="188">
        <f t="shared" si="23"/>
        <v>0</v>
      </c>
      <c r="BW63" s="208">
        <f t="shared" si="24"/>
        <v>2</v>
      </c>
      <c r="BX63" s="187">
        <f t="shared" si="24"/>
        <v>2</v>
      </c>
      <c r="BY63" s="187">
        <f t="shared" si="24"/>
        <v>2</v>
      </c>
      <c r="BZ63" s="187">
        <f t="shared" si="24"/>
        <v>0</v>
      </c>
      <c r="CA63" s="187">
        <f t="shared" si="24"/>
        <v>2</v>
      </c>
      <c r="CB63" s="187">
        <f t="shared" si="24"/>
        <v>0</v>
      </c>
      <c r="CC63" s="187">
        <f t="shared" si="24"/>
        <v>0</v>
      </c>
      <c r="CD63" s="187">
        <f t="shared" si="24"/>
        <v>0</v>
      </c>
      <c r="CE63" s="187">
        <f t="shared" si="24"/>
        <v>0</v>
      </c>
      <c r="CF63" s="187">
        <f t="shared" si="24"/>
        <v>2</v>
      </c>
      <c r="CG63" s="187">
        <f t="shared" si="24"/>
        <v>0</v>
      </c>
      <c r="CH63" s="188">
        <f t="shared" si="24"/>
        <v>0</v>
      </c>
      <c r="CI63" s="208">
        <f t="shared" si="24"/>
        <v>0</v>
      </c>
      <c r="CJ63" s="208">
        <f t="shared" si="24"/>
        <v>0</v>
      </c>
      <c r="CK63" s="188">
        <f t="shared" si="24"/>
        <v>0</v>
      </c>
      <c r="CM63" s="208">
        <f t="shared" si="25"/>
        <v>0</v>
      </c>
      <c r="CN63" s="187">
        <f t="shared" si="25"/>
        <v>0</v>
      </c>
      <c r="CO63" s="187">
        <f t="shared" si="25"/>
        <v>0</v>
      </c>
      <c r="CP63" s="187">
        <f t="shared" si="25"/>
        <v>0</v>
      </c>
      <c r="CQ63" s="187">
        <f t="shared" si="25"/>
        <v>0</v>
      </c>
      <c r="CR63" s="187">
        <f t="shared" si="25"/>
        <v>0</v>
      </c>
      <c r="CS63" s="187">
        <f t="shared" si="25"/>
        <v>0</v>
      </c>
      <c r="CT63" s="187">
        <f t="shared" si="25"/>
        <v>0</v>
      </c>
      <c r="CU63" s="187">
        <f t="shared" si="25"/>
        <v>0</v>
      </c>
      <c r="CV63" s="187">
        <f t="shared" si="25"/>
        <v>0</v>
      </c>
      <c r="CW63" s="187">
        <f t="shared" si="25"/>
        <v>0</v>
      </c>
      <c r="CX63" s="188">
        <f t="shared" si="25"/>
        <v>0</v>
      </c>
      <c r="CY63" s="208">
        <f t="shared" si="25"/>
        <v>0</v>
      </c>
      <c r="CZ63" s="208">
        <f t="shared" si="25"/>
        <v>0</v>
      </c>
      <c r="DA63" s="188">
        <f t="shared" si="25"/>
        <v>0</v>
      </c>
    </row>
    <row r="64" spans="1:105" ht="28.8">
      <c r="A64" s="219" t="s">
        <v>240</v>
      </c>
      <c r="B64" s="220" t="s">
        <v>241</v>
      </c>
      <c r="C64" s="221" t="s">
        <v>225</v>
      </c>
      <c r="D64" s="188">
        <v>2</v>
      </c>
      <c r="E64" s="208"/>
      <c r="F64" s="187"/>
      <c r="G64" s="187"/>
      <c r="H64" s="187">
        <v>1</v>
      </c>
      <c r="I64" s="187"/>
      <c r="J64" s="208">
        <v>1</v>
      </c>
      <c r="K64" s="187">
        <v>1</v>
      </c>
      <c r="L64" s="187">
        <v>1</v>
      </c>
      <c r="M64" s="187"/>
      <c r="N64" s="187">
        <v>1</v>
      </c>
      <c r="O64" s="187"/>
      <c r="P64" s="187"/>
      <c r="Q64" s="187"/>
      <c r="R64" s="187"/>
      <c r="S64" s="187">
        <v>1</v>
      </c>
      <c r="T64" s="187"/>
      <c r="U64" s="188"/>
      <c r="V64" s="208"/>
      <c r="W64" s="187"/>
      <c r="X64" s="188"/>
      <c r="Y64" s="187"/>
      <c r="AA64" s="208">
        <f t="shared" si="21"/>
        <v>0</v>
      </c>
      <c r="AB64" s="187">
        <f t="shared" si="21"/>
        <v>0</v>
      </c>
      <c r="AC64" s="187">
        <f t="shared" si="21"/>
        <v>0</v>
      </c>
      <c r="AD64" s="187">
        <f t="shared" si="21"/>
        <v>0</v>
      </c>
      <c r="AE64" s="187">
        <f t="shared" si="21"/>
        <v>0</v>
      </c>
      <c r="AF64" s="187">
        <f t="shared" si="21"/>
        <v>0</v>
      </c>
      <c r="AG64" s="187">
        <f t="shared" si="21"/>
        <v>0</v>
      </c>
      <c r="AH64" s="187">
        <f t="shared" si="21"/>
        <v>0</v>
      </c>
      <c r="AI64" s="187">
        <f t="shared" si="21"/>
        <v>0</v>
      </c>
      <c r="AJ64" s="187">
        <f t="shared" si="21"/>
        <v>0</v>
      </c>
      <c r="AK64" s="187">
        <f t="shared" si="21"/>
        <v>0</v>
      </c>
      <c r="AL64" s="187">
        <f t="shared" si="21"/>
        <v>0</v>
      </c>
      <c r="AM64" s="208">
        <f t="shared" si="21"/>
        <v>0</v>
      </c>
      <c r="AN64" s="187">
        <f t="shared" si="21"/>
        <v>0</v>
      </c>
      <c r="AO64" s="188">
        <f t="shared" si="21"/>
        <v>0</v>
      </c>
      <c r="AQ64" s="208">
        <f t="shared" si="22"/>
        <v>0</v>
      </c>
      <c r="AR64" s="187">
        <f t="shared" si="22"/>
        <v>0</v>
      </c>
      <c r="AS64" s="187">
        <f t="shared" si="22"/>
        <v>0</v>
      </c>
      <c r="AT64" s="187">
        <f t="shared" si="22"/>
        <v>0</v>
      </c>
      <c r="AU64" s="187">
        <f t="shared" si="22"/>
        <v>0</v>
      </c>
      <c r="AV64" s="187">
        <f t="shared" si="22"/>
        <v>0</v>
      </c>
      <c r="AW64" s="187">
        <f t="shared" si="22"/>
        <v>0</v>
      </c>
      <c r="AX64" s="187">
        <f t="shared" si="22"/>
        <v>0</v>
      </c>
      <c r="AY64" s="187">
        <f t="shared" si="22"/>
        <v>0</v>
      </c>
      <c r="AZ64" s="187">
        <f t="shared" si="22"/>
        <v>0</v>
      </c>
      <c r="BA64" s="187">
        <f t="shared" si="22"/>
        <v>0</v>
      </c>
      <c r="BB64" s="188">
        <f t="shared" si="22"/>
        <v>0</v>
      </c>
      <c r="BC64" s="208">
        <f t="shared" si="22"/>
        <v>0</v>
      </c>
      <c r="BD64" s="208">
        <f t="shared" si="22"/>
        <v>0</v>
      </c>
      <c r="BE64" s="188">
        <f t="shared" si="22"/>
        <v>0</v>
      </c>
      <c r="BG64" s="208">
        <f t="shared" si="23"/>
        <v>0</v>
      </c>
      <c r="BH64" s="187">
        <f t="shared" si="23"/>
        <v>0</v>
      </c>
      <c r="BI64" s="187">
        <f t="shared" si="23"/>
        <v>0</v>
      </c>
      <c r="BJ64" s="187">
        <f t="shared" si="23"/>
        <v>0</v>
      </c>
      <c r="BK64" s="187">
        <f t="shared" si="23"/>
        <v>0</v>
      </c>
      <c r="BL64" s="187">
        <f t="shared" si="23"/>
        <v>0</v>
      </c>
      <c r="BM64" s="187">
        <f t="shared" si="23"/>
        <v>0</v>
      </c>
      <c r="BN64" s="187">
        <f t="shared" si="23"/>
        <v>0</v>
      </c>
      <c r="BO64" s="187">
        <f t="shared" si="23"/>
        <v>0</v>
      </c>
      <c r="BP64" s="187">
        <f t="shared" si="23"/>
        <v>0</v>
      </c>
      <c r="BQ64" s="187">
        <f t="shared" si="23"/>
        <v>0</v>
      </c>
      <c r="BR64" s="188">
        <f t="shared" si="23"/>
        <v>0</v>
      </c>
      <c r="BS64" s="208">
        <f t="shared" si="23"/>
        <v>0</v>
      </c>
      <c r="BT64" s="208">
        <f t="shared" si="23"/>
        <v>0</v>
      </c>
      <c r="BU64" s="188">
        <f t="shared" si="23"/>
        <v>0</v>
      </c>
      <c r="BW64" s="208">
        <f t="shared" si="24"/>
        <v>2</v>
      </c>
      <c r="BX64" s="187">
        <f t="shared" si="24"/>
        <v>2</v>
      </c>
      <c r="BY64" s="187">
        <f t="shared" si="24"/>
        <v>2</v>
      </c>
      <c r="BZ64" s="187">
        <f t="shared" si="24"/>
        <v>0</v>
      </c>
      <c r="CA64" s="187">
        <f t="shared" si="24"/>
        <v>2</v>
      </c>
      <c r="CB64" s="187">
        <f t="shared" si="24"/>
        <v>0</v>
      </c>
      <c r="CC64" s="187">
        <f t="shared" si="24"/>
        <v>0</v>
      </c>
      <c r="CD64" s="187">
        <f t="shared" si="24"/>
        <v>0</v>
      </c>
      <c r="CE64" s="187">
        <f t="shared" si="24"/>
        <v>0</v>
      </c>
      <c r="CF64" s="187">
        <f t="shared" si="24"/>
        <v>2</v>
      </c>
      <c r="CG64" s="187">
        <f t="shared" si="24"/>
        <v>0</v>
      </c>
      <c r="CH64" s="188">
        <f t="shared" si="24"/>
        <v>0</v>
      </c>
      <c r="CI64" s="208">
        <f t="shared" si="24"/>
        <v>0</v>
      </c>
      <c r="CJ64" s="208">
        <f t="shared" si="24"/>
        <v>0</v>
      </c>
      <c r="CK64" s="188">
        <f t="shared" si="24"/>
        <v>0</v>
      </c>
      <c r="CM64" s="208">
        <f t="shared" si="25"/>
        <v>0</v>
      </c>
      <c r="CN64" s="187">
        <f t="shared" si="25"/>
        <v>0</v>
      </c>
      <c r="CO64" s="187">
        <f t="shared" si="25"/>
        <v>0</v>
      </c>
      <c r="CP64" s="187">
        <f t="shared" si="25"/>
        <v>0</v>
      </c>
      <c r="CQ64" s="187">
        <f t="shared" si="25"/>
        <v>0</v>
      </c>
      <c r="CR64" s="187">
        <f t="shared" si="25"/>
        <v>0</v>
      </c>
      <c r="CS64" s="187">
        <f t="shared" si="25"/>
        <v>0</v>
      </c>
      <c r="CT64" s="187">
        <f t="shared" si="25"/>
        <v>0</v>
      </c>
      <c r="CU64" s="187">
        <f t="shared" si="25"/>
        <v>0</v>
      </c>
      <c r="CV64" s="187">
        <f t="shared" si="25"/>
        <v>0</v>
      </c>
      <c r="CW64" s="187">
        <f t="shared" si="25"/>
        <v>0</v>
      </c>
      <c r="CX64" s="188">
        <f t="shared" si="25"/>
        <v>0</v>
      </c>
      <c r="CY64" s="208">
        <f t="shared" si="25"/>
        <v>0</v>
      </c>
      <c r="CZ64" s="208">
        <f t="shared" si="25"/>
        <v>0</v>
      </c>
      <c r="DA64" s="188">
        <f t="shared" si="25"/>
        <v>0</v>
      </c>
    </row>
    <row r="65" spans="1:105" ht="28.8">
      <c r="A65" s="219" t="s">
        <v>242</v>
      </c>
      <c r="B65" s="220" t="s">
        <v>243</v>
      </c>
      <c r="C65" s="221" t="s">
        <v>225</v>
      </c>
      <c r="D65" s="188">
        <v>2</v>
      </c>
      <c r="E65" s="208"/>
      <c r="F65" s="187"/>
      <c r="G65" s="187"/>
      <c r="H65" s="187"/>
      <c r="I65" s="187">
        <v>1</v>
      </c>
      <c r="J65" s="208">
        <v>1</v>
      </c>
      <c r="K65" s="187">
        <v>1</v>
      </c>
      <c r="L65" s="187">
        <v>1</v>
      </c>
      <c r="M65" s="187"/>
      <c r="N65" s="187">
        <v>1</v>
      </c>
      <c r="O65" s="187"/>
      <c r="P65" s="187"/>
      <c r="Q65" s="187"/>
      <c r="R65" s="187"/>
      <c r="S65" s="187">
        <v>1</v>
      </c>
      <c r="T65" s="187">
        <v>1</v>
      </c>
      <c r="U65" s="188"/>
      <c r="V65" s="208"/>
      <c r="W65" s="187"/>
      <c r="X65" s="188"/>
      <c r="Y65" s="187"/>
      <c r="AA65" s="208">
        <f t="shared" si="21"/>
        <v>0</v>
      </c>
      <c r="AB65" s="187">
        <f t="shared" si="21"/>
        <v>0</v>
      </c>
      <c r="AC65" s="187">
        <f t="shared" si="21"/>
        <v>0</v>
      </c>
      <c r="AD65" s="187">
        <f t="shared" si="21"/>
        <v>0</v>
      </c>
      <c r="AE65" s="187">
        <f t="shared" si="21"/>
        <v>0</v>
      </c>
      <c r="AF65" s="187">
        <f t="shared" si="21"/>
        <v>0</v>
      </c>
      <c r="AG65" s="187">
        <f t="shared" si="21"/>
        <v>0</v>
      </c>
      <c r="AH65" s="187">
        <f t="shared" si="21"/>
        <v>0</v>
      </c>
      <c r="AI65" s="187">
        <f t="shared" si="21"/>
        <v>0</v>
      </c>
      <c r="AJ65" s="187">
        <f t="shared" si="21"/>
        <v>0</v>
      </c>
      <c r="AK65" s="187">
        <f t="shared" si="21"/>
        <v>0</v>
      </c>
      <c r="AL65" s="187">
        <f t="shared" si="21"/>
        <v>0</v>
      </c>
      <c r="AM65" s="208">
        <f t="shared" si="21"/>
        <v>0</v>
      </c>
      <c r="AN65" s="187">
        <f t="shared" si="21"/>
        <v>0</v>
      </c>
      <c r="AO65" s="188">
        <f t="shared" si="21"/>
        <v>0</v>
      </c>
      <c r="AQ65" s="208">
        <f t="shared" si="22"/>
        <v>0</v>
      </c>
      <c r="AR65" s="187">
        <f t="shared" si="22"/>
        <v>0</v>
      </c>
      <c r="AS65" s="187">
        <f t="shared" si="22"/>
        <v>0</v>
      </c>
      <c r="AT65" s="187">
        <f t="shared" si="22"/>
        <v>0</v>
      </c>
      <c r="AU65" s="187">
        <f t="shared" si="22"/>
        <v>0</v>
      </c>
      <c r="AV65" s="187">
        <f t="shared" si="22"/>
        <v>0</v>
      </c>
      <c r="AW65" s="187">
        <f t="shared" si="22"/>
        <v>0</v>
      </c>
      <c r="AX65" s="187">
        <f t="shared" si="22"/>
        <v>0</v>
      </c>
      <c r="AY65" s="187">
        <f t="shared" si="22"/>
        <v>0</v>
      </c>
      <c r="AZ65" s="187">
        <f t="shared" si="22"/>
        <v>0</v>
      </c>
      <c r="BA65" s="187">
        <f t="shared" si="22"/>
        <v>0</v>
      </c>
      <c r="BB65" s="188">
        <f t="shared" si="22"/>
        <v>0</v>
      </c>
      <c r="BC65" s="208">
        <f t="shared" si="22"/>
        <v>0</v>
      </c>
      <c r="BD65" s="208">
        <f t="shared" si="22"/>
        <v>0</v>
      </c>
      <c r="BE65" s="188">
        <f t="shared" si="22"/>
        <v>0</v>
      </c>
      <c r="BG65" s="208">
        <f t="shared" si="23"/>
        <v>0</v>
      </c>
      <c r="BH65" s="187">
        <f t="shared" si="23"/>
        <v>0</v>
      </c>
      <c r="BI65" s="187">
        <f t="shared" si="23"/>
        <v>0</v>
      </c>
      <c r="BJ65" s="187">
        <f t="shared" si="23"/>
        <v>0</v>
      </c>
      <c r="BK65" s="187">
        <f t="shared" si="23"/>
        <v>0</v>
      </c>
      <c r="BL65" s="187">
        <f t="shared" si="23"/>
        <v>0</v>
      </c>
      <c r="BM65" s="187">
        <f t="shared" si="23"/>
        <v>0</v>
      </c>
      <c r="BN65" s="187">
        <f t="shared" si="23"/>
        <v>0</v>
      </c>
      <c r="BO65" s="187">
        <f t="shared" si="23"/>
        <v>0</v>
      </c>
      <c r="BP65" s="187">
        <f t="shared" si="23"/>
        <v>0</v>
      </c>
      <c r="BQ65" s="187">
        <f t="shared" si="23"/>
        <v>0</v>
      </c>
      <c r="BR65" s="188">
        <f t="shared" si="23"/>
        <v>0</v>
      </c>
      <c r="BS65" s="208">
        <f t="shared" si="23"/>
        <v>0</v>
      </c>
      <c r="BT65" s="208">
        <f t="shared" si="23"/>
        <v>0</v>
      </c>
      <c r="BU65" s="188">
        <f t="shared" si="23"/>
        <v>0</v>
      </c>
      <c r="BW65" s="208">
        <f t="shared" si="24"/>
        <v>0</v>
      </c>
      <c r="BX65" s="187">
        <f t="shared" si="24"/>
        <v>0</v>
      </c>
      <c r="BY65" s="187">
        <f t="shared" si="24"/>
        <v>0</v>
      </c>
      <c r="BZ65" s="187">
        <f t="shared" si="24"/>
        <v>0</v>
      </c>
      <c r="CA65" s="187">
        <f t="shared" si="24"/>
        <v>0</v>
      </c>
      <c r="CB65" s="187">
        <f t="shared" si="24"/>
        <v>0</v>
      </c>
      <c r="CC65" s="187">
        <f t="shared" si="24"/>
        <v>0</v>
      </c>
      <c r="CD65" s="187">
        <f t="shared" si="24"/>
        <v>0</v>
      </c>
      <c r="CE65" s="187">
        <f t="shared" si="24"/>
        <v>0</v>
      </c>
      <c r="CF65" s="187">
        <f t="shared" si="24"/>
        <v>0</v>
      </c>
      <c r="CG65" s="187">
        <f t="shared" si="24"/>
        <v>0</v>
      </c>
      <c r="CH65" s="188">
        <f t="shared" si="24"/>
        <v>0</v>
      </c>
      <c r="CI65" s="208">
        <f t="shared" si="24"/>
        <v>0</v>
      </c>
      <c r="CJ65" s="208">
        <f t="shared" si="24"/>
        <v>0</v>
      </c>
      <c r="CK65" s="188">
        <f t="shared" si="24"/>
        <v>0</v>
      </c>
      <c r="CM65" s="208">
        <f t="shared" si="25"/>
        <v>2</v>
      </c>
      <c r="CN65" s="187">
        <f t="shared" si="25"/>
        <v>2</v>
      </c>
      <c r="CO65" s="187">
        <f t="shared" si="25"/>
        <v>2</v>
      </c>
      <c r="CP65" s="187">
        <f t="shared" si="25"/>
        <v>0</v>
      </c>
      <c r="CQ65" s="187">
        <f t="shared" si="25"/>
        <v>2</v>
      </c>
      <c r="CR65" s="187">
        <f t="shared" si="25"/>
        <v>0</v>
      </c>
      <c r="CS65" s="187">
        <f t="shared" si="25"/>
        <v>0</v>
      </c>
      <c r="CT65" s="187">
        <f t="shared" si="25"/>
        <v>0</v>
      </c>
      <c r="CU65" s="187">
        <f t="shared" si="25"/>
        <v>0</v>
      </c>
      <c r="CV65" s="187">
        <f t="shared" si="25"/>
        <v>2</v>
      </c>
      <c r="CW65" s="187">
        <f t="shared" si="25"/>
        <v>2</v>
      </c>
      <c r="CX65" s="188">
        <f t="shared" si="25"/>
        <v>0</v>
      </c>
      <c r="CY65" s="208">
        <f t="shared" si="25"/>
        <v>0</v>
      </c>
      <c r="CZ65" s="208">
        <f t="shared" si="25"/>
        <v>0</v>
      </c>
      <c r="DA65" s="188">
        <f t="shared" si="25"/>
        <v>0</v>
      </c>
    </row>
    <row r="66" spans="1:105" ht="15" customHeight="1">
      <c r="A66" s="219" t="s">
        <v>244</v>
      </c>
      <c r="B66" s="220"/>
      <c r="C66" s="221"/>
      <c r="D66" s="188"/>
      <c r="E66" s="208"/>
      <c r="F66" s="187"/>
      <c r="G66" s="187"/>
      <c r="H66" s="187"/>
      <c r="I66" s="187"/>
      <c r="J66" s="208"/>
      <c r="K66" s="187"/>
      <c r="L66" s="187"/>
      <c r="M66" s="187"/>
      <c r="N66" s="187"/>
      <c r="O66" s="187"/>
      <c r="P66" s="187"/>
      <c r="Q66" s="187"/>
      <c r="R66" s="187"/>
      <c r="S66" s="187"/>
      <c r="T66" s="187"/>
      <c r="U66" s="188"/>
      <c r="V66" s="208"/>
      <c r="W66" s="187"/>
      <c r="X66" s="188"/>
      <c r="Y66" s="187"/>
      <c r="AA66" s="208">
        <f t="shared" si="21"/>
        <v>0</v>
      </c>
      <c r="AB66" s="187">
        <f t="shared" si="21"/>
        <v>0</v>
      </c>
      <c r="AC66" s="187">
        <f t="shared" si="21"/>
        <v>0</v>
      </c>
      <c r="AD66" s="187">
        <f t="shared" si="21"/>
        <v>0</v>
      </c>
      <c r="AE66" s="187">
        <f t="shared" si="21"/>
        <v>0</v>
      </c>
      <c r="AF66" s="187">
        <f t="shared" si="21"/>
        <v>0</v>
      </c>
      <c r="AG66" s="187">
        <f t="shared" si="21"/>
        <v>0</v>
      </c>
      <c r="AH66" s="187">
        <f t="shared" si="21"/>
        <v>0</v>
      </c>
      <c r="AI66" s="187">
        <f t="shared" si="21"/>
        <v>0</v>
      </c>
      <c r="AJ66" s="187">
        <f t="shared" si="21"/>
        <v>0</v>
      </c>
      <c r="AK66" s="187">
        <f t="shared" si="21"/>
        <v>0</v>
      </c>
      <c r="AL66" s="187">
        <f t="shared" si="21"/>
        <v>0</v>
      </c>
      <c r="AM66" s="208">
        <f t="shared" si="21"/>
        <v>0</v>
      </c>
      <c r="AN66" s="187">
        <f t="shared" si="21"/>
        <v>0</v>
      </c>
      <c r="AO66" s="188">
        <f t="shared" si="21"/>
        <v>0</v>
      </c>
      <c r="AQ66" s="208">
        <f t="shared" si="22"/>
        <v>0</v>
      </c>
      <c r="AR66" s="187">
        <f t="shared" si="22"/>
        <v>0</v>
      </c>
      <c r="AS66" s="187">
        <f t="shared" si="22"/>
        <v>0</v>
      </c>
      <c r="AT66" s="187">
        <f t="shared" si="22"/>
        <v>0</v>
      </c>
      <c r="AU66" s="187">
        <f t="shared" si="22"/>
        <v>0</v>
      </c>
      <c r="AV66" s="187">
        <f t="shared" si="22"/>
        <v>0</v>
      </c>
      <c r="AW66" s="187">
        <f t="shared" si="22"/>
        <v>0</v>
      </c>
      <c r="AX66" s="187">
        <f t="shared" si="22"/>
        <v>0</v>
      </c>
      <c r="AY66" s="187">
        <f t="shared" si="22"/>
        <v>0</v>
      </c>
      <c r="AZ66" s="187">
        <f t="shared" si="22"/>
        <v>0</v>
      </c>
      <c r="BA66" s="187">
        <f t="shared" si="22"/>
        <v>0</v>
      </c>
      <c r="BB66" s="188">
        <f t="shared" si="22"/>
        <v>0</v>
      </c>
      <c r="BC66" s="208">
        <f t="shared" si="22"/>
        <v>0</v>
      </c>
      <c r="BD66" s="208">
        <f t="shared" si="22"/>
        <v>0</v>
      </c>
      <c r="BE66" s="188">
        <f t="shared" si="22"/>
        <v>0</v>
      </c>
      <c r="BG66" s="208">
        <f t="shared" si="23"/>
        <v>0</v>
      </c>
      <c r="BH66" s="187">
        <f t="shared" si="23"/>
        <v>0</v>
      </c>
      <c r="BI66" s="187">
        <f t="shared" si="23"/>
        <v>0</v>
      </c>
      <c r="BJ66" s="187">
        <f t="shared" si="23"/>
        <v>0</v>
      </c>
      <c r="BK66" s="187">
        <f t="shared" si="23"/>
        <v>0</v>
      </c>
      <c r="BL66" s="187">
        <f t="shared" si="23"/>
        <v>0</v>
      </c>
      <c r="BM66" s="187">
        <f t="shared" si="23"/>
        <v>0</v>
      </c>
      <c r="BN66" s="187">
        <f t="shared" si="23"/>
        <v>0</v>
      </c>
      <c r="BO66" s="187">
        <f t="shared" si="23"/>
        <v>0</v>
      </c>
      <c r="BP66" s="187">
        <f t="shared" si="23"/>
        <v>0</v>
      </c>
      <c r="BQ66" s="187">
        <f t="shared" si="23"/>
        <v>0</v>
      </c>
      <c r="BR66" s="188">
        <f t="shared" si="23"/>
        <v>0</v>
      </c>
      <c r="BS66" s="208">
        <f t="shared" si="23"/>
        <v>0</v>
      </c>
      <c r="BT66" s="208">
        <f t="shared" si="23"/>
        <v>0</v>
      </c>
      <c r="BU66" s="188">
        <f t="shared" si="23"/>
        <v>0</v>
      </c>
      <c r="BW66" s="208">
        <f t="shared" si="24"/>
        <v>0</v>
      </c>
      <c r="BX66" s="187">
        <f t="shared" si="24"/>
        <v>0</v>
      </c>
      <c r="BY66" s="187">
        <f t="shared" si="24"/>
        <v>0</v>
      </c>
      <c r="BZ66" s="187">
        <f t="shared" si="24"/>
        <v>0</v>
      </c>
      <c r="CA66" s="187">
        <f t="shared" si="24"/>
        <v>0</v>
      </c>
      <c r="CB66" s="187">
        <f t="shared" si="24"/>
        <v>0</v>
      </c>
      <c r="CC66" s="187">
        <f t="shared" si="24"/>
        <v>0</v>
      </c>
      <c r="CD66" s="187">
        <f t="shared" si="24"/>
        <v>0</v>
      </c>
      <c r="CE66" s="187">
        <f t="shared" si="24"/>
        <v>0</v>
      </c>
      <c r="CF66" s="187">
        <f t="shared" si="24"/>
        <v>0</v>
      </c>
      <c r="CG66" s="187">
        <f t="shared" si="24"/>
        <v>0</v>
      </c>
      <c r="CH66" s="188">
        <f t="shared" si="24"/>
        <v>0</v>
      </c>
      <c r="CI66" s="208">
        <f t="shared" si="24"/>
        <v>0</v>
      </c>
      <c r="CJ66" s="208">
        <f t="shared" si="24"/>
        <v>0</v>
      </c>
      <c r="CK66" s="188">
        <f t="shared" si="24"/>
        <v>0</v>
      </c>
      <c r="CM66" s="208">
        <f t="shared" si="25"/>
        <v>0</v>
      </c>
      <c r="CN66" s="187">
        <f t="shared" si="25"/>
        <v>0</v>
      </c>
      <c r="CO66" s="187">
        <f t="shared" si="25"/>
        <v>0</v>
      </c>
      <c r="CP66" s="187">
        <f t="shared" si="25"/>
        <v>0</v>
      </c>
      <c r="CQ66" s="187">
        <f t="shared" si="25"/>
        <v>0</v>
      </c>
      <c r="CR66" s="187">
        <f t="shared" si="25"/>
        <v>0</v>
      </c>
      <c r="CS66" s="187">
        <f t="shared" si="25"/>
        <v>0</v>
      </c>
      <c r="CT66" s="187">
        <f t="shared" si="25"/>
        <v>0</v>
      </c>
      <c r="CU66" s="187">
        <f t="shared" si="25"/>
        <v>0</v>
      </c>
      <c r="CV66" s="187">
        <f t="shared" si="25"/>
        <v>0</v>
      </c>
      <c r="CW66" s="187">
        <f t="shared" si="25"/>
        <v>0</v>
      </c>
      <c r="CX66" s="188">
        <f t="shared" si="25"/>
        <v>0</v>
      </c>
      <c r="CY66" s="208">
        <f t="shared" si="25"/>
        <v>0</v>
      </c>
      <c r="CZ66" s="208">
        <f t="shared" si="25"/>
        <v>0</v>
      </c>
      <c r="DA66" s="188">
        <f t="shared" si="25"/>
        <v>0</v>
      </c>
    </row>
    <row r="67" spans="1:105" ht="15" customHeight="1">
      <c r="A67" s="219" t="s">
        <v>245</v>
      </c>
      <c r="B67" s="220"/>
      <c r="C67" s="221"/>
      <c r="D67" s="188"/>
      <c r="E67" s="208"/>
      <c r="F67" s="187"/>
      <c r="G67" s="187"/>
      <c r="H67" s="187"/>
      <c r="I67" s="187"/>
      <c r="J67" s="208"/>
      <c r="K67" s="187"/>
      <c r="L67" s="187"/>
      <c r="M67" s="187"/>
      <c r="N67" s="187"/>
      <c r="O67" s="187"/>
      <c r="P67" s="187"/>
      <c r="Q67" s="187"/>
      <c r="R67" s="187"/>
      <c r="S67" s="187"/>
      <c r="T67" s="187"/>
      <c r="U67" s="188"/>
      <c r="V67" s="208"/>
      <c r="W67" s="187"/>
      <c r="X67" s="188"/>
      <c r="Y67" s="187"/>
      <c r="AA67" s="208">
        <f t="shared" si="21"/>
        <v>0</v>
      </c>
      <c r="AB67" s="187">
        <f t="shared" si="21"/>
        <v>0</v>
      </c>
      <c r="AC67" s="187">
        <f t="shared" si="21"/>
        <v>0</v>
      </c>
      <c r="AD67" s="187">
        <f t="shared" si="21"/>
        <v>0</v>
      </c>
      <c r="AE67" s="187">
        <f t="shared" si="21"/>
        <v>0</v>
      </c>
      <c r="AF67" s="187">
        <f t="shared" si="21"/>
        <v>0</v>
      </c>
      <c r="AG67" s="187">
        <f t="shared" si="21"/>
        <v>0</v>
      </c>
      <c r="AH67" s="187">
        <f t="shared" si="21"/>
        <v>0</v>
      </c>
      <c r="AI67" s="187">
        <f t="shared" si="21"/>
        <v>0</v>
      </c>
      <c r="AJ67" s="187">
        <f t="shared" si="21"/>
        <v>0</v>
      </c>
      <c r="AK67" s="187">
        <f t="shared" si="21"/>
        <v>0</v>
      </c>
      <c r="AL67" s="187">
        <f t="shared" si="21"/>
        <v>0</v>
      </c>
      <c r="AM67" s="208">
        <f t="shared" si="21"/>
        <v>0</v>
      </c>
      <c r="AN67" s="187">
        <f t="shared" si="21"/>
        <v>0</v>
      </c>
      <c r="AO67" s="188">
        <f t="shared" si="21"/>
        <v>0</v>
      </c>
      <c r="AQ67" s="208">
        <f t="shared" si="22"/>
        <v>0</v>
      </c>
      <c r="AR67" s="187">
        <f t="shared" si="22"/>
        <v>0</v>
      </c>
      <c r="AS67" s="187">
        <f t="shared" si="22"/>
        <v>0</v>
      </c>
      <c r="AT67" s="187">
        <f t="shared" si="22"/>
        <v>0</v>
      </c>
      <c r="AU67" s="187">
        <f t="shared" si="22"/>
        <v>0</v>
      </c>
      <c r="AV67" s="187">
        <f t="shared" si="22"/>
        <v>0</v>
      </c>
      <c r="AW67" s="187">
        <f t="shared" si="22"/>
        <v>0</v>
      </c>
      <c r="AX67" s="187">
        <f t="shared" si="22"/>
        <v>0</v>
      </c>
      <c r="AY67" s="187">
        <f t="shared" si="22"/>
        <v>0</v>
      </c>
      <c r="AZ67" s="187">
        <f t="shared" si="22"/>
        <v>0</v>
      </c>
      <c r="BA67" s="187">
        <f t="shared" si="22"/>
        <v>0</v>
      </c>
      <c r="BB67" s="188">
        <f t="shared" si="22"/>
        <v>0</v>
      </c>
      <c r="BC67" s="208">
        <f t="shared" si="22"/>
        <v>0</v>
      </c>
      <c r="BD67" s="208">
        <f t="shared" si="22"/>
        <v>0</v>
      </c>
      <c r="BE67" s="188">
        <f t="shared" si="22"/>
        <v>0</v>
      </c>
      <c r="BG67" s="208">
        <f t="shared" si="23"/>
        <v>0</v>
      </c>
      <c r="BH67" s="187">
        <f t="shared" si="23"/>
        <v>0</v>
      </c>
      <c r="BI67" s="187">
        <f t="shared" si="23"/>
        <v>0</v>
      </c>
      <c r="BJ67" s="187">
        <f t="shared" si="23"/>
        <v>0</v>
      </c>
      <c r="BK67" s="187">
        <f t="shared" si="23"/>
        <v>0</v>
      </c>
      <c r="BL67" s="187">
        <f t="shared" si="23"/>
        <v>0</v>
      </c>
      <c r="BM67" s="187">
        <f t="shared" si="23"/>
        <v>0</v>
      </c>
      <c r="BN67" s="187">
        <f t="shared" si="23"/>
        <v>0</v>
      </c>
      <c r="BO67" s="187">
        <f t="shared" si="23"/>
        <v>0</v>
      </c>
      <c r="BP67" s="187">
        <f t="shared" si="23"/>
        <v>0</v>
      </c>
      <c r="BQ67" s="187">
        <f t="shared" si="23"/>
        <v>0</v>
      </c>
      <c r="BR67" s="188">
        <f t="shared" si="23"/>
        <v>0</v>
      </c>
      <c r="BS67" s="208">
        <f t="shared" si="23"/>
        <v>0</v>
      </c>
      <c r="BT67" s="208">
        <f t="shared" si="23"/>
        <v>0</v>
      </c>
      <c r="BU67" s="188">
        <f t="shared" si="23"/>
        <v>0</v>
      </c>
      <c r="BW67" s="208">
        <f t="shared" si="24"/>
        <v>0</v>
      </c>
      <c r="BX67" s="187">
        <f t="shared" si="24"/>
        <v>0</v>
      </c>
      <c r="BY67" s="187">
        <f t="shared" si="24"/>
        <v>0</v>
      </c>
      <c r="BZ67" s="187">
        <f t="shared" si="24"/>
        <v>0</v>
      </c>
      <c r="CA67" s="187">
        <f t="shared" si="24"/>
        <v>0</v>
      </c>
      <c r="CB67" s="187">
        <f t="shared" si="24"/>
        <v>0</v>
      </c>
      <c r="CC67" s="187">
        <f t="shared" si="24"/>
        <v>0</v>
      </c>
      <c r="CD67" s="187">
        <f t="shared" si="24"/>
        <v>0</v>
      </c>
      <c r="CE67" s="187">
        <f t="shared" si="24"/>
        <v>0</v>
      </c>
      <c r="CF67" s="187">
        <f t="shared" si="24"/>
        <v>0</v>
      </c>
      <c r="CG67" s="187">
        <f t="shared" si="24"/>
        <v>0</v>
      </c>
      <c r="CH67" s="188">
        <f t="shared" si="24"/>
        <v>0</v>
      </c>
      <c r="CI67" s="208">
        <f t="shared" si="24"/>
        <v>0</v>
      </c>
      <c r="CJ67" s="208">
        <f t="shared" si="24"/>
        <v>0</v>
      </c>
      <c r="CK67" s="188">
        <f t="shared" si="24"/>
        <v>0</v>
      </c>
      <c r="CM67" s="208">
        <f t="shared" si="25"/>
        <v>0</v>
      </c>
      <c r="CN67" s="187">
        <f t="shared" si="25"/>
        <v>0</v>
      </c>
      <c r="CO67" s="187">
        <f t="shared" si="25"/>
        <v>0</v>
      </c>
      <c r="CP67" s="187">
        <f t="shared" si="25"/>
        <v>0</v>
      </c>
      <c r="CQ67" s="187">
        <f t="shared" si="25"/>
        <v>0</v>
      </c>
      <c r="CR67" s="187">
        <f t="shared" si="25"/>
        <v>0</v>
      </c>
      <c r="CS67" s="187">
        <f t="shared" si="25"/>
        <v>0</v>
      </c>
      <c r="CT67" s="187">
        <f t="shared" si="25"/>
        <v>0</v>
      </c>
      <c r="CU67" s="187">
        <f t="shared" si="25"/>
        <v>0</v>
      </c>
      <c r="CV67" s="187">
        <f t="shared" si="25"/>
        <v>0</v>
      </c>
      <c r="CW67" s="187">
        <f t="shared" si="25"/>
        <v>0</v>
      </c>
      <c r="CX67" s="188">
        <f t="shared" si="25"/>
        <v>0</v>
      </c>
      <c r="CY67" s="208">
        <f t="shared" si="25"/>
        <v>0</v>
      </c>
      <c r="CZ67" s="208">
        <f t="shared" si="25"/>
        <v>0</v>
      </c>
      <c r="DA67" s="188">
        <f t="shared" si="25"/>
        <v>0</v>
      </c>
    </row>
    <row r="68" spans="1:105" ht="15" customHeight="1">
      <c r="A68" s="219" t="s">
        <v>246</v>
      </c>
      <c r="B68" s="220"/>
      <c r="C68" s="221"/>
      <c r="D68" s="188"/>
      <c r="E68" s="208"/>
      <c r="F68" s="187"/>
      <c r="G68" s="187"/>
      <c r="H68" s="187"/>
      <c r="I68" s="187"/>
      <c r="J68" s="208"/>
      <c r="K68" s="187"/>
      <c r="L68" s="187"/>
      <c r="M68" s="187"/>
      <c r="N68" s="187"/>
      <c r="O68" s="187"/>
      <c r="P68" s="187"/>
      <c r="Q68" s="187"/>
      <c r="R68" s="187"/>
      <c r="S68" s="187"/>
      <c r="T68" s="187"/>
      <c r="U68" s="188"/>
      <c r="V68" s="208"/>
      <c r="W68" s="187"/>
      <c r="X68" s="188"/>
      <c r="Y68" s="187"/>
      <c r="AA68" s="208">
        <f t="shared" si="21"/>
        <v>0</v>
      </c>
      <c r="AB68" s="187">
        <f t="shared" si="21"/>
        <v>0</v>
      </c>
      <c r="AC68" s="187">
        <f t="shared" si="21"/>
        <v>0</v>
      </c>
      <c r="AD68" s="187">
        <f t="shared" si="21"/>
        <v>0</v>
      </c>
      <c r="AE68" s="187">
        <f t="shared" si="21"/>
        <v>0</v>
      </c>
      <c r="AF68" s="187">
        <f t="shared" si="21"/>
        <v>0</v>
      </c>
      <c r="AG68" s="187">
        <f t="shared" si="21"/>
        <v>0</v>
      </c>
      <c r="AH68" s="187">
        <f t="shared" si="21"/>
        <v>0</v>
      </c>
      <c r="AI68" s="187">
        <f t="shared" si="21"/>
        <v>0</v>
      </c>
      <c r="AJ68" s="187">
        <f t="shared" si="21"/>
        <v>0</v>
      </c>
      <c r="AK68" s="187">
        <f t="shared" si="21"/>
        <v>0</v>
      </c>
      <c r="AL68" s="187">
        <f t="shared" si="21"/>
        <v>0</v>
      </c>
      <c r="AM68" s="208">
        <f t="shared" si="21"/>
        <v>0</v>
      </c>
      <c r="AN68" s="187">
        <f t="shared" si="21"/>
        <v>0</v>
      </c>
      <c r="AO68" s="188">
        <f t="shared" si="21"/>
        <v>0</v>
      </c>
      <c r="AQ68" s="208">
        <f t="shared" si="22"/>
        <v>0</v>
      </c>
      <c r="AR68" s="187">
        <f t="shared" si="22"/>
        <v>0</v>
      </c>
      <c r="AS68" s="187">
        <f t="shared" si="22"/>
        <v>0</v>
      </c>
      <c r="AT68" s="187">
        <f t="shared" si="22"/>
        <v>0</v>
      </c>
      <c r="AU68" s="187">
        <f t="shared" si="22"/>
        <v>0</v>
      </c>
      <c r="AV68" s="187">
        <f t="shared" si="22"/>
        <v>0</v>
      </c>
      <c r="AW68" s="187">
        <f t="shared" si="22"/>
        <v>0</v>
      </c>
      <c r="AX68" s="187">
        <f t="shared" si="22"/>
        <v>0</v>
      </c>
      <c r="AY68" s="187">
        <f t="shared" si="22"/>
        <v>0</v>
      </c>
      <c r="AZ68" s="187">
        <f t="shared" si="22"/>
        <v>0</v>
      </c>
      <c r="BA68" s="187">
        <f t="shared" si="22"/>
        <v>0</v>
      </c>
      <c r="BB68" s="188">
        <f t="shared" si="22"/>
        <v>0</v>
      </c>
      <c r="BC68" s="208">
        <f t="shared" si="22"/>
        <v>0</v>
      </c>
      <c r="BD68" s="208">
        <f t="shared" si="22"/>
        <v>0</v>
      </c>
      <c r="BE68" s="188">
        <f t="shared" si="22"/>
        <v>0</v>
      </c>
      <c r="BG68" s="208">
        <f t="shared" si="23"/>
        <v>0</v>
      </c>
      <c r="BH68" s="187">
        <f t="shared" si="23"/>
        <v>0</v>
      </c>
      <c r="BI68" s="187">
        <f t="shared" si="23"/>
        <v>0</v>
      </c>
      <c r="BJ68" s="187">
        <f t="shared" si="23"/>
        <v>0</v>
      </c>
      <c r="BK68" s="187">
        <f t="shared" si="23"/>
        <v>0</v>
      </c>
      <c r="BL68" s="187">
        <f t="shared" si="23"/>
        <v>0</v>
      </c>
      <c r="BM68" s="187">
        <f t="shared" si="23"/>
        <v>0</v>
      </c>
      <c r="BN68" s="187">
        <f t="shared" si="23"/>
        <v>0</v>
      </c>
      <c r="BO68" s="187">
        <f t="shared" si="23"/>
        <v>0</v>
      </c>
      <c r="BP68" s="187">
        <f t="shared" si="23"/>
        <v>0</v>
      </c>
      <c r="BQ68" s="187">
        <f t="shared" si="23"/>
        <v>0</v>
      </c>
      <c r="BR68" s="188">
        <f t="shared" si="23"/>
        <v>0</v>
      </c>
      <c r="BS68" s="208">
        <f t="shared" si="23"/>
        <v>0</v>
      </c>
      <c r="BT68" s="208">
        <f t="shared" si="23"/>
        <v>0</v>
      </c>
      <c r="BU68" s="188">
        <f t="shared" si="23"/>
        <v>0</v>
      </c>
      <c r="BW68" s="208">
        <f t="shared" si="24"/>
        <v>0</v>
      </c>
      <c r="BX68" s="187">
        <f t="shared" si="24"/>
        <v>0</v>
      </c>
      <c r="BY68" s="187">
        <f t="shared" si="24"/>
        <v>0</v>
      </c>
      <c r="BZ68" s="187">
        <f t="shared" si="24"/>
        <v>0</v>
      </c>
      <c r="CA68" s="187">
        <f t="shared" si="24"/>
        <v>0</v>
      </c>
      <c r="CB68" s="187">
        <f t="shared" si="24"/>
        <v>0</v>
      </c>
      <c r="CC68" s="187">
        <f t="shared" si="24"/>
        <v>0</v>
      </c>
      <c r="CD68" s="187">
        <f t="shared" si="24"/>
        <v>0</v>
      </c>
      <c r="CE68" s="187">
        <f t="shared" si="24"/>
        <v>0</v>
      </c>
      <c r="CF68" s="187">
        <f t="shared" si="24"/>
        <v>0</v>
      </c>
      <c r="CG68" s="187">
        <f t="shared" si="24"/>
        <v>0</v>
      </c>
      <c r="CH68" s="188">
        <f t="shared" si="24"/>
        <v>0</v>
      </c>
      <c r="CI68" s="208">
        <f t="shared" si="24"/>
        <v>0</v>
      </c>
      <c r="CJ68" s="208">
        <f t="shared" si="24"/>
        <v>0</v>
      </c>
      <c r="CK68" s="188">
        <f t="shared" si="24"/>
        <v>0</v>
      </c>
      <c r="CM68" s="208">
        <f t="shared" si="25"/>
        <v>0</v>
      </c>
      <c r="CN68" s="187">
        <f t="shared" si="25"/>
        <v>0</v>
      </c>
      <c r="CO68" s="187">
        <f t="shared" si="25"/>
        <v>0</v>
      </c>
      <c r="CP68" s="187">
        <f t="shared" si="25"/>
        <v>0</v>
      </c>
      <c r="CQ68" s="187">
        <f t="shared" si="25"/>
        <v>0</v>
      </c>
      <c r="CR68" s="187">
        <f t="shared" si="25"/>
        <v>0</v>
      </c>
      <c r="CS68" s="187">
        <f t="shared" si="25"/>
        <v>0</v>
      </c>
      <c r="CT68" s="187">
        <f t="shared" si="25"/>
        <v>0</v>
      </c>
      <c r="CU68" s="187">
        <f t="shared" si="25"/>
        <v>0</v>
      </c>
      <c r="CV68" s="187">
        <f t="shared" si="25"/>
        <v>0</v>
      </c>
      <c r="CW68" s="187">
        <f t="shared" si="25"/>
        <v>0</v>
      </c>
      <c r="CX68" s="188">
        <f t="shared" si="25"/>
        <v>0</v>
      </c>
      <c r="CY68" s="208">
        <f t="shared" si="25"/>
        <v>0</v>
      </c>
      <c r="CZ68" s="208">
        <f t="shared" si="25"/>
        <v>0</v>
      </c>
      <c r="DA68" s="188">
        <f t="shared" si="25"/>
        <v>0</v>
      </c>
    </row>
    <row r="69" spans="1:105" ht="15" customHeight="1">
      <c r="A69" s="219" t="s">
        <v>247</v>
      </c>
      <c r="B69" s="220"/>
      <c r="C69" s="221"/>
      <c r="D69" s="188"/>
      <c r="E69" s="208"/>
      <c r="F69" s="187"/>
      <c r="G69" s="187"/>
      <c r="H69" s="187"/>
      <c r="I69" s="187"/>
      <c r="J69" s="208"/>
      <c r="K69" s="187"/>
      <c r="L69" s="187"/>
      <c r="M69" s="187"/>
      <c r="N69" s="187"/>
      <c r="O69" s="187"/>
      <c r="P69" s="187"/>
      <c r="Q69" s="187"/>
      <c r="R69" s="187"/>
      <c r="S69" s="187"/>
      <c r="T69" s="187"/>
      <c r="U69" s="188"/>
      <c r="V69" s="208"/>
      <c r="W69" s="187"/>
      <c r="X69" s="188"/>
      <c r="Y69" s="187"/>
      <c r="AA69" s="208">
        <f t="shared" si="21"/>
        <v>0</v>
      </c>
      <c r="AB69" s="187">
        <f t="shared" si="21"/>
        <v>0</v>
      </c>
      <c r="AC69" s="187">
        <f t="shared" si="21"/>
        <v>0</v>
      </c>
      <c r="AD69" s="187">
        <f t="shared" si="21"/>
        <v>0</v>
      </c>
      <c r="AE69" s="187">
        <f t="shared" si="21"/>
        <v>0</v>
      </c>
      <c r="AF69" s="187">
        <f t="shared" si="21"/>
        <v>0</v>
      </c>
      <c r="AG69" s="187">
        <f t="shared" si="21"/>
        <v>0</v>
      </c>
      <c r="AH69" s="187">
        <f t="shared" si="21"/>
        <v>0</v>
      </c>
      <c r="AI69" s="187">
        <f t="shared" si="21"/>
        <v>0</v>
      </c>
      <c r="AJ69" s="187">
        <f t="shared" si="21"/>
        <v>0</v>
      </c>
      <c r="AK69" s="187">
        <f t="shared" si="21"/>
        <v>0</v>
      </c>
      <c r="AL69" s="187">
        <f t="shared" si="21"/>
        <v>0</v>
      </c>
      <c r="AM69" s="208">
        <f t="shared" si="21"/>
        <v>0</v>
      </c>
      <c r="AN69" s="187">
        <f t="shared" si="21"/>
        <v>0</v>
      </c>
      <c r="AO69" s="188">
        <f t="shared" si="21"/>
        <v>0</v>
      </c>
      <c r="AQ69" s="208">
        <f t="shared" si="22"/>
        <v>0</v>
      </c>
      <c r="AR69" s="187">
        <f t="shared" si="22"/>
        <v>0</v>
      </c>
      <c r="AS69" s="187">
        <f t="shared" si="22"/>
        <v>0</v>
      </c>
      <c r="AT69" s="187">
        <f t="shared" si="22"/>
        <v>0</v>
      </c>
      <c r="AU69" s="187">
        <f t="shared" si="22"/>
        <v>0</v>
      </c>
      <c r="AV69" s="187">
        <f t="shared" si="22"/>
        <v>0</v>
      </c>
      <c r="AW69" s="187">
        <f t="shared" si="22"/>
        <v>0</v>
      </c>
      <c r="AX69" s="187">
        <f t="shared" si="22"/>
        <v>0</v>
      </c>
      <c r="AY69" s="187">
        <f t="shared" si="22"/>
        <v>0</v>
      </c>
      <c r="AZ69" s="187">
        <f t="shared" si="22"/>
        <v>0</v>
      </c>
      <c r="BA69" s="187">
        <f t="shared" si="22"/>
        <v>0</v>
      </c>
      <c r="BB69" s="188">
        <f t="shared" si="22"/>
        <v>0</v>
      </c>
      <c r="BC69" s="208">
        <f t="shared" si="22"/>
        <v>0</v>
      </c>
      <c r="BD69" s="208">
        <f t="shared" si="22"/>
        <v>0</v>
      </c>
      <c r="BE69" s="188">
        <f t="shared" si="22"/>
        <v>0</v>
      </c>
      <c r="BG69" s="208">
        <f t="shared" si="23"/>
        <v>0</v>
      </c>
      <c r="BH69" s="187">
        <f t="shared" si="23"/>
        <v>0</v>
      </c>
      <c r="BI69" s="187">
        <f t="shared" si="23"/>
        <v>0</v>
      </c>
      <c r="BJ69" s="187">
        <f t="shared" si="23"/>
        <v>0</v>
      </c>
      <c r="BK69" s="187">
        <f t="shared" si="23"/>
        <v>0</v>
      </c>
      <c r="BL69" s="187">
        <f t="shared" si="23"/>
        <v>0</v>
      </c>
      <c r="BM69" s="187">
        <f t="shared" si="23"/>
        <v>0</v>
      </c>
      <c r="BN69" s="187">
        <f t="shared" si="23"/>
        <v>0</v>
      </c>
      <c r="BO69" s="187">
        <f t="shared" si="23"/>
        <v>0</v>
      </c>
      <c r="BP69" s="187">
        <f t="shared" si="23"/>
        <v>0</v>
      </c>
      <c r="BQ69" s="187">
        <f t="shared" si="23"/>
        <v>0</v>
      </c>
      <c r="BR69" s="188">
        <f t="shared" si="23"/>
        <v>0</v>
      </c>
      <c r="BS69" s="208">
        <f t="shared" si="23"/>
        <v>0</v>
      </c>
      <c r="BT69" s="208">
        <f t="shared" si="23"/>
        <v>0</v>
      </c>
      <c r="BU69" s="188">
        <f t="shared" si="23"/>
        <v>0</v>
      </c>
      <c r="BW69" s="208">
        <f t="shared" si="24"/>
        <v>0</v>
      </c>
      <c r="BX69" s="187">
        <f t="shared" si="24"/>
        <v>0</v>
      </c>
      <c r="BY69" s="187">
        <f t="shared" si="24"/>
        <v>0</v>
      </c>
      <c r="BZ69" s="187">
        <f t="shared" si="24"/>
        <v>0</v>
      </c>
      <c r="CA69" s="187">
        <f t="shared" si="24"/>
        <v>0</v>
      </c>
      <c r="CB69" s="187">
        <f t="shared" si="24"/>
        <v>0</v>
      </c>
      <c r="CC69" s="187">
        <f t="shared" si="24"/>
        <v>0</v>
      </c>
      <c r="CD69" s="187">
        <f t="shared" si="24"/>
        <v>0</v>
      </c>
      <c r="CE69" s="187">
        <f t="shared" si="24"/>
        <v>0</v>
      </c>
      <c r="CF69" s="187">
        <f t="shared" si="24"/>
        <v>0</v>
      </c>
      <c r="CG69" s="187">
        <f t="shared" si="24"/>
        <v>0</v>
      </c>
      <c r="CH69" s="188">
        <f t="shared" si="24"/>
        <v>0</v>
      </c>
      <c r="CI69" s="208">
        <f t="shared" si="24"/>
        <v>0</v>
      </c>
      <c r="CJ69" s="208">
        <f t="shared" si="24"/>
        <v>0</v>
      </c>
      <c r="CK69" s="188">
        <f t="shared" si="24"/>
        <v>0</v>
      </c>
      <c r="CM69" s="208">
        <f t="shared" si="25"/>
        <v>0</v>
      </c>
      <c r="CN69" s="187">
        <f t="shared" si="25"/>
        <v>0</v>
      </c>
      <c r="CO69" s="187">
        <f t="shared" si="25"/>
        <v>0</v>
      </c>
      <c r="CP69" s="187">
        <f t="shared" si="25"/>
        <v>0</v>
      </c>
      <c r="CQ69" s="187">
        <f t="shared" si="25"/>
        <v>0</v>
      </c>
      <c r="CR69" s="187">
        <f t="shared" si="25"/>
        <v>0</v>
      </c>
      <c r="CS69" s="187">
        <f t="shared" si="25"/>
        <v>0</v>
      </c>
      <c r="CT69" s="187">
        <f t="shared" si="25"/>
        <v>0</v>
      </c>
      <c r="CU69" s="187">
        <f t="shared" si="25"/>
        <v>0</v>
      </c>
      <c r="CV69" s="187">
        <f t="shared" si="25"/>
        <v>0</v>
      </c>
      <c r="CW69" s="187">
        <f t="shared" si="25"/>
        <v>0</v>
      </c>
      <c r="CX69" s="188">
        <f t="shared" si="25"/>
        <v>0</v>
      </c>
      <c r="CY69" s="208">
        <f t="shared" si="25"/>
        <v>0</v>
      </c>
      <c r="CZ69" s="208">
        <f t="shared" si="25"/>
        <v>0</v>
      </c>
      <c r="DA69" s="188">
        <f t="shared" si="25"/>
        <v>0</v>
      </c>
    </row>
    <row r="70" spans="1:105" ht="15" customHeight="1">
      <c r="A70" s="219" t="s">
        <v>248</v>
      </c>
      <c r="B70" s="220"/>
      <c r="C70" s="221"/>
      <c r="D70" s="188"/>
      <c r="E70" s="208"/>
      <c r="F70" s="187"/>
      <c r="G70" s="187"/>
      <c r="H70" s="187"/>
      <c r="I70" s="187"/>
      <c r="J70" s="208"/>
      <c r="K70" s="187"/>
      <c r="L70" s="187"/>
      <c r="M70" s="187"/>
      <c r="N70" s="187"/>
      <c r="O70" s="187"/>
      <c r="P70" s="187"/>
      <c r="Q70" s="187"/>
      <c r="R70" s="187"/>
      <c r="S70" s="187"/>
      <c r="T70" s="187"/>
      <c r="U70" s="188"/>
      <c r="V70" s="208"/>
      <c r="W70" s="187"/>
      <c r="X70" s="188"/>
      <c r="Y70" s="187"/>
      <c r="AA70" s="208">
        <f t="shared" si="21"/>
        <v>0</v>
      </c>
      <c r="AB70" s="187">
        <f t="shared" si="21"/>
        <v>0</v>
      </c>
      <c r="AC70" s="187">
        <f t="shared" si="21"/>
        <v>0</v>
      </c>
      <c r="AD70" s="187">
        <f t="shared" si="21"/>
        <v>0</v>
      </c>
      <c r="AE70" s="187">
        <f t="shared" si="21"/>
        <v>0</v>
      </c>
      <c r="AF70" s="187">
        <f t="shared" si="21"/>
        <v>0</v>
      </c>
      <c r="AG70" s="187">
        <f t="shared" si="21"/>
        <v>0</v>
      </c>
      <c r="AH70" s="187">
        <f t="shared" si="21"/>
        <v>0</v>
      </c>
      <c r="AI70" s="187">
        <f t="shared" si="21"/>
        <v>0</v>
      </c>
      <c r="AJ70" s="187">
        <f t="shared" si="21"/>
        <v>0</v>
      </c>
      <c r="AK70" s="187">
        <f t="shared" si="21"/>
        <v>0</v>
      </c>
      <c r="AL70" s="187">
        <f t="shared" si="21"/>
        <v>0</v>
      </c>
      <c r="AM70" s="208">
        <f t="shared" si="21"/>
        <v>0</v>
      </c>
      <c r="AN70" s="187">
        <f t="shared" si="21"/>
        <v>0</v>
      </c>
      <c r="AO70" s="188">
        <f t="shared" si="21"/>
        <v>0</v>
      </c>
      <c r="AQ70" s="208">
        <f t="shared" si="22"/>
        <v>0</v>
      </c>
      <c r="AR70" s="187">
        <f t="shared" si="22"/>
        <v>0</v>
      </c>
      <c r="AS70" s="187">
        <f t="shared" si="22"/>
        <v>0</v>
      </c>
      <c r="AT70" s="187">
        <f t="shared" si="22"/>
        <v>0</v>
      </c>
      <c r="AU70" s="187">
        <f t="shared" si="22"/>
        <v>0</v>
      </c>
      <c r="AV70" s="187">
        <f t="shared" si="22"/>
        <v>0</v>
      </c>
      <c r="AW70" s="187">
        <f t="shared" si="22"/>
        <v>0</v>
      </c>
      <c r="AX70" s="187">
        <f t="shared" si="22"/>
        <v>0</v>
      </c>
      <c r="AY70" s="187">
        <f t="shared" si="22"/>
        <v>0</v>
      </c>
      <c r="AZ70" s="187">
        <f t="shared" si="22"/>
        <v>0</v>
      </c>
      <c r="BA70" s="187">
        <f t="shared" si="22"/>
        <v>0</v>
      </c>
      <c r="BB70" s="188">
        <f t="shared" si="22"/>
        <v>0</v>
      </c>
      <c r="BC70" s="208">
        <f t="shared" si="22"/>
        <v>0</v>
      </c>
      <c r="BD70" s="208">
        <f t="shared" si="22"/>
        <v>0</v>
      </c>
      <c r="BE70" s="188">
        <f t="shared" si="22"/>
        <v>0</v>
      </c>
      <c r="BG70" s="208">
        <f t="shared" si="23"/>
        <v>0</v>
      </c>
      <c r="BH70" s="187">
        <f t="shared" si="23"/>
        <v>0</v>
      </c>
      <c r="BI70" s="187">
        <f t="shared" si="23"/>
        <v>0</v>
      </c>
      <c r="BJ70" s="187">
        <f t="shared" si="23"/>
        <v>0</v>
      </c>
      <c r="BK70" s="187">
        <f t="shared" si="23"/>
        <v>0</v>
      </c>
      <c r="BL70" s="187">
        <f t="shared" si="23"/>
        <v>0</v>
      </c>
      <c r="BM70" s="187">
        <f t="shared" si="23"/>
        <v>0</v>
      </c>
      <c r="BN70" s="187">
        <f t="shared" si="23"/>
        <v>0</v>
      </c>
      <c r="BO70" s="187">
        <f t="shared" si="23"/>
        <v>0</v>
      </c>
      <c r="BP70" s="187">
        <f t="shared" si="23"/>
        <v>0</v>
      </c>
      <c r="BQ70" s="187">
        <f t="shared" si="23"/>
        <v>0</v>
      </c>
      <c r="BR70" s="188">
        <f t="shared" si="23"/>
        <v>0</v>
      </c>
      <c r="BS70" s="208">
        <f t="shared" si="23"/>
        <v>0</v>
      </c>
      <c r="BT70" s="208">
        <f t="shared" si="23"/>
        <v>0</v>
      </c>
      <c r="BU70" s="188">
        <f t="shared" si="23"/>
        <v>0</v>
      </c>
      <c r="BW70" s="208">
        <f t="shared" si="24"/>
        <v>0</v>
      </c>
      <c r="BX70" s="187">
        <f t="shared" si="24"/>
        <v>0</v>
      </c>
      <c r="BY70" s="187">
        <f t="shared" si="24"/>
        <v>0</v>
      </c>
      <c r="BZ70" s="187">
        <f t="shared" si="24"/>
        <v>0</v>
      </c>
      <c r="CA70" s="187">
        <f t="shared" si="24"/>
        <v>0</v>
      </c>
      <c r="CB70" s="187">
        <f t="shared" si="24"/>
        <v>0</v>
      </c>
      <c r="CC70" s="187">
        <f t="shared" si="24"/>
        <v>0</v>
      </c>
      <c r="CD70" s="187">
        <f t="shared" si="24"/>
        <v>0</v>
      </c>
      <c r="CE70" s="187">
        <f t="shared" si="24"/>
        <v>0</v>
      </c>
      <c r="CF70" s="187">
        <f t="shared" si="24"/>
        <v>0</v>
      </c>
      <c r="CG70" s="187">
        <f t="shared" si="24"/>
        <v>0</v>
      </c>
      <c r="CH70" s="188">
        <f t="shared" si="24"/>
        <v>0</v>
      </c>
      <c r="CI70" s="208">
        <f t="shared" si="24"/>
        <v>0</v>
      </c>
      <c r="CJ70" s="208">
        <f t="shared" si="24"/>
        <v>0</v>
      </c>
      <c r="CK70" s="188">
        <f t="shared" si="24"/>
        <v>0</v>
      </c>
      <c r="CM70" s="208">
        <f t="shared" si="25"/>
        <v>0</v>
      </c>
      <c r="CN70" s="187">
        <f t="shared" si="25"/>
        <v>0</v>
      </c>
      <c r="CO70" s="187">
        <f t="shared" si="25"/>
        <v>0</v>
      </c>
      <c r="CP70" s="187">
        <f t="shared" si="25"/>
        <v>0</v>
      </c>
      <c r="CQ70" s="187">
        <f t="shared" si="25"/>
        <v>0</v>
      </c>
      <c r="CR70" s="187">
        <f t="shared" si="25"/>
        <v>0</v>
      </c>
      <c r="CS70" s="187">
        <f t="shared" si="25"/>
        <v>0</v>
      </c>
      <c r="CT70" s="187">
        <f t="shared" si="25"/>
        <v>0</v>
      </c>
      <c r="CU70" s="187">
        <f t="shared" si="25"/>
        <v>0</v>
      </c>
      <c r="CV70" s="187">
        <f t="shared" si="25"/>
        <v>0</v>
      </c>
      <c r="CW70" s="187">
        <f t="shared" si="25"/>
        <v>0</v>
      </c>
      <c r="CX70" s="188">
        <f t="shared" si="25"/>
        <v>0</v>
      </c>
      <c r="CY70" s="208">
        <f t="shared" si="25"/>
        <v>0</v>
      </c>
      <c r="CZ70" s="208">
        <f t="shared" si="25"/>
        <v>0</v>
      </c>
      <c r="DA70" s="188">
        <f t="shared" si="25"/>
        <v>0</v>
      </c>
    </row>
    <row r="71" spans="1:105" ht="15" customHeight="1">
      <c r="A71" s="219" t="s">
        <v>249</v>
      </c>
      <c r="B71" s="220"/>
      <c r="C71" s="221"/>
      <c r="D71" s="188"/>
      <c r="E71" s="208"/>
      <c r="F71" s="187"/>
      <c r="G71" s="187"/>
      <c r="H71" s="187"/>
      <c r="I71" s="187"/>
      <c r="J71" s="208"/>
      <c r="K71" s="187"/>
      <c r="L71" s="187"/>
      <c r="M71" s="187"/>
      <c r="N71" s="187"/>
      <c r="O71" s="187"/>
      <c r="P71" s="187"/>
      <c r="Q71" s="187"/>
      <c r="R71" s="187"/>
      <c r="S71" s="187"/>
      <c r="T71" s="187"/>
      <c r="U71" s="188"/>
      <c r="V71" s="208"/>
      <c r="W71" s="187"/>
      <c r="X71" s="188"/>
      <c r="Y71" s="187"/>
      <c r="AA71" s="208">
        <f t="shared" si="21"/>
        <v>0</v>
      </c>
      <c r="AB71" s="187">
        <f t="shared" si="21"/>
        <v>0</v>
      </c>
      <c r="AC71" s="187">
        <f t="shared" si="21"/>
        <v>0</v>
      </c>
      <c r="AD71" s="187">
        <f t="shared" si="21"/>
        <v>0</v>
      </c>
      <c r="AE71" s="187">
        <f t="shared" si="21"/>
        <v>0</v>
      </c>
      <c r="AF71" s="187">
        <f t="shared" si="21"/>
        <v>0</v>
      </c>
      <c r="AG71" s="187">
        <f t="shared" si="21"/>
        <v>0</v>
      </c>
      <c r="AH71" s="187">
        <f t="shared" si="21"/>
        <v>0</v>
      </c>
      <c r="AI71" s="187">
        <f t="shared" si="21"/>
        <v>0</v>
      </c>
      <c r="AJ71" s="187">
        <f t="shared" si="21"/>
        <v>0</v>
      </c>
      <c r="AK71" s="187">
        <f t="shared" si="21"/>
        <v>0</v>
      </c>
      <c r="AL71" s="187">
        <f t="shared" si="21"/>
        <v>0</v>
      </c>
      <c r="AM71" s="208">
        <f t="shared" si="21"/>
        <v>0</v>
      </c>
      <c r="AN71" s="187">
        <f t="shared" si="21"/>
        <v>0</v>
      </c>
      <c r="AO71" s="188">
        <f t="shared" si="21"/>
        <v>0</v>
      </c>
      <c r="AQ71" s="208">
        <f t="shared" si="22"/>
        <v>0</v>
      </c>
      <c r="AR71" s="187">
        <f t="shared" si="22"/>
        <v>0</v>
      </c>
      <c r="AS71" s="187">
        <f t="shared" si="22"/>
        <v>0</v>
      </c>
      <c r="AT71" s="187">
        <f t="shared" si="22"/>
        <v>0</v>
      </c>
      <c r="AU71" s="187">
        <f t="shared" si="22"/>
        <v>0</v>
      </c>
      <c r="AV71" s="187">
        <f t="shared" si="22"/>
        <v>0</v>
      </c>
      <c r="AW71" s="187">
        <f t="shared" si="22"/>
        <v>0</v>
      </c>
      <c r="AX71" s="187">
        <f t="shared" si="22"/>
        <v>0</v>
      </c>
      <c r="AY71" s="187">
        <f t="shared" si="22"/>
        <v>0</v>
      </c>
      <c r="AZ71" s="187">
        <f t="shared" si="22"/>
        <v>0</v>
      </c>
      <c r="BA71" s="187">
        <f t="shared" si="22"/>
        <v>0</v>
      </c>
      <c r="BB71" s="188">
        <f t="shared" si="22"/>
        <v>0</v>
      </c>
      <c r="BC71" s="208">
        <f t="shared" si="22"/>
        <v>0</v>
      </c>
      <c r="BD71" s="208">
        <f t="shared" si="22"/>
        <v>0</v>
      </c>
      <c r="BE71" s="188">
        <f t="shared" si="22"/>
        <v>0</v>
      </c>
      <c r="BG71" s="208">
        <f t="shared" si="23"/>
        <v>0</v>
      </c>
      <c r="BH71" s="187">
        <f t="shared" si="23"/>
        <v>0</v>
      </c>
      <c r="BI71" s="187">
        <f t="shared" si="23"/>
        <v>0</v>
      </c>
      <c r="BJ71" s="187">
        <f t="shared" si="23"/>
        <v>0</v>
      </c>
      <c r="BK71" s="187">
        <f t="shared" si="23"/>
        <v>0</v>
      </c>
      <c r="BL71" s="187">
        <f t="shared" si="23"/>
        <v>0</v>
      </c>
      <c r="BM71" s="187">
        <f t="shared" si="23"/>
        <v>0</v>
      </c>
      <c r="BN71" s="187">
        <f t="shared" si="23"/>
        <v>0</v>
      </c>
      <c r="BO71" s="187">
        <f t="shared" si="23"/>
        <v>0</v>
      </c>
      <c r="BP71" s="187">
        <f t="shared" si="23"/>
        <v>0</v>
      </c>
      <c r="BQ71" s="187">
        <f t="shared" si="23"/>
        <v>0</v>
      </c>
      <c r="BR71" s="188">
        <f t="shared" si="23"/>
        <v>0</v>
      </c>
      <c r="BS71" s="208">
        <f t="shared" si="23"/>
        <v>0</v>
      </c>
      <c r="BT71" s="208">
        <f t="shared" si="23"/>
        <v>0</v>
      </c>
      <c r="BU71" s="188">
        <f t="shared" si="23"/>
        <v>0</v>
      </c>
      <c r="BW71" s="208">
        <f t="shared" si="24"/>
        <v>0</v>
      </c>
      <c r="BX71" s="187">
        <f t="shared" si="24"/>
        <v>0</v>
      </c>
      <c r="BY71" s="187">
        <f t="shared" si="24"/>
        <v>0</v>
      </c>
      <c r="BZ71" s="187">
        <f t="shared" si="24"/>
        <v>0</v>
      </c>
      <c r="CA71" s="187">
        <f t="shared" si="24"/>
        <v>0</v>
      </c>
      <c r="CB71" s="187">
        <f t="shared" si="24"/>
        <v>0</v>
      </c>
      <c r="CC71" s="187">
        <f t="shared" si="24"/>
        <v>0</v>
      </c>
      <c r="CD71" s="187">
        <f t="shared" si="24"/>
        <v>0</v>
      </c>
      <c r="CE71" s="187">
        <f t="shared" si="24"/>
        <v>0</v>
      </c>
      <c r="CF71" s="187">
        <f t="shared" si="24"/>
        <v>0</v>
      </c>
      <c r="CG71" s="187">
        <f t="shared" si="24"/>
        <v>0</v>
      </c>
      <c r="CH71" s="188">
        <f t="shared" si="24"/>
        <v>0</v>
      </c>
      <c r="CI71" s="208">
        <f t="shared" si="24"/>
        <v>0</v>
      </c>
      <c r="CJ71" s="208">
        <f t="shared" si="24"/>
        <v>0</v>
      </c>
      <c r="CK71" s="188">
        <f t="shared" si="24"/>
        <v>0</v>
      </c>
      <c r="CM71" s="208">
        <f t="shared" si="25"/>
        <v>0</v>
      </c>
      <c r="CN71" s="187">
        <f t="shared" si="25"/>
        <v>0</v>
      </c>
      <c r="CO71" s="187">
        <f t="shared" si="25"/>
        <v>0</v>
      </c>
      <c r="CP71" s="187">
        <f t="shared" si="25"/>
        <v>0</v>
      </c>
      <c r="CQ71" s="187">
        <f t="shared" si="25"/>
        <v>0</v>
      </c>
      <c r="CR71" s="187">
        <f t="shared" si="25"/>
        <v>0</v>
      </c>
      <c r="CS71" s="187">
        <f t="shared" si="25"/>
        <v>0</v>
      </c>
      <c r="CT71" s="187">
        <f t="shared" si="25"/>
        <v>0</v>
      </c>
      <c r="CU71" s="187">
        <f t="shared" si="25"/>
        <v>0</v>
      </c>
      <c r="CV71" s="187">
        <f t="shared" si="25"/>
        <v>0</v>
      </c>
      <c r="CW71" s="187">
        <f t="shared" si="25"/>
        <v>0</v>
      </c>
      <c r="CX71" s="188">
        <f t="shared" si="25"/>
        <v>0</v>
      </c>
      <c r="CY71" s="208">
        <f t="shared" si="25"/>
        <v>0</v>
      </c>
      <c r="CZ71" s="208">
        <f t="shared" si="25"/>
        <v>0</v>
      </c>
      <c r="DA71" s="188">
        <f t="shared" si="25"/>
        <v>0</v>
      </c>
    </row>
    <row r="72" spans="1:105">
      <c r="A72" s="222"/>
      <c r="B72" s="223"/>
      <c r="C72" s="223"/>
      <c r="D72" s="224"/>
      <c r="E72" s="225"/>
      <c r="F72" s="226"/>
      <c r="G72" s="226"/>
      <c r="H72" s="226"/>
      <c r="I72" s="226"/>
      <c r="J72" s="225"/>
      <c r="K72" s="226"/>
      <c r="L72" s="226"/>
      <c r="M72" s="226"/>
      <c r="N72" s="226"/>
      <c r="O72" s="226"/>
      <c r="P72" s="226"/>
      <c r="Q72" s="226"/>
      <c r="R72" s="226"/>
      <c r="S72" s="226"/>
      <c r="T72" s="226"/>
      <c r="U72" s="224"/>
      <c r="V72" s="225"/>
      <c r="W72" s="226"/>
      <c r="X72" s="224"/>
      <c r="Y72" s="226"/>
      <c r="AA72" s="208">
        <f t="shared" si="21"/>
        <v>0</v>
      </c>
      <c r="AB72" s="187">
        <f t="shared" si="21"/>
        <v>0</v>
      </c>
      <c r="AC72" s="187">
        <f t="shared" si="21"/>
        <v>0</v>
      </c>
      <c r="AD72" s="187">
        <f t="shared" si="21"/>
        <v>0</v>
      </c>
      <c r="AE72" s="187">
        <f t="shared" si="21"/>
        <v>0</v>
      </c>
      <c r="AF72" s="187">
        <f t="shared" si="21"/>
        <v>0</v>
      </c>
      <c r="AG72" s="187">
        <f t="shared" si="21"/>
        <v>0</v>
      </c>
      <c r="AH72" s="187">
        <f t="shared" si="21"/>
        <v>0</v>
      </c>
      <c r="AI72" s="187">
        <f t="shared" si="21"/>
        <v>0</v>
      </c>
      <c r="AJ72" s="187">
        <f t="shared" si="21"/>
        <v>0</v>
      </c>
      <c r="AK72" s="187">
        <f t="shared" si="21"/>
        <v>0</v>
      </c>
      <c r="AL72" s="187">
        <f t="shared" si="21"/>
        <v>0</v>
      </c>
      <c r="AM72" s="208">
        <f t="shared" si="21"/>
        <v>0</v>
      </c>
      <c r="AN72" s="187">
        <f t="shared" si="21"/>
        <v>0</v>
      </c>
      <c r="AO72" s="188">
        <f t="shared" si="21"/>
        <v>0</v>
      </c>
      <c r="AQ72" s="208">
        <f t="shared" si="22"/>
        <v>0</v>
      </c>
      <c r="AR72" s="187">
        <f t="shared" si="22"/>
        <v>0</v>
      </c>
      <c r="AS72" s="187">
        <f t="shared" si="22"/>
        <v>0</v>
      </c>
      <c r="AT72" s="187">
        <f t="shared" si="22"/>
        <v>0</v>
      </c>
      <c r="AU72" s="187">
        <f t="shared" si="22"/>
        <v>0</v>
      </c>
      <c r="AV72" s="187">
        <f t="shared" si="22"/>
        <v>0</v>
      </c>
      <c r="AW72" s="187">
        <f t="shared" si="22"/>
        <v>0</v>
      </c>
      <c r="AX72" s="187">
        <f t="shared" si="22"/>
        <v>0</v>
      </c>
      <c r="AY72" s="187">
        <f t="shared" si="22"/>
        <v>0</v>
      </c>
      <c r="AZ72" s="187">
        <f t="shared" si="22"/>
        <v>0</v>
      </c>
      <c r="BA72" s="187">
        <f t="shared" si="22"/>
        <v>0</v>
      </c>
      <c r="BB72" s="188">
        <f t="shared" si="22"/>
        <v>0</v>
      </c>
      <c r="BC72" s="208">
        <f t="shared" si="22"/>
        <v>0</v>
      </c>
      <c r="BD72" s="208">
        <f t="shared" si="22"/>
        <v>0</v>
      </c>
      <c r="BE72" s="188">
        <f t="shared" si="22"/>
        <v>0</v>
      </c>
      <c r="BG72" s="208">
        <f t="shared" si="23"/>
        <v>0</v>
      </c>
      <c r="BH72" s="187">
        <f t="shared" si="23"/>
        <v>0</v>
      </c>
      <c r="BI72" s="187">
        <f t="shared" si="23"/>
        <v>0</v>
      </c>
      <c r="BJ72" s="187">
        <f t="shared" si="23"/>
        <v>0</v>
      </c>
      <c r="BK72" s="187">
        <f t="shared" si="23"/>
        <v>0</v>
      </c>
      <c r="BL72" s="187">
        <f t="shared" si="23"/>
        <v>0</v>
      </c>
      <c r="BM72" s="187">
        <f t="shared" si="23"/>
        <v>0</v>
      </c>
      <c r="BN72" s="187">
        <f t="shared" si="23"/>
        <v>0</v>
      </c>
      <c r="BO72" s="187">
        <f t="shared" si="23"/>
        <v>0</v>
      </c>
      <c r="BP72" s="187">
        <f t="shared" si="23"/>
        <v>0</v>
      </c>
      <c r="BQ72" s="187">
        <f t="shared" si="23"/>
        <v>0</v>
      </c>
      <c r="BR72" s="188">
        <f t="shared" si="23"/>
        <v>0</v>
      </c>
      <c r="BS72" s="208">
        <f t="shared" si="23"/>
        <v>0</v>
      </c>
      <c r="BT72" s="208">
        <f t="shared" si="23"/>
        <v>0</v>
      </c>
      <c r="BU72" s="188">
        <f t="shared" si="23"/>
        <v>0</v>
      </c>
      <c r="BW72" s="208">
        <f t="shared" si="24"/>
        <v>0</v>
      </c>
      <c r="BX72" s="187">
        <f t="shared" si="24"/>
        <v>0</v>
      </c>
      <c r="BY72" s="187">
        <f t="shared" si="24"/>
        <v>0</v>
      </c>
      <c r="BZ72" s="187">
        <f t="shared" si="24"/>
        <v>0</v>
      </c>
      <c r="CA72" s="187">
        <f t="shared" si="24"/>
        <v>0</v>
      </c>
      <c r="CB72" s="187">
        <f t="shared" si="24"/>
        <v>0</v>
      </c>
      <c r="CC72" s="187">
        <f t="shared" si="24"/>
        <v>0</v>
      </c>
      <c r="CD72" s="187">
        <f t="shared" si="24"/>
        <v>0</v>
      </c>
      <c r="CE72" s="187">
        <f t="shared" si="24"/>
        <v>0</v>
      </c>
      <c r="CF72" s="187">
        <f t="shared" si="24"/>
        <v>0</v>
      </c>
      <c r="CG72" s="187">
        <f t="shared" si="24"/>
        <v>0</v>
      </c>
      <c r="CH72" s="188">
        <f t="shared" si="24"/>
        <v>0</v>
      </c>
      <c r="CI72" s="208">
        <f t="shared" si="24"/>
        <v>0</v>
      </c>
      <c r="CJ72" s="208">
        <f t="shared" si="24"/>
        <v>0</v>
      </c>
      <c r="CK72" s="188">
        <f t="shared" si="24"/>
        <v>0</v>
      </c>
      <c r="CM72" s="208">
        <f t="shared" si="25"/>
        <v>0</v>
      </c>
      <c r="CN72" s="187">
        <f t="shared" si="25"/>
        <v>0</v>
      </c>
      <c r="CO72" s="187">
        <f t="shared" si="25"/>
        <v>0</v>
      </c>
      <c r="CP72" s="187">
        <f t="shared" si="25"/>
        <v>0</v>
      </c>
      <c r="CQ72" s="187">
        <f t="shared" si="25"/>
        <v>0</v>
      </c>
      <c r="CR72" s="187">
        <f t="shared" si="25"/>
        <v>0</v>
      </c>
      <c r="CS72" s="187">
        <f t="shared" si="25"/>
        <v>0</v>
      </c>
      <c r="CT72" s="187">
        <f t="shared" si="25"/>
        <v>0</v>
      </c>
      <c r="CU72" s="187">
        <f t="shared" si="25"/>
        <v>0</v>
      </c>
      <c r="CV72" s="187">
        <f t="shared" si="25"/>
        <v>0</v>
      </c>
      <c r="CW72" s="187">
        <f t="shared" si="25"/>
        <v>0</v>
      </c>
      <c r="CX72" s="188">
        <f t="shared" si="25"/>
        <v>0</v>
      </c>
      <c r="CY72" s="208">
        <f t="shared" si="25"/>
        <v>0</v>
      </c>
      <c r="CZ72" s="208">
        <f t="shared" si="25"/>
        <v>0</v>
      </c>
      <c r="DA72" s="188">
        <f t="shared" si="25"/>
        <v>0</v>
      </c>
    </row>
    <row r="73" spans="1:105">
      <c r="A73" s="222"/>
      <c r="B73" s="223"/>
      <c r="C73" s="223"/>
      <c r="D73" s="224"/>
      <c r="E73" s="225"/>
      <c r="F73" s="226"/>
      <c r="G73" s="226"/>
      <c r="H73" s="226"/>
      <c r="I73" s="226"/>
      <c r="J73" s="225"/>
      <c r="K73" s="226"/>
      <c r="L73" s="226"/>
      <c r="M73" s="226"/>
      <c r="N73" s="226"/>
      <c r="O73" s="226"/>
      <c r="P73" s="226"/>
      <c r="Q73" s="226"/>
      <c r="R73" s="226"/>
      <c r="S73" s="226"/>
      <c r="T73" s="226"/>
      <c r="U73" s="224"/>
      <c r="V73" s="225"/>
      <c r="W73" s="226"/>
      <c r="X73" s="224"/>
      <c r="Y73" s="226"/>
      <c r="AA73" s="208">
        <f t="shared" ref="AA73:AO89" si="26">$D73*$E73*J73</f>
        <v>0</v>
      </c>
      <c r="AB73" s="187">
        <f t="shared" si="26"/>
        <v>0</v>
      </c>
      <c r="AC73" s="187">
        <f t="shared" si="26"/>
        <v>0</v>
      </c>
      <c r="AD73" s="187">
        <f t="shared" si="26"/>
        <v>0</v>
      </c>
      <c r="AE73" s="187">
        <f t="shared" si="26"/>
        <v>0</v>
      </c>
      <c r="AF73" s="187">
        <f t="shared" si="26"/>
        <v>0</v>
      </c>
      <c r="AG73" s="187">
        <f t="shared" si="26"/>
        <v>0</v>
      </c>
      <c r="AH73" s="187">
        <f t="shared" si="26"/>
        <v>0</v>
      </c>
      <c r="AI73" s="187">
        <f t="shared" si="26"/>
        <v>0</v>
      </c>
      <c r="AJ73" s="187">
        <f t="shared" si="26"/>
        <v>0</v>
      </c>
      <c r="AK73" s="187">
        <f t="shared" si="26"/>
        <v>0</v>
      </c>
      <c r="AL73" s="187">
        <f t="shared" si="26"/>
        <v>0</v>
      </c>
      <c r="AM73" s="208">
        <f t="shared" si="26"/>
        <v>0</v>
      </c>
      <c r="AN73" s="187">
        <f t="shared" si="26"/>
        <v>0</v>
      </c>
      <c r="AO73" s="188">
        <f t="shared" si="26"/>
        <v>0</v>
      </c>
      <c r="AQ73" s="208">
        <f t="shared" ref="AQ73:BE89" si="27">$D73*$F73*J73</f>
        <v>0</v>
      </c>
      <c r="AR73" s="187">
        <f t="shared" si="27"/>
        <v>0</v>
      </c>
      <c r="AS73" s="187">
        <f t="shared" si="27"/>
        <v>0</v>
      </c>
      <c r="AT73" s="187">
        <f t="shared" si="27"/>
        <v>0</v>
      </c>
      <c r="AU73" s="187">
        <f t="shared" si="27"/>
        <v>0</v>
      </c>
      <c r="AV73" s="187">
        <f t="shared" si="27"/>
        <v>0</v>
      </c>
      <c r="AW73" s="187">
        <f t="shared" si="27"/>
        <v>0</v>
      </c>
      <c r="AX73" s="187">
        <f t="shared" si="27"/>
        <v>0</v>
      </c>
      <c r="AY73" s="187">
        <f t="shared" si="27"/>
        <v>0</v>
      </c>
      <c r="AZ73" s="187">
        <f t="shared" si="27"/>
        <v>0</v>
      </c>
      <c r="BA73" s="187">
        <f t="shared" si="27"/>
        <v>0</v>
      </c>
      <c r="BB73" s="188">
        <f t="shared" si="27"/>
        <v>0</v>
      </c>
      <c r="BC73" s="208">
        <f t="shared" si="27"/>
        <v>0</v>
      </c>
      <c r="BD73" s="208">
        <f t="shared" si="27"/>
        <v>0</v>
      </c>
      <c r="BE73" s="188">
        <f t="shared" si="27"/>
        <v>0</v>
      </c>
      <c r="BG73" s="208">
        <f t="shared" ref="BG73:BU89" si="28">$D73*$G73*J73</f>
        <v>0</v>
      </c>
      <c r="BH73" s="187">
        <f t="shared" si="28"/>
        <v>0</v>
      </c>
      <c r="BI73" s="187">
        <f t="shared" si="28"/>
        <v>0</v>
      </c>
      <c r="BJ73" s="187">
        <f t="shared" si="28"/>
        <v>0</v>
      </c>
      <c r="BK73" s="187">
        <f t="shared" si="28"/>
        <v>0</v>
      </c>
      <c r="BL73" s="187">
        <f t="shared" si="28"/>
        <v>0</v>
      </c>
      <c r="BM73" s="187">
        <f t="shared" si="28"/>
        <v>0</v>
      </c>
      <c r="BN73" s="187">
        <f t="shared" si="28"/>
        <v>0</v>
      </c>
      <c r="BO73" s="187">
        <f t="shared" si="28"/>
        <v>0</v>
      </c>
      <c r="BP73" s="187">
        <f t="shared" si="28"/>
        <v>0</v>
      </c>
      <c r="BQ73" s="187">
        <f t="shared" si="28"/>
        <v>0</v>
      </c>
      <c r="BR73" s="188">
        <f t="shared" si="28"/>
        <v>0</v>
      </c>
      <c r="BS73" s="208">
        <f t="shared" si="28"/>
        <v>0</v>
      </c>
      <c r="BT73" s="208">
        <f t="shared" si="28"/>
        <v>0</v>
      </c>
      <c r="BU73" s="188">
        <f t="shared" si="28"/>
        <v>0</v>
      </c>
      <c r="BW73" s="208">
        <f t="shared" ref="BW73:CK89" si="29">$D73*$H73*J73</f>
        <v>0</v>
      </c>
      <c r="BX73" s="187">
        <f t="shared" si="29"/>
        <v>0</v>
      </c>
      <c r="BY73" s="187">
        <f t="shared" si="29"/>
        <v>0</v>
      </c>
      <c r="BZ73" s="187">
        <f t="shared" si="29"/>
        <v>0</v>
      </c>
      <c r="CA73" s="187">
        <f t="shared" si="29"/>
        <v>0</v>
      </c>
      <c r="CB73" s="187">
        <f t="shared" si="29"/>
        <v>0</v>
      </c>
      <c r="CC73" s="187">
        <f t="shared" si="29"/>
        <v>0</v>
      </c>
      <c r="CD73" s="187">
        <f t="shared" si="29"/>
        <v>0</v>
      </c>
      <c r="CE73" s="187">
        <f t="shared" si="29"/>
        <v>0</v>
      </c>
      <c r="CF73" s="187">
        <f t="shared" si="29"/>
        <v>0</v>
      </c>
      <c r="CG73" s="187">
        <f t="shared" si="29"/>
        <v>0</v>
      </c>
      <c r="CH73" s="188">
        <f t="shared" si="29"/>
        <v>0</v>
      </c>
      <c r="CI73" s="208">
        <f t="shared" si="29"/>
        <v>0</v>
      </c>
      <c r="CJ73" s="208">
        <f t="shared" si="29"/>
        <v>0</v>
      </c>
      <c r="CK73" s="188">
        <f t="shared" si="29"/>
        <v>0</v>
      </c>
      <c r="CM73" s="208">
        <f t="shared" ref="CM73:DA89" si="30">$D73*$I73*J73</f>
        <v>0</v>
      </c>
      <c r="CN73" s="187">
        <f t="shared" si="30"/>
        <v>0</v>
      </c>
      <c r="CO73" s="187">
        <f t="shared" si="30"/>
        <v>0</v>
      </c>
      <c r="CP73" s="187">
        <f t="shared" si="30"/>
        <v>0</v>
      </c>
      <c r="CQ73" s="187">
        <f t="shared" si="30"/>
        <v>0</v>
      </c>
      <c r="CR73" s="187">
        <f t="shared" si="30"/>
        <v>0</v>
      </c>
      <c r="CS73" s="187">
        <f t="shared" si="30"/>
        <v>0</v>
      </c>
      <c r="CT73" s="187">
        <f t="shared" si="30"/>
        <v>0</v>
      </c>
      <c r="CU73" s="187">
        <f t="shared" si="30"/>
        <v>0</v>
      </c>
      <c r="CV73" s="187">
        <f t="shared" si="30"/>
        <v>0</v>
      </c>
      <c r="CW73" s="187">
        <f t="shared" si="30"/>
        <v>0</v>
      </c>
      <c r="CX73" s="188">
        <f t="shared" si="30"/>
        <v>0</v>
      </c>
      <c r="CY73" s="208">
        <f t="shared" si="30"/>
        <v>0</v>
      </c>
      <c r="CZ73" s="208">
        <f t="shared" si="30"/>
        <v>0</v>
      </c>
      <c r="DA73" s="188">
        <f t="shared" si="30"/>
        <v>0</v>
      </c>
    </row>
    <row r="74" spans="1:105">
      <c r="A74" s="222"/>
      <c r="B74" s="223"/>
      <c r="C74" s="223"/>
      <c r="D74" s="224"/>
      <c r="E74" s="225"/>
      <c r="F74" s="226"/>
      <c r="G74" s="226"/>
      <c r="H74" s="226"/>
      <c r="I74" s="226"/>
      <c r="J74" s="225"/>
      <c r="K74" s="226"/>
      <c r="L74" s="226"/>
      <c r="M74" s="226"/>
      <c r="N74" s="226"/>
      <c r="O74" s="226"/>
      <c r="P74" s="226"/>
      <c r="Q74" s="226"/>
      <c r="R74" s="226"/>
      <c r="S74" s="226"/>
      <c r="T74" s="226"/>
      <c r="U74" s="224"/>
      <c r="V74" s="225"/>
      <c r="W74" s="226"/>
      <c r="X74" s="224"/>
      <c r="Y74" s="226"/>
      <c r="AA74" s="208">
        <f t="shared" si="26"/>
        <v>0</v>
      </c>
      <c r="AB74" s="187">
        <f t="shared" si="26"/>
        <v>0</v>
      </c>
      <c r="AC74" s="187">
        <f t="shared" si="26"/>
        <v>0</v>
      </c>
      <c r="AD74" s="187">
        <f t="shared" si="26"/>
        <v>0</v>
      </c>
      <c r="AE74" s="187">
        <f t="shared" si="26"/>
        <v>0</v>
      </c>
      <c r="AF74" s="187">
        <f t="shared" si="26"/>
        <v>0</v>
      </c>
      <c r="AG74" s="187">
        <f t="shared" si="26"/>
        <v>0</v>
      </c>
      <c r="AH74" s="187">
        <f t="shared" si="26"/>
        <v>0</v>
      </c>
      <c r="AI74" s="187">
        <f t="shared" si="26"/>
        <v>0</v>
      </c>
      <c r="AJ74" s="187">
        <f t="shared" si="26"/>
        <v>0</v>
      </c>
      <c r="AK74" s="187">
        <f t="shared" si="26"/>
        <v>0</v>
      </c>
      <c r="AL74" s="187">
        <f t="shared" si="26"/>
        <v>0</v>
      </c>
      <c r="AM74" s="208">
        <f t="shared" si="26"/>
        <v>0</v>
      </c>
      <c r="AN74" s="187">
        <f t="shared" si="26"/>
        <v>0</v>
      </c>
      <c r="AO74" s="188">
        <f t="shared" si="26"/>
        <v>0</v>
      </c>
      <c r="AQ74" s="208">
        <f t="shared" si="27"/>
        <v>0</v>
      </c>
      <c r="AR74" s="187">
        <f t="shared" si="27"/>
        <v>0</v>
      </c>
      <c r="AS74" s="187">
        <f t="shared" si="27"/>
        <v>0</v>
      </c>
      <c r="AT74" s="187">
        <f t="shared" si="27"/>
        <v>0</v>
      </c>
      <c r="AU74" s="187">
        <f t="shared" si="27"/>
        <v>0</v>
      </c>
      <c r="AV74" s="187">
        <f t="shared" si="27"/>
        <v>0</v>
      </c>
      <c r="AW74" s="187">
        <f t="shared" si="27"/>
        <v>0</v>
      </c>
      <c r="AX74" s="187">
        <f t="shared" si="27"/>
        <v>0</v>
      </c>
      <c r="AY74" s="187">
        <f t="shared" si="27"/>
        <v>0</v>
      </c>
      <c r="AZ74" s="187">
        <f t="shared" si="27"/>
        <v>0</v>
      </c>
      <c r="BA74" s="187">
        <f t="shared" si="27"/>
        <v>0</v>
      </c>
      <c r="BB74" s="188">
        <f t="shared" si="27"/>
        <v>0</v>
      </c>
      <c r="BC74" s="208">
        <f t="shared" si="27"/>
        <v>0</v>
      </c>
      <c r="BD74" s="208">
        <f t="shared" si="27"/>
        <v>0</v>
      </c>
      <c r="BE74" s="188">
        <f t="shared" si="27"/>
        <v>0</v>
      </c>
      <c r="BG74" s="208">
        <f t="shared" si="28"/>
        <v>0</v>
      </c>
      <c r="BH74" s="187">
        <f t="shared" si="28"/>
        <v>0</v>
      </c>
      <c r="BI74" s="187">
        <f t="shared" si="28"/>
        <v>0</v>
      </c>
      <c r="BJ74" s="187">
        <f t="shared" si="28"/>
        <v>0</v>
      </c>
      <c r="BK74" s="187">
        <f t="shared" si="28"/>
        <v>0</v>
      </c>
      <c r="BL74" s="187">
        <f t="shared" si="28"/>
        <v>0</v>
      </c>
      <c r="BM74" s="187">
        <f t="shared" si="28"/>
        <v>0</v>
      </c>
      <c r="BN74" s="187">
        <f t="shared" si="28"/>
        <v>0</v>
      </c>
      <c r="BO74" s="187">
        <f t="shared" si="28"/>
        <v>0</v>
      </c>
      <c r="BP74" s="187">
        <f t="shared" si="28"/>
        <v>0</v>
      </c>
      <c r="BQ74" s="187">
        <f t="shared" si="28"/>
        <v>0</v>
      </c>
      <c r="BR74" s="188">
        <f t="shared" si="28"/>
        <v>0</v>
      </c>
      <c r="BS74" s="208">
        <f t="shared" si="28"/>
        <v>0</v>
      </c>
      <c r="BT74" s="208">
        <f t="shared" si="28"/>
        <v>0</v>
      </c>
      <c r="BU74" s="188">
        <f t="shared" si="28"/>
        <v>0</v>
      </c>
      <c r="BW74" s="208">
        <f t="shared" si="29"/>
        <v>0</v>
      </c>
      <c r="BX74" s="187">
        <f t="shared" si="29"/>
        <v>0</v>
      </c>
      <c r="BY74" s="187">
        <f t="shared" si="29"/>
        <v>0</v>
      </c>
      <c r="BZ74" s="187">
        <f t="shared" si="29"/>
        <v>0</v>
      </c>
      <c r="CA74" s="187">
        <f t="shared" si="29"/>
        <v>0</v>
      </c>
      <c r="CB74" s="187">
        <f t="shared" si="29"/>
        <v>0</v>
      </c>
      <c r="CC74" s="187">
        <f t="shared" si="29"/>
        <v>0</v>
      </c>
      <c r="CD74" s="187">
        <f t="shared" si="29"/>
        <v>0</v>
      </c>
      <c r="CE74" s="187">
        <f t="shared" si="29"/>
        <v>0</v>
      </c>
      <c r="CF74" s="187">
        <f t="shared" si="29"/>
        <v>0</v>
      </c>
      <c r="CG74" s="187">
        <f t="shared" si="29"/>
        <v>0</v>
      </c>
      <c r="CH74" s="188">
        <f t="shared" si="29"/>
        <v>0</v>
      </c>
      <c r="CI74" s="208">
        <f t="shared" si="29"/>
        <v>0</v>
      </c>
      <c r="CJ74" s="208">
        <f t="shared" si="29"/>
        <v>0</v>
      </c>
      <c r="CK74" s="188">
        <f t="shared" si="29"/>
        <v>0</v>
      </c>
      <c r="CM74" s="208">
        <f t="shared" si="30"/>
        <v>0</v>
      </c>
      <c r="CN74" s="187">
        <f t="shared" si="30"/>
        <v>0</v>
      </c>
      <c r="CO74" s="187">
        <f t="shared" si="30"/>
        <v>0</v>
      </c>
      <c r="CP74" s="187">
        <f t="shared" si="30"/>
        <v>0</v>
      </c>
      <c r="CQ74" s="187">
        <f t="shared" si="30"/>
        <v>0</v>
      </c>
      <c r="CR74" s="187">
        <f t="shared" si="30"/>
        <v>0</v>
      </c>
      <c r="CS74" s="187">
        <f t="shared" si="30"/>
        <v>0</v>
      </c>
      <c r="CT74" s="187">
        <f t="shared" si="30"/>
        <v>0</v>
      </c>
      <c r="CU74" s="187">
        <f t="shared" si="30"/>
        <v>0</v>
      </c>
      <c r="CV74" s="187">
        <f t="shared" si="30"/>
        <v>0</v>
      </c>
      <c r="CW74" s="187">
        <f t="shared" si="30"/>
        <v>0</v>
      </c>
      <c r="CX74" s="188">
        <f t="shared" si="30"/>
        <v>0</v>
      </c>
      <c r="CY74" s="208">
        <f t="shared" si="30"/>
        <v>0</v>
      </c>
      <c r="CZ74" s="208">
        <f t="shared" si="30"/>
        <v>0</v>
      </c>
      <c r="DA74" s="188">
        <f t="shared" si="30"/>
        <v>0</v>
      </c>
    </row>
    <row r="75" spans="1:105">
      <c r="A75" s="222"/>
      <c r="B75" s="223"/>
      <c r="C75" s="223"/>
      <c r="D75" s="224"/>
      <c r="E75" s="225"/>
      <c r="F75" s="226"/>
      <c r="G75" s="226"/>
      <c r="H75" s="226"/>
      <c r="I75" s="226"/>
      <c r="J75" s="225"/>
      <c r="K75" s="226"/>
      <c r="L75" s="226"/>
      <c r="M75" s="226"/>
      <c r="N75" s="226"/>
      <c r="O75" s="226"/>
      <c r="P75" s="226"/>
      <c r="Q75" s="226"/>
      <c r="R75" s="226"/>
      <c r="S75" s="226"/>
      <c r="T75" s="226"/>
      <c r="U75" s="224"/>
      <c r="V75" s="225"/>
      <c r="W75" s="226"/>
      <c r="X75" s="224"/>
      <c r="Y75" s="226"/>
      <c r="AA75" s="208">
        <f t="shared" si="26"/>
        <v>0</v>
      </c>
      <c r="AB75" s="187">
        <f t="shared" si="26"/>
        <v>0</v>
      </c>
      <c r="AC75" s="187">
        <f t="shared" si="26"/>
        <v>0</v>
      </c>
      <c r="AD75" s="187">
        <f t="shared" si="26"/>
        <v>0</v>
      </c>
      <c r="AE75" s="187">
        <f t="shared" si="26"/>
        <v>0</v>
      </c>
      <c r="AF75" s="187">
        <f t="shared" si="26"/>
        <v>0</v>
      </c>
      <c r="AG75" s="187">
        <f t="shared" si="26"/>
        <v>0</v>
      </c>
      <c r="AH75" s="187">
        <f t="shared" si="26"/>
        <v>0</v>
      </c>
      <c r="AI75" s="187">
        <f t="shared" si="26"/>
        <v>0</v>
      </c>
      <c r="AJ75" s="187">
        <f t="shared" si="26"/>
        <v>0</v>
      </c>
      <c r="AK75" s="187">
        <f t="shared" si="26"/>
        <v>0</v>
      </c>
      <c r="AL75" s="187">
        <f t="shared" si="26"/>
        <v>0</v>
      </c>
      <c r="AM75" s="208">
        <f t="shared" si="26"/>
        <v>0</v>
      </c>
      <c r="AN75" s="187">
        <f t="shared" si="26"/>
        <v>0</v>
      </c>
      <c r="AO75" s="188">
        <f t="shared" si="26"/>
        <v>0</v>
      </c>
      <c r="AQ75" s="208">
        <f t="shared" si="27"/>
        <v>0</v>
      </c>
      <c r="AR75" s="187">
        <f t="shared" si="27"/>
        <v>0</v>
      </c>
      <c r="AS75" s="187">
        <f t="shared" si="27"/>
        <v>0</v>
      </c>
      <c r="AT75" s="187">
        <f t="shared" si="27"/>
        <v>0</v>
      </c>
      <c r="AU75" s="187">
        <f t="shared" si="27"/>
        <v>0</v>
      </c>
      <c r="AV75" s="187">
        <f t="shared" si="27"/>
        <v>0</v>
      </c>
      <c r="AW75" s="187">
        <f t="shared" si="27"/>
        <v>0</v>
      </c>
      <c r="AX75" s="187">
        <f t="shared" si="27"/>
        <v>0</v>
      </c>
      <c r="AY75" s="187">
        <f t="shared" si="27"/>
        <v>0</v>
      </c>
      <c r="AZ75" s="187">
        <f t="shared" si="27"/>
        <v>0</v>
      </c>
      <c r="BA75" s="187">
        <f t="shared" si="27"/>
        <v>0</v>
      </c>
      <c r="BB75" s="188">
        <f t="shared" si="27"/>
        <v>0</v>
      </c>
      <c r="BC75" s="208">
        <f t="shared" si="27"/>
        <v>0</v>
      </c>
      <c r="BD75" s="208">
        <f t="shared" si="27"/>
        <v>0</v>
      </c>
      <c r="BE75" s="188">
        <f t="shared" si="27"/>
        <v>0</v>
      </c>
      <c r="BG75" s="208">
        <f t="shared" si="28"/>
        <v>0</v>
      </c>
      <c r="BH75" s="187">
        <f t="shared" si="28"/>
        <v>0</v>
      </c>
      <c r="BI75" s="187">
        <f t="shared" si="28"/>
        <v>0</v>
      </c>
      <c r="BJ75" s="187">
        <f t="shared" si="28"/>
        <v>0</v>
      </c>
      <c r="BK75" s="187">
        <f t="shared" si="28"/>
        <v>0</v>
      </c>
      <c r="BL75" s="187">
        <f t="shared" si="28"/>
        <v>0</v>
      </c>
      <c r="BM75" s="187">
        <f t="shared" si="28"/>
        <v>0</v>
      </c>
      <c r="BN75" s="187">
        <f t="shared" si="28"/>
        <v>0</v>
      </c>
      <c r="BO75" s="187">
        <f t="shared" si="28"/>
        <v>0</v>
      </c>
      <c r="BP75" s="187">
        <f t="shared" si="28"/>
        <v>0</v>
      </c>
      <c r="BQ75" s="187">
        <f t="shared" si="28"/>
        <v>0</v>
      </c>
      <c r="BR75" s="188">
        <f t="shared" si="28"/>
        <v>0</v>
      </c>
      <c r="BS75" s="208">
        <f t="shared" si="28"/>
        <v>0</v>
      </c>
      <c r="BT75" s="208">
        <f t="shared" si="28"/>
        <v>0</v>
      </c>
      <c r="BU75" s="188">
        <f t="shared" si="28"/>
        <v>0</v>
      </c>
      <c r="BW75" s="208">
        <f t="shared" si="29"/>
        <v>0</v>
      </c>
      <c r="BX75" s="187">
        <f t="shared" si="29"/>
        <v>0</v>
      </c>
      <c r="BY75" s="187">
        <f t="shared" si="29"/>
        <v>0</v>
      </c>
      <c r="BZ75" s="187">
        <f t="shared" si="29"/>
        <v>0</v>
      </c>
      <c r="CA75" s="187">
        <f t="shared" si="29"/>
        <v>0</v>
      </c>
      <c r="CB75" s="187">
        <f t="shared" si="29"/>
        <v>0</v>
      </c>
      <c r="CC75" s="187">
        <f t="shared" si="29"/>
        <v>0</v>
      </c>
      <c r="CD75" s="187">
        <f t="shared" si="29"/>
        <v>0</v>
      </c>
      <c r="CE75" s="187">
        <f t="shared" si="29"/>
        <v>0</v>
      </c>
      <c r="CF75" s="187">
        <f t="shared" si="29"/>
        <v>0</v>
      </c>
      <c r="CG75" s="187">
        <f t="shared" si="29"/>
        <v>0</v>
      </c>
      <c r="CH75" s="188">
        <f t="shared" si="29"/>
        <v>0</v>
      </c>
      <c r="CI75" s="208">
        <f t="shared" si="29"/>
        <v>0</v>
      </c>
      <c r="CJ75" s="208">
        <f t="shared" si="29"/>
        <v>0</v>
      </c>
      <c r="CK75" s="188">
        <f t="shared" si="29"/>
        <v>0</v>
      </c>
      <c r="CM75" s="208">
        <f t="shared" si="30"/>
        <v>0</v>
      </c>
      <c r="CN75" s="187">
        <f t="shared" si="30"/>
        <v>0</v>
      </c>
      <c r="CO75" s="187">
        <f t="shared" si="30"/>
        <v>0</v>
      </c>
      <c r="CP75" s="187">
        <f t="shared" si="30"/>
        <v>0</v>
      </c>
      <c r="CQ75" s="187">
        <f t="shared" si="30"/>
        <v>0</v>
      </c>
      <c r="CR75" s="187">
        <f t="shared" si="30"/>
        <v>0</v>
      </c>
      <c r="CS75" s="187">
        <f t="shared" si="30"/>
        <v>0</v>
      </c>
      <c r="CT75" s="187">
        <f t="shared" si="30"/>
        <v>0</v>
      </c>
      <c r="CU75" s="187">
        <f t="shared" si="30"/>
        <v>0</v>
      </c>
      <c r="CV75" s="187">
        <f t="shared" si="30"/>
        <v>0</v>
      </c>
      <c r="CW75" s="187">
        <f t="shared" si="30"/>
        <v>0</v>
      </c>
      <c r="CX75" s="188">
        <f t="shared" si="30"/>
        <v>0</v>
      </c>
      <c r="CY75" s="208">
        <f t="shared" si="30"/>
        <v>0</v>
      </c>
      <c r="CZ75" s="208">
        <f t="shared" si="30"/>
        <v>0</v>
      </c>
      <c r="DA75" s="188">
        <f t="shared" si="30"/>
        <v>0</v>
      </c>
    </row>
    <row r="76" spans="1:105">
      <c r="A76" s="222"/>
      <c r="B76" s="223"/>
      <c r="C76" s="223"/>
      <c r="D76" s="224"/>
      <c r="E76" s="225"/>
      <c r="F76" s="226"/>
      <c r="G76" s="226"/>
      <c r="H76" s="226"/>
      <c r="I76" s="226"/>
      <c r="J76" s="225"/>
      <c r="K76" s="226"/>
      <c r="L76" s="226"/>
      <c r="M76" s="226"/>
      <c r="N76" s="226"/>
      <c r="O76" s="226"/>
      <c r="P76" s="226"/>
      <c r="Q76" s="226"/>
      <c r="R76" s="226"/>
      <c r="S76" s="226"/>
      <c r="T76" s="226"/>
      <c r="U76" s="224"/>
      <c r="V76" s="225"/>
      <c r="W76" s="226"/>
      <c r="X76" s="224"/>
      <c r="Y76" s="226"/>
      <c r="AA76" s="208">
        <f t="shared" si="26"/>
        <v>0</v>
      </c>
      <c r="AB76" s="187">
        <f t="shared" si="26"/>
        <v>0</v>
      </c>
      <c r="AC76" s="187">
        <f t="shared" si="26"/>
        <v>0</v>
      </c>
      <c r="AD76" s="187">
        <f t="shared" si="26"/>
        <v>0</v>
      </c>
      <c r="AE76" s="187">
        <f t="shared" si="26"/>
        <v>0</v>
      </c>
      <c r="AF76" s="187">
        <f t="shared" si="26"/>
        <v>0</v>
      </c>
      <c r="AG76" s="187">
        <f t="shared" si="26"/>
        <v>0</v>
      </c>
      <c r="AH76" s="187">
        <f t="shared" si="26"/>
        <v>0</v>
      </c>
      <c r="AI76" s="187">
        <f t="shared" si="26"/>
        <v>0</v>
      </c>
      <c r="AJ76" s="187">
        <f t="shared" si="26"/>
        <v>0</v>
      </c>
      <c r="AK76" s="187">
        <f t="shared" si="26"/>
        <v>0</v>
      </c>
      <c r="AL76" s="187">
        <f t="shared" si="26"/>
        <v>0</v>
      </c>
      <c r="AM76" s="208">
        <f t="shared" si="26"/>
        <v>0</v>
      </c>
      <c r="AN76" s="187">
        <f t="shared" si="26"/>
        <v>0</v>
      </c>
      <c r="AO76" s="188">
        <f t="shared" si="26"/>
        <v>0</v>
      </c>
      <c r="AQ76" s="208">
        <f t="shared" si="27"/>
        <v>0</v>
      </c>
      <c r="AR76" s="187">
        <f t="shared" si="27"/>
        <v>0</v>
      </c>
      <c r="AS76" s="187">
        <f t="shared" si="27"/>
        <v>0</v>
      </c>
      <c r="AT76" s="187">
        <f t="shared" si="27"/>
        <v>0</v>
      </c>
      <c r="AU76" s="187">
        <f t="shared" si="27"/>
        <v>0</v>
      </c>
      <c r="AV76" s="187">
        <f t="shared" si="27"/>
        <v>0</v>
      </c>
      <c r="AW76" s="187">
        <f t="shared" si="27"/>
        <v>0</v>
      </c>
      <c r="AX76" s="187">
        <f t="shared" si="27"/>
        <v>0</v>
      </c>
      <c r="AY76" s="187">
        <f t="shared" si="27"/>
        <v>0</v>
      </c>
      <c r="AZ76" s="187">
        <f t="shared" si="27"/>
        <v>0</v>
      </c>
      <c r="BA76" s="187">
        <f t="shared" si="27"/>
        <v>0</v>
      </c>
      <c r="BB76" s="188">
        <f t="shared" si="27"/>
        <v>0</v>
      </c>
      <c r="BC76" s="208">
        <f t="shared" si="27"/>
        <v>0</v>
      </c>
      <c r="BD76" s="208">
        <f t="shared" si="27"/>
        <v>0</v>
      </c>
      <c r="BE76" s="188">
        <f t="shared" si="27"/>
        <v>0</v>
      </c>
      <c r="BG76" s="208">
        <f t="shared" si="28"/>
        <v>0</v>
      </c>
      <c r="BH76" s="187">
        <f t="shared" si="28"/>
        <v>0</v>
      </c>
      <c r="BI76" s="187">
        <f t="shared" si="28"/>
        <v>0</v>
      </c>
      <c r="BJ76" s="187">
        <f t="shared" si="28"/>
        <v>0</v>
      </c>
      <c r="BK76" s="187">
        <f t="shared" si="28"/>
        <v>0</v>
      </c>
      <c r="BL76" s="187">
        <f t="shared" si="28"/>
        <v>0</v>
      </c>
      <c r="BM76" s="187">
        <f t="shared" si="28"/>
        <v>0</v>
      </c>
      <c r="BN76" s="187">
        <f t="shared" si="28"/>
        <v>0</v>
      </c>
      <c r="BO76" s="187">
        <f t="shared" si="28"/>
        <v>0</v>
      </c>
      <c r="BP76" s="187">
        <f t="shared" si="28"/>
        <v>0</v>
      </c>
      <c r="BQ76" s="187">
        <f t="shared" si="28"/>
        <v>0</v>
      </c>
      <c r="BR76" s="188">
        <f t="shared" si="28"/>
        <v>0</v>
      </c>
      <c r="BS76" s="208">
        <f t="shared" si="28"/>
        <v>0</v>
      </c>
      <c r="BT76" s="208">
        <f t="shared" si="28"/>
        <v>0</v>
      </c>
      <c r="BU76" s="188">
        <f t="shared" si="28"/>
        <v>0</v>
      </c>
      <c r="BW76" s="208">
        <f t="shared" si="29"/>
        <v>0</v>
      </c>
      <c r="BX76" s="187">
        <f t="shared" si="29"/>
        <v>0</v>
      </c>
      <c r="BY76" s="187">
        <f t="shared" si="29"/>
        <v>0</v>
      </c>
      <c r="BZ76" s="187">
        <f t="shared" si="29"/>
        <v>0</v>
      </c>
      <c r="CA76" s="187">
        <f t="shared" si="29"/>
        <v>0</v>
      </c>
      <c r="CB76" s="187">
        <f t="shared" si="29"/>
        <v>0</v>
      </c>
      <c r="CC76" s="187">
        <f t="shared" si="29"/>
        <v>0</v>
      </c>
      <c r="CD76" s="187">
        <f t="shared" si="29"/>
        <v>0</v>
      </c>
      <c r="CE76" s="187">
        <f t="shared" si="29"/>
        <v>0</v>
      </c>
      <c r="CF76" s="187">
        <f t="shared" si="29"/>
        <v>0</v>
      </c>
      <c r="CG76" s="187">
        <f t="shared" si="29"/>
        <v>0</v>
      </c>
      <c r="CH76" s="188">
        <f t="shared" si="29"/>
        <v>0</v>
      </c>
      <c r="CI76" s="208">
        <f t="shared" si="29"/>
        <v>0</v>
      </c>
      <c r="CJ76" s="208">
        <f t="shared" si="29"/>
        <v>0</v>
      </c>
      <c r="CK76" s="188">
        <f t="shared" si="29"/>
        <v>0</v>
      </c>
      <c r="CM76" s="208">
        <f t="shared" si="30"/>
        <v>0</v>
      </c>
      <c r="CN76" s="187">
        <f t="shared" si="30"/>
        <v>0</v>
      </c>
      <c r="CO76" s="187">
        <f t="shared" si="30"/>
        <v>0</v>
      </c>
      <c r="CP76" s="187">
        <f t="shared" si="30"/>
        <v>0</v>
      </c>
      <c r="CQ76" s="187">
        <f t="shared" si="30"/>
        <v>0</v>
      </c>
      <c r="CR76" s="187">
        <f t="shared" si="30"/>
        <v>0</v>
      </c>
      <c r="CS76" s="187">
        <f t="shared" si="30"/>
        <v>0</v>
      </c>
      <c r="CT76" s="187">
        <f t="shared" si="30"/>
        <v>0</v>
      </c>
      <c r="CU76" s="187">
        <f t="shared" si="30"/>
        <v>0</v>
      </c>
      <c r="CV76" s="187">
        <f t="shared" si="30"/>
        <v>0</v>
      </c>
      <c r="CW76" s="187">
        <f t="shared" si="30"/>
        <v>0</v>
      </c>
      <c r="CX76" s="188">
        <f t="shared" si="30"/>
        <v>0</v>
      </c>
      <c r="CY76" s="208">
        <f t="shared" si="30"/>
        <v>0</v>
      </c>
      <c r="CZ76" s="208">
        <f t="shared" si="30"/>
        <v>0</v>
      </c>
      <c r="DA76" s="188">
        <f t="shared" si="30"/>
        <v>0</v>
      </c>
    </row>
    <row r="77" spans="1:105">
      <c r="A77" s="222"/>
      <c r="B77" s="223"/>
      <c r="C77" s="223"/>
      <c r="D77" s="224"/>
      <c r="E77" s="225"/>
      <c r="F77" s="226"/>
      <c r="G77" s="226"/>
      <c r="H77" s="226"/>
      <c r="I77" s="226"/>
      <c r="J77" s="225"/>
      <c r="K77" s="226"/>
      <c r="L77" s="226"/>
      <c r="M77" s="226"/>
      <c r="N77" s="226"/>
      <c r="O77" s="226"/>
      <c r="P77" s="226"/>
      <c r="Q77" s="226"/>
      <c r="R77" s="226"/>
      <c r="S77" s="226"/>
      <c r="T77" s="226"/>
      <c r="U77" s="224"/>
      <c r="V77" s="225"/>
      <c r="W77" s="226"/>
      <c r="X77" s="224"/>
      <c r="Y77" s="226"/>
      <c r="AA77" s="208">
        <f t="shared" si="26"/>
        <v>0</v>
      </c>
      <c r="AB77" s="187">
        <f t="shared" si="26"/>
        <v>0</v>
      </c>
      <c r="AC77" s="187">
        <f t="shared" si="26"/>
        <v>0</v>
      </c>
      <c r="AD77" s="187">
        <f t="shared" si="26"/>
        <v>0</v>
      </c>
      <c r="AE77" s="187">
        <f t="shared" si="26"/>
        <v>0</v>
      </c>
      <c r="AF77" s="187">
        <f t="shared" si="26"/>
        <v>0</v>
      </c>
      <c r="AG77" s="187">
        <f t="shared" si="26"/>
        <v>0</v>
      </c>
      <c r="AH77" s="187">
        <f t="shared" si="26"/>
        <v>0</v>
      </c>
      <c r="AI77" s="187">
        <f t="shared" si="26"/>
        <v>0</v>
      </c>
      <c r="AJ77" s="187">
        <f t="shared" si="26"/>
        <v>0</v>
      </c>
      <c r="AK77" s="187">
        <f t="shared" si="26"/>
        <v>0</v>
      </c>
      <c r="AL77" s="187">
        <f t="shared" si="26"/>
        <v>0</v>
      </c>
      <c r="AM77" s="208">
        <f t="shared" si="26"/>
        <v>0</v>
      </c>
      <c r="AN77" s="187">
        <f t="shared" si="26"/>
        <v>0</v>
      </c>
      <c r="AO77" s="188">
        <f t="shared" si="26"/>
        <v>0</v>
      </c>
      <c r="AQ77" s="208">
        <f t="shared" si="27"/>
        <v>0</v>
      </c>
      <c r="AR77" s="187">
        <f t="shared" si="27"/>
        <v>0</v>
      </c>
      <c r="AS77" s="187">
        <f t="shared" si="27"/>
        <v>0</v>
      </c>
      <c r="AT77" s="187">
        <f t="shared" si="27"/>
        <v>0</v>
      </c>
      <c r="AU77" s="187">
        <f t="shared" si="27"/>
        <v>0</v>
      </c>
      <c r="AV77" s="187">
        <f t="shared" si="27"/>
        <v>0</v>
      </c>
      <c r="AW77" s="187">
        <f t="shared" si="27"/>
        <v>0</v>
      </c>
      <c r="AX77" s="187">
        <f t="shared" si="27"/>
        <v>0</v>
      </c>
      <c r="AY77" s="187">
        <f t="shared" si="27"/>
        <v>0</v>
      </c>
      <c r="AZ77" s="187">
        <f t="shared" si="27"/>
        <v>0</v>
      </c>
      <c r="BA77" s="187">
        <f t="shared" si="27"/>
        <v>0</v>
      </c>
      <c r="BB77" s="188">
        <f t="shared" si="27"/>
        <v>0</v>
      </c>
      <c r="BC77" s="208">
        <f t="shared" si="27"/>
        <v>0</v>
      </c>
      <c r="BD77" s="208">
        <f t="shared" si="27"/>
        <v>0</v>
      </c>
      <c r="BE77" s="188">
        <f t="shared" si="27"/>
        <v>0</v>
      </c>
      <c r="BG77" s="208">
        <f t="shared" si="28"/>
        <v>0</v>
      </c>
      <c r="BH77" s="187">
        <f t="shared" si="28"/>
        <v>0</v>
      </c>
      <c r="BI77" s="187">
        <f t="shared" si="28"/>
        <v>0</v>
      </c>
      <c r="BJ77" s="187">
        <f t="shared" si="28"/>
        <v>0</v>
      </c>
      <c r="BK77" s="187">
        <f t="shared" si="28"/>
        <v>0</v>
      </c>
      <c r="BL77" s="187">
        <f t="shared" si="28"/>
        <v>0</v>
      </c>
      <c r="BM77" s="187">
        <f t="shared" si="28"/>
        <v>0</v>
      </c>
      <c r="BN77" s="187">
        <f t="shared" si="28"/>
        <v>0</v>
      </c>
      <c r="BO77" s="187">
        <f t="shared" si="28"/>
        <v>0</v>
      </c>
      <c r="BP77" s="187">
        <f t="shared" si="28"/>
        <v>0</v>
      </c>
      <c r="BQ77" s="187">
        <f t="shared" si="28"/>
        <v>0</v>
      </c>
      <c r="BR77" s="188">
        <f t="shared" si="28"/>
        <v>0</v>
      </c>
      <c r="BS77" s="208">
        <f t="shared" si="28"/>
        <v>0</v>
      </c>
      <c r="BT77" s="208">
        <f t="shared" si="28"/>
        <v>0</v>
      </c>
      <c r="BU77" s="188">
        <f t="shared" si="28"/>
        <v>0</v>
      </c>
      <c r="BW77" s="208">
        <f t="shared" si="29"/>
        <v>0</v>
      </c>
      <c r="BX77" s="187">
        <f t="shared" si="29"/>
        <v>0</v>
      </c>
      <c r="BY77" s="187">
        <f t="shared" si="29"/>
        <v>0</v>
      </c>
      <c r="BZ77" s="187">
        <f t="shared" si="29"/>
        <v>0</v>
      </c>
      <c r="CA77" s="187">
        <f t="shared" si="29"/>
        <v>0</v>
      </c>
      <c r="CB77" s="187">
        <f t="shared" si="29"/>
        <v>0</v>
      </c>
      <c r="CC77" s="187">
        <f t="shared" si="29"/>
        <v>0</v>
      </c>
      <c r="CD77" s="187">
        <f t="shared" si="29"/>
        <v>0</v>
      </c>
      <c r="CE77" s="187">
        <f t="shared" si="29"/>
        <v>0</v>
      </c>
      <c r="CF77" s="187">
        <f t="shared" si="29"/>
        <v>0</v>
      </c>
      <c r="CG77" s="187">
        <f t="shared" si="29"/>
        <v>0</v>
      </c>
      <c r="CH77" s="188">
        <f t="shared" si="29"/>
        <v>0</v>
      </c>
      <c r="CI77" s="208">
        <f t="shared" si="29"/>
        <v>0</v>
      </c>
      <c r="CJ77" s="208">
        <f t="shared" si="29"/>
        <v>0</v>
      </c>
      <c r="CK77" s="188">
        <f t="shared" si="29"/>
        <v>0</v>
      </c>
      <c r="CM77" s="208">
        <f t="shared" si="30"/>
        <v>0</v>
      </c>
      <c r="CN77" s="187">
        <f t="shared" si="30"/>
        <v>0</v>
      </c>
      <c r="CO77" s="187">
        <f t="shared" si="30"/>
        <v>0</v>
      </c>
      <c r="CP77" s="187">
        <f t="shared" si="30"/>
        <v>0</v>
      </c>
      <c r="CQ77" s="187">
        <f t="shared" si="30"/>
        <v>0</v>
      </c>
      <c r="CR77" s="187">
        <f t="shared" si="30"/>
        <v>0</v>
      </c>
      <c r="CS77" s="187">
        <f t="shared" si="30"/>
        <v>0</v>
      </c>
      <c r="CT77" s="187">
        <f t="shared" si="30"/>
        <v>0</v>
      </c>
      <c r="CU77" s="187">
        <f t="shared" si="30"/>
        <v>0</v>
      </c>
      <c r="CV77" s="187">
        <f t="shared" si="30"/>
        <v>0</v>
      </c>
      <c r="CW77" s="187">
        <f t="shared" si="30"/>
        <v>0</v>
      </c>
      <c r="CX77" s="188">
        <f t="shared" si="30"/>
        <v>0</v>
      </c>
      <c r="CY77" s="208">
        <f t="shared" si="30"/>
        <v>0</v>
      </c>
      <c r="CZ77" s="208">
        <f t="shared" si="30"/>
        <v>0</v>
      </c>
      <c r="DA77" s="188">
        <f t="shared" si="30"/>
        <v>0</v>
      </c>
    </row>
    <row r="78" spans="1:105">
      <c r="A78" s="222"/>
      <c r="B78" s="223"/>
      <c r="C78" s="223"/>
      <c r="D78" s="224"/>
      <c r="E78" s="225"/>
      <c r="F78" s="226"/>
      <c r="G78" s="226"/>
      <c r="H78" s="226"/>
      <c r="I78" s="226"/>
      <c r="J78" s="225"/>
      <c r="K78" s="226"/>
      <c r="L78" s="226"/>
      <c r="M78" s="226"/>
      <c r="N78" s="226"/>
      <c r="O78" s="226"/>
      <c r="P78" s="226"/>
      <c r="Q78" s="226"/>
      <c r="R78" s="226"/>
      <c r="S78" s="226"/>
      <c r="T78" s="226"/>
      <c r="U78" s="224"/>
      <c r="V78" s="225"/>
      <c r="W78" s="226"/>
      <c r="X78" s="224"/>
      <c r="Y78" s="226"/>
      <c r="AA78" s="208">
        <f t="shared" si="26"/>
        <v>0</v>
      </c>
      <c r="AB78" s="187">
        <f t="shared" si="26"/>
        <v>0</v>
      </c>
      <c r="AC78" s="187">
        <f t="shared" si="26"/>
        <v>0</v>
      </c>
      <c r="AD78" s="187">
        <f t="shared" si="26"/>
        <v>0</v>
      </c>
      <c r="AE78" s="187">
        <f t="shared" si="26"/>
        <v>0</v>
      </c>
      <c r="AF78" s="187">
        <f t="shared" si="26"/>
        <v>0</v>
      </c>
      <c r="AG78" s="187">
        <f t="shared" si="26"/>
        <v>0</v>
      </c>
      <c r="AH78" s="187">
        <f t="shared" si="26"/>
        <v>0</v>
      </c>
      <c r="AI78" s="187">
        <f t="shared" si="26"/>
        <v>0</v>
      </c>
      <c r="AJ78" s="187">
        <f t="shared" si="26"/>
        <v>0</v>
      </c>
      <c r="AK78" s="187">
        <f t="shared" si="26"/>
        <v>0</v>
      </c>
      <c r="AL78" s="187">
        <f t="shared" si="26"/>
        <v>0</v>
      </c>
      <c r="AM78" s="208">
        <f t="shared" si="26"/>
        <v>0</v>
      </c>
      <c r="AN78" s="187">
        <f t="shared" si="26"/>
        <v>0</v>
      </c>
      <c r="AO78" s="188">
        <f t="shared" si="26"/>
        <v>0</v>
      </c>
      <c r="AQ78" s="208">
        <f t="shared" si="27"/>
        <v>0</v>
      </c>
      <c r="AR78" s="187">
        <f t="shared" si="27"/>
        <v>0</v>
      </c>
      <c r="AS78" s="187">
        <f t="shared" si="27"/>
        <v>0</v>
      </c>
      <c r="AT78" s="187">
        <f t="shared" si="27"/>
        <v>0</v>
      </c>
      <c r="AU78" s="187">
        <f t="shared" si="27"/>
        <v>0</v>
      </c>
      <c r="AV78" s="187">
        <f t="shared" si="27"/>
        <v>0</v>
      </c>
      <c r="AW78" s="187">
        <f t="shared" si="27"/>
        <v>0</v>
      </c>
      <c r="AX78" s="187">
        <f t="shared" si="27"/>
        <v>0</v>
      </c>
      <c r="AY78" s="187">
        <f t="shared" si="27"/>
        <v>0</v>
      </c>
      <c r="AZ78" s="187">
        <f t="shared" si="27"/>
        <v>0</v>
      </c>
      <c r="BA78" s="187">
        <f t="shared" si="27"/>
        <v>0</v>
      </c>
      <c r="BB78" s="188">
        <f t="shared" si="27"/>
        <v>0</v>
      </c>
      <c r="BC78" s="208">
        <f t="shared" si="27"/>
        <v>0</v>
      </c>
      <c r="BD78" s="208">
        <f t="shared" si="27"/>
        <v>0</v>
      </c>
      <c r="BE78" s="188">
        <f t="shared" si="27"/>
        <v>0</v>
      </c>
      <c r="BG78" s="208">
        <f t="shared" si="28"/>
        <v>0</v>
      </c>
      <c r="BH78" s="187">
        <f t="shared" si="28"/>
        <v>0</v>
      </c>
      <c r="BI78" s="187">
        <f t="shared" si="28"/>
        <v>0</v>
      </c>
      <c r="BJ78" s="187">
        <f t="shared" si="28"/>
        <v>0</v>
      </c>
      <c r="BK78" s="187">
        <f t="shared" si="28"/>
        <v>0</v>
      </c>
      <c r="BL78" s="187">
        <f t="shared" si="28"/>
        <v>0</v>
      </c>
      <c r="BM78" s="187">
        <f t="shared" si="28"/>
        <v>0</v>
      </c>
      <c r="BN78" s="187">
        <f t="shared" si="28"/>
        <v>0</v>
      </c>
      <c r="BO78" s="187">
        <f t="shared" si="28"/>
        <v>0</v>
      </c>
      <c r="BP78" s="187">
        <f t="shared" si="28"/>
        <v>0</v>
      </c>
      <c r="BQ78" s="187">
        <f t="shared" si="28"/>
        <v>0</v>
      </c>
      <c r="BR78" s="188">
        <f t="shared" si="28"/>
        <v>0</v>
      </c>
      <c r="BS78" s="208">
        <f t="shared" si="28"/>
        <v>0</v>
      </c>
      <c r="BT78" s="208">
        <f t="shared" si="28"/>
        <v>0</v>
      </c>
      <c r="BU78" s="188">
        <f t="shared" si="28"/>
        <v>0</v>
      </c>
      <c r="BW78" s="208">
        <f t="shared" si="29"/>
        <v>0</v>
      </c>
      <c r="BX78" s="187">
        <f t="shared" si="29"/>
        <v>0</v>
      </c>
      <c r="BY78" s="187">
        <f t="shared" si="29"/>
        <v>0</v>
      </c>
      <c r="BZ78" s="187">
        <f t="shared" si="29"/>
        <v>0</v>
      </c>
      <c r="CA78" s="187">
        <f t="shared" si="29"/>
        <v>0</v>
      </c>
      <c r="CB78" s="187">
        <f t="shared" si="29"/>
        <v>0</v>
      </c>
      <c r="CC78" s="187">
        <f t="shared" si="29"/>
        <v>0</v>
      </c>
      <c r="CD78" s="187">
        <f t="shared" si="29"/>
        <v>0</v>
      </c>
      <c r="CE78" s="187">
        <f t="shared" si="29"/>
        <v>0</v>
      </c>
      <c r="CF78" s="187">
        <f t="shared" si="29"/>
        <v>0</v>
      </c>
      <c r="CG78" s="187">
        <f t="shared" si="29"/>
        <v>0</v>
      </c>
      <c r="CH78" s="188">
        <f t="shared" si="29"/>
        <v>0</v>
      </c>
      <c r="CI78" s="208">
        <f t="shared" si="29"/>
        <v>0</v>
      </c>
      <c r="CJ78" s="208">
        <f t="shared" si="29"/>
        <v>0</v>
      </c>
      <c r="CK78" s="188">
        <f t="shared" si="29"/>
        <v>0</v>
      </c>
      <c r="CM78" s="208">
        <f t="shared" si="30"/>
        <v>0</v>
      </c>
      <c r="CN78" s="187">
        <f t="shared" si="30"/>
        <v>0</v>
      </c>
      <c r="CO78" s="187">
        <f t="shared" si="30"/>
        <v>0</v>
      </c>
      <c r="CP78" s="187">
        <f t="shared" si="30"/>
        <v>0</v>
      </c>
      <c r="CQ78" s="187">
        <f t="shared" si="30"/>
        <v>0</v>
      </c>
      <c r="CR78" s="187">
        <f t="shared" si="30"/>
        <v>0</v>
      </c>
      <c r="CS78" s="187">
        <f t="shared" si="30"/>
        <v>0</v>
      </c>
      <c r="CT78" s="187">
        <f t="shared" si="30"/>
        <v>0</v>
      </c>
      <c r="CU78" s="187">
        <f t="shared" si="30"/>
        <v>0</v>
      </c>
      <c r="CV78" s="187">
        <f t="shared" si="30"/>
        <v>0</v>
      </c>
      <c r="CW78" s="187">
        <f t="shared" si="30"/>
        <v>0</v>
      </c>
      <c r="CX78" s="188">
        <f t="shared" si="30"/>
        <v>0</v>
      </c>
      <c r="CY78" s="208">
        <f t="shared" si="30"/>
        <v>0</v>
      </c>
      <c r="CZ78" s="208">
        <f t="shared" si="30"/>
        <v>0</v>
      </c>
      <c r="DA78" s="188">
        <f t="shared" si="30"/>
        <v>0</v>
      </c>
    </row>
    <row r="79" spans="1:105">
      <c r="A79" s="222"/>
      <c r="B79" s="223"/>
      <c r="C79" s="223"/>
      <c r="D79" s="224"/>
      <c r="E79" s="225"/>
      <c r="F79" s="226"/>
      <c r="G79" s="226"/>
      <c r="H79" s="226"/>
      <c r="I79" s="226"/>
      <c r="J79" s="225"/>
      <c r="K79" s="226"/>
      <c r="L79" s="226"/>
      <c r="M79" s="226"/>
      <c r="N79" s="226"/>
      <c r="O79" s="226"/>
      <c r="P79" s="226"/>
      <c r="Q79" s="226"/>
      <c r="R79" s="226"/>
      <c r="S79" s="226"/>
      <c r="T79" s="226"/>
      <c r="U79" s="224"/>
      <c r="V79" s="225"/>
      <c r="W79" s="226"/>
      <c r="X79" s="224"/>
      <c r="Y79" s="226"/>
      <c r="AA79" s="208">
        <f t="shared" si="26"/>
        <v>0</v>
      </c>
      <c r="AB79" s="187">
        <f t="shared" si="26"/>
        <v>0</v>
      </c>
      <c r="AC79" s="187">
        <f t="shared" si="26"/>
        <v>0</v>
      </c>
      <c r="AD79" s="187">
        <f t="shared" si="26"/>
        <v>0</v>
      </c>
      <c r="AE79" s="187">
        <f t="shared" si="26"/>
        <v>0</v>
      </c>
      <c r="AF79" s="187">
        <f t="shared" si="26"/>
        <v>0</v>
      </c>
      <c r="AG79" s="187">
        <f t="shared" si="26"/>
        <v>0</v>
      </c>
      <c r="AH79" s="187">
        <f t="shared" si="26"/>
        <v>0</v>
      </c>
      <c r="AI79" s="187">
        <f t="shared" si="26"/>
        <v>0</v>
      </c>
      <c r="AJ79" s="187">
        <f t="shared" si="26"/>
        <v>0</v>
      </c>
      <c r="AK79" s="187">
        <f t="shared" si="26"/>
        <v>0</v>
      </c>
      <c r="AL79" s="187">
        <f t="shared" si="26"/>
        <v>0</v>
      </c>
      <c r="AM79" s="208">
        <f t="shared" si="26"/>
        <v>0</v>
      </c>
      <c r="AN79" s="187">
        <f t="shared" si="26"/>
        <v>0</v>
      </c>
      <c r="AO79" s="188">
        <f t="shared" si="26"/>
        <v>0</v>
      </c>
      <c r="AQ79" s="208">
        <f t="shared" si="27"/>
        <v>0</v>
      </c>
      <c r="AR79" s="187">
        <f t="shared" si="27"/>
        <v>0</v>
      </c>
      <c r="AS79" s="187">
        <f t="shared" si="27"/>
        <v>0</v>
      </c>
      <c r="AT79" s="187">
        <f t="shared" si="27"/>
        <v>0</v>
      </c>
      <c r="AU79" s="187">
        <f t="shared" si="27"/>
        <v>0</v>
      </c>
      <c r="AV79" s="187">
        <f t="shared" si="27"/>
        <v>0</v>
      </c>
      <c r="AW79" s="187">
        <f t="shared" si="27"/>
        <v>0</v>
      </c>
      <c r="AX79" s="187">
        <f t="shared" si="27"/>
        <v>0</v>
      </c>
      <c r="AY79" s="187">
        <f t="shared" si="27"/>
        <v>0</v>
      </c>
      <c r="AZ79" s="187">
        <f t="shared" si="27"/>
        <v>0</v>
      </c>
      <c r="BA79" s="187">
        <f t="shared" si="27"/>
        <v>0</v>
      </c>
      <c r="BB79" s="188">
        <f t="shared" si="27"/>
        <v>0</v>
      </c>
      <c r="BC79" s="208">
        <f t="shared" si="27"/>
        <v>0</v>
      </c>
      <c r="BD79" s="208">
        <f t="shared" si="27"/>
        <v>0</v>
      </c>
      <c r="BE79" s="188">
        <f t="shared" si="27"/>
        <v>0</v>
      </c>
      <c r="BG79" s="208">
        <f t="shared" si="28"/>
        <v>0</v>
      </c>
      <c r="BH79" s="187">
        <f t="shared" si="28"/>
        <v>0</v>
      </c>
      <c r="BI79" s="187">
        <f t="shared" si="28"/>
        <v>0</v>
      </c>
      <c r="BJ79" s="187">
        <f t="shared" si="28"/>
        <v>0</v>
      </c>
      <c r="BK79" s="187">
        <f t="shared" si="28"/>
        <v>0</v>
      </c>
      <c r="BL79" s="187">
        <f t="shared" si="28"/>
        <v>0</v>
      </c>
      <c r="BM79" s="187">
        <f t="shared" si="28"/>
        <v>0</v>
      </c>
      <c r="BN79" s="187">
        <f t="shared" si="28"/>
        <v>0</v>
      </c>
      <c r="BO79" s="187">
        <f t="shared" si="28"/>
        <v>0</v>
      </c>
      <c r="BP79" s="187">
        <f t="shared" si="28"/>
        <v>0</v>
      </c>
      <c r="BQ79" s="187">
        <f t="shared" si="28"/>
        <v>0</v>
      </c>
      <c r="BR79" s="188">
        <f t="shared" si="28"/>
        <v>0</v>
      </c>
      <c r="BS79" s="208">
        <f t="shared" si="28"/>
        <v>0</v>
      </c>
      <c r="BT79" s="208">
        <f t="shared" si="28"/>
        <v>0</v>
      </c>
      <c r="BU79" s="188">
        <f t="shared" si="28"/>
        <v>0</v>
      </c>
      <c r="BW79" s="208">
        <f t="shared" si="29"/>
        <v>0</v>
      </c>
      <c r="BX79" s="187">
        <f t="shared" si="29"/>
        <v>0</v>
      </c>
      <c r="BY79" s="187">
        <f t="shared" si="29"/>
        <v>0</v>
      </c>
      <c r="BZ79" s="187">
        <f t="shared" si="29"/>
        <v>0</v>
      </c>
      <c r="CA79" s="187">
        <f t="shared" si="29"/>
        <v>0</v>
      </c>
      <c r="CB79" s="187">
        <f t="shared" si="29"/>
        <v>0</v>
      </c>
      <c r="CC79" s="187">
        <f t="shared" si="29"/>
        <v>0</v>
      </c>
      <c r="CD79" s="187">
        <f t="shared" si="29"/>
        <v>0</v>
      </c>
      <c r="CE79" s="187">
        <f t="shared" si="29"/>
        <v>0</v>
      </c>
      <c r="CF79" s="187">
        <f t="shared" si="29"/>
        <v>0</v>
      </c>
      <c r="CG79" s="187">
        <f t="shared" si="29"/>
        <v>0</v>
      </c>
      <c r="CH79" s="188">
        <f t="shared" si="29"/>
        <v>0</v>
      </c>
      <c r="CI79" s="208">
        <f t="shared" si="29"/>
        <v>0</v>
      </c>
      <c r="CJ79" s="208">
        <f t="shared" si="29"/>
        <v>0</v>
      </c>
      <c r="CK79" s="188">
        <f t="shared" si="29"/>
        <v>0</v>
      </c>
      <c r="CM79" s="208">
        <f t="shared" si="30"/>
        <v>0</v>
      </c>
      <c r="CN79" s="187">
        <f t="shared" si="30"/>
        <v>0</v>
      </c>
      <c r="CO79" s="187">
        <f t="shared" si="30"/>
        <v>0</v>
      </c>
      <c r="CP79" s="187">
        <f t="shared" si="30"/>
        <v>0</v>
      </c>
      <c r="CQ79" s="187">
        <f t="shared" si="30"/>
        <v>0</v>
      </c>
      <c r="CR79" s="187">
        <f t="shared" si="30"/>
        <v>0</v>
      </c>
      <c r="CS79" s="187">
        <f t="shared" si="30"/>
        <v>0</v>
      </c>
      <c r="CT79" s="187">
        <f t="shared" si="30"/>
        <v>0</v>
      </c>
      <c r="CU79" s="187">
        <f t="shared" si="30"/>
        <v>0</v>
      </c>
      <c r="CV79" s="187">
        <f t="shared" si="30"/>
        <v>0</v>
      </c>
      <c r="CW79" s="187">
        <f t="shared" si="30"/>
        <v>0</v>
      </c>
      <c r="CX79" s="188">
        <f t="shared" si="30"/>
        <v>0</v>
      </c>
      <c r="CY79" s="208">
        <f t="shared" si="30"/>
        <v>0</v>
      </c>
      <c r="CZ79" s="208">
        <f t="shared" si="30"/>
        <v>0</v>
      </c>
      <c r="DA79" s="188">
        <f t="shared" si="30"/>
        <v>0</v>
      </c>
    </row>
    <row r="80" spans="1:105">
      <c r="A80" s="222"/>
      <c r="B80" s="223"/>
      <c r="C80" s="223"/>
      <c r="D80" s="224"/>
      <c r="E80" s="225"/>
      <c r="F80" s="226"/>
      <c r="G80" s="226"/>
      <c r="H80" s="226"/>
      <c r="I80" s="226"/>
      <c r="J80" s="225"/>
      <c r="K80" s="226"/>
      <c r="L80" s="226"/>
      <c r="M80" s="226"/>
      <c r="N80" s="226"/>
      <c r="O80" s="226"/>
      <c r="P80" s="226"/>
      <c r="Q80" s="226"/>
      <c r="R80" s="226"/>
      <c r="S80" s="226"/>
      <c r="T80" s="226"/>
      <c r="U80" s="224"/>
      <c r="V80" s="225"/>
      <c r="W80" s="226"/>
      <c r="X80" s="224"/>
      <c r="Y80" s="226"/>
      <c r="AA80" s="208">
        <f t="shared" si="26"/>
        <v>0</v>
      </c>
      <c r="AB80" s="187">
        <f t="shared" si="26"/>
        <v>0</v>
      </c>
      <c r="AC80" s="187">
        <f t="shared" si="26"/>
        <v>0</v>
      </c>
      <c r="AD80" s="187">
        <f t="shared" si="26"/>
        <v>0</v>
      </c>
      <c r="AE80" s="187">
        <f t="shared" si="26"/>
        <v>0</v>
      </c>
      <c r="AF80" s="187">
        <f t="shared" si="26"/>
        <v>0</v>
      </c>
      <c r="AG80" s="187">
        <f t="shared" si="26"/>
        <v>0</v>
      </c>
      <c r="AH80" s="187">
        <f t="shared" si="26"/>
        <v>0</v>
      </c>
      <c r="AI80" s="187">
        <f t="shared" si="26"/>
        <v>0</v>
      </c>
      <c r="AJ80" s="187">
        <f t="shared" si="26"/>
        <v>0</v>
      </c>
      <c r="AK80" s="187">
        <f t="shared" si="26"/>
        <v>0</v>
      </c>
      <c r="AL80" s="187">
        <f t="shared" si="26"/>
        <v>0</v>
      </c>
      <c r="AM80" s="208">
        <f t="shared" si="26"/>
        <v>0</v>
      </c>
      <c r="AN80" s="187">
        <f t="shared" si="26"/>
        <v>0</v>
      </c>
      <c r="AO80" s="188">
        <f t="shared" si="26"/>
        <v>0</v>
      </c>
      <c r="AQ80" s="208">
        <f t="shared" si="27"/>
        <v>0</v>
      </c>
      <c r="AR80" s="187">
        <f t="shared" si="27"/>
        <v>0</v>
      </c>
      <c r="AS80" s="187">
        <f t="shared" si="27"/>
        <v>0</v>
      </c>
      <c r="AT80" s="187">
        <f t="shared" si="27"/>
        <v>0</v>
      </c>
      <c r="AU80" s="187">
        <f t="shared" si="27"/>
        <v>0</v>
      </c>
      <c r="AV80" s="187">
        <f t="shared" si="27"/>
        <v>0</v>
      </c>
      <c r="AW80" s="187">
        <f t="shared" si="27"/>
        <v>0</v>
      </c>
      <c r="AX80" s="187">
        <f t="shared" si="27"/>
        <v>0</v>
      </c>
      <c r="AY80" s="187">
        <f t="shared" si="27"/>
        <v>0</v>
      </c>
      <c r="AZ80" s="187">
        <f t="shared" si="27"/>
        <v>0</v>
      </c>
      <c r="BA80" s="187">
        <f t="shared" si="27"/>
        <v>0</v>
      </c>
      <c r="BB80" s="188">
        <f t="shared" si="27"/>
        <v>0</v>
      </c>
      <c r="BC80" s="208">
        <f t="shared" si="27"/>
        <v>0</v>
      </c>
      <c r="BD80" s="208">
        <f t="shared" si="27"/>
        <v>0</v>
      </c>
      <c r="BE80" s="188">
        <f t="shared" si="27"/>
        <v>0</v>
      </c>
      <c r="BG80" s="208">
        <f t="shared" si="28"/>
        <v>0</v>
      </c>
      <c r="BH80" s="187">
        <f t="shared" si="28"/>
        <v>0</v>
      </c>
      <c r="BI80" s="187">
        <f t="shared" si="28"/>
        <v>0</v>
      </c>
      <c r="BJ80" s="187">
        <f t="shared" si="28"/>
        <v>0</v>
      </c>
      <c r="BK80" s="187">
        <f t="shared" si="28"/>
        <v>0</v>
      </c>
      <c r="BL80" s="187">
        <f t="shared" si="28"/>
        <v>0</v>
      </c>
      <c r="BM80" s="187">
        <f t="shared" si="28"/>
        <v>0</v>
      </c>
      <c r="BN80" s="187">
        <f t="shared" si="28"/>
        <v>0</v>
      </c>
      <c r="BO80" s="187">
        <f t="shared" si="28"/>
        <v>0</v>
      </c>
      <c r="BP80" s="187">
        <f t="shared" si="28"/>
        <v>0</v>
      </c>
      <c r="BQ80" s="187">
        <f t="shared" si="28"/>
        <v>0</v>
      </c>
      <c r="BR80" s="188">
        <f t="shared" si="28"/>
        <v>0</v>
      </c>
      <c r="BS80" s="208">
        <f t="shared" si="28"/>
        <v>0</v>
      </c>
      <c r="BT80" s="208">
        <f t="shared" si="28"/>
        <v>0</v>
      </c>
      <c r="BU80" s="188">
        <f t="shared" si="28"/>
        <v>0</v>
      </c>
      <c r="BW80" s="208">
        <f t="shared" si="29"/>
        <v>0</v>
      </c>
      <c r="BX80" s="187">
        <f t="shared" si="29"/>
        <v>0</v>
      </c>
      <c r="BY80" s="187">
        <f t="shared" si="29"/>
        <v>0</v>
      </c>
      <c r="BZ80" s="187">
        <f t="shared" si="29"/>
        <v>0</v>
      </c>
      <c r="CA80" s="187">
        <f t="shared" si="29"/>
        <v>0</v>
      </c>
      <c r="CB80" s="187">
        <f t="shared" si="29"/>
        <v>0</v>
      </c>
      <c r="CC80" s="187">
        <f t="shared" si="29"/>
        <v>0</v>
      </c>
      <c r="CD80" s="187">
        <f t="shared" si="29"/>
        <v>0</v>
      </c>
      <c r="CE80" s="187">
        <f t="shared" si="29"/>
        <v>0</v>
      </c>
      <c r="CF80" s="187">
        <f t="shared" si="29"/>
        <v>0</v>
      </c>
      <c r="CG80" s="187">
        <f t="shared" si="29"/>
        <v>0</v>
      </c>
      <c r="CH80" s="188">
        <f t="shared" si="29"/>
        <v>0</v>
      </c>
      <c r="CI80" s="208">
        <f t="shared" si="29"/>
        <v>0</v>
      </c>
      <c r="CJ80" s="208">
        <f t="shared" si="29"/>
        <v>0</v>
      </c>
      <c r="CK80" s="188">
        <f t="shared" si="29"/>
        <v>0</v>
      </c>
      <c r="CM80" s="208">
        <f t="shared" si="30"/>
        <v>0</v>
      </c>
      <c r="CN80" s="187">
        <f t="shared" si="30"/>
        <v>0</v>
      </c>
      <c r="CO80" s="187">
        <f t="shared" si="30"/>
        <v>0</v>
      </c>
      <c r="CP80" s="187">
        <f t="shared" si="30"/>
        <v>0</v>
      </c>
      <c r="CQ80" s="187">
        <f t="shared" si="30"/>
        <v>0</v>
      </c>
      <c r="CR80" s="187">
        <f t="shared" si="30"/>
        <v>0</v>
      </c>
      <c r="CS80" s="187">
        <f t="shared" si="30"/>
        <v>0</v>
      </c>
      <c r="CT80" s="187">
        <f t="shared" si="30"/>
        <v>0</v>
      </c>
      <c r="CU80" s="187">
        <f t="shared" si="30"/>
        <v>0</v>
      </c>
      <c r="CV80" s="187">
        <f t="shared" si="30"/>
        <v>0</v>
      </c>
      <c r="CW80" s="187">
        <f t="shared" si="30"/>
        <v>0</v>
      </c>
      <c r="CX80" s="188">
        <f t="shared" si="30"/>
        <v>0</v>
      </c>
      <c r="CY80" s="208">
        <f t="shared" si="30"/>
        <v>0</v>
      </c>
      <c r="CZ80" s="208">
        <f t="shared" si="30"/>
        <v>0</v>
      </c>
      <c r="DA80" s="188">
        <f t="shared" si="30"/>
        <v>0</v>
      </c>
    </row>
    <row r="81" spans="1:105">
      <c r="A81" s="222"/>
      <c r="B81" s="223"/>
      <c r="C81" s="223"/>
      <c r="D81" s="224"/>
      <c r="E81" s="225"/>
      <c r="F81" s="226"/>
      <c r="G81" s="226"/>
      <c r="H81" s="226"/>
      <c r="I81" s="226"/>
      <c r="J81" s="225"/>
      <c r="K81" s="226"/>
      <c r="L81" s="226"/>
      <c r="M81" s="226"/>
      <c r="N81" s="226"/>
      <c r="O81" s="226"/>
      <c r="P81" s="226"/>
      <c r="Q81" s="226"/>
      <c r="R81" s="226"/>
      <c r="S81" s="226"/>
      <c r="T81" s="226"/>
      <c r="U81" s="224"/>
      <c r="V81" s="225"/>
      <c r="W81" s="226"/>
      <c r="X81" s="224"/>
      <c r="Y81" s="226"/>
      <c r="AA81" s="208">
        <f t="shared" si="26"/>
        <v>0</v>
      </c>
      <c r="AB81" s="187">
        <f t="shared" si="26"/>
        <v>0</v>
      </c>
      <c r="AC81" s="187">
        <f t="shared" si="26"/>
        <v>0</v>
      </c>
      <c r="AD81" s="187">
        <f t="shared" si="26"/>
        <v>0</v>
      </c>
      <c r="AE81" s="187">
        <f t="shared" si="26"/>
        <v>0</v>
      </c>
      <c r="AF81" s="187">
        <f t="shared" si="26"/>
        <v>0</v>
      </c>
      <c r="AG81" s="187">
        <f t="shared" si="26"/>
        <v>0</v>
      </c>
      <c r="AH81" s="187">
        <f t="shared" si="26"/>
        <v>0</v>
      </c>
      <c r="AI81" s="187">
        <f t="shared" si="26"/>
        <v>0</v>
      </c>
      <c r="AJ81" s="187">
        <f t="shared" si="26"/>
        <v>0</v>
      </c>
      <c r="AK81" s="187">
        <f t="shared" si="26"/>
        <v>0</v>
      </c>
      <c r="AL81" s="187">
        <f t="shared" si="26"/>
        <v>0</v>
      </c>
      <c r="AM81" s="208">
        <f t="shared" si="26"/>
        <v>0</v>
      </c>
      <c r="AN81" s="187">
        <f t="shared" si="26"/>
        <v>0</v>
      </c>
      <c r="AO81" s="188">
        <f t="shared" si="26"/>
        <v>0</v>
      </c>
      <c r="AQ81" s="208">
        <f t="shared" si="27"/>
        <v>0</v>
      </c>
      <c r="AR81" s="187">
        <f t="shared" si="27"/>
        <v>0</v>
      </c>
      <c r="AS81" s="187">
        <f t="shared" si="27"/>
        <v>0</v>
      </c>
      <c r="AT81" s="187">
        <f t="shared" si="27"/>
        <v>0</v>
      </c>
      <c r="AU81" s="187">
        <f t="shared" si="27"/>
        <v>0</v>
      </c>
      <c r="AV81" s="187">
        <f t="shared" si="27"/>
        <v>0</v>
      </c>
      <c r="AW81" s="187">
        <f t="shared" si="27"/>
        <v>0</v>
      </c>
      <c r="AX81" s="187">
        <f t="shared" si="27"/>
        <v>0</v>
      </c>
      <c r="AY81" s="187">
        <f t="shared" si="27"/>
        <v>0</v>
      </c>
      <c r="AZ81" s="187">
        <f t="shared" si="27"/>
        <v>0</v>
      </c>
      <c r="BA81" s="187">
        <f t="shared" si="27"/>
        <v>0</v>
      </c>
      <c r="BB81" s="188">
        <f t="shared" si="27"/>
        <v>0</v>
      </c>
      <c r="BC81" s="208">
        <f t="shared" si="27"/>
        <v>0</v>
      </c>
      <c r="BD81" s="208">
        <f t="shared" si="27"/>
        <v>0</v>
      </c>
      <c r="BE81" s="188">
        <f t="shared" si="27"/>
        <v>0</v>
      </c>
      <c r="BG81" s="208">
        <f t="shared" si="28"/>
        <v>0</v>
      </c>
      <c r="BH81" s="187">
        <f t="shared" si="28"/>
        <v>0</v>
      </c>
      <c r="BI81" s="187">
        <f t="shared" si="28"/>
        <v>0</v>
      </c>
      <c r="BJ81" s="187">
        <f t="shared" si="28"/>
        <v>0</v>
      </c>
      <c r="BK81" s="187">
        <f t="shared" si="28"/>
        <v>0</v>
      </c>
      <c r="BL81" s="187">
        <f t="shared" si="28"/>
        <v>0</v>
      </c>
      <c r="BM81" s="187">
        <f t="shared" si="28"/>
        <v>0</v>
      </c>
      <c r="BN81" s="187">
        <f t="shared" si="28"/>
        <v>0</v>
      </c>
      <c r="BO81" s="187">
        <f t="shared" si="28"/>
        <v>0</v>
      </c>
      <c r="BP81" s="187">
        <f t="shared" si="28"/>
        <v>0</v>
      </c>
      <c r="BQ81" s="187">
        <f t="shared" si="28"/>
        <v>0</v>
      </c>
      <c r="BR81" s="188">
        <f t="shared" si="28"/>
        <v>0</v>
      </c>
      <c r="BS81" s="208">
        <f t="shared" si="28"/>
        <v>0</v>
      </c>
      <c r="BT81" s="208">
        <f t="shared" si="28"/>
        <v>0</v>
      </c>
      <c r="BU81" s="188">
        <f t="shared" si="28"/>
        <v>0</v>
      </c>
      <c r="BW81" s="208">
        <f t="shared" si="29"/>
        <v>0</v>
      </c>
      <c r="BX81" s="187">
        <f t="shared" si="29"/>
        <v>0</v>
      </c>
      <c r="BY81" s="187">
        <f t="shared" si="29"/>
        <v>0</v>
      </c>
      <c r="BZ81" s="187">
        <f t="shared" si="29"/>
        <v>0</v>
      </c>
      <c r="CA81" s="187">
        <f t="shared" si="29"/>
        <v>0</v>
      </c>
      <c r="CB81" s="187">
        <f t="shared" si="29"/>
        <v>0</v>
      </c>
      <c r="CC81" s="187">
        <f t="shared" si="29"/>
        <v>0</v>
      </c>
      <c r="CD81" s="187">
        <f t="shared" si="29"/>
        <v>0</v>
      </c>
      <c r="CE81" s="187">
        <f t="shared" si="29"/>
        <v>0</v>
      </c>
      <c r="CF81" s="187">
        <f t="shared" si="29"/>
        <v>0</v>
      </c>
      <c r="CG81" s="187">
        <f t="shared" si="29"/>
        <v>0</v>
      </c>
      <c r="CH81" s="188">
        <f t="shared" si="29"/>
        <v>0</v>
      </c>
      <c r="CI81" s="208">
        <f t="shared" si="29"/>
        <v>0</v>
      </c>
      <c r="CJ81" s="208">
        <f t="shared" si="29"/>
        <v>0</v>
      </c>
      <c r="CK81" s="188">
        <f t="shared" si="29"/>
        <v>0</v>
      </c>
      <c r="CM81" s="208">
        <f t="shared" si="30"/>
        <v>0</v>
      </c>
      <c r="CN81" s="187">
        <f t="shared" si="30"/>
        <v>0</v>
      </c>
      <c r="CO81" s="187">
        <f t="shared" si="30"/>
        <v>0</v>
      </c>
      <c r="CP81" s="187">
        <f t="shared" si="30"/>
        <v>0</v>
      </c>
      <c r="CQ81" s="187">
        <f t="shared" si="30"/>
        <v>0</v>
      </c>
      <c r="CR81" s="187">
        <f t="shared" si="30"/>
        <v>0</v>
      </c>
      <c r="CS81" s="187">
        <f t="shared" si="30"/>
        <v>0</v>
      </c>
      <c r="CT81" s="187">
        <f t="shared" si="30"/>
        <v>0</v>
      </c>
      <c r="CU81" s="187">
        <f t="shared" si="30"/>
        <v>0</v>
      </c>
      <c r="CV81" s="187">
        <f t="shared" si="30"/>
        <v>0</v>
      </c>
      <c r="CW81" s="187">
        <f t="shared" si="30"/>
        <v>0</v>
      </c>
      <c r="CX81" s="188">
        <f t="shared" si="30"/>
        <v>0</v>
      </c>
      <c r="CY81" s="208">
        <f t="shared" si="30"/>
        <v>0</v>
      </c>
      <c r="CZ81" s="208">
        <f t="shared" si="30"/>
        <v>0</v>
      </c>
      <c r="DA81" s="188">
        <f t="shared" si="30"/>
        <v>0</v>
      </c>
    </row>
    <row r="82" spans="1:105">
      <c r="A82" s="222"/>
      <c r="B82" s="223"/>
      <c r="C82" s="223"/>
      <c r="D82" s="224"/>
      <c r="E82" s="225"/>
      <c r="F82" s="226"/>
      <c r="G82" s="226"/>
      <c r="H82" s="226"/>
      <c r="I82" s="226"/>
      <c r="J82" s="225"/>
      <c r="K82" s="226"/>
      <c r="L82" s="226"/>
      <c r="M82" s="226"/>
      <c r="N82" s="226"/>
      <c r="O82" s="226"/>
      <c r="P82" s="226"/>
      <c r="Q82" s="226"/>
      <c r="R82" s="226"/>
      <c r="S82" s="226"/>
      <c r="T82" s="226"/>
      <c r="U82" s="224"/>
      <c r="V82" s="225"/>
      <c r="W82" s="226"/>
      <c r="X82" s="224"/>
      <c r="Y82" s="226"/>
      <c r="AA82" s="208">
        <f t="shared" si="26"/>
        <v>0</v>
      </c>
      <c r="AB82" s="187">
        <f t="shared" si="26"/>
        <v>0</v>
      </c>
      <c r="AC82" s="187">
        <f t="shared" si="26"/>
        <v>0</v>
      </c>
      <c r="AD82" s="187">
        <f t="shared" si="26"/>
        <v>0</v>
      </c>
      <c r="AE82" s="187">
        <f t="shared" si="26"/>
        <v>0</v>
      </c>
      <c r="AF82" s="187">
        <f t="shared" si="26"/>
        <v>0</v>
      </c>
      <c r="AG82" s="187">
        <f t="shared" si="26"/>
        <v>0</v>
      </c>
      <c r="AH82" s="187">
        <f t="shared" si="26"/>
        <v>0</v>
      </c>
      <c r="AI82" s="187">
        <f t="shared" si="26"/>
        <v>0</v>
      </c>
      <c r="AJ82" s="187">
        <f t="shared" si="26"/>
        <v>0</v>
      </c>
      <c r="AK82" s="187">
        <f t="shared" si="26"/>
        <v>0</v>
      </c>
      <c r="AL82" s="187">
        <f t="shared" si="26"/>
        <v>0</v>
      </c>
      <c r="AM82" s="208">
        <f t="shared" si="26"/>
        <v>0</v>
      </c>
      <c r="AN82" s="187">
        <f t="shared" si="26"/>
        <v>0</v>
      </c>
      <c r="AO82" s="188">
        <f t="shared" si="26"/>
        <v>0</v>
      </c>
      <c r="AQ82" s="208">
        <f t="shared" si="27"/>
        <v>0</v>
      </c>
      <c r="AR82" s="187">
        <f t="shared" si="27"/>
        <v>0</v>
      </c>
      <c r="AS82" s="187">
        <f t="shared" si="27"/>
        <v>0</v>
      </c>
      <c r="AT82" s="187">
        <f t="shared" si="27"/>
        <v>0</v>
      </c>
      <c r="AU82" s="187">
        <f t="shared" si="27"/>
        <v>0</v>
      </c>
      <c r="AV82" s="187">
        <f t="shared" si="27"/>
        <v>0</v>
      </c>
      <c r="AW82" s="187">
        <f t="shared" si="27"/>
        <v>0</v>
      </c>
      <c r="AX82" s="187">
        <f t="shared" si="27"/>
        <v>0</v>
      </c>
      <c r="AY82" s="187">
        <f t="shared" si="27"/>
        <v>0</v>
      </c>
      <c r="AZ82" s="187">
        <f t="shared" si="27"/>
        <v>0</v>
      </c>
      <c r="BA82" s="187">
        <f t="shared" si="27"/>
        <v>0</v>
      </c>
      <c r="BB82" s="188">
        <f t="shared" si="27"/>
        <v>0</v>
      </c>
      <c r="BC82" s="208">
        <f t="shared" si="27"/>
        <v>0</v>
      </c>
      <c r="BD82" s="208">
        <f t="shared" si="27"/>
        <v>0</v>
      </c>
      <c r="BE82" s="188">
        <f t="shared" si="27"/>
        <v>0</v>
      </c>
      <c r="BG82" s="208">
        <f t="shared" si="28"/>
        <v>0</v>
      </c>
      <c r="BH82" s="187">
        <f t="shared" si="28"/>
        <v>0</v>
      </c>
      <c r="BI82" s="187">
        <f t="shared" si="28"/>
        <v>0</v>
      </c>
      <c r="BJ82" s="187">
        <f t="shared" si="28"/>
        <v>0</v>
      </c>
      <c r="BK82" s="187">
        <f t="shared" si="28"/>
        <v>0</v>
      </c>
      <c r="BL82" s="187">
        <f t="shared" si="28"/>
        <v>0</v>
      </c>
      <c r="BM82" s="187">
        <f t="shared" si="28"/>
        <v>0</v>
      </c>
      <c r="BN82" s="187">
        <f t="shared" si="28"/>
        <v>0</v>
      </c>
      <c r="BO82" s="187">
        <f t="shared" si="28"/>
        <v>0</v>
      </c>
      <c r="BP82" s="187">
        <f t="shared" si="28"/>
        <v>0</v>
      </c>
      <c r="BQ82" s="187">
        <f t="shared" si="28"/>
        <v>0</v>
      </c>
      <c r="BR82" s="188">
        <f t="shared" si="28"/>
        <v>0</v>
      </c>
      <c r="BS82" s="208">
        <f t="shared" si="28"/>
        <v>0</v>
      </c>
      <c r="BT82" s="208">
        <f t="shared" si="28"/>
        <v>0</v>
      </c>
      <c r="BU82" s="188">
        <f t="shared" si="28"/>
        <v>0</v>
      </c>
      <c r="BW82" s="208">
        <f t="shared" si="29"/>
        <v>0</v>
      </c>
      <c r="BX82" s="187">
        <f t="shared" si="29"/>
        <v>0</v>
      </c>
      <c r="BY82" s="187">
        <f t="shared" si="29"/>
        <v>0</v>
      </c>
      <c r="BZ82" s="187">
        <f t="shared" si="29"/>
        <v>0</v>
      </c>
      <c r="CA82" s="187">
        <f t="shared" si="29"/>
        <v>0</v>
      </c>
      <c r="CB82" s="187">
        <f t="shared" si="29"/>
        <v>0</v>
      </c>
      <c r="CC82" s="187">
        <f t="shared" si="29"/>
        <v>0</v>
      </c>
      <c r="CD82" s="187">
        <f t="shared" si="29"/>
        <v>0</v>
      </c>
      <c r="CE82" s="187">
        <f t="shared" si="29"/>
        <v>0</v>
      </c>
      <c r="CF82" s="187">
        <f t="shared" si="29"/>
        <v>0</v>
      </c>
      <c r="CG82" s="187">
        <f t="shared" si="29"/>
        <v>0</v>
      </c>
      <c r="CH82" s="188">
        <f t="shared" si="29"/>
        <v>0</v>
      </c>
      <c r="CI82" s="208">
        <f t="shared" si="29"/>
        <v>0</v>
      </c>
      <c r="CJ82" s="208">
        <f t="shared" si="29"/>
        <v>0</v>
      </c>
      <c r="CK82" s="188">
        <f t="shared" si="29"/>
        <v>0</v>
      </c>
      <c r="CM82" s="208">
        <f t="shared" si="30"/>
        <v>0</v>
      </c>
      <c r="CN82" s="187">
        <f t="shared" si="30"/>
        <v>0</v>
      </c>
      <c r="CO82" s="187">
        <f t="shared" si="30"/>
        <v>0</v>
      </c>
      <c r="CP82" s="187">
        <f t="shared" si="30"/>
        <v>0</v>
      </c>
      <c r="CQ82" s="187">
        <f t="shared" si="30"/>
        <v>0</v>
      </c>
      <c r="CR82" s="187">
        <f t="shared" si="30"/>
        <v>0</v>
      </c>
      <c r="CS82" s="187">
        <f t="shared" si="30"/>
        <v>0</v>
      </c>
      <c r="CT82" s="187">
        <f t="shared" si="30"/>
        <v>0</v>
      </c>
      <c r="CU82" s="187">
        <f t="shared" si="30"/>
        <v>0</v>
      </c>
      <c r="CV82" s="187">
        <f t="shared" si="30"/>
        <v>0</v>
      </c>
      <c r="CW82" s="187">
        <f t="shared" si="30"/>
        <v>0</v>
      </c>
      <c r="CX82" s="188">
        <f t="shared" si="30"/>
        <v>0</v>
      </c>
      <c r="CY82" s="208">
        <f t="shared" si="30"/>
        <v>0</v>
      </c>
      <c r="CZ82" s="208">
        <f t="shared" si="30"/>
        <v>0</v>
      </c>
      <c r="DA82" s="188">
        <f t="shared" si="30"/>
        <v>0</v>
      </c>
    </row>
    <row r="83" spans="1:105">
      <c r="A83" s="222"/>
      <c r="B83" s="223"/>
      <c r="C83" s="223"/>
      <c r="D83" s="224"/>
      <c r="E83" s="225"/>
      <c r="F83" s="226"/>
      <c r="G83" s="226"/>
      <c r="H83" s="226"/>
      <c r="I83" s="226"/>
      <c r="J83" s="225"/>
      <c r="K83" s="226"/>
      <c r="L83" s="226"/>
      <c r="M83" s="226"/>
      <c r="N83" s="226"/>
      <c r="O83" s="226"/>
      <c r="P83" s="226"/>
      <c r="Q83" s="226"/>
      <c r="R83" s="226"/>
      <c r="S83" s="226"/>
      <c r="T83" s="226"/>
      <c r="U83" s="224"/>
      <c r="V83" s="225"/>
      <c r="W83" s="226"/>
      <c r="X83" s="224"/>
      <c r="Y83" s="226"/>
      <c r="AA83" s="208">
        <f t="shared" si="26"/>
        <v>0</v>
      </c>
      <c r="AB83" s="187">
        <f t="shared" si="26"/>
        <v>0</v>
      </c>
      <c r="AC83" s="187">
        <f t="shared" si="26"/>
        <v>0</v>
      </c>
      <c r="AD83" s="187">
        <f t="shared" si="26"/>
        <v>0</v>
      </c>
      <c r="AE83" s="187">
        <f t="shared" si="26"/>
        <v>0</v>
      </c>
      <c r="AF83" s="187">
        <f t="shared" si="26"/>
        <v>0</v>
      </c>
      <c r="AG83" s="187">
        <f t="shared" si="26"/>
        <v>0</v>
      </c>
      <c r="AH83" s="187">
        <f t="shared" si="26"/>
        <v>0</v>
      </c>
      <c r="AI83" s="187">
        <f t="shared" si="26"/>
        <v>0</v>
      </c>
      <c r="AJ83" s="187">
        <f t="shared" si="26"/>
        <v>0</v>
      </c>
      <c r="AK83" s="187">
        <f t="shared" si="26"/>
        <v>0</v>
      </c>
      <c r="AL83" s="187">
        <f t="shared" si="26"/>
        <v>0</v>
      </c>
      <c r="AM83" s="208">
        <f t="shared" si="26"/>
        <v>0</v>
      </c>
      <c r="AN83" s="187">
        <f t="shared" si="26"/>
        <v>0</v>
      </c>
      <c r="AO83" s="188">
        <f t="shared" si="26"/>
        <v>0</v>
      </c>
      <c r="AQ83" s="208">
        <f t="shared" si="27"/>
        <v>0</v>
      </c>
      <c r="AR83" s="187">
        <f t="shared" si="27"/>
        <v>0</v>
      </c>
      <c r="AS83" s="187">
        <f t="shared" si="27"/>
        <v>0</v>
      </c>
      <c r="AT83" s="187">
        <f t="shared" si="27"/>
        <v>0</v>
      </c>
      <c r="AU83" s="187">
        <f t="shared" si="27"/>
        <v>0</v>
      </c>
      <c r="AV83" s="187">
        <f t="shared" si="27"/>
        <v>0</v>
      </c>
      <c r="AW83" s="187">
        <f t="shared" si="27"/>
        <v>0</v>
      </c>
      <c r="AX83" s="187">
        <f t="shared" si="27"/>
        <v>0</v>
      </c>
      <c r="AY83" s="187">
        <f t="shared" si="27"/>
        <v>0</v>
      </c>
      <c r="AZ83" s="187">
        <f t="shared" si="27"/>
        <v>0</v>
      </c>
      <c r="BA83" s="187">
        <f t="shared" si="27"/>
        <v>0</v>
      </c>
      <c r="BB83" s="188">
        <f t="shared" si="27"/>
        <v>0</v>
      </c>
      <c r="BC83" s="208">
        <f t="shared" si="27"/>
        <v>0</v>
      </c>
      <c r="BD83" s="208">
        <f t="shared" si="27"/>
        <v>0</v>
      </c>
      <c r="BE83" s="188">
        <f t="shared" si="27"/>
        <v>0</v>
      </c>
      <c r="BG83" s="208">
        <f t="shared" si="28"/>
        <v>0</v>
      </c>
      <c r="BH83" s="187">
        <f t="shared" si="28"/>
        <v>0</v>
      </c>
      <c r="BI83" s="187">
        <f t="shared" si="28"/>
        <v>0</v>
      </c>
      <c r="BJ83" s="187">
        <f t="shared" si="28"/>
        <v>0</v>
      </c>
      <c r="BK83" s="187">
        <f t="shared" si="28"/>
        <v>0</v>
      </c>
      <c r="BL83" s="187">
        <f t="shared" si="28"/>
        <v>0</v>
      </c>
      <c r="BM83" s="187">
        <f t="shared" si="28"/>
        <v>0</v>
      </c>
      <c r="BN83" s="187">
        <f t="shared" si="28"/>
        <v>0</v>
      </c>
      <c r="BO83" s="187">
        <f t="shared" si="28"/>
        <v>0</v>
      </c>
      <c r="BP83" s="187">
        <f t="shared" si="28"/>
        <v>0</v>
      </c>
      <c r="BQ83" s="187">
        <f t="shared" si="28"/>
        <v>0</v>
      </c>
      <c r="BR83" s="188">
        <f t="shared" si="28"/>
        <v>0</v>
      </c>
      <c r="BS83" s="208">
        <f t="shared" si="28"/>
        <v>0</v>
      </c>
      <c r="BT83" s="208">
        <f t="shared" si="28"/>
        <v>0</v>
      </c>
      <c r="BU83" s="188">
        <f t="shared" si="28"/>
        <v>0</v>
      </c>
      <c r="BW83" s="208">
        <f t="shared" si="29"/>
        <v>0</v>
      </c>
      <c r="BX83" s="187">
        <f t="shared" si="29"/>
        <v>0</v>
      </c>
      <c r="BY83" s="187">
        <f t="shared" si="29"/>
        <v>0</v>
      </c>
      <c r="BZ83" s="187">
        <f t="shared" si="29"/>
        <v>0</v>
      </c>
      <c r="CA83" s="187">
        <f t="shared" si="29"/>
        <v>0</v>
      </c>
      <c r="CB83" s="187">
        <f t="shared" si="29"/>
        <v>0</v>
      </c>
      <c r="CC83" s="187">
        <f t="shared" si="29"/>
        <v>0</v>
      </c>
      <c r="CD83" s="187">
        <f t="shared" si="29"/>
        <v>0</v>
      </c>
      <c r="CE83" s="187">
        <f t="shared" si="29"/>
        <v>0</v>
      </c>
      <c r="CF83" s="187">
        <f t="shared" si="29"/>
        <v>0</v>
      </c>
      <c r="CG83" s="187">
        <f t="shared" si="29"/>
        <v>0</v>
      </c>
      <c r="CH83" s="188">
        <f t="shared" si="29"/>
        <v>0</v>
      </c>
      <c r="CI83" s="208">
        <f t="shared" si="29"/>
        <v>0</v>
      </c>
      <c r="CJ83" s="208">
        <f t="shared" si="29"/>
        <v>0</v>
      </c>
      <c r="CK83" s="188">
        <f t="shared" si="29"/>
        <v>0</v>
      </c>
      <c r="CM83" s="208">
        <f t="shared" si="30"/>
        <v>0</v>
      </c>
      <c r="CN83" s="187">
        <f t="shared" si="30"/>
        <v>0</v>
      </c>
      <c r="CO83" s="187">
        <f t="shared" si="30"/>
        <v>0</v>
      </c>
      <c r="CP83" s="187">
        <f t="shared" si="30"/>
        <v>0</v>
      </c>
      <c r="CQ83" s="187">
        <f t="shared" si="30"/>
        <v>0</v>
      </c>
      <c r="CR83" s="187">
        <f t="shared" si="30"/>
        <v>0</v>
      </c>
      <c r="CS83" s="187">
        <f t="shared" si="30"/>
        <v>0</v>
      </c>
      <c r="CT83" s="187">
        <f t="shared" si="30"/>
        <v>0</v>
      </c>
      <c r="CU83" s="187">
        <f t="shared" si="30"/>
        <v>0</v>
      </c>
      <c r="CV83" s="187">
        <f t="shared" si="30"/>
        <v>0</v>
      </c>
      <c r="CW83" s="187">
        <f t="shared" si="30"/>
        <v>0</v>
      </c>
      <c r="CX83" s="188">
        <f t="shared" si="30"/>
        <v>0</v>
      </c>
      <c r="CY83" s="208">
        <f t="shared" si="30"/>
        <v>0</v>
      </c>
      <c r="CZ83" s="208">
        <f t="shared" si="30"/>
        <v>0</v>
      </c>
      <c r="DA83" s="188">
        <f t="shared" si="30"/>
        <v>0</v>
      </c>
    </row>
    <row r="84" spans="1:105">
      <c r="A84" s="222"/>
      <c r="B84" s="223"/>
      <c r="C84" s="223"/>
      <c r="D84" s="224"/>
      <c r="E84" s="225"/>
      <c r="F84" s="226"/>
      <c r="G84" s="226"/>
      <c r="H84" s="226"/>
      <c r="I84" s="226"/>
      <c r="J84" s="225"/>
      <c r="K84" s="226"/>
      <c r="L84" s="226"/>
      <c r="M84" s="226"/>
      <c r="N84" s="226"/>
      <c r="O84" s="226"/>
      <c r="P84" s="226"/>
      <c r="Q84" s="226"/>
      <c r="R84" s="226"/>
      <c r="S84" s="226"/>
      <c r="T84" s="226"/>
      <c r="U84" s="224"/>
      <c r="V84" s="225"/>
      <c r="W84" s="226"/>
      <c r="X84" s="224"/>
      <c r="Y84" s="226"/>
      <c r="AA84" s="208">
        <f t="shared" si="26"/>
        <v>0</v>
      </c>
      <c r="AB84" s="187">
        <f t="shared" si="26"/>
        <v>0</v>
      </c>
      <c r="AC84" s="187">
        <f t="shared" si="26"/>
        <v>0</v>
      </c>
      <c r="AD84" s="187">
        <f t="shared" si="26"/>
        <v>0</v>
      </c>
      <c r="AE84" s="187">
        <f t="shared" si="26"/>
        <v>0</v>
      </c>
      <c r="AF84" s="187">
        <f t="shared" si="26"/>
        <v>0</v>
      </c>
      <c r="AG84" s="187">
        <f t="shared" si="26"/>
        <v>0</v>
      </c>
      <c r="AH84" s="187">
        <f t="shared" si="26"/>
        <v>0</v>
      </c>
      <c r="AI84" s="187">
        <f t="shared" si="26"/>
        <v>0</v>
      </c>
      <c r="AJ84" s="187">
        <f t="shared" si="26"/>
        <v>0</v>
      </c>
      <c r="AK84" s="187">
        <f t="shared" si="26"/>
        <v>0</v>
      </c>
      <c r="AL84" s="187">
        <f t="shared" si="26"/>
        <v>0</v>
      </c>
      <c r="AM84" s="208">
        <f t="shared" si="26"/>
        <v>0</v>
      </c>
      <c r="AN84" s="187">
        <f t="shared" si="26"/>
        <v>0</v>
      </c>
      <c r="AO84" s="188">
        <f t="shared" si="26"/>
        <v>0</v>
      </c>
      <c r="AQ84" s="208">
        <f t="shared" si="27"/>
        <v>0</v>
      </c>
      <c r="AR84" s="187">
        <f t="shared" si="27"/>
        <v>0</v>
      </c>
      <c r="AS84" s="187">
        <f t="shared" si="27"/>
        <v>0</v>
      </c>
      <c r="AT84" s="187">
        <f t="shared" si="27"/>
        <v>0</v>
      </c>
      <c r="AU84" s="187">
        <f t="shared" si="27"/>
        <v>0</v>
      </c>
      <c r="AV84" s="187">
        <f t="shared" si="27"/>
        <v>0</v>
      </c>
      <c r="AW84" s="187">
        <f t="shared" si="27"/>
        <v>0</v>
      </c>
      <c r="AX84" s="187">
        <f t="shared" si="27"/>
        <v>0</v>
      </c>
      <c r="AY84" s="187">
        <f t="shared" si="27"/>
        <v>0</v>
      </c>
      <c r="AZ84" s="187">
        <f t="shared" si="27"/>
        <v>0</v>
      </c>
      <c r="BA84" s="187">
        <f t="shared" si="27"/>
        <v>0</v>
      </c>
      <c r="BB84" s="188">
        <f t="shared" si="27"/>
        <v>0</v>
      </c>
      <c r="BC84" s="208">
        <f t="shared" si="27"/>
        <v>0</v>
      </c>
      <c r="BD84" s="208">
        <f t="shared" si="27"/>
        <v>0</v>
      </c>
      <c r="BE84" s="188">
        <f t="shared" si="27"/>
        <v>0</v>
      </c>
      <c r="BG84" s="208">
        <f t="shared" si="28"/>
        <v>0</v>
      </c>
      <c r="BH84" s="187">
        <f t="shared" si="28"/>
        <v>0</v>
      </c>
      <c r="BI84" s="187">
        <f t="shared" si="28"/>
        <v>0</v>
      </c>
      <c r="BJ84" s="187">
        <f t="shared" si="28"/>
        <v>0</v>
      </c>
      <c r="BK84" s="187">
        <f t="shared" si="28"/>
        <v>0</v>
      </c>
      <c r="BL84" s="187">
        <f t="shared" si="28"/>
        <v>0</v>
      </c>
      <c r="BM84" s="187">
        <f t="shared" si="28"/>
        <v>0</v>
      </c>
      <c r="BN84" s="187">
        <f t="shared" si="28"/>
        <v>0</v>
      </c>
      <c r="BO84" s="187">
        <f t="shared" si="28"/>
        <v>0</v>
      </c>
      <c r="BP84" s="187">
        <f t="shared" si="28"/>
        <v>0</v>
      </c>
      <c r="BQ84" s="187">
        <f t="shared" si="28"/>
        <v>0</v>
      </c>
      <c r="BR84" s="188">
        <f t="shared" si="28"/>
        <v>0</v>
      </c>
      <c r="BS84" s="208">
        <f t="shared" si="28"/>
        <v>0</v>
      </c>
      <c r="BT84" s="208">
        <f t="shared" si="28"/>
        <v>0</v>
      </c>
      <c r="BU84" s="188">
        <f t="shared" si="28"/>
        <v>0</v>
      </c>
      <c r="BW84" s="208">
        <f t="shared" si="29"/>
        <v>0</v>
      </c>
      <c r="BX84" s="187">
        <f t="shared" si="29"/>
        <v>0</v>
      </c>
      <c r="BY84" s="187">
        <f t="shared" si="29"/>
        <v>0</v>
      </c>
      <c r="BZ84" s="187">
        <f t="shared" si="29"/>
        <v>0</v>
      </c>
      <c r="CA84" s="187">
        <f t="shared" si="29"/>
        <v>0</v>
      </c>
      <c r="CB84" s="187">
        <f t="shared" si="29"/>
        <v>0</v>
      </c>
      <c r="CC84" s="187">
        <f t="shared" si="29"/>
        <v>0</v>
      </c>
      <c r="CD84" s="187">
        <f t="shared" si="29"/>
        <v>0</v>
      </c>
      <c r="CE84" s="187">
        <f t="shared" si="29"/>
        <v>0</v>
      </c>
      <c r="CF84" s="187">
        <f t="shared" si="29"/>
        <v>0</v>
      </c>
      <c r="CG84" s="187">
        <f t="shared" si="29"/>
        <v>0</v>
      </c>
      <c r="CH84" s="188">
        <f t="shared" si="29"/>
        <v>0</v>
      </c>
      <c r="CI84" s="208">
        <f t="shared" si="29"/>
        <v>0</v>
      </c>
      <c r="CJ84" s="208">
        <f t="shared" si="29"/>
        <v>0</v>
      </c>
      <c r="CK84" s="188">
        <f t="shared" si="29"/>
        <v>0</v>
      </c>
      <c r="CM84" s="208">
        <f t="shared" si="30"/>
        <v>0</v>
      </c>
      <c r="CN84" s="187">
        <f t="shared" si="30"/>
        <v>0</v>
      </c>
      <c r="CO84" s="187">
        <f t="shared" si="30"/>
        <v>0</v>
      </c>
      <c r="CP84" s="187">
        <f t="shared" si="30"/>
        <v>0</v>
      </c>
      <c r="CQ84" s="187">
        <f t="shared" si="30"/>
        <v>0</v>
      </c>
      <c r="CR84" s="187">
        <f t="shared" si="30"/>
        <v>0</v>
      </c>
      <c r="CS84" s="187">
        <f t="shared" si="30"/>
        <v>0</v>
      </c>
      <c r="CT84" s="187">
        <f t="shared" si="30"/>
        <v>0</v>
      </c>
      <c r="CU84" s="187">
        <f t="shared" si="30"/>
        <v>0</v>
      </c>
      <c r="CV84" s="187">
        <f t="shared" si="30"/>
        <v>0</v>
      </c>
      <c r="CW84" s="187">
        <f t="shared" si="30"/>
        <v>0</v>
      </c>
      <c r="CX84" s="188">
        <f t="shared" si="30"/>
        <v>0</v>
      </c>
      <c r="CY84" s="208">
        <f t="shared" si="30"/>
        <v>0</v>
      </c>
      <c r="CZ84" s="208">
        <f t="shared" si="30"/>
        <v>0</v>
      </c>
      <c r="DA84" s="188">
        <f t="shared" si="30"/>
        <v>0</v>
      </c>
    </row>
    <row r="85" spans="1:105">
      <c r="A85" s="222"/>
      <c r="B85" s="223"/>
      <c r="C85" s="223"/>
      <c r="D85" s="224"/>
      <c r="E85" s="225"/>
      <c r="F85" s="226"/>
      <c r="G85" s="226"/>
      <c r="H85" s="226"/>
      <c r="I85" s="226"/>
      <c r="J85" s="225"/>
      <c r="K85" s="226"/>
      <c r="L85" s="226"/>
      <c r="M85" s="226"/>
      <c r="N85" s="226"/>
      <c r="O85" s="226"/>
      <c r="P85" s="226"/>
      <c r="Q85" s="226"/>
      <c r="R85" s="226"/>
      <c r="S85" s="226"/>
      <c r="T85" s="226"/>
      <c r="U85" s="224"/>
      <c r="V85" s="225"/>
      <c r="W85" s="226"/>
      <c r="X85" s="224"/>
      <c r="Y85" s="226"/>
      <c r="AA85" s="208">
        <f t="shared" si="26"/>
        <v>0</v>
      </c>
      <c r="AB85" s="187">
        <f t="shared" si="26"/>
        <v>0</v>
      </c>
      <c r="AC85" s="187">
        <f t="shared" si="26"/>
        <v>0</v>
      </c>
      <c r="AD85" s="187">
        <f t="shared" si="26"/>
        <v>0</v>
      </c>
      <c r="AE85" s="187">
        <f t="shared" si="26"/>
        <v>0</v>
      </c>
      <c r="AF85" s="187">
        <f t="shared" si="26"/>
        <v>0</v>
      </c>
      <c r="AG85" s="187">
        <f t="shared" si="26"/>
        <v>0</v>
      </c>
      <c r="AH85" s="187">
        <f t="shared" si="26"/>
        <v>0</v>
      </c>
      <c r="AI85" s="187">
        <f t="shared" si="26"/>
        <v>0</v>
      </c>
      <c r="AJ85" s="187">
        <f t="shared" si="26"/>
        <v>0</v>
      </c>
      <c r="AK85" s="187">
        <f t="shared" si="26"/>
        <v>0</v>
      </c>
      <c r="AL85" s="187">
        <f t="shared" si="26"/>
        <v>0</v>
      </c>
      <c r="AM85" s="208">
        <f t="shared" si="26"/>
        <v>0</v>
      </c>
      <c r="AN85" s="187">
        <f t="shared" si="26"/>
        <v>0</v>
      </c>
      <c r="AO85" s="188">
        <f t="shared" si="26"/>
        <v>0</v>
      </c>
      <c r="AQ85" s="208">
        <f t="shared" si="27"/>
        <v>0</v>
      </c>
      <c r="AR85" s="187">
        <f t="shared" si="27"/>
        <v>0</v>
      </c>
      <c r="AS85" s="187">
        <f t="shared" si="27"/>
        <v>0</v>
      </c>
      <c r="AT85" s="187">
        <f t="shared" si="27"/>
        <v>0</v>
      </c>
      <c r="AU85" s="187">
        <f t="shared" si="27"/>
        <v>0</v>
      </c>
      <c r="AV85" s="187">
        <f t="shared" si="27"/>
        <v>0</v>
      </c>
      <c r="AW85" s="187">
        <f t="shared" si="27"/>
        <v>0</v>
      </c>
      <c r="AX85" s="187">
        <f t="shared" si="27"/>
        <v>0</v>
      </c>
      <c r="AY85" s="187">
        <f t="shared" si="27"/>
        <v>0</v>
      </c>
      <c r="AZ85" s="187">
        <f t="shared" si="27"/>
        <v>0</v>
      </c>
      <c r="BA85" s="187">
        <f t="shared" si="27"/>
        <v>0</v>
      </c>
      <c r="BB85" s="188">
        <f t="shared" si="27"/>
        <v>0</v>
      </c>
      <c r="BC85" s="208">
        <f t="shared" si="27"/>
        <v>0</v>
      </c>
      <c r="BD85" s="208">
        <f t="shared" si="27"/>
        <v>0</v>
      </c>
      <c r="BE85" s="188">
        <f t="shared" si="27"/>
        <v>0</v>
      </c>
      <c r="BG85" s="208">
        <f t="shared" si="28"/>
        <v>0</v>
      </c>
      <c r="BH85" s="187">
        <f t="shared" si="28"/>
        <v>0</v>
      </c>
      <c r="BI85" s="187">
        <f t="shared" si="28"/>
        <v>0</v>
      </c>
      <c r="BJ85" s="187">
        <f t="shared" si="28"/>
        <v>0</v>
      </c>
      <c r="BK85" s="187">
        <f t="shared" si="28"/>
        <v>0</v>
      </c>
      <c r="BL85" s="187">
        <f t="shared" si="28"/>
        <v>0</v>
      </c>
      <c r="BM85" s="187">
        <f t="shared" si="28"/>
        <v>0</v>
      </c>
      <c r="BN85" s="187">
        <f t="shared" si="28"/>
        <v>0</v>
      </c>
      <c r="BO85" s="187">
        <f t="shared" si="28"/>
        <v>0</v>
      </c>
      <c r="BP85" s="187">
        <f t="shared" si="28"/>
        <v>0</v>
      </c>
      <c r="BQ85" s="187">
        <f t="shared" si="28"/>
        <v>0</v>
      </c>
      <c r="BR85" s="188">
        <f t="shared" si="28"/>
        <v>0</v>
      </c>
      <c r="BS85" s="208">
        <f t="shared" si="28"/>
        <v>0</v>
      </c>
      <c r="BT85" s="208">
        <f t="shared" si="28"/>
        <v>0</v>
      </c>
      <c r="BU85" s="188">
        <f t="shared" si="28"/>
        <v>0</v>
      </c>
      <c r="BW85" s="208">
        <f t="shared" si="29"/>
        <v>0</v>
      </c>
      <c r="BX85" s="187">
        <f t="shared" si="29"/>
        <v>0</v>
      </c>
      <c r="BY85" s="187">
        <f t="shared" si="29"/>
        <v>0</v>
      </c>
      <c r="BZ85" s="187">
        <f t="shared" si="29"/>
        <v>0</v>
      </c>
      <c r="CA85" s="187">
        <f t="shared" si="29"/>
        <v>0</v>
      </c>
      <c r="CB85" s="187">
        <f t="shared" si="29"/>
        <v>0</v>
      </c>
      <c r="CC85" s="187">
        <f t="shared" si="29"/>
        <v>0</v>
      </c>
      <c r="CD85" s="187">
        <f t="shared" si="29"/>
        <v>0</v>
      </c>
      <c r="CE85" s="187">
        <f t="shared" si="29"/>
        <v>0</v>
      </c>
      <c r="CF85" s="187">
        <f t="shared" si="29"/>
        <v>0</v>
      </c>
      <c r="CG85" s="187">
        <f t="shared" si="29"/>
        <v>0</v>
      </c>
      <c r="CH85" s="188">
        <f t="shared" si="29"/>
        <v>0</v>
      </c>
      <c r="CI85" s="208">
        <f t="shared" si="29"/>
        <v>0</v>
      </c>
      <c r="CJ85" s="208">
        <f t="shared" si="29"/>
        <v>0</v>
      </c>
      <c r="CK85" s="188">
        <f t="shared" si="29"/>
        <v>0</v>
      </c>
      <c r="CM85" s="208">
        <f t="shared" si="30"/>
        <v>0</v>
      </c>
      <c r="CN85" s="187">
        <f t="shared" si="30"/>
        <v>0</v>
      </c>
      <c r="CO85" s="187">
        <f t="shared" si="30"/>
        <v>0</v>
      </c>
      <c r="CP85" s="187">
        <f t="shared" si="30"/>
        <v>0</v>
      </c>
      <c r="CQ85" s="187">
        <f t="shared" si="30"/>
        <v>0</v>
      </c>
      <c r="CR85" s="187">
        <f t="shared" si="30"/>
        <v>0</v>
      </c>
      <c r="CS85" s="187">
        <f t="shared" si="30"/>
        <v>0</v>
      </c>
      <c r="CT85" s="187">
        <f t="shared" si="30"/>
        <v>0</v>
      </c>
      <c r="CU85" s="187">
        <f t="shared" si="30"/>
        <v>0</v>
      </c>
      <c r="CV85" s="187">
        <f t="shared" si="30"/>
        <v>0</v>
      </c>
      <c r="CW85" s="187">
        <f t="shared" si="30"/>
        <v>0</v>
      </c>
      <c r="CX85" s="188">
        <f t="shared" si="30"/>
        <v>0</v>
      </c>
      <c r="CY85" s="208">
        <f t="shared" si="30"/>
        <v>0</v>
      </c>
      <c r="CZ85" s="208">
        <f t="shared" si="30"/>
        <v>0</v>
      </c>
      <c r="DA85" s="188">
        <f t="shared" si="30"/>
        <v>0</v>
      </c>
    </row>
    <row r="86" spans="1:105">
      <c r="A86" s="222"/>
      <c r="B86" s="223"/>
      <c r="C86" s="223"/>
      <c r="D86" s="224"/>
      <c r="E86" s="225"/>
      <c r="F86" s="226"/>
      <c r="G86" s="226"/>
      <c r="H86" s="226"/>
      <c r="I86" s="226"/>
      <c r="J86" s="225"/>
      <c r="K86" s="226"/>
      <c r="L86" s="226"/>
      <c r="M86" s="226"/>
      <c r="N86" s="226"/>
      <c r="O86" s="226"/>
      <c r="P86" s="226"/>
      <c r="Q86" s="226"/>
      <c r="R86" s="226"/>
      <c r="S86" s="226"/>
      <c r="T86" s="226"/>
      <c r="U86" s="224"/>
      <c r="V86" s="225"/>
      <c r="W86" s="226"/>
      <c r="X86" s="224"/>
      <c r="Y86" s="226"/>
      <c r="AA86" s="208">
        <f t="shared" si="26"/>
        <v>0</v>
      </c>
      <c r="AB86" s="187">
        <f t="shared" si="26"/>
        <v>0</v>
      </c>
      <c r="AC86" s="187">
        <f t="shared" si="26"/>
        <v>0</v>
      </c>
      <c r="AD86" s="187">
        <f t="shared" si="26"/>
        <v>0</v>
      </c>
      <c r="AE86" s="187">
        <f t="shared" si="26"/>
        <v>0</v>
      </c>
      <c r="AF86" s="187">
        <f t="shared" si="26"/>
        <v>0</v>
      </c>
      <c r="AG86" s="187">
        <f t="shared" si="26"/>
        <v>0</v>
      </c>
      <c r="AH86" s="187">
        <f t="shared" si="26"/>
        <v>0</v>
      </c>
      <c r="AI86" s="187">
        <f t="shared" si="26"/>
        <v>0</v>
      </c>
      <c r="AJ86" s="187">
        <f t="shared" si="26"/>
        <v>0</v>
      </c>
      <c r="AK86" s="187">
        <f t="shared" si="26"/>
        <v>0</v>
      </c>
      <c r="AL86" s="187">
        <f t="shared" si="26"/>
        <v>0</v>
      </c>
      <c r="AM86" s="208">
        <f t="shared" si="26"/>
        <v>0</v>
      </c>
      <c r="AN86" s="187">
        <f t="shared" si="26"/>
        <v>0</v>
      </c>
      <c r="AO86" s="188">
        <f t="shared" si="26"/>
        <v>0</v>
      </c>
      <c r="AQ86" s="208">
        <f t="shared" si="27"/>
        <v>0</v>
      </c>
      <c r="AR86" s="187">
        <f t="shared" si="27"/>
        <v>0</v>
      </c>
      <c r="AS86" s="187">
        <f t="shared" si="27"/>
        <v>0</v>
      </c>
      <c r="AT86" s="187">
        <f t="shared" si="27"/>
        <v>0</v>
      </c>
      <c r="AU86" s="187">
        <f t="shared" si="27"/>
        <v>0</v>
      </c>
      <c r="AV86" s="187">
        <f t="shared" si="27"/>
        <v>0</v>
      </c>
      <c r="AW86" s="187">
        <f t="shared" si="27"/>
        <v>0</v>
      </c>
      <c r="AX86" s="187">
        <f t="shared" si="27"/>
        <v>0</v>
      </c>
      <c r="AY86" s="187">
        <f t="shared" si="27"/>
        <v>0</v>
      </c>
      <c r="AZ86" s="187">
        <f t="shared" si="27"/>
        <v>0</v>
      </c>
      <c r="BA86" s="187">
        <f t="shared" si="27"/>
        <v>0</v>
      </c>
      <c r="BB86" s="188">
        <f t="shared" si="27"/>
        <v>0</v>
      </c>
      <c r="BC86" s="208">
        <f t="shared" si="27"/>
        <v>0</v>
      </c>
      <c r="BD86" s="208">
        <f t="shared" si="27"/>
        <v>0</v>
      </c>
      <c r="BE86" s="188">
        <f t="shared" si="27"/>
        <v>0</v>
      </c>
      <c r="BG86" s="208">
        <f t="shared" si="28"/>
        <v>0</v>
      </c>
      <c r="BH86" s="187">
        <f t="shared" si="28"/>
        <v>0</v>
      </c>
      <c r="BI86" s="187">
        <f t="shared" si="28"/>
        <v>0</v>
      </c>
      <c r="BJ86" s="187">
        <f t="shared" si="28"/>
        <v>0</v>
      </c>
      <c r="BK86" s="187">
        <f t="shared" si="28"/>
        <v>0</v>
      </c>
      <c r="BL86" s="187">
        <f t="shared" si="28"/>
        <v>0</v>
      </c>
      <c r="BM86" s="187">
        <f t="shared" si="28"/>
        <v>0</v>
      </c>
      <c r="BN86" s="187">
        <f t="shared" si="28"/>
        <v>0</v>
      </c>
      <c r="BO86" s="187">
        <f t="shared" si="28"/>
        <v>0</v>
      </c>
      <c r="BP86" s="187">
        <f t="shared" si="28"/>
        <v>0</v>
      </c>
      <c r="BQ86" s="187">
        <f t="shared" si="28"/>
        <v>0</v>
      </c>
      <c r="BR86" s="188">
        <f t="shared" si="28"/>
        <v>0</v>
      </c>
      <c r="BS86" s="208">
        <f t="shared" si="28"/>
        <v>0</v>
      </c>
      <c r="BT86" s="208">
        <f t="shared" si="28"/>
        <v>0</v>
      </c>
      <c r="BU86" s="188">
        <f t="shared" si="28"/>
        <v>0</v>
      </c>
      <c r="BW86" s="208">
        <f t="shared" si="29"/>
        <v>0</v>
      </c>
      <c r="BX86" s="187">
        <f t="shared" si="29"/>
        <v>0</v>
      </c>
      <c r="BY86" s="187">
        <f t="shared" si="29"/>
        <v>0</v>
      </c>
      <c r="BZ86" s="187">
        <f t="shared" si="29"/>
        <v>0</v>
      </c>
      <c r="CA86" s="187">
        <f t="shared" si="29"/>
        <v>0</v>
      </c>
      <c r="CB86" s="187">
        <f t="shared" si="29"/>
        <v>0</v>
      </c>
      <c r="CC86" s="187">
        <f t="shared" si="29"/>
        <v>0</v>
      </c>
      <c r="CD86" s="187">
        <f t="shared" si="29"/>
        <v>0</v>
      </c>
      <c r="CE86" s="187">
        <f t="shared" si="29"/>
        <v>0</v>
      </c>
      <c r="CF86" s="187">
        <f t="shared" si="29"/>
        <v>0</v>
      </c>
      <c r="CG86" s="187">
        <f t="shared" si="29"/>
        <v>0</v>
      </c>
      <c r="CH86" s="188">
        <f t="shared" si="29"/>
        <v>0</v>
      </c>
      <c r="CI86" s="208">
        <f t="shared" si="29"/>
        <v>0</v>
      </c>
      <c r="CJ86" s="208">
        <f t="shared" si="29"/>
        <v>0</v>
      </c>
      <c r="CK86" s="188">
        <f t="shared" si="29"/>
        <v>0</v>
      </c>
      <c r="CM86" s="208">
        <f t="shared" si="30"/>
        <v>0</v>
      </c>
      <c r="CN86" s="187">
        <f t="shared" si="30"/>
        <v>0</v>
      </c>
      <c r="CO86" s="187">
        <f t="shared" si="30"/>
        <v>0</v>
      </c>
      <c r="CP86" s="187">
        <f t="shared" si="30"/>
        <v>0</v>
      </c>
      <c r="CQ86" s="187">
        <f t="shared" si="30"/>
        <v>0</v>
      </c>
      <c r="CR86" s="187">
        <f t="shared" si="30"/>
        <v>0</v>
      </c>
      <c r="CS86" s="187">
        <f t="shared" si="30"/>
        <v>0</v>
      </c>
      <c r="CT86" s="187">
        <f t="shared" si="30"/>
        <v>0</v>
      </c>
      <c r="CU86" s="187">
        <f t="shared" si="30"/>
        <v>0</v>
      </c>
      <c r="CV86" s="187">
        <f t="shared" si="30"/>
        <v>0</v>
      </c>
      <c r="CW86" s="187">
        <f t="shared" si="30"/>
        <v>0</v>
      </c>
      <c r="CX86" s="188">
        <f t="shared" si="30"/>
        <v>0</v>
      </c>
      <c r="CY86" s="208">
        <f t="shared" si="30"/>
        <v>0</v>
      </c>
      <c r="CZ86" s="208">
        <f t="shared" si="30"/>
        <v>0</v>
      </c>
      <c r="DA86" s="188">
        <f t="shared" si="30"/>
        <v>0</v>
      </c>
    </row>
    <row r="87" spans="1:105">
      <c r="A87" s="222"/>
      <c r="B87" s="223"/>
      <c r="C87" s="223"/>
      <c r="D87" s="224"/>
      <c r="E87" s="225"/>
      <c r="F87" s="226"/>
      <c r="G87" s="226"/>
      <c r="H87" s="226"/>
      <c r="I87" s="226"/>
      <c r="J87" s="225"/>
      <c r="K87" s="226"/>
      <c r="L87" s="226"/>
      <c r="M87" s="226"/>
      <c r="N87" s="226"/>
      <c r="O87" s="226"/>
      <c r="P87" s="226"/>
      <c r="Q87" s="226"/>
      <c r="R87" s="226"/>
      <c r="S87" s="226"/>
      <c r="T87" s="226"/>
      <c r="U87" s="224"/>
      <c r="V87" s="225"/>
      <c r="W87" s="226"/>
      <c r="X87" s="224"/>
      <c r="Y87" s="226"/>
      <c r="AA87" s="208">
        <f t="shared" si="26"/>
        <v>0</v>
      </c>
      <c r="AB87" s="187">
        <f t="shared" si="26"/>
        <v>0</v>
      </c>
      <c r="AC87" s="187">
        <f t="shared" si="26"/>
        <v>0</v>
      </c>
      <c r="AD87" s="187">
        <f t="shared" si="26"/>
        <v>0</v>
      </c>
      <c r="AE87" s="187">
        <f t="shared" si="26"/>
        <v>0</v>
      </c>
      <c r="AF87" s="187">
        <f t="shared" si="26"/>
        <v>0</v>
      </c>
      <c r="AG87" s="187">
        <f t="shared" si="26"/>
        <v>0</v>
      </c>
      <c r="AH87" s="187">
        <f t="shared" si="26"/>
        <v>0</v>
      </c>
      <c r="AI87" s="187">
        <f t="shared" si="26"/>
        <v>0</v>
      </c>
      <c r="AJ87" s="187">
        <f t="shared" si="26"/>
        <v>0</v>
      </c>
      <c r="AK87" s="187">
        <f t="shared" si="26"/>
        <v>0</v>
      </c>
      <c r="AL87" s="187">
        <f t="shared" si="26"/>
        <v>0</v>
      </c>
      <c r="AM87" s="208">
        <f t="shared" si="26"/>
        <v>0</v>
      </c>
      <c r="AN87" s="187">
        <f t="shared" si="26"/>
        <v>0</v>
      </c>
      <c r="AO87" s="188">
        <f t="shared" si="26"/>
        <v>0</v>
      </c>
      <c r="AQ87" s="208">
        <f t="shared" si="27"/>
        <v>0</v>
      </c>
      <c r="AR87" s="187">
        <f t="shared" si="27"/>
        <v>0</v>
      </c>
      <c r="AS87" s="187">
        <f t="shared" si="27"/>
        <v>0</v>
      </c>
      <c r="AT87" s="187">
        <f t="shared" si="27"/>
        <v>0</v>
      </c>
      <c r="AU87" s="187">
        <f t="shared" si="27"/>
        <v>0</v>
      </c>
      <c r="AV87" s="187">
        <f t="shared" si="27"/>
        <v>0</v>
      </c>
      <c r="AW87" s="187">
        <f t="shared" si="27"/>
        <v>0</v>
      </c>
      <c r="AX87" s="187">
        <f t="shared" si="27"/>
        <v>0</v>
      </c>
      <c r="AY87" s="187">
        <f t="shared" si="27"/>
        <v>0</v>
      </c>
      <c r="AZ87" s="187">
        <f t="shared" si="27"/>
        <v>0</v>
      </c>
      <c r="BA87" s="187">
        <f t="shared" si="27"/>
        <v>0</v>
      </c>
      <c r="BB87" s="188">
        <f t="shared" si="27"/>
        <v>0</v>
      </c>
      <c r="BC87" s="208">
        <f t="shared" si="27"/>
        <v>0</v>
      </c>
      <c r="BD87" s="208">
        <f t="shared" si="27"/>
        <v>0</v>
      </c>
      <c r="BE87" s="188">
        <f t="shared" si="27"/>
        <v>0</v>
      </c>
      <c r="BG87" s="208">
        <f t="shared" si="28"/>
        <v>0</v>
      </c>
      <c r="BH87" s="187">
        <f t="shared" si="28"/>
        <v>0</v>
      </c>
      <c r="BI87" s="187">
        <f t="shared" si="28"/>
        <v>0</v>
      </c>
      <c r="BJ87" s="187">
        <f t="shared" si="28"/>
        <v>0</v>
      </c>
      <c r="BK87" s="187">
        <f t="shared" si="28"/>
        <v>0</v>
      </c>
      <c r="BL87" s="187">
        <f t="shared" si="28"/>
        <v>0</v>
      </c>
      <c r="BM87" s="187">
        <f t="shared" si="28"/>
        <v>0</v>
      </c>
      <c r="BN87" s="187">
        <f t="shared" si="28"/>
        <v>0</v>
      </c>
      <c r="BO87" s="187">
        <f t="shared" si="28"/>
        <v>0</v>
      </c>
      <c r="BP87" s="187">
        <f t="shared" si="28"/>
        <v>0</v>
      </c>
      <c r="BQ87" s="187">
        <f t="shared" si="28"/>
        <v>0</v>
      </c>
      <c r="BR87" s="188">
        <f t="shared" si="28"/>
        <v>0</v>
      </c>
      <c r="BS87" s="208">
        <f t="shared" si="28"/>
        <v>0</v>
      </c>
      <c r="BT87" s="208">
        <f t="shared" si="28"/>
        <v>0</v>
      </c>
      <c r="BU87" s="188">
        <f t="shared" si="28"/>
        <v>0</v>
      </c>
      <c r="BW87" s="208">
        <f t="shared" si="29"/>
        <v>0</v>
      </c>
      <c r="BX87" s="187">
        <f t="shared" si="29"/>
        <v>0</v>
      </c>
      <c r="BY87" s="187">
        <f t="shared" si="29"/>
        <v>0</v>
      </c>
      <c r="BZ87" s="187">
        <f t="shared" si="29"/>
        <v>0</v>
      </c>
      <c r="CA87" s="187">
        <f t="shared" si="29"/>
        <v>0</v>
      </c>
      <c r="CB87" s="187">
        <f t="shared" si="29"/>
        <v>0</v>
      </c>
      <c r="CC87" s="187">
        <f t="shared" si="29"/>
        <v>0</v>
      </c>
      <c r="CD87" s="187">
        <f t="shared" si="29"/>
        <v>0</v>
      </c>
      <c r="CE87" s="187">
        <f t="shared" si="29"/>
        <v>0</v>
      </c>
      <c r="CF87" s="187">
        <f t="shared" si="29"/>
        <v>0</v>
      </c>
      <c r="CG87" s="187">
        <f t="shared" si="29"/>
        <v>0</v>
      </c>
      <c r="CH87" s="188">
        <f t="shared" si="29"/>
        <v>0</v>
      </c>
      <c r="CI87" s="208">
        <f t="shared" si="29"/>
        <v>0</v>
      </c>
      <c r="CJ87" s="208">
        <f t="shared" si="29"/>
        <v>0</v>
      </c>
      <c r="CK87" s="188">
        <f t="shared" si="29"/>
        <v>0</v>
      </c>
      <c r="CM87" s="208">
        <f t="shared" si="30"/>
        <v>0</v>
      </c>
      <c r="CN87" s="187">
        <f t="shared" si="30"/>
        <v>0</v>
      </c>
      <c r="CO87" s="187">
        <f t="shared" si="30"/>
        <v>0</v>
      </c>
      <c r="CP87" s="187">
        <f t="shared" si="30"/>
        <v>0</v>
      </c>
      <c r="CQ87" s="187">
        <f t="shared" si="30"/>
        <v>0</v>
      </c>
      <c r="CR87" s="187">
        <f t="shared" si="30"/>
        <v>0</v>
      </c>
      <c r="CS87" s="187">
        <f t="shared" si="30"/>
        <v>0</v>
      </c>
      <c r="CT87" s="187">
        <f t="shared" si="30"/>
        <v>0</v>
      </c>
      <c r="CU87" s="187">
        <f t="shared" si="30"/>
        <v>0</v>
      </c>
      <c r="CV87" s="187">
        <f t="shared" si="30"/>
        <v>0</v>
      </c>
      <c r="CW87" s="187">
        <f t="shared" si="30"/>
        <v>0</v>
      </c>
      <c r="CX87" s="188">
        <f t="shared" si="30"/>
        <v>0</v>
      </c>
      <c r="CY87" s="208">
        <f t="shared" si="30"/>
        <v>0</v>
      </c>
      <c r="CZ87" s="208">
        <f t="shared" si="30"/>
        <v>0</v>
      </c>
      <c r="DA87" s="188">
        <f t="shared" si="30"/>
        <v>0</v>
      </c>
    </row>
    <row r="88" spans="1:105">
      <c r="A88" s="222"/>
      <c r="B88" s="223"/>
      <c r="C88" s="223"/>
      <c r="D88" s="224"/>
      <c r="E88" s="225"/>
      <c r="F88" s="226"/>
      <c r="G88" s="226"/>
      <c r="H88" s="226"/>
      <c r="I88" s="226"/>
      <c r="J88" s="225"/>
      <c r="K88" s="226"/>
      <c r="L88" s="226"/>
      <c r="M88" s="226"/>
      <c r="N88" s="226"/>
      <c r="O88" s="226"/>
      <c r="P88" s="226"/>
      <c r="Q88" s="226"/>
      <c r="R88" s="226"/>
      <c r="S88" s="226"/>
      <c r="T88" s="226"/>
      <c r="U88" s="224"/>
      <c r="V88" s="225"/>
      <c r="W88" s="226"/>
      <c r="X88" s="224"/>
      <c r="Y88" s="226"/>
      <c r="AA88" s="208">
        <f t="shared" si="26"/>
        <v>0</v>
      </c>
      <c r="AB88" s="187">
        <f t="shared" si="26"/>
        <v>0</v>
      </c>
      <c r="AC88" s="187">
        <f t="shared" si="26"/>
        <v>0</v>
      </c>
      <c r="AD88" s="187">
        <f t="shared" si="26"/>
        <v>0</v>
      </c>
      <c r="AE88" s="187">
        <f t="shared" si="26"/>
        <v>0</v>
      </c>
      <c r="AF88" s="187">
        <f t="shared" si="26"/>
        <v>0</v>
      </c>
      <c r="AG88" s="187">
        <f t="shared" si="26"/>
        <v>0</v>
      </c>
      <c r="AH88" s="187">
        <f t="shared" si="26"/>
        <v>0</v>
      </c>
      <c r="AI88" s="187">
        <f t="shared" si="26"/>
        <v>0</v>
      </c>
      <c r="AJ88" s="187">
        <f t="shared" si="26"/>
        <v>0</v>
      </c>
      <c r="AK88" s="187">
        <f t="shared" si="26"/>
        <v>0</v>
      </c>
      <c r="AL88" s="187">
        <f t="shared" si="26"/>
        <v>0</v>
      </c>
      <c r="AM88" s="208">
        <f t="shared" si="26"/>
        <v>0</v>
      </c>
      <c r="AN88" s="187">
        <f t="shared" si="26"/>
        <v>0</v>
      </c>
      <c r="AO88" s="188">
        <f t="shared" si="26"/>
        <v>0</v>
      </c>
      <c r="AQ88" s="208">
        <f t="shared" si="27"/>
        <v>0</v>
      </c>
      <c r="AR88" s="187">
        <f t="shared" si="27"/>
        <v>0</v>
      </c>
      <c r="AS88" s="187">
        <f t="shared" si="27"/>
        <v>0</v>
      </c>
      <c r="AT88" s="187">
        <f t="shared" si="27"/>
        <v>0</v>
      </c>
      <c r="AU88" s="187">
        <f t="shared" si="27"/>
        <v>0</v>
      </c>
      <c r="AV88" s="187">
        <f t="shared" si="27"/>
        <v>0</v>
      </c>
      <c r="AW88" s="187">
        <f t="shared" si="27"/>
        <v>0</v>
      </c>
      <c r="AX88" s="187">
        <f t="shared" si="27"/>
        <v>0</v>
      </c>
      <c r="AY88" s="187">
        <f t="shared" si="27"/>
        <v>0</v>
      </c>
      <c r="AZ88" s="187">
        <f t="shared" si="27"/>
        <v>0</v>
      </c>
      <c r="BA88" s="187">
        <f t="shared" si="27"/>
        <v>0</v>
      </c>
      <c r="BB88" s="188">
        <f t="shared" si="27"/>
        <v>0</v>
      </c>
      <c r="BC88" s="208">
        <f t="shared" si="27"/>
        <v>0</v>
      </c>
      <c r="BD88" s="208">
        <f t="shared" si="27"/>
        <v>0</v>
      </c>
      <c r="BE88" s="188">
        <f t="shared" si="27"/>
        <v>0</v>
      </c>
      <c r="BG88" s="208">
        <f t="shared" si="28"/>
        <v>0</v>
      </c>
      <c r="BH88" s="187">
        <f t="shared" si="28"/>
        <v>0</v>
      </c>
      <c r="BI88" s="187">
        <f t="shared" si="28"/>
        <v>0</v>
      </c>
      <c r="BJ88" s="187">
        <f t="shared" si="28"/>
        <v>0</v>
      </c>
      <c r="BK88" s="187">
        <f t="shared" si="28"/>
        <v>0</v>
      </c>
      <c r="BL88" s="187">
        <f t="shared" si="28"/>
        <v>0</v>
      </c>
      <c r="BM88" s="187">
        <f t="shared" si="28"/>
        <v>0</v>
      </c>
      <c r="BN88" s="187">
        <f t="shared" si="28"/>
        <v>0</v>
      </c>
      <c r="BO88" s="187">
        <f t="shared" si="28"/>
        <v>0</v>
      </c>
      <c r="BP88" s="187">
        <f t="shared" si="28"/>
        <v>0</v>
      </c>
      <c r="BQ88" s="187">
        <f t="shared" si="28"/>
        <v>0</v>
      </c>
      <c r="BR88" s="188">
        <f t="shared" si="28"/>
        <v>0</v>
      </c>
      <c r="BS88" s="208">
        <f t="shared" si="28"/>
        <v>0</v>
      </c>
      <c r="BT88" s="208">
        <f t="shared" si="28"/>
        <v>0</v>
      </c>
      <c r="BU88" s="188">
        <f t="shared" si="28"/>
        <v>0</v>
      </c>
      <c r="BW88" s="208">
        <f t="shared" si="29"/>
        <v>0</v>
      </c>
      <c r="BX88" s="187">
        <f t="shared" si="29"/>
        <v>0</v>
      </c>
      <c r="BY88" s="187">
        <f t="shared" si="29"/>
        <v>0</v>
      </c>
      <c r="BZ88" s="187">
        <f t="shared" si="29"/>
        <v>0</v>
      </c>
      <c r="CA88" s="187">
        <f t="shared" si="29"/>
        <v>0</v>
      </c>
      <c r="CB88" s="187">
        <f t="shared" si="29"/>
        <v>0</v>
      </c>
      <c r="CC88" s="187">
        <f t="shared" si="29"/>
        <v>0</v>
      </c>
      <c r="CD88" s="187">
        <f t="shared" si="29"/>
        <v>0</v>
      </c>
      <c r="CE88" s="187">
        <f t="shared" si="29"/>
        <v>0</v>
      </c>
      <c r="CF88" s="187">
        <f t="shared" si="29"/>
        <v>0</v>
      </c>
      <c r="CG88" s="187">
        <f t="shared" si="29"/>
        <v>0</v>
      </c>
      <c r="CH88" s="188">
        <f t="shared" si="29"/>
        <v>0</v>
      </c>
      <c r="CI88" s="208">
        <f t="shared" si="29"/>
        <v>0</v>
      </c>
      <c r="CJ88" s="208">
        <f t="shared" si="29"/>
        <v>0</v>
      </c>
      <c r="CK88" s="188">
        <f t="shared" si="29"/>
        <v>0</v>
      </c>
      <c r="CM88" s="208">
        <f t="shared" si="30"/>
        <v>0</v>
      </c>
      <c r="CN88" s="187">
        <f t="shared" si="30"/>
        <v>0</v>
      </c>
      <c r="CO88" s="187">
        <f t="shared" si="30"/>
        <v>0</v>
      </c>
      <c r="CP88" s="187">
        <f t="shared" si="30"/>
        <v>0</v>
      </c>
      <c r="CQ88" s="187">
        <f t="shared" si="30"/>
        <v>0</v>
      </c>
      <c r="CR88" s="187">
        <f t="shared" si="30"/>
        <v>0</v>
      </c>
      <c r="CS88" s="187">
        <f t="shared" si="30"/>
        <v>0</v>
      </c>
      <c r="CT88" s="187">
        <f t="shared" si="30"/>
        <v>0</v>
      </c>
      <c r="CU88" s="187">
        <f t="shared" si="30"/>
        <v>0</v>
      </c>
      <c r="CV88" s="187">
        <f t="shared" si="30"/>
        <v>0</v>
      </c>
      <c r="CW88" s="187">
        <f t="shared" si="30"/>
        <v>0</v>
      </c>
      <c r="CX88" s="188">
        <f t="shared" si="30"/>
        <v>0</v>
      </c>
      <c r="CY88" s="208">
        <f t="shared" si="30"/>
        <v>0</v>
      </c>
      <c r="CZ88" s="208">
        <f t="shared" si="30"/>
        <v>0</v>
      </c>
      <c r="DA88" s="188">
        <f t="shared" si="30"/>
        <v>0</v>
      </c>
    </row>
    <row r="89" spans="1:105">
      <c r="A89" s="222"/>
      <c r="B89" s="223"/>
      <c r="C89" s="223"/>
      <c r="D89" s="224"/>
      <c r="E89" s="225"/>
      <c r="F89" s="226"/>
      <c r="G89" s="226"/>
      <c r="H89" s="226"/>
      <c r="I89" s="226"/>
      <c r="J89" s="225"/>
      <c r="K89" s="226"/>
      <c r="L89" s="226"/>
      <c r="M89" s="226"/>
      <c r="N89" s="226"/>
      <c r="O89" s="226"/>
      <c r="P89" s="226"/>
      <c r="Q89" s="226"/>
      <c r="R89" s="226"/>
      <c r="S89" s="226"/>
      <c r="T89" s="226"/>
      <c r="U89" s="224"/>
      <c r="V89" s="225"/>
      <c r="W89" s="226"/>
      <c r="X89" s="224"/>
      <c r="Y89" s="226"/>
      <c r="AA89" s="208">
        <f t="shared" si="26"/>
        <v>0</v>
      </c>
      <c r="AB89" s="187">
        <f t="shared" si="26"/>
        <v>0</v>
      </c>
      <c r="AC89" s="187">
        <f t="shared" si="26"/>
        <v>0</v>
      </c>
      <c r="AD89" s="187">
        <f t="shared" si="26"/>
        <v>0</v>
      </c>
      <c r="AE89" s="187">
        <f t="shared" si="26"/>
        <v>0</v>
      </c>
      <c r="AF89" s="187">
        <f t="shared" si="26"/>
        <v>0</v>
      </c>
      <c r="AG89" s="187">
        <f t="shared" si="26"/>
        <v>0</v>
      </c>
      <c r="AH89" s="187">
        <f t="shared" si="26"/>
        <v>0</v>
      </c>
      <c r="AI89" s="187">
        <f t="shared" si="26"/>
        <v>0</v>
      </c>
      <c r="AJ89" s="187">
        <f t="shared" si="26"/>
        <v>0</v>
      </c>
      <c r="AK89" s="187">
        <f t="shared" si="26"/>
        <v>0</v>
      </c>
      <c r="AL89" s="187">
        <f t="shared" si="26"/>
        <v>0</v>
      </c>
      <c r="AM89" s="208">
        <f t="shared" si="26"/>
        <v>0</v>
      </c>
      <c r="AN89" s="187">
        <f t="shared" si="26"/>
        <v>0</v>
      </c>
      <c r="AO89" s="188">
        <f t="shared" si="26"/>
        <v>0</v>
      </c>
      <c r="AQ89" s="208">
        <f t="shared" si="27"/>
        <v>0</v>
      </c>
      <c r="AR89" s="187">
        <f t="shared" si="27"/>
        <v>0</v>
      </c>
      <c r="AS89" s="187">
        <f t="shared" si="27"/>
        <v>0</v>
      </c>
      <c r="AT89" s="187">
        <f t="shared" si="27"/>
        <v>0</v>
      </c>
      <c r="AU89" s="187">
        <f t="shared" si="27"/>
        <v>0</v>
      </c>
      <c r="AV89" s="187">
        <f t="shared" si="27"/>
        <v>0</v>
      </c>
      <c r="AW89" s="187">
        <f t="shared" si="27"/>
        <v>0</v>
      </c>
      <c r="AX89" s="187">
        <f t="shared" si="27"/>
        <v>0</v>
      </c>
      <c r="AY89" s="187">
        <f t="shared" si="27"/>
        <v>0</v>
      </c>
      <c r="AZ89" s="187">
        <f t="shared" si="27"/>
        <v>0</v>
      </c>
      <c r="BA89" s="187">
        <f t="shared" si="27"/>
        <v>0</v>
      </c>
      <c r="BB89" s="188">
        <f t="shared" si="27"/>
        <v>0</v>
      </c>
      <c r="BC89" s="208">
        <f t="shared" si="27"/>
        <v>0</v>
      </c>
      <c r="BD89" s="208">
        <f t="shared" si="27"/>
        <v>0</v>
      </c>
      <c r="BE89" s="188">
        <f t="shared" si="27"/>
        <v>0</v>
      </c>
      <c r="BG89" s="208">
        <f t="shared" si="28"/>
        <v>0</v>
      </c>
      <c r="BH89" s="187">
        <f t="shared" si="28"/>
        <v>0</v>
      </c>
      <c r="BI89" s="187">
        <f t="shared" si="28"/>
        <v>0</v>
      </c>
      <c r="BJ89" s="187">
        <f t="shared" si="28"/>
        <v>0</v>
      </c>
      <c r="BK89" s="187">
        <f t="shared" si="28"/>
        <v>0</v>
      </c>
      <c r="BL89" s="187">
        <f t="shared" si="28"/>
        <v>0</v>
      </c>
      <c r="BM89" s="187">
        <f t="shared" si="28"/>
        <v>0</v>
      </c>
      <c r="BN89" s="187">
        <f t="shared" si="28"/>
        <v>0</v>
      </c>
      <c r="BO89" s="187">
        <f t="shared" si="28"/>
        <v>0</v>
      </c>
      <c r="BP89" s="187">
        <f t="shared" si="28"/>
        <v>0</v>
      </c>
      <c r="BQ89" s="187">
        <f t="shared" si="28"/>
        <v>0</v>
      </c>
      <c r="BR89" s="188">
        <f t="shared" si="28"/>
        <v>0</v>
      </c>
      <c r="BS89" s="208">
        <f t="shared" si="28"/>
        <v>0</v>
      </c>
      <c r="BT89" s="208">
        <f t="shared" si="28"/>
        <v>0</v>
      </c>
      <c r="BU89" s="188">
        <f t="shared" si="28"/>
        <v>0</v>
      </c>
      <c r="BW89" s="208">
        <f t="shared" si="29"/>
        <v>0</v>
      </c>
      <c r="BX89" s="187">
        <f t="shared" si="29"/>
        <v>0</v>
      </c>
      <c r="BY89" s="187">
        <f t="shared" si="29"/>
        <v>0</v>
      </c>
      <c r="BZ89" s="187">
        <f t="shared" si="29"/>
        <v>0</v>
      </c>
      <c r="CA89" s="187">
        <f t="shared" si="29"/>
        <v>0</v>
      </c>
      <c r="CB89" s="187">
        <f t="shared" si="29"/>
        <v>0</v>
      </c>
      <c r="CC89" s="187">
        <f t="shared" si="29"/>
        <v>0</v>
      </c>
      <c r="CD89" s="187">
        <f t="shared" si="29"/>
        <v>0</v>
      </c>
      <c r="CE89" s="187">
        <f t="shared" si="29"/>
        <v>0</v>
      </c>
      <c r="CF89" s="187">
        <f t="shared" si="29"/>
        <v>0</v>
      </c>
      <c r="CG89" s="187">
        <f t="shared" si="29"/>
        <v>0</v>
      </c>
      <c r="CH89" s="188">
        <f t="shared" si="29"/>
        <v>0</v>
      </c>
      <c r="CI89" s="208">
        <f t="shared" si="29"/>
        <v>0</v>
      </c>
      <c r="CJ89" s="208">
        <f t="shared" si="29"/>
        <v>0</v>
      </c>
      <c r="CK89" s="188">
        <f t="shared" si="29"/>
        <v>0</v>
      </c>
      <c r="CM89" s="208">
        <f t="shared" si="30"/>
        <v>0</v>
      </c>
      <c r="CN89" s="187">
        <f t="shared" si="30"/>
        <v>0</v>
      </c>
      <c r="CO89" s="187">
        <f t="shared" si="30"/>
        <v>0</v>
      </c>
      <c r="CP89" s="187">
        <f t="shared" si="30"/>
        <v>0</v>
      </c>
      <c r="CQ89" s="187">
        <f t="shared" si="30"/>
        <v>0</v>
      </c>
      <c r="CR89" s="187">
        <f t="shared" si="30"/>
        <v>0</v>
      </c>
      <c r="CS89" s="187">
        <f t="shared" si="30"/>
        <v>0</v>
      </c>
      <c r="CT89" s="187">
        <f t="shared" si="30"/>
        <v>0</v>
      </c>
      <c r="CU89" s="187">
        <f t="shared" si="30"/>
        <v>0</v>
      </c>
      <c r="CV89" s="187">
        <f t="shared" si="30"/>
        <v>0</v>
      </c>
      <c r="CW89" s="187">
        <f t="shared" si="30"/>
        <v>0</v>
      </c>
      <c r="CX89" s="188">
        <f t="shared" si="30"/>
        <v>0</v>
      </c>
      <c r="CY89" s="208">
        <f t="shared" si="30"/>
        <v>0</v>
      </c>
      <c r="CZ89" s="208">
        <f t="shared" si="30"/>
        <v>0</v>
      </c>
      <c r="DA89" s="188">
        <f t="shared" si="30"/>
        <v>0</v>
      </c>
    </row>
    <row r="90" spans="1:105">
      <c r="A90" s="222"/>
      <c r="B90" s="223"/>
      <c r="C90" s="223"/>
      <c r="D90" s="224"/>
      <c r="E90" s="225"/>
      <c r="F90" s="226"/>
      <c r="G90" s="226"/>
      <c r="H90" s="226"/>
      <c r="I90" s="226"/>
      <c r="J90" s="225"/>
      <c r="K90" s="226"/>
      <c r="L90" s="226"/>
      <c r="M90" s="226"/>
      <c r="N90" s="226"/>
      <c r="O90" s="226"/>
      <c r="P90" s="226"/>
      <c r="Q90" s="226"/>
      <c r="R90" s="226"/>
      <c r="S90" s="226"/>
      <c r="T90" s="226"/>
      <c r="U90" s="224"/>
      <c r="V90" s="225"/>
      <c r="W90" s="226"/>
      <c r="X90" s="224"/>
      <c r="Y90" s="226"/>
      <c r="AA90" s="208">
        <f t="shared" ref="AA90:AO106" si="31">$D90*$E90*J90</f>
        <v>0</v>
      </c>
      <c r="AB90" s="187">
        <f t="shared" si="31"/>
        <v>0</v>
      </c>
      <c r="AC90" s="187">
        <f t="shared" si="31"/>
        <v>0</v>
      </c>
      <c r="AD90" s="187">
        <f t="shared" si="31"/>
        <v>0</v>
      </c>
      <c r="AE90" s="187">
        <f t="shared" si="31"/>
        <v>0</v>
      </c>
      <c r="AF90" s="187">
        <f t="shared" si="31"/>
        <v>0</v>
      </c>
      <c r="AG90" s="187">
        <f t="shared" si="31"/>
        <v>0</v>
      </c>
      <c r="AH90" s="187">
        <f t="shared" si="31"/>
        <v>0</v>
      </c>
      <c r="AI90" s="187">
        <f t="shared" si="31"/>
        <v>0</v>
      </c>
      <c r="AJ90" s="187">
        <f t="shared" si="31"/>
        <v>0</v>
      </c>
      <c r="AK90" s="187">
        <f t="shared" si="31"/>
        <v>0</v>
      </c>
      <c r="AL90" s="187">
        <f t="shared" si="31"/>
        <v>0</v>
      </c>
      <c r="AM90" s="208">
        <f t="shared" si="31"/>
        <v>0</v>
      </c>
      <c r="AN90" s="187">
        <f t="shared" si="31"/>
        <v>0</v>
      </c>
      <c r="AO90" s="188">
        <f t="shared" si="31"/>
        <v>0</v>
      </c>
      <c r="AQ90" s="208">
        <f t="shared" ref="AQ90:BE106" si="32">$D90*$F90*J90</f>
        <v>0</v>
      </c>
      <c r="AR90" s="187">
        <f t="shared" si="32"/>
        <v>0</v>
      </c>
      <c r="AS90" s="187">
        <f t="shared" si="32"/>
        <v>0</v>
      </c>
      <c r="AT90" s="187">
        <f t="shared" si="32"/>
        <v>0</v>
      </c>
      <c r="AU90" s="187">
        <f t="shared" si="32"/>
        <v>0</v>
      </c>
      <c r="AV90" s="187">
        <f t="shared" si="32"/>
        <v>0</v>
      </c>
      <c r="AW90" s="187">
        <f t="shared" si="32"/>
        <v>0</v>
      </c>
      <c r="AX90" s="187">
        <f t="shared" si="32"/>
        <v>0</v>
      </c>
      <c r="AY90" s="187">
        <f t="shared" si="32"/>
        <v>0</v>
      </c>
      <c r="AZ90" s="187">
        <f t="shared" si="32"/>
        <v>0</v>
      </c>
      <c r="BA90" s="187">
        <f t="shared" si="32"/>
        <v>0</v>
      </c>
      <c r="BB90" s="188">
        <f t="shared" si="32"/>
        <v>0</v>
      </c>
      <c r="BC90" s="208">
        <f t="shared" si="32"/>
        <v>0</v>
      </c>
      <c r="BD90" s="208">
        <f t="shared" si="32"/>
        <v>0</v>
      </c>
      <c r="BE90" s="188">
        <f t="shared" si="32"/>
        <v>0</v>
      </c>
      <c r="BG90" s="208">
        <f t="shared" ref="BG90:BU106" si="33">$D90*$G90*J90</f>
        <v>0</v>
      </c>
      <c r="BH90" s="187">
        <f t="shared" si="33"/>
        <v>0</v>
      </c>
      <c r="BI90" s="187">
        <f t="shared" si="33"/>
        <v>0</v>
      </c>
      <c r="BJ90" s="187">
        <f t="shared" si="33"/>
        <v>0</v>
      </c>
      <c r="BK90" s="187">
        <f t="shared" si="33"/>
        <v>0</v>
      </c>
      <c r="BL90" s="187">
        <f t="shared" si="33"/>
        <v>0</v>
      </c>
      <c r="BM90" s="187">
        <f t="shared" si="33"/>
        <v>0</v>
      </c>
      <c r="BN90" s="187">
        <f t="shared" si="33"/>
        <v>0</v>
      </c>
      <c r="BO90" s="187">
        <f t="shared" si="33"/>
        <v>0</v>
      </c>
      <c r="BP90" s="187">
        <f t="shared" si="33"/>
        <v>0</v>
      </c>
      <c r="BQ90" s="187">
        <f t="shared" si="33"/>
        <v>0</v>
      </c>
      <c r="BR90" s="188">
        <f t="shared" si="33"/>
        <v>0</v>
      </c>
      <c r="BS90" s="208">
        <f t="shared" si="33"/>
        <v>0</v>
      </c>
      <c r="BT90" s="208">
        <f t="shared" si="33"/>
        <v>0</v>
      </c>
      <c r="BU90" s="188">
        <f t="shared" si="33"/>
        <v>0</v>
      </c>
      <c r="BW90" s="208">
        <f t="shared" ref="BW90:CK106" si="34">$D90*$H90*J90</f>
        <v>0</v>
      </c>
      <c r="BX90" s="187">
        <f t="shared" si="34"/>
        <v>0</v>
      </c>
      <c r="BY90" s="187">
        <f t="shared" si="34"/>
        <v>0</v>
      </c>
      <c r="BZ90" s="187">
        <f t="shared" si="34"/>
        <v>0</v>
      </c>
      <c r="CA90" s="187">
        <f t="shared" si="34"/>
        <v>0</v>
      </c>
      <c r="CB90" s="187">
        <f t="shared" si="34"/>
        <v>0</v>
      </c>
      <c r="CC90" s="187">
        <f t="shared" si="34"/>
        <v>0</v>
      </c>
      <c r="CD90" s="187">
        <f t="shared" si="34"/>
        <v>0</v>
      </c>
      <c r="CE90" s="187">
        <f t="shared" si="34"/>
        <v>0</v>
      </c>
      <c r="CF90" s="187">
        <f t="shared" si="34"/>
        <v>0</v>
      </c>
      <c r="CG90" s="187">
        <f t="shared" si="34"/>
        <v>0</v>
      </c>
      <c r="CH90" s="188">
        <f t="shared" si="34"/>
        <v>0</v>
      </c>
      <c r="CI90" s="208">
        <f t="shared" si="34"/>
        <v>0</v>
      </c>
      <c r="CJ90" s="208">
        <f t="shared" si="34"/>
        <v>0</v>
      </c>
      <c r="CK90" s="188">
        <f t="shared" si="34"/>
        <v>0</v>
      </c>
      <c r="CM90" s="208">
        <f t="shared" ref="CM90:DA106" si="35">$D90*$I90*J90</f>
        <v>0</v>
      </c>
      <c r="CN90" s="187">
        <f t="shared" si="35"/>
        <v>0</v>
      </c>
      <c r="CO90" s="187">
        <f t="shared" si="35"/>
        <v>0</v>
      </c>
      <c r="CP90" s="187">
        <f t="shared" si="35"/>
        <v>0</v>
      </c>
      <c r="CQ90" s="187">
        <f t="shared" si="35"/>
        <v>0</v>
      </c>
      <c r="CR90" s="187">
        <f t="shared" si="35"/>
        <v>0</v>
      </c>
      <c r="CS90" s="187">
        <f t="shared" si="35"/>
        <v>0</v>
      </c>
      <c r="CT90" s="187">
        <f t="shared" si="35"/>
        <v>0</v>
      </c>
      <c r="CU90" s="187">
        <f t="shared" si="35"/>
        <v>0</v>
      </c>
      <c r="CV90" s="187">
        <f t="shared" si="35"/>
        <v>0</v>
      </c>
      <c r="CW90" s="187">
        <f t="shared" si="35"/>
        <v>0</v>
      </c>
      <c r="CX90" s="188">
        <f t="shared" si="35"/>
        <v>0</v>
      </c>
      <c r="CY90" s="208">
        <f t="shared" si="35"/>
        <v>0</v>
      </c>
      <c r="CZ90" s="208">
        <f t="shared" si="35"/>
        <v>0</v>
      </c>
      <c r="DA90" s="188">
        <f t="shared" si="35"/>
        <v>0</v>
      </c>
    </row>
    <row r="91" spans="1:105">
      <c r="A91" s="222"/>
      <c r="B91" s="223"/>
      <c r="C91" s="223"/>
      <c r="D91" s="224"/>
      <c r="E91" s="225"/>
      <c r="F91" s="226"/>
      <c r="G91" s="226"/>
      <c r="H91" s="226"/>
      <c r="I91" s="226"/>
      <c r="J91" s="225"/>
      <c r="K91" s="226"/>
      <c r="L91" s="226"/>
      <c r="M91" s="226"/>
      <c r="N91" s="226"/>
      <c r="O91" s="226"/>
      <c r="P91" s="226"/>
      <c r="Q91" s="226"/>
      <c r="R91" s="226"/>
      <c r="S91" s="226"/>
      <c r="T91" s="226"/>
      <c r="U91" s="224"/>
      <c r="V91" s="225"/>
      <c r="W91" s="226"/>
      <c r="X91" s="224"/>
      <c r="Y91" s="226"/>
      <c r="AA91" s="208">
        <f t="shared" si="31"/>
        <v>0</v>
      </c>
      <c r="AB91" s="187">
        <f t="shared" si="31"/>
        <v>0</v>
      </c>
      <c r="AC91" s="187">
        <f t="shared" si="31"/>
        <v>0</v>
      </c>
      <c r="AD91" s="187">
        <f t="shared" si="31"/>
        <v>0</v>
      </c>
      <c r="AE91" s="187">
        <f t="shared" si="31"/>
        <v>0</v>
      </c>
      <c r="AF91" s="187">
        <f t="shared" si="31"/>
        <v>0</v>
      </c>
      <c r="AG91" s="187">
        <f t="shared" si="31"/>
        <v>0</v>
      </c>
      <c r="AH91" s="187">
        <f t="shared" si="31"/>
        <v>0</v>
      </c>
      <c r="AI91" s="187">
        <f t="shared" si="31"/>
        <v>0</v>
      </c>
      <c r="AJ91" s="187">
        <f t="shared" si="31"/>
        <v>0</v>
      </c>
      <c r="AK91" s="187">
        <f t="shared" si="31"/>
        <v>0</v>
      </c>
      <c r="AL91" s="187">
        <f t="shared" si="31"/>
        <v>0</v>
      </c>
      <c r="AM91" s="208">
        <f t="shared" si="31"/>
        <v>0</v>
      </c>
      <c r="AN91" s="187">
        <f t="shared" si="31"/>
        <v>0</v>
      </c>
      <c r="AO91" s="188">
        <f t="shared" si="31"/>
        <v>0</v>
      </c>
      <c r="AQ91" s="208">
        <f t="shared" si="32"/>
        <v>0</v>
      </c>
      <c r="AR91" s="187">
        <f t="shared" si="32"/>
        <v>0</v>
      </c>
      <c r="AS91" s="187">
        <f t="shared" si="32"/>
        <v>0</v>
      </c>
      <c r="AT91" s="187">
        <f t="shared" si="32"/>
        <v>0</v>
      </c>
      <c r="AU91" s="187">
        <f t="shared" si="32"/>
        <v>0</v>
      </c>
      <c r="AV91" s="187">
        <f t="shared" si="32"/>
        <v>0</v>
      </c>
      <c r="AW91" s="187">
        <f t="shared" si="32"/>
        <v>0</v>
      </c>
      <c r="AX91" s="187">
        <f t="shared" si="32"/>
        <v>0</v>
      </c>
      <c r="AY91" s="187">
        <f t="shared" si="32"/>
        <v>0</v>
      </c>
      <c r="AZ91" s="187">
        <f t="shared" si="32"/>
        <v>0</v>
      </c>
      <c r="BA91" s="187">
        <f t="shared" si="32"/>
        <v>0</v>
      </c>
      <c r="BB91" s="188">
        <f t="shared" si="32"/>
        <v>0</v>
      </c>
      <c r="BC91" s="208">
        <f t="shared" si="32"/>
        <v>0</v>
      </c>
      <c r="BD91" s="208">
        <f t="shared" si="32"/>
        <v>0</v>
      </c>
      <c r="BE91" s="188">
        <f t="shared" si="32"/>
        <v>0</v>
      </c>
      <c r="BG91" s="208">
        <f t="shared" si="33"/>
        <v>0</v>
      </c>
      <c r="BH91" s="187">
        <f t="shared" si="33"/>
        <v>0</v>
      </c>
      <c r="BI91" s="187">
        <f t="shared" si="33"/>
        <v>0</v>
      </c>
      <c r="BJ91" s="187">
        <f t="shared" si="33"/>
        <v>0</v>
      </c>
      <c r="BK91" s="187">
        <f t="shared" si="33"/>
        <v>0</v>
      </c>
      <c r="BL91" s="187">
        <f t="shared" si="33"/>
        <v>0</v>
      </c>
      <c r="BM91" s="187">
        <f t="shared" si="33"/>
        <v>0</v>
      </c>
      <c r="BN91" s="187">
        <f t="shared" si="33"/>
        <v>0</v>
      </c>
      <c r="BO91" s="187">
        <f t="shared" si="33"/>
        <v>0</v>
      </c>
      <c r="BP91" s="187">
        <f t="shared" si="33"/>
        <v>0</v>
      </c>
      <c r="BQ91" s="187">
        <f t="shared" si="33"/>
        <v>0</v>
      </c>
      <c r="BR91" s="188">
        <f t="shared" si="33"/>
        <v>0</v>
      </c>
      <c r="BS91" s="208">
        <f t="shared" si="33"/>
        <v>0</v>
      </c>
      <c r="BT91" s="208">
        <f t="shared" si="33"/>
        <v>0</v>
      </c>
      <c r="BU91" s="188">
        <f t="shared" si="33"/>
        <v>0</v>
      </c>
      <c r="BW91" s="208">
        <f t="shared" si="34"/>
        <v>0</v>
      </c>
      <c r="BX91" s="187">
        <f t="shared" si="34"/>
        <v>0</v>
      </c>
      <c r="BY91" s="187">
        <f t="shared" si="34"/>
        <v>0</v>
      </c>
      <c r="BZ91" s="187">
        <f t="shared" si="34"/>
        <v>0</v>
      </c>
      <c r="CA91" s="187">
        <f t="shared" si="34"/>
        <v>0</v>
      </c>
      <c r="CB91" s="187">
        <f t="shared" si="34"/>
        <v>0</v>
      </c>
      <c r="CC91" s="187">
        <f t="shared" si="34"/>
        <v>0</v>
      </c>
      <c r="CD91" s="187">
        <f t="shared" si="34"/>
        <v>0</v>
      </c>
      <c r="CE91" s="187">
        <f t="shared" si="34"/>
        <v>0</v>
      </c>
      <c r="CF91" s="187">
        <f t="shared" si="34"/>
        <v>0</v>
      </c>
      <c r="CG91" s="187">
        <f t="shared" si="34"/>
        <v>0</v>
      </c>
      <c r="CH91" s="188">
        <f t="shared" si="34"/>
        <v>0</v>
      </c>
      <c r="CI91" s="208">
        <f t="shared" si="34"/>
        <v>0</v>
      </c>
      <c r="CJ91" s="208">
        <f t="shared" si="34"/>
        <v>0</v>
      </c>
      <c r="CK91" s="188">
        <f t="shared" si="34"/>
        <v>0</v>
      </c>
      <c r="CM91" s="208">
        <f t="shared" si="35"/>
        <v>0</v>
      </c>
      <c r="CN91" s="187">
        <f t="shared" si="35"/>
        <v>0</v>
      </c>
      <c r="CO91" s="187">
        <f t="shared" si="35"/>
        <v>0</v>
      </c>
      <c r="CP91" s="187">
        <f t="shared" si="35"/>
        <v>0</v>
      </c>
      <c r="CQ91" s="187">
        <f t="shared" si="35"/>
        <v>0</v>
      </c>
      <c r="CR91" s="187">
        <f t="shared" si="35"/>
        <v>0</v>
      </c>
      <c r="CS91" s="187">
        <f t="shared" si="35"/>
        <v>0</v>
      </c>
      <c r="CT91" s="187">
        <f t="shared" si="35"/>
        <v>0</v>
      </c>
      <c r="CU91" s="187">
        <f t="shared" si="35"/>
        <v>0</v>
      </c>
      <c r="CV91" s="187">
        <f t="shared" si="35"/>
        <v>0</v>
      </c>
      <c r="CW91" s="187">
        <f t="shared" si="35"/>
        <v>0</v>
      </c>
      <c r="CX91" s="188">
        <f t="shared" si="35"/>
        <v>0</v>
      </c>
      <c r="CY91" s="208">
        <f t="shared" si="35"/>
        <v>0</v>
      </c>
      <c r="CZ91" s="208">
        <f t="shared" si="35"/>
        <v>0</v>
      </c>
      <c r="DA91" s="188">
        <f t="shared" si="35"/>
        <v>0</v>
      </c>
    </row>
    <row r="92" spans="1:105">
      <c r="A92" s="222"/>
      <c r="B92" s="223"/>
      <c r="C92" s="223"/>
      <c r="D92" s="224"/>
      <c r="E92" s="225"/>
      <c r="F92" s="226"/>
      <c r="G92" s="226"/>
      <c r="H92" s="226"/>
      <c r="I92" s="226"/>
      <c r="J92" s="225"/>
      <c r="K92" s="226"/>
      <c r="L92" s="226"/>
      <c r="M92" s="226"/>
      <c r="N92" s="226"/>
      <c r="O92" s="226"/>
      <c r="P92" s="226"/>
      <c r="Q92" s="226"/>
      <c r="R92" s="226"/>
      <c r="S92" s="226"/>
      <c r="T92" s="226"/>
      <c r="U92" s="224"/>
      <c r="V92" s="225"/>
      <c r="W92" s="226"/>
      <c r="X92" s="224"/>
      <c r="Y92" s="226"/>
      <c r="AA92" s="208">
        <f t="shared" si="31"/>
        <v>0</v>
      </c>
      <c r="AB92" s="187">
        <f t="shared" si="31"/>
        <v>0</v>
      </c>
      <c r="AC92" s="187">
        <f t="shared" si="31"/>
        <v>0</v>
      </c>
      <c r="AD92" s="187">
        <f t="shared" si="31"/>
        <v>0</v>
      </c>
      <c r="AE92" s="187">
        <f t="shared" si="31"/>
        <v>0</v>
      </c>
      <c r="AF92" s="187">
        <f t="shared" si="31"/>
        <v>0</v>
      </c>
      <c r="AG92" s="187">
        <f t="shared" si="31"/>
        <v>0</v>
      </c>
      <c r="AH92" s="187">
        <f t="shared" si="31"/>
        <v>0</v>
      </c>
      <c r="AI92" s="187">
        <f t="shared" si="31"/>
        <v>0</v>
      </c>
      <c r="AJ92" s="187">
        <f t="shared" si="31"/>
        <v>0</v>
      </c>
      <c r="AK92" s="187">
        <f t="shared" si="31"/>
        <v>0</v>
      </c>
      <c r="AL92" s="187">
        <f t="shared" si="31"/>
        <v>0</v>
      </c>
      <c r="AM92" s="208">
        <f t="shared" si="31"/>
        <v>0</v>
      </c>
      <c r="AN92" s="187">
        <f t="shared" si="31"/>
        <v>0</v>
      </c>
      <c r="AO92" s="188">
        <f t="shared" si="31"/>
        <v>0</v>
      </c>
      <c r="AQ92" s="208">
        <f t="shared" si="32"/>
        <v>0</v>
      </c>
      <c r="AR92" s="187">
        <f t="shared" si="32"/>
        <v>0</v>
      </c>
      <c r="AS92" s="187">
        <f t="shared" si="32"/>
        <v>0</v>
      </c>
      <c r="AT92" s="187">
        <f t="shared" si="32"/>
        <v>0</v>
      </c>
      <c r="AU92" s="187">
        <f t="shared" si="32"/>
        <v>0</v>
      </c>
      <c r="AV92" s="187">
        <f t="shared" si="32"/>
        <v>0</v>
      </c>
      <c r="AW92" s="187">
        <f t="shared" si="32"/>
        <v>0</v>
      </c>
      <c r="AX92" s="187">
        <f t="shared" si="32"/>
        <v>0</v>
      </c>
      <c r="AY92" s="187">
        <f t="shared" si="32"/>
        <v>0</v>
      </c>
      <c r="AZ92" s="187">
        <f t="shared" si="32"/>
        <v>0</v>
      </c>
      <c r="BA92" s="187">
        <f t="shared" si="32"/>
        <v>0</v>
      </c>
      <c r="BB92" s="188">
        <f t="shared" si="32"/>
        <v>0</v>
      </c>
      <c r="BC92" s="208">
        <f t="shared" si="32"/>
        <v>0</v>
      </c>
      <c r="BD92" s="208">
        <f t="shared" si="32"/>
        <v>0</v>
      </c>
      <c r="BE92" s="188">
        <f t="shared" si="32"/>
        <v>0</v>
      </c>
      <c r="BG92" s="208">
        <f t="shared" si="33"/>
        <v>0</v>
      </c>
      <c r="BH92" s="187">
        <f t="shared" si="33"/>
        <v>0</v>
      </c>
      <c r="BI92" s="187">
        <f t="shared" si="33"/>
        <v>0</v>
      </c>
      <c r="BJ92" s="187">
        <f t="shared" si="33"/>
        <v>0</v>
      </c>
      <c r="BK92" s="187">
        <f t="shared" si="33"/>
        <v>0</v>
      </c>
      <c r="BL92" s="187">
        <f t="shared" si="33"/>
        <v>0</v>
      </c>
      <c r="BM92" s="187">
        <f t="shared" si="33"/>
        <v>0</v>
      </c>
      <c r="BN92" s="187">
        <f t="shared" si="33"/>
        <v>0</v>
      </c>
      <c r="BO92" s="187">
        <f t="shared" si="33"/>
        <v>0</v>
      </c>
      <c r="BP92" s="187">
        <f t="shared" si="33"/>
        <v>0</v>
      </c>
      <c r="BQ92" s="187">
        <f t="shared" si="33"/>
        <v>0</v>
      </c>
      <c r="BR92" s="188">
        <f t="shared" si="33"/>
        <v>0</v>
      </c>
      <c r="BS92" s="208">
        <f t="shared" si="33"/>
        <v>0</v>
      </c>
      <c r="BT92" s="208">
        <f t="shared" si="33"/>
        <v>0</v>
      </c>
      <c r="BU92" s="188">
        <f t="shared" si="33"/>
        <v>0</v>
      </c>
      <c r="BW92" s="208">
        <f t="shared" si="34"/>
        <v>0</v>
      </c>
      <c r="BX92" s="187">
        <f t="shared" si="34"/>
        <v>0</v>
      </c>
      <c r="BY92" s="187">
        <f t="shared" si="34"/>
        <v>0</v>
      </c>
      <c r="BZ92" s="187">
        <f t="shared" si="34"/>
        <v>0</v>
      </c>
      <c r="CA92" s="187">
        <f t="shared" si="34"/>
        <v>0</v>
      </c>
      <c r="CB92" s="187">
        <f t="shared" si="34"/>
        <v>0</v>
      </c>
      <c r="CC92" s="187">
        <f t="shared" si="34"/>
        <v>0</v>
      </c>
      <c r="CD92" s="187">
        <f t="shared" si="34"/>
        <v>0</v>
      </c>
      <c r="CE92" s="187">
        <f t="shared" si="34"/>
        <v>0</v>
      </c>
      <c r="CF92" s="187">
        <f t="shared" si="34"/>
        <v>0</v>
      </c>
      <c r="CG92" s="187">
        <f t="shared" si="34"/>
        <v>0</v>
      </c>
      <c r="CH92" s="188">
        <f t="shared" si="34"/>
        <v>0</v>
      </c>
      <c r="CI92" s="208">
        <f t="shared" si="34"/>
        <v>0</v>
      </c>
      <c r="CJ92" s="208">
        <f t="shared" si="34"/>
        <v>0</v>
      </c>
      <c r="CK92" s="188">
        <f t="shared" si="34"/>
        <v>0</v>
      </c>
      <c r="CM92" s="208">
        <f t="shared" si="35"/>
        <v>0</v>
      </c>
      <c r="CN92" s="187">
        <f t="shared" si="35"/>
        <v>0</v>
      </c>
      <c r="CO92" s="187">
        <f t="shared" si="35"/>
        <v>0</v>
      </c>
      <c r="CP92" s="187">
        <f t="shared" si="35"/>
        <v>0</v>
      </c>
      <c r="CQ92" s="187">
        <f t="shared" si="35"/>
        <v>0</v>
      </c>
      <c r="CR92" s="187">
        <f t="shared" si="35"/>
        <v>0</v>
      </c>
      <c r="CS92" s="187">
        <f t="shared" si="35"/>
        <v>0</v>
      </c>
      <c r="CT92" s="187">
        <f t="shared" si="35"/>
        <v>0</v>
      </c>
      <c r="CU92" s="187">
        <f t="shared" si="35"/>
        <v>0</v>
      </c>
      <c r="CV92" s="187">
        <f t="shared" si="35"/>
        <v>0</v>
      </c>
      <c r="CW92" s="187">
        <f t="shared" si="35"/>
        <v>0</v>
      </c>
      <c r="CX92" s="188">
        <f t="shared" si="35"/>
        <v>0</v>
      </c>
      <c r="CY92" s="208">
        <f t="shared" si="35"/>
        <v>0</v>
      </c>
      <c r="CZ92" s="208">
        <f t="shared" si="35"/>
        <v>0</v>
      </c>
      <c r="DA92" s="188">
        <f t="shared" si="35"/>
        <v>0</v>
      </c>
    </row>
    <row r="93" spans="1:105">
      <c r="A93" s="222"/>
      <c r="B93" s="223"/>
      <c r="C93" s="223"/>
      <c r="D93" s="224"/>
      <c r="E93" s="225"/>
      <c r="F93" s="226"/>
      <c r="G93" s="226"/>
      <c r="H93" s="226"/>
      <c r="I93" s="226"/>
      <c r="J93" s="225"/>
      <c r="K93" s="226"/>
      <c r="L93" s="226"/>
      <c r="M93" s="226"/>
      <c r="N93" s="226"/>
      <c r="O93" s="226"/>
      <c r="P93" s="226"/>
      <c r="Q93" s="226"/>
      <c r="R93" s="226"/>
      <c r="S93" s="226"/>
      <c r="T93" s="226"/>
      <c r="U93" s="224"/>
      <c r="V93" s="225"/>
      <c r="W93" s="226"/>
      <c r="X93" s="224"/>
      <c r="Y93" s="226"/>
      <c r="AA93" s="208">
        <f t="shared" si="31"/>
        <v>0</v>
      </c>
      <c r="AB93" s="187">
        <f t="shared" si="31"/>
        <v>0</v>
      </c>
      <c r="AC93" s="187">
        <f t="shared" si="31"/>
        <v>0</v>
      </c>
      <c r="AD93" s="187">
        <f t="shared" si="31"/>
        <v>0</v>
      </c>
      <c r="AE93" s="187">
        <f t="shared" si="31"/>
        <v>0</v>
      </c>
      <c r="AF93" s="187">
        <f t="shared" si="31"/>
        <v>0</v>
      </c>
      <c r="AG93" s="187">
        <f t="shared" si="31"/>
        <v>0</v>
      </c>
      <c r="AH93" s="187">
        <f t="shared" si="31"/>
        <v>0</v>
      </c>
      <c r="AI93" s="187">
        <f t="shared" si="31"/>
        <v>0</v>
      </c>
      <c r="AJ93" s="187">
        <f t="shared" si="31"/>
        <v>0</v>
      </c>
      <c r="AK93" s="187">
        <f t="shared" si="31"/>
        <v>0</v>
      </c>
      <c r="AL93" s="187">
        <f t="shared" si="31"/>
        <v>0</v>
      </c>
      <c r="AM93" s="208">
        <f t="shared" si="31"/>
        <v>0</v>
      </c>
      <c r="AN93" s="187">
        <f t="shared" si="31"/>
        <v>0</v>
      </c>
      <c r="AO93" s="188">
        <f t="shared" si="31"/>
        <v>0</v>
      </c>
      <c r="AQ93" s="208">
        <f t="shared" si="32"/>
        <v>0</v>
      </c>
      <c r="AR93" s="187">
        <f t="shared" si="32"/>
        <v>0</v>
      </c>
      <c r="AS93" s="187">
        <f t="shared" si="32"/>
        <v>0</v>
      </c>
      <c r="AT93" s="187">
        <f t="shared" si="32"/>
        <v>0</v>
      </c>
      <c r="AU93" s="187">
        <f t="shared" si="32"/>
        <v>0</v>
      </c>
      <c r="AV93" s="187">
        <f t="shared" si="32"/>
        <v>0</v>
      </c>
      <c r="AW93" s="187">
        <f t="shared" si="32"/>
        <v>0</v>
      </c>
      <c r="AX93" s="187">
        <f t="shared" si="32"/>
        <v>0</v>
      </c>
      <c r="AY93" s="187">
        <f t="shared" si="32"/>
        <v>0</v>
      </c>
      <c r="AZ93" s="187">
        <f t="shared" si="32"/>
        <v>0</v>
      </c>
      <c r="BA93" s="187">
        <f t="shared" si="32"/>
        <v>0</v>
      </c>
      <c r="BB93" s="188">
        <f t="shared" si="32"/>
        <v>0</v>
      </c>
      <c r="BC93" s="208">
        <f t="shared" si="32"/>
        <v>0</v>
      </c>
      <c r="BD93" s="208">
        <f t="shared" si="32"/>
        <v>0</v>
      </c>
      <c r="BE93" s="188">
        <f t="shared" si="32"/>
        <v>0</v>
      </c>
      <c r="BG93" s="208">
        <f t="shared" si="33"/>
        <v>0</v>
      </c>
      <c r="BH93" s="187">
        <f t="shared" si="33"/>
        <v>0</v>
      </c>
      <c r="BI93" s="187">
        <f t="shared" si="33"/>
        <v>0</v>
      </c>
      <c r="BJ93" s="187">
        <f t="shared" si="33"/>
        <v>0</v>
      </c>
      <c r="BK93" s="187">
        <f t="shared" si="33"/>
        <v>0</v>
      </c>
      <c r="BL93" s="187">
        <f t="shared" si="33"/>
        <v>0</v>
      </c>
      <c r="BM93" s="187">
        <f t="shared" si="33"/>
        <v>0</v>
      </c>
      <c r="BN93" s="187">
        <f t="shared" si="33"/>
        <v>0</v>
      </c>
      <c r="BO93" s="187">
        <f t="shared" si="33"/>
        <v>0</v>
      </c>
      <c r="BP93" s="187">
        <f t="shared" si="33"/>
        <v>0</v>
      </c>
      <c r="BQ93" s="187">
        <f t="shared" si="33"/>
        <v>0</v>
      </c>
      <c r="BR93" s="188">
        <f t="shared" si="33"/>
        <v>0</v>
      </c>
      <c r="BS93" s="208">
        <f t="shared" si="33"/>
        <v>0</v>
      </c>
      <c r="BT93" s="208">
        <f t="shared" si="33"/>
        <v>0</v>
      </c>
      <c r="BU93" s="188">
        <f t="shared" si="33"/>
        <v>0</v>
      </c>
      <c r="BW93" s="208">
        <f t="shared" si="34"/>
        <v>0</v>
      </c>
      <c r="BX93" s="187">
        <f t="shared" si="34"/>
        <v>0</v>
      </c>
      <c r="BY93" s="187">
        <f t="shared" si="34"/>
        <v>0</v>
      </c>
      <c r="BZ93" s="187">
        <f t="shared" si="34"/>
        <v>0</v>
      </c>
      <c r="CA93" s="187">
        <f t="shared" si="34"/>
        <v>0</v>
      </c>
      <c r="CB93" s="187">
        <f t="shared" si="34"/>
        <v>0</v>
      </c>
      <c r="CC93" s="187">
        <f t="shared" si="34"/>
        <v>0</v>
      </c>
      <c r="CD93" s="187">
        <f t="shared" si="34"/>
        <v>0</v>
      </c>
      <c r="CE93" s="187">
        <f t="shared" si="34"/>
        <v>0</v>
      </c>
      <c r="CF93" s="187">
        <f t="shared" si="34"/>
        <v>0</v>
      </c>
      <c r="CG93" s="187">
        <f t="shared" si="34"/>
        <v>0</v>
      </c>
      <c r="CH93" s="188">
        <f t="shared" si="34"/>
        <v>0</v>
      </c>
      <c r="CI93" s="208">
        <f t="shared" si="34"/>
        <v>0</v>
      </c>
      <c r="CJ93" s="208">
        <f t="shared" si="34"/>
        <v>0</v>
      </c>
      <c r="CK93" s="188">
        <f t="shared" si="34"/>
        <v>0</v>
      </c>
      <c r="CM93" s="208">
        <f t="shared" si="35"/>
        <v>0</v>
      </c>
      <c r="CN93" s="187">
        <f t="shared" si="35"/>
        <v>0</v>
      </c>
      <c r="CO93" s="187">
        <f t="shared" si="35"/>
        <v>0</v>
      </c>
      <c r="CP93" s="187">
        <f t="shared" si="35"/>
        <v>0</v>
      </c>
      <c r="CQ93" s="187">
        <f t="shared" si="35"/>
        <v>0</v>
      </c>
      <c r="CR93" s="187">
        <f t="shared" si="35"/>
        <v>0</v>
      </c>
      <c r="CS93" s="187">
        <f t="shared" si="35"/>
        <v>0</v>
      </c>
      <c r="CT93" s="187">
        <f t="shared" si="35"/>
        <v>0</v>
      </c>
      <c r="CU93" s="187">
        <f t="shared" si="35"/>
        <v>0</v>
      </c>
      <c r="CV93" s="187">
        <f t="shared" si="35"/>
        <v>0</v>
      </c>
      <c r="CW93" s="187">
        <f t="shared" si="35"/>
        <v>0</v>
      </c>
      <c r="CX93" s="188">
        <f t="shared" si="35"/>
        <v>0</v>
      </c>
      <c r="CY93" s="208">
        <f t="shared" si="35"/>
        <v>0</v>
      </c>
      <c r="CZ93" s="208">
        <f t="shared" si="35"/>
        <v>0</v>
      </c>
      <c r="DA93" s="188">
        <f t="shared" si="35"/>
        <v>0</v>
      </c>
    </row>
    <row r="94" spans="1:105">
      <c r="A94" s="222"/>
      <c r="B94" s="223"/>
      <c r="C94" s="223"/>
      <c r="D94" s="224"/>
      <c r="E94" s="225"/>
      <c r="F94" s="226"/>
      <c r="G94" s="226"/>
      <c r="H94" s="226"/>
      <c r="I94" s="226"/>
      <c r="J94" s="225"/>
      <c r="K94" s="226"/>
      <c r="L94" s="226"/>
      <c r="M94" s="226"/>
      <c r="N94" s="226"/>
      <c r="O94" s="226"/>
      <c r="P94" s="226"/>
      <c r="Q94" s="226"/>
      <c r="R94" s="226"/>
      <c r="S94" s="226"/>
      <c r="T94" s="226"/>
      <c r="U94" s="224"/>
      <c r="V94" s="225"/>
      <c r="W94" s="226"/>
      <c r="X94" s="224"/>
      <c r="Y94" s="226"/>
      <c r="AA94" s="208">
        <f t="shared" si="31"/>
        <v>0</v>
      </c>
      <c r="AB94" s="187">
        <f t="shared" si="31"/>
        <v>0</v>
      </c>
      <c r="AC94" s="187">
        <f t="shared" si="31"/>
        <v>0</v>
      </c>
      <c r="AD94" s="187">
        <f t="shared" si="31"/>
        <v>0</v>
      </c>
      <c r="AE94" s="187">
        <f t="shared" si="31"/>
        <v>0</v>
      </c>
      <c r="AF94" s="187">
        <f t="shared" si="31"/>
        <v>0</v>
      </c>
      <c r="AG94" s="187">
        <f t="shared" si="31"/>
        <v>0</v>
      </c>
      <c r="AH94" s="187">
        <f t="shared" si="31"/>
        <v>0</v>
      </c>
      <c r="AI94" s="187">
        <f t="shared" si="31"/>
        <v>0</v>
      </c>
      <c r="AJ94" s="187">
        <f t="shared" si="31"/>
        <v>0</v>
      </c>
      <c r="AK94" s="187">
        <f t="shared" si="31"/>
        <v>0</v>
      </c>
      <c r="AL94" s="187">
        <f t="shared" si="31"/>
        <v>0</v>
      </c>
      <c r="AM94" s="208">
        <f t="shared" si="31"/>
        <v>0</v>
      </c>
      <c r="AN94" s="187">
        <f t="shared" si="31"/>
        <v>0</v>
      </c>
      <c r="AO94" s="188">
        <f t="shared" si="31"/>
        <v>0</v>
      </c>
      <c r="AQ94" s="208">
        <f t="shared" si="32"/>
        <v>0</v>
      </c>
      <c r="AR94" s="187">
        <f t="shared" si="32"/>
        <v>0</v>
      </c>
      <c r="AS94" s="187">
        <f t="shared" si="32"/>
        <v>0</v>
      </c>
      <c r="AT94" s="187">
        <f t="shared" si="32"/>
        <v>0</v>
      </c>
      <c r="AU94" s="187">
        <f t="shared" si="32"/>
        <v>0</v>
      </c>
      <c r="AV94" s="187">
        <f t="shared" si="32"/>
        <v>0</v>
      </c>
      <c r="AW94" s="187">
        <f t="shared" si="32"/>
        <v>0</v>
      </c>
      <c r="AX94" s="187">
        <f t="shared" si="32"/>
        <v>0</v>
      </c>
      <c r="AY94" s="187">
        <f t="shared" si="32"/>
        <v>0</v>
      </c>
      <c r="AZ94" s="187">
        <f t="shared" si="32"/>
        <v>0</v>
      </c>
      <c r="BA94" s="187">
        <f t="shared" si="32"/>
        <v>0</v>
      </c>
      <c r="BB94" s="188">
        <f t="shared" si="32"/>
        <v>0</v>
      </c>
      <c r="BC94" s="208">
        <f t="shared" si="32"/>
        <v>0</v>
      </c>
      <c r="BD94" s="208">
        <f t="shared" si="32"/>
        <v>0</v>
      </c>
      <c r="BE94" s="188">
        <f t="shared" si="32"/>
        <v>0</v>
      </c>
      <c r="BG94" s="208">
        <f t="shared" si="33"/>
        <v>0</v>
      </c>
      <c r="BH94" s="187">
        <f t="shared" si="33"/>
        <v>0</v>
      </c>
      <c r="BI94" s="187">
        <f t="shared" si="33"/>
        <v>0</v>
      </c>
      <c r="BJ94" s="187">
        <f t="shared" si="33"/>
        <v>0</v>
      </c>
      <c r="BK94" s="187">
        <f t="shared" si="33"/>
        <v>0</v>
      </c>
      <c r="BL94" s="187">
        <f t="shared" si="33"/>
        <v>0</v>
      </c>
      <c r="BM94" s="187">
        <f t="shared" si="33"/>
        <v>0</v>
      </c>
      <c r="BN94" s="187">
        <f t="shared" si="33"/>
        <v>0</v>
      </c>
      <c r="BO94" s="187">
        <f t="shared" si="33"/>
        <v>0</v>
      </c>
      <c r="BP94" s="187">
        <f t="shared" si="33"/>
        <v>0</v>
      </c>
      <c r="BQ94" s="187">
        <f t="shared" si="33"/>
        <v>0</v>
      </c>
      <c r="BR94" s="188">
        <f t="shared" si="33"/>
        <v>0</v>
      </c>
      <c r="BS94" s="208">
        <f t="shared" si="33"/>
        <v>0</v>
      </c>
      <c r="BT94" s="208">
        <f t="shared" si="33"/>
        <v>0</v>
      </c>
      <c r="BU94" s="188">
        <f t="shared" si="33"/>
        <v>0</v>
      </c>
      <c r="BW94" s="208">
        <f t="shared" si="34"/>
        <v>0</v>
      </c>
      <c r="BX94" s="187">
        <f t="shared" si="34"/>
        <v>0</v>
      </c>
      <c r="BY94" s="187">
        <f t="shared" si="34"/>
        <v>0</v>
      </c>
      <c r="BZ94" s="187">
        <f t="shared" si="34"/>
        <v>0</v>
      </c>
      <c r="CA94" s="187">
        <f t="shared" si="34"/>
        <v>0</v>
      </c>
      <c r="CB94" s="187">
        <f t="shared" si="34"/>
        <v>0</v>
      </c>
      <c r="CC94" s="187">
        <f t="shared" si="34"/>
        <v>0</v>
      </c>
      <c r="CD94" s="187">
        <f t="shared" si="34"/>
        <v>0</v>
      </c>
      <c r="CE94" s="187">
        <f t="shared" si="34"/>
        <v>0</v>
      </c>
      <c r="CF94" s="187">
        <f t="shared" si="34"/>
        <v>0</v>
      </c>
      <c r="CG94" s="187">
        <f t="shared" si="34"/>
        <v>0</v>
      </c>
      <c r="CH94" s="188">
        <f t="shared" si="34"/>
        <v>0</v>
      </c>
      <c r="CI94" s="208">
        <f t="shared" si="34"/>
        <v>0</v>
      </c>
      <c r="CJ94" s="208">
        <f t="shared" si="34"/>
        <v>0</v>
      </c>
      <c r="CK94" s="188">
        <f t="shared" si="34"/>
        <v>0</v>
      </c>
      <c r="CM94" s="208">
        <f t="shared" si="35"/>
        <v>0</v>
      </c>
      <c r="CN94" s="187">
        <f t="shared" si="35"/>
        <v>0</v>
      </c>
      <c r="CO94" s="187">
        <f t="shared" si="35"/>
        <v>0</v>
      </c>
      <c r="CP94" s="187">
        <f t="shared" si="35"/>
        <v>0</v>
      </c>
      <c r="CQ94" s="187">
        <f t="shared" si="35"/>
        <v>0</v>
      </c>
      <c r="CR94" s="187">
        <f t="shared" si="35"/>
        <v>0</v>
      </c>
      <c r="CS94" s="187">
        <f t="shared" si="35"/>
        <v>0</v>
      </c>
      <c r="CT94" s="187">
        <f t="shared" si="35"/>
        <v>0</v>
      </c>
      <c r="CU94" s="187">
        <f t="shared" si="35"/>
        <v>0</v>
      </c>
      <c r="CV94" s="187">
        <f t="shared" si="35"/>
        <v>0</v>
      </c>
      <c r="CW94" s="187">
        <f t="shared" si="35"/>
        <v>0</v>
      </c>
      <c r="CX94" s="188">
        <f t="shared" si="35"/>
        <v>0</v>
      </c>
      <c r="CY94" s="208">
        <f t="shared" si="35"/>
        <v>0</v>
      </c>
      <c r="CZ94" s="208">
        <f t="shared" si="35"/>
        <v>0</v>
      </c>
      <c r="DA94" s="188">
        <f t="shared" si="35"/>
        <v>0</v>
      </c>
    </row>
    <row r="95" spans="1:105">
      <c r="A95" s="222"/>
      <c r="B95" s="223"/>
      <c r="C95" s="223"/>
      <c r="D95" s="224"/>
      <c r="E95" s="225"/>
      <c r="F95" s="226"/>
      <c r="G95" s="226"/>
      <c r="H95" s="226"/>
      <c r="I95" s="226"/>
      <c r="J95" s="225"/>
      <c r="K95" s="226"/>
      <c r="L95" s="226"/>
      <c r="M95" s="226"/>
      <c r="N95" s="226"/>
      <c r="O95" s="226"/>
      <c r="P95" s="226"/>
      <c r="Q95" s="226"/>
      <c r="R95" s="226"/>
      <c r="S95" s="226"/>
      <c r="T95" s="226"/>
      <c r="U95" s="224"/>
      <c r="V95" s="225"/>
      <c r="W95" s="226"/>
      <c r="X95" s="224"/>
      <c r="Y95" s="226"/>
      <c r="AA95" s="208">
        <f t="shared" si="31"/>
        <v>0</v>
      </c>
      <c r="AB95" s="187">
        <f t="shared" si="31"/>
        <v>0</v>
      </c>
      <c r="AC95" s="187">
        <f t="shared" si="31"/>
        <v>0</v>
      </c>
      <c r="AD95" s="187">
        <f t="shared" si="31"/>
        <v>0</v>
      </c>
      <c r="AE95" s="187">
        <f t="shared" si="31"/>
        <v>0</v>
      </c>
      <c r="AF95" s="187">
        <f t="shared" si="31"/>
        <v>0</v>
      </c>
      <c r="AG95" s="187">
        <f t="shared" si="31"/>
        <v>0</v>
      </c>
      <c r="AH95" s="187">
        <f t="shared" si="31"/>
        <v>0</v>
      </c>
      <c r="AI95" s="187">
        <f t="shared" si="31"/>
        <v>0</v>
      </c>
      <c r="AJ95" s="187">
        <f t="shared" si="31"/>
        <v>0</v>
      </c>
      <c r="AK95" s="187">
        <f t="shared" si="31"/>
        <v>0</v>
      </c>
      <c r="AL95" s="187">
        <f t="shared" si="31"/>
        <v>0</v>
      </c>
      <c r="AM95" s="208">
        <f t="shared" si="31"/>
        <v>0</v>
      </c>
      <c r="AN95" s="187">
        <f t="shared" si="31"/>
        <v>0</v>
      </c>
      <c r="AO95" s="188">
        <f t="shared" si="31"/>
        <v>0</v>
      </c>
      <c r="AQ95" s="208">
        <f t="shared" si="32"/>
        <v>0</v>
      </c>
      <c r="AR95" s="187">
        <f t="shared" si="32"/>
        <v>0</v>
      </c>
      <c r="AS95" s="187">
        <f t="shared" si="32"/>
        <v>0</v>
      </c>
      <c r="AT95" s="187">
        <f t="shared" si="32"/>
        <v>0</v>
      </c>
      <c r="AU95" s="187">
        <f t="shared" si="32"/>
        <v>0</v>
      </c>
      <c r="AV95" s="187">
        <f t="shared" si="32"/>
        <v>0</v>
      </c>
      <c r="AW95" s="187">
        <f t="shared" si="32"/>
        <v>0</v>
      </c>
      <c r="AX95" s="187">
        <f t="shared" si="32"/>
        <v>0</v>
      </c>
      <c r="AY95" s="187">
        <f t="shared" si="32"/>
        <v>0</v>
      </c>
      <c r="AZ95" s="187">
        <f t="shared" si="32"/>
        <v>0</v>
      </c>
      <c r="BA95" s="187">
        <f t="shared" si="32"/>
        <v>0</v>
      </c>
      <c r="BB95" s="188">
        <f t="shared" si="32"/>
        <v>0</v>
      </c>
      <c r="BC95" s="208">
        <f t="shared" si="32"/>
        <v>0</v>
      </c>
      <c r="BD95" s="208">
        <f t="shared" si="32"/>
        <v>0</v>
      </c>
      <c r="BE95" s="188">
        <f t="shared" si="32"/>
        <v>0</v>
      </c>
      <c r="BG95" s="208">
        <f t="shared" si="33"/>
        <v>0</v>
      </c>
      <c r="BH95" s="187">
        <f t="shared" si="33"/>
        <v>0</v>
      </c>
      <c r="BI95" s="187">
        <f t="shared" si="33"/>
        <v>0</v>
      </c>
      <c r="BJ95" s="187">
        <f t="shared" si="33"/>
        <v>0</v>
      </c>
      <c r="BK95" s="187">
        <f t="shared" si="33"/>
        <v>0</v>
      </c>
      <c r="BL95" s="187">
        <f t="shared" si="33"/>
        <v>0</v>
      </c>
      <c r="BM95" s="187">
        <f t="shared" si="33"/>
        <v>0</v>
      </c>
      <c r="BN95" s="187">
        <f t="shared" si="33"/>
        <v>0</v>
      </c>
      <c r="BO95" s="187">
        <f t="shared" si="33"/>
        <v>0</v>
      </c>
      <c r="BP95" s="187">
        <f t="shared" si="33"/>
        <v>0</v>
      </c>
      <c r="BQ95" s="187">
        <f t="shared" si="33"/>
        <v>0</v>
      </c>
      <c r="BR95" s="188">
        <f t="shared" si="33"/>
        <v>0</v>
      </c>
      <c r="BS95" s="208">
        <f t="shared" si="33"/>
        <v>0</v>
      </c>
      <c r="BT95" s="208">
        <f t="shared" si="33"/>
        <v>0</v>
      </c>
      <c r="BU95" s="188">
        <f t="shared" si="33"/>
        <v>0</v>
      </c>
      <c r="BW95" s="208">
        <f t="shared" si="34"/>
        <v>0</v>
      </c>
      <c r="BX95" s="187">
        <f t="shared" si="34"/>
        <v>0</v>
      </c>
      <c r="BY95" s="187">
        <f t="shared" si="34"/>
        <v>0</v>
      </c>
      <c r="BZ95" s="187">
        <f t="shared" si="34"/>
        <v>0</v>
      </c>
      <c r="CA95" s="187">
        <f t="shared" si="34"/>
        <v>0</v>
      </c>
      <c r="CB95" s="187">
        <f t="shared" si="34"/>
        <v>0</v>
      </c>
      <c r="CC95" s="187">
        <f t="shared" si="34"/>
        <v>0</v>
      </c>
      <c r="CD95" s="187">
        <f t="shared" si="34"/>
        <v>0</v>
      </c>
      <c r="CE95" s="187">
        <f t="shared" si="34"/>
        <v>0</v>
      </c>
      <c r="CF95" s="187">
        <f t="shared" si="34"/>
        <v>0</v>
      </c>
      <c r="CG95" s="187">
        <f t="shared" si="34"/>
        <v>0</v>
      </c>
      <c r="CH95" s="188">
        <f t="shared" si="34"/>
        <v>0</v>
      </c>
      <c r="CI95" s="208">
        <f t="shared" si="34"/>
        <v>0</v>
      </c>
      <c r="CJ95" s="208">
        <f t="shared" si="34"/>
        <v>0</v>
      </c>
      <c r="CK95" s="188">
        <f t="shared" si="34"/>
        <v>0</v>
      </c>
      <c r="CM95" s="208">
        <f t="shared" si="35"/>
        <v>0</v>
      </c>
      <c r="CN95" s="187">
        <f t="shared" si="35"/>
        <v>0</v>
      </c>
      <c r="CO95" s="187">
        <f t="shared" si="35"/>
        <v>0</v>
      </c>
      <c r="CP95" s="187">
        <f t="shared" si="35"/>
        <v>0</v>
      </c>
      <c r="CQ95" s="187">
        <f t="shared" si="35"/>
        <v>0</v>
      </c>
      <c r="CR95" s="187">
        <f t="shared" si="35"/>
        <v>0</v>
      </c>
      <c r="CS95" s="187">
        <f t="shared" si="35"/>
        <v>0</v>
      </c>
      <c r="CT95" s="187">
        <f t="shared" si="35"/>
        <v>0</v>
      </c>
      <c r="CU95" s="187">
        <f t="shared" si="35"/>
        <v>0</v>
      </c>
      <c r="CV95" s="187">
        <f t="shared" si="35"/>
        <v>0</v>
      </c>
      <c r="CW95" s="187">
        <f t="shared" si="35"/>
        <v>0</v>
      </c>
      <c r="CX95" s="188">
        <f t="shared" si="35"/>
        <v>0</v>
      </c>
      <c r="CY95" s="208">
        <f t="shared" si="35"/>
        <v>0</v>
      </c>
      <c r="CZ95" s="208">
        <f t="shared" si="35"/>
        <v>0</v>
      </c>
      <c r="DA95" s="188">
        <f t="shared" si="35"/>
        <v>0</v>
      </c>
    </row>
    <row r="96" spans="1:105">
      <c r="A96" s="222"/>
      <c r="B96" s="223"/>
      <c r="C96" s="223"/>
      <c r="D96" s="224"/>
      <c r="E96" s="225"/>
      <c r="F96" s="226"/>
      <c r="G96" s="226"/>
      <c r="H96" s="226"/>
      <c r="I96" s="226"/>
      <c r="J96" s="225"/>
      <c r="K96" s="226"/>
      <c r="L96" s="226"/>
      <c r="M96" s="226"/>
      <c r="N96" s="226"/>
      <c r="O96" s="226"/>
      <c r="P96" s="226"/>
      <c r="Q96" s="226"/>
      <c r="R96" s="226"/>
      <c r="S96" s="226"/>
      <c r="T96" s="226"/>
      <c r="U96" s="224"/>
      <c r="V96" s="225"/>
      <c r="W96" s="226"/>
      <c r="X96" s="224"/>
      <c r="Y96" s="226"/>
      <c r="AA96" s="208">
        <f t="shared" si="31"/>
        <v>0</v>
      </c>
      <c r="AB96" s="187">
        <f t="shared" si="31"/>
        <v>0</v>
      </c>
      <c r="AC96" s="187">
        <f t="shared" si="31"/>
        <v>0</v>
      </c>
      <c r="AD96" s="187">
        <f t="shared" si="31"/>
        <v>0</v>
      </c>
      <c r="AE96" s="187">
        <f t="shared" si="31"/>
        <v>0</v>
      </c>
      <c r="AF96" s="187">
        <f t="shared" si="31"/>
        <v>0</v>
      </c>
      <c r="AG96" s="187">
        <f t="shared" si="31"/>
        <v>0</v>
      </c>
      <c r="AH96" s="187">
        <f t="shared" si="31"/>
        <v>0</v>
      </c>
      <c r="AI96" s="187">
        <f t="shared" si="31"/>
        <v>0</v>
      </c>
      <c r="AJ96" s="187">
        <f t="shared" si="31"/>
        <v>0</v>
      </c>
      <c r="AK96" s="187">
        <f t="shared" si="31"/>
        <v>0</v>
      </c>
      <c r="AL96" s="187">
        <f t="shared" si="31"/>
        <v>0</v>
      </c>
      <c r="AM96" s="208">
        <f t="shared" si="31"/>
        <v>0</v>
      </c>
      <c r="AN96" s="187">
        <f t="shared" si="31"/>
        <v>0</v>
      </c>
      <c r="AO96" s="188">
        <f t="shared" si="31"/>
        <v>0</v>
      </c>
      <c r="AQ96" s="208">
        <f t="shared" si="32"/>
        <v>0</v>
      </c>
      <c r="AR96" s="187">
        <f t="shared" si="32"/>
        <v>0</v>
      </c>
      <c r="AS96" s="187">
        <f t="shared" si="32"/>
        <v>0</v>
      </c>
      <c r="AT96" s="187">
        <f t="shared" si="32"/>
        <v>0</v>
      </c>
      <c r="AU96" s="187">
        <f t="shared" si="32"/>
        <v>0</v>
      </c>
      <c r="AV96" s="187">
        <f t="shared" si="32"/>
        <v>0</v>
      </c>
      <c r="AW96" s="187">
        <f t="shared" si="32"/>
        <v>0</v>
      </c>
      <c r="AX96" s="187">
        <f t="shared" si="32"/>
        <v>0</v>
      </c>
      <c r="AY96" s="187">
        <f t="shared" si="32"/>
        <v>0</v>
      </c>
      <c r="AZ96" s="187">
        <f t="shared" si="32"/>
        <v>0</v>
      </c>
      <c r="BA96" s="187">
        <f t="shared" si="32"/>
        <v>0</v>
      </c>
      <c r="BB96" s="188">
        <f t="shared" si="32"/>
        <v>0</v>
      </c>
      <c r="BC96" s="208">
        <f t="shared" si="32"/>
        <v>0</v>
      </c>
      <c r="BD96" s="208">
        <f t="shared" si="32"/>
        <v>0</v>
      </c>
      <c r="BE96" s="188">
        <f t="shared" si="32"/>
        <v>0</v>
      </c>
      <c r="BG96" s="208">
        <f t="shared" si="33"/>
        <v>0</v>
      </c>
      <c r="BH96" s="187">
        <f t="shared" si="33"/>
        <v>0</v>
      </c>
      <c r="BI96" s="187">
        <f t="shared" si="33"/>
        <v>0</v>
      </c>
      <c r="BJ96" s="187">
        <f t="shared" si="33"/>
        <v>0</v>
      </c>
      <c r="BK96" s="187">
        <f t="shared" si="33"/>
        <v>0</v>
      </c>
      <c r="BL96" s="187">
        <f t="shared" si="33"/>
        <v>0</v>
      </c>
      <c r="BM96" s="187">
        <f t="shared" si="33"/>
        <v>0</v>
      </c>
      <c r="BN96" s="187">
        <f t="shared" si="33"/>
        <v>0</v>
      </c>
      <c r="BO96" s="187">
        <f t="shared" si="33"/>
        <v>0</v>
      </c>
      <c r="BP96" s="187">
        <f t="shared" si="33"/>
        <v>0</v>
      </c>
      <c r="BQ96" s="187">
        <f t="shared" si="33"/>
        <v>0</v>
      </c>
      <c r="BR96" s="188">
        <f t="shared" si="33"/>
        <v>0</v>
      </c>
      <c r="BS96" s="208">
        <f t="shared" si="33"/>
        <v>0</v>
      </c>
      <c r="BT96" s="208">
        <f t="shared" si="33"/>
        <v>0</v>
      </c>
      <c r="BU96" s="188">
        <f t="shared" si="33"/>
        <v>0</v>
      </c>
      <c r="BW96" s="208">
        <f t="shared" si="34"/>
        <v>0</v>
      </c>
      <c r="BX96" s="187">
        <f t="shared" si="34"/>
        <v>0</v>
      </c>
      <c r="BY96" s="187">
        <f t="shared" si="34"/>
        <v>0</v>
      </c>
      <c r="BZ96" s="187">
        <f t="shared" si="34"/>
        <v>0</v>
      </c>
      <c r="CA96" s="187">
        <f t="shared" si="34"/>
        <v>0</v>
      </c>
      <c r="CB96" s="187">
        <f t="shared" si="34"/>
        <v>0</v>
      </c>
      <c r="CC96" s="187">
        <f t="shared" si="34"/>
        <v>0</v>
      </c>
      <c r="CD96" s="187">
        <f t="shared" si="34"/>
        <v>0</v>
      </c>
      <c r="CE96" s="187">
        <f t="shared" si="34"/>
        <v>0</v>
      </c>
      <c r="CF96" s="187">
        <f t="shared" si="34"/>
        <v>0</v>
      </c>
      <c r="CG96" s="187">
        <f t="shared" si="34"/>
        <v>0</v>
      </c>
      <c r="CH96" s="188">
        <f t="shared" si="34"/>
        <v>0</v>
      </c>
      <c r="CI96" s="208">
        <f t="shared" si="34"/>
        <v>0</v>
      </c>
      <c r="CJ96" s="208">
        <f t="shared" si="34"/>
        <v>0</v>
      </c>
      <c r="CK96" s="188">
        <f t="shared" si="34"/>
        <v>0</v>
      </c>
      <c r="CM96" s="208">
        <f t="shared" si="35"/>
        <v>0</v>
      </c>
      <c r="CN96" s="187">
        <f t="shared" si="35"/>
        <v>0</v>
      </c>
      <c r="CO96" s="187">
        <f t="shared" si="35"/>
        <v>0</v>
      </c>
      <c r="CP96" s="187">
        <f t="shared" si="35"/>
        <v>0</v>
      </c>
      <c r="CQ96" s="187">
        <f t="shared" si="35"/>
        <v>0</v>
      </c>
      <c r="CR96" s="187">
        <f t="shared" si="35"/>
        <v>0</v>
      </c>
      <c r="CS96" s="187">
        <f t="shared" si="35"/>
        <v>0</v>
      </c>
      <c r="CT96" s="187">
        <f t="shared" si="35"/>
        <v>0</v>
      </c>
      <c r="CU96" s="187">
        <f t="shared" si="35"/>
        <v>0</v>
      </c>
      <c r="CV96" s="187">
        <f t="shared" si="35"/>
        <v>0</v>
      </c>
      <c r="CW96" s="187">
        <f t="shared" si="35"/>
        <v>0</v>
      </c>
      <c r="CX96" s="188">
        <f t="shared" si="35"/>
        <v>0</v>
      </c>
      <c r="CY96" s="208">
        <f t="shared" si="35"/>
        <v>0</v>
      </c>
      <c r="CZ96" s="208">
        <f t="shared" si="35"/>
        <v>0</v>
      </c>
      <c r="DA96" s="188">
        <f t="shared" si="35"/>
        <v>0</v>
      </c>
    </row>
    <row r="97" spans="1:105">
      <c r="A97" s="222"/>
      <c r="B97" s="223"/>
      <c r="C97" s="223"/>
      <c r="D97" s="224"/>
      <c r="E97" s="225"/>
      <c r="F97" s="226"/>
      <c r="G97" s="226"/>
      <c r="H97" s="226"/>
      <c r="I97" s="226"/>
      <c r="J97" s="225"/>
      <c r="K97" s="226"/>
      <c r="L97" s="226"/>
      <c r="M97" s="226"/>
      <c r="N97" s="226"/>
      <c r="O97" s="226"/>
      <c r="P97" s="226"/>
      <c r="Q97" s="226"/>
      <c r="R97" s="226"/>
      <c r="S97" s="226"/>
      <c r="T97" s="226"/>
      <c r="U97" s="224"/>
      <c r="V97" s="225"/>
      <c r="W97" s="226"/>
      <c r="X97" s="224"/>
      <c r="Y97" s="226"/>
      <c r="AA97" s="208">
        <f t="shared" si="31"/>
        <v>0</v>
      </c>
      <c r="AB97" s="187">
        <f t="shared" si="31"/>
        <v>0</v>
      </c>
      <c r="AC97" s="187">
        <f t="shared" si="31"/>
        <v>0</v>
      </c>
      <c r="AD97" s="187">
        <f t="shared" si="31"/>
        <v>0</v>
      </c>
      <c r="AE97" s="187">
        <f t="shared" si="31"/>
        <v>0</v>
      </c>
      <c r="AF97" s="187">
        <f t="shared" si="31"/>
        <v>0</v>
      </c>
      <c r="AG97" s="187">
        <f t="shared" si="31"/>
        <v>0</v>
      </c>
      <c r="AH97" s="187">
        <f t="shared" si="31"/>
        <v>0</v>
      </c>
      <c r="AI97" s="187">
        <f t="shared" si="31"/>
        <v>0</v>
      </c>
      <c r="AJ97" s="187">
        <f t="shared" si="31"/>
        <v>0</v>
      </c>
      <c r="AK97" s="187">
        <f t="shared" si="31"/>
        <v>0</v>
      </c>
      <c r="AL97" s="187">
        <f t="shared" si="31"/>
        <v>0</v>
      </c>
      <c r="AM97" s="208">
        <f t="shared" si="31"/>
        <v>0</v>
      </c>
      <c r="AN97" s="187">
        <f t="shared" si="31"/>
        <v>0</v>
      </c>
      <c r="AO97" s="188">
        <f t="shared" si="31"/>
        <v>0</v>
      </c>
      <c r="AQ97" s="208">
        <f t="shared" si="32"/>
        <v>0</v>
      </c>
      <c r="AR97" s="187">
        <f t="shared" si="32"/>
        <v>0</v>
      </c>
      <c r="AS97" s="187">
        <f t="shared" si="32"/>
        <v>0</v>
      </c>
      <c r="AT97" s="187">
        <f t="shared" si="32"/>
        <v>0</v>
      </c>
      <c r="AU97" s="187">
        <f t="shared" si="32"/>
        <v>0</v>
      </c>
      <c r="AV97" s="187">
        <f t="shared" si="32"/>
        <v>0</v>
      </c>
      <c r="AW97" s="187">
        <f t="shared" si="32"/>
        <v>0</v>
      </c>
      <c r="AX97" s="187">
        <f t="shared" si="32"/>
        <v>0</v>
      </c>
      <c r="AY97" s="187">
        <f t="shared" si="32"/>
        <v>0</v>
      </c>
      <c r="AZ97" s="187">
        <f t="shared" si="32"/>
        <v>0</v>
      </c>
      <c r="BA97" s="187">
        <f t="shared" si="32"/>
        <v>0</v>
      </c>
      <c r="BB97" s="188">
        <f t="shared" si="32"/>
        <v>0</v>
      </c>
      <c r="BC97" s="208">
        <f t="shared" si="32"/>
        <v>0</v>
      </c>
      <c r="BD97" s="208">
        <f t="shared" si="32"/>
        <v>0</v>
      </c>
      <c r="BE97" s="188">
        <f t="shared" si="32"/>
        <v>0</v>
      </c>
      <c r="BG97" s="208">
        <f t="shared" si="33"/>
        <v>0</v>
      </c>
      <c r="BH97" s="187">
        <f t="shared" si="33"/>
        <v>0</v>
      </c>
      <c r="BI97" s="187">
        <f t="shared" si="33"/>
        <v>0</v>
      </c>
      <c r="BJ97" s="187">
        <f t="shared" si="33"/>
        <v>0</v>
      </c>
      <c r="BK97" s="187">
        <f t="shared" si="33"/>
        <v>0</v>
      </c>
      <c r="BL97" s="187">
        <f t="shared" si="33"/>
        <v>0</v>
      </c>
      <c r="BM97" s="187">
        <f t="shared" si="33"/>
        <v>0</v>
      </c>
      <c r="BN97" s="187">
        <f t="shared" si="33"/>
        <v>0</v>
      </c>
      <c r="BO97" s="187">
        <f t="shared" si="33"/>
        <v>0</v>
      </c>
      <c r="BP97" s="187">
        <f t="shared" si="33"/>
        <v>0</v>
      </c>
      <c r="BQ97" s="187">
        <f t="shared" si="33"/>
        <v>0</v>
      </c>
      <c r="BR97" s="188">
        <f t="shared" si="33"/>
        <v>0</v>
      </c>
      <c r="BS97" s="208">
        <f t="shared" si="33"/>
        <v>0</v>
      </c>
      <c r="BT97" s="208">
        <f t="shared" si="33"/>
        <v>0</v>
      </c>
      <c r="BU97" s="188">
        <f t="shared" si="33"/>
        <v>0</v>
      </c>
      <c r="BW97" s="208">
        <f t="shared" si="34"/>
        <v>0</v>
      </c>
      <c r="BX97" s="187">
        <f t="shared" si="34"/>
        <v>0</v>
      </c>
      <c r="BY97" s="187">
        <f t="shared" si="34"/>
        <v>0</v>
      </c>
      <c r="BZ97" s="187">
        <f t="shared" si="34"/>
        <v>0</v>
      </c>
      <c r="CA97" s="187">
        <f t="shared" si="34"/>
        <v>0</v>
      </c>
      <c r="CB97" s="187">
        <f t="shared" si="34"/>
        <v>0</v>
      </c>
      <c r="CC97" s="187">
        <f t="shared" si="34"/>
        <v>0</v>
      </c>
      <c r="CD97" s="187">
        <f t="shared" si="34"/>
        <v>0</v>
      </c>
      <c r="CE97" s="187">
        <f t="shared" si="34"/>
        <v>0</v>
      </c>
      <c r="CF97" s="187">
        <f t="shared" si="34"/>
        <v>0</v>
      </c>
      <c r="CG97" s="187">
        <f t="shared" si="34"/>
        <v>0</v>
      </c>
      <c r="CH97" s="188">
        <f t="shared" si="34"/>
        <v>0</v>
      </c>
      <c r="CI97" s="208">
        <f t="shared" si="34"/>
        <v>0</v>
      </c>
      <c r="CJ97" s="208">
        <f t="shared" si="34"/>
        <v>0</v>
      </c>
      <c r="CK97" s="188">
        <f t="shared" si="34"/>
        <v>0</v>
      </c>
      <c r="CM97" s="208">
        <f t="shared" si="35"/>
        <v>0</v>
      </c>
      <c r="CN97" s="187">
        <f t="shared" si="35"/>
        <v>0</v>
      </c>
      <c r="CO97" s="187">
        <f t="shared" si="35"/>
        <v>0</v>
      </c>
      <c r="CP97" s="187">
        <f t="shared" si="35"/>
        <v>0</v>
      </c>
      <c r="CQ97" s="187">
        <f t="shared" si="35"/>
        <v>0</v>
      </c>
      <c r="CR97" s="187">
        <f t="shared" si="35"/>
        <v>0</v>
      </c>
      <c r="CS97" s="187">
        <f t="shared" si="35"/>
        <v>0</v>
      </c>
      <c r="CT97" s="187">
        <f t="shared" si="35"/>
        <v>0</v>
      </c>
      <c r="CU97" s="187">
        <f t="shared" si="35"/>
        <v>0</v>
      </c>
      <c r="CV97" s="187">
        <f t="shared" si="35"/>
        <v>0</v>
      </c>
      <c r="CW97" s="187">
        <f t="shared" si="35"/>
        <v>0</v>
      </c>
      <c r="CX97" s="188">
        <f t="shared" si="35"/>
        <v>0</v>
      </c>
      <c r="CY97" s="208">
        <f t="shared" si="35"/>
        <v>0</v>
      </c>
      <c r="CZ97" s="208">
        <f t="shared" si="35"/>
        <v>0</v>
      </c>
      <c r="DA97" s="188">
        <f t="shared" si="35"/>
        <v>0</v>
      </c>
    </row>
    <row r="98" spans="1:105">
      <c r="A98" s="222"/>
      <c r="B98" s="223"/>
      <c r="C98" s="223"/>
      <c r="D98" s="224"/>
      <c r="E98" s="225"/>
      <c r="F98" s="226"/>
      <c r="G98" s="226"/>
      <c r="H98" s="226"/>
      <c r="I98" s="226"/>
      <c r="J98" s="225"/>
      <c r="K98" s="226"/>
      <c r="L98" s="226"/>
      <c r="M98" s="226"/>
      <c r="N98" s="226"/>
      <c r="O98" s="226"/>
      <c r="P98" s="226"/>
      <c r="Q98" s="226"/>
      <c r="R98" s="226"/>
      <c r="S98" s="226"/>
      <c r="T98" s="226"/>
      <c r="U98" s="224"/>
      <c r="V98" s="225"/>
      <c r="W98" s="226"/>
      <c r="X98" s="224"/>
      <c r="Y98" s="226"/>
      <c r="AA98" s="208">
        <f t="shared" si="31"/>
        <v>0</v>
      </c>
      <c r="AB98" s="187">
        <f t="shared" si="31"/>
        <v>0</v>
      </c>
      <c r="AC98" s="187">
        <f t="shared" si="31"/>
        <v>0</v>
      </c>
      <c r="AD98" s="187">
        <f t="shared" si="31"/>
        <v>0</v>
      </c>
      <c r="AE98" s="187">
        <f t="shared" si="31"/>
        <v>0</v>
      </c>
      <c r="AF98" s="187">
        <f t="shared" si="31"/>
        <v>0</v>
      </c>
      <c r="AG98" s="187">
        <f t="shared" si="31"/>
        <v>0</v>
      </c>
      <c r="AH98" s="187">
        <f t="shared" si="31"/>
        <v>0</v>
      </c>
      <c r="AI98" s="187">
        <f t="shared" si="31"/>
        <v>0</v>
      </c>
      <c r="AJ98" s="187">
        <f t="shared" si="31"/>
        <v>0</v>
      </c>
      <c r="AK98" s="187">
        <f t="shared" si="31"/>
        <v>0</v>
      </c>
      <c r="AL98" s="187">
        <f t="shared" si="31"/>
        <v>0</v>
      </c>
      <c r="AM98" s="208">
        <f t="shared" si="31"/>
        <v>0</v>
      </c>
      <c r="AN98" s="187">
        <f t="shared" si="31"/>
        <v>0</v>
      </c>
      <c r="AO98" s="188">
        <f t="shared" si="31"/>
        <v>0</v>
      </c>
      <c r="AQ98" s="208">
        <f t="shared" si="32"/>
        <v>0</v>
      </c>
      <c r="AR98" s="187">
        <f t="shared" si="32"/>
        <v>0</v>
      </c>
      <c r="AS98" s="187">
        <f t="shared" si="32"/>
        <v>0</v>
      </c>
      <c r="AT98" s="187">
        <f t="shared" si="32"/>
        <v>0</v>
      </c>
      <c r="AU98" s="187">
        <f t="shared" si="32"/>
        <v>0</v>
      </c>
      <c r="AV98" s="187">
        <f t="shared" si="32"/>
        <v>0</v>
      </c>
      <c r="AW98" s="187">
        <f t="shared" si="32"/>
        <v>0</v>
      </c>
      <c r="AX98" s="187">
        <f t="shared" si="32"/>
        <v>0</v>
      </c>
      <c r="AY98" s="187">
        <f t="shared" si="32"/>
        <v>0</v>
      </c>
      <c r="AZ98" s="187">
        <f t="shared" si="32"/>
        <v>0</v>
      </c>
      <c r="BA98" s="187">
        <f t="shared" si="32"/>
        <v>0</v>
      </c>
      <c r="BB98" s="188">
        <f t="shared" si="32"/>
        <v>0</v>
      </c>
      <c r="BC98" s="208">
        <f t="shared" si="32"/>
        <v>0</v>
      </c>
      <c r="BD98" s="208">
        <f t="shared" si="32"/>
        <v>0</v>
      </c>
      <c r="BE98" s="188">
        <f t="shared" si="32"/>
        <v>0</v>
      </c>
      <c r="BG98" s="208">
        <f t="shared" si="33"/>
        <v>0</v>
      </c>
      <c r="BH98" s="187">
        <f t="shared" si="33"/>
        <v>0</v>
      </c>
      <c r="BI98" s="187">
        <f t="shared" si="33"/>
        <v>0</v>
      </c>
      <c r="BJ98" s="187">
        <f t="shared" si="33"/>
        <v>0</v>
      </c>
      <c r="BK98" s="187">
        <f t="shared" si="33"/>
        <v>0</v>
      </c>
      <c r="BL98" s="187">
        <f t="shared" si="33"/>
        <v>0</v>
      </c>
      <c r="BM98" s="187">
        <f t="shared" si="33"/>
        <v>0</v>
      </c>
      <c r="BN98" s="187">
        <f t="shared" si="33"/>
        <v>0</v>
      </c>
      <c r="BO98" s="187">
        <f t="shared" si="33"/>
        <v>0</v>
      </c>
      <c r="BP98" s="187">
        <f t="shared" si="33"/>
        <v>0</v>
      </c>
      <c r="BQ98" s="187">
        <f t="shared" si="33"/>
        <v>0</v>
      </c>
      <c r="BR98" s="188">
        <f t="shared" si="33"/>
        <v>0</v>
      </c>
      <c r="BS98" s="208">
        <f t="shared" si="33"/>
        <v>0</v>
      </c>
      <c r="BT98" s="208">
        <f t="shared" si="33"/>
        <v>0</v>
      </c>
      <c r="BU98" s="188">
        <f t="shared" si="33"/>
        <v>0</v>
      </c>
      <c r="BW98" s="208">
        <f t="shared" si="34"/>
        <v>0</v>
      </c>
      <c r="BX98" s="187">
        <f t="shared" si="34"/>
        <v>0</v>
      </c>
      <c r="BY98" s="187">
        <f t="shared" si="34"/>
        <v>0</v>
      </c>
      <c r="BZ98" s="187">
        <f t="shared" si="34"/>
        <v>0</v>
      </c>
      <c r="CA98" s="187">
        <f t="shared" si="34"/>
        <v>0</v>
      </c>
      <c r="CB98" s="187">
        <f t="shared" si="34"/>
        <v>0</v>
      </c>
      <c r="CC98" s="187">
        <f t="shared" si="34"/>
        <v>0</v>
      </c>
      <c r="CD98" s="187">
        <f t="shared" si="34"/>
        <v>0</v>
      </c>
      <c r="CE98" s="187">
        <f t="shared" si="34"/>
        <v>0</v>
      </c>
      <c r="CF98" s="187">
        <f t="shared" si="34"/>
        <v>0</v>
      </c>
      <c r="CG98" s="187">
        <f t="shared" si="34"/>
        <v>0</v>
      </c>
      <c r="CH98" s="188">
        <f t="shared" si="34"/>
        <v>0</v>
      </c>
      <c r="CI98" s="208">
        <f t="shared" si="34"/>
        <v>0</v>
      </c>
      <c r="CJ98" s="208">
        <f t="shared" si="34"/>
        <v>0</v>
      </c>
      <c r="CK98" s="188">
        <f t="shared" si="34"/>
        <v>0</v>
      </c>
      <c r="CM98" s="208">
        <f t="shared" si="35"/>
        <v>0</v>
      </c>
      <c r="CN98" s="187">
        <f t="shared" si="35"/>
        <v>0</v>
      </c>
      <c r="CO98" s="187">
        <f t="shared" si="35"/>
        <v>0</v>
      </c>
      <c r="CP98" s="187">
        <f t="shared" si="35"/>
        <v>0</v>
      </c>
      <c r="CQ98" s="187">
        <f t="shared" si="35"/>
        <v>0</v>
      </c>
      <c r="CR98" s="187">
        <f t="shared" si="35"/>
        <v>0</v>
      </c>
      <c r="CS98" s="187">
        <f t="shared" si="35"/>
        <v>0</v>
      </c>
      <c r="CT98" s="187">
        <f t="shared" si="35"/>
        <v>0</v>
      </c>
      <c r="CU98" s="187">
        <f t="shared" si="35"/>
        <v>0</v>
      </c>
      <c r="CV98" s="187">
        <f t="shared" si="35"/>
        <v>0</v>
      </c>
      <c r="CW98" s="187">
        <f t="shared" si="35"/>
        <v>0</v>
      </c>
      <c r="CX98" s="188">
        <f t="shared" si="35"/>
        <v>0</v>
      </c>
      <c r="CY98" s="208">
        <f t="shared" si="35"/>
        <v>0</v>
      </c>
      <c r="CZ98" s="208">
        <f t="shared" si="35"/>
        <v>0</v>
      </c>
      <c r="DA98" s="188">
        <f t="shared" si="35"/>
        <v>0</v>
      </c>
    </row>
    <row r="99" spans="1:105">
      <c r="A99" s="222"/>
      <c r="B99" s="223"/>
      <c r="C99" s="223"/>
      <c r="D99" s="224"/>
      <c r="E99" s="225"/>
      <c r="F99" s="226"/>
      <c r="G99" s="226"/>
      <c r="H99" s="226"/>
      <c r="I99" s="226"/>
      <c r="J99" s="225"/>
      <c r="K99" s="226"/>
      <c r="L99" s="226"/>
      <c r="M99" s="226"/>
      <c r="N99" s="226"/>
      <c r="O99" s="226"/>
      <c r="P99" s="226"/>
      <c r="Q99" s="226"/>
      <c r="R99" s="226"/>
      <c r="S99" s="226"/>
      <c r="T99" s="226"/>
      <c r="U99" s="224"/>
      <c r="V99" s="225"/>
      <c r="W99" s="226"/>
      <c r="X99" s="224"/>
      <c r="Y99" s="226"/>
      <c r="AA99" s="208">
        <f t="shared" si="31"/>
        <v>0</v>
      </c>
      <c r="AB99" s="187">
        <f t="shared" si="31"/>
        <v>0</v>
      </c>
      <c r="AC99" s="187">
        <f t="shared" si="31"/>
        <v>0</v>
      </c>
      <c r="AD99" s="187">
        <f t="shared" si="31"/>
        <v>0</v>
      </c>
      <c r="AE99" s="187">
        <f t="shared" si="31"/>
        <v>0</v>
      </c>
      <c r="AF99" s="187">
        <f t="shared" si="31"/>
        <v>0</v>
      </c>
      <c r="AG99" s="187">
        <f t="shared" si="31"/>
        <v>0</v>
      </c>
      <c r="AH99" s="187">
        <f t="shared" si="31"/>
        <v>0</v>
      </c>
      <c r="AI99" s="187">
        <f t="shared" si="31"/>
        <v>0</v>
      </c>
      <c r="AJ99" s="187">
        <f t="shared" si="31"/>
        <v>0</v>
      </c>
      <c r="AK99" s="187">
        <f t="shared" si="31"/>
        <v>0</v>
      </c>
      <c r="AL99" s="187">
        <f t="shared" si="31"/>
        <v>0</v>
      </c>
      <c r="AM99" s="208">
        <f t="shared" si="31"/>
        <v>0</v>
      </c>
      <c r="AN99" s="187">
        <f t="shared" si="31"/>
        <v>0</v>
      </c>
      <c r="AO99" s="188">
        <f t="shared" si="31"/>
        <v>0</v>
      </c>
      <c r="AQ99" s="208">
        <f t="shared" si="32"/>
        <v>0</v>
      </c>
      <c r="AR99" s="187">
        <f t="shared" si="32"/>
        <v>0</v>
      </c>
      <c r="AS99" s="187">
        <f t="shared" si="32"/>
        <v>0</v>
      </c>
      <c r="AT99" s="187">
        <f t="shared" si="32"/>
        <v>0</v>
      </c>
      <c r="AU99" s="187">
        <f t="shared" si="32"/>
        <v>0</v>
      </c>
      <c r="AV99" s="187">
        <f t="shared" si="32"/>
        <v>0</v>
      </c>
      <c r="AW99" s="187">
        <f t="shared" si="32"/>
        <v>0</v>
      </c>
      <c r="AX99" s="187">
        <f t="shared" si="32"/>
        <v>0</v>
      </c>
      <c r="AY99" s="187">
        <f t="shared" si="32"/>
        <v>0</v>
      </c>
      <c r="AZ99" s="187">
        <f t="shared" si="32"/>
        <v>0</v>
      </c>
      <c r="BA99" s="187">
        <f t="shared" si="32"/>
        <v>0</v>
      </c>
      <c r="BB99" s="188">
        <f t="shared" si="32"/>
        <v>0</v>
      </c>
      <c r="BC99" s="208">
        <f t="shared" si="32"/>
        <v>0</v>
      </c>
      <c r="BD99" s="208">
        <f t="shared" si="32"/>
        <v>0</v>
      </c>
      <c r="BE99" s="188">
        <f t="shared" si="32"/>
        <v>0</v>
      </c>
      <c r="BG99" s="208">
        <f t="shared" si="33"/>
        <v>0</v>
      </c>
      <c r="BH99" s="187">
        <f t="shared" si="33"/>
        <v>0</v>
      </c>
      <c r="BI99" s="187">
        <f t="shared" si="33"/>
        <v>0</v>
      </c>
      <c r="BJ99" s="187">
        <f t="shared" si="33"/>
        <v>0</v>
      </c>
      <c r="BK99" s="187">
        <f t="shared" si="33"/>
        <v>0</v>
      </c>
      <c r="BL99" s="187">
        <f t="shared" si="33"/>
        <v>0</v>
      </c>
      <c r="BM99" s="187">
        <f t="shared" si="33"/>
        <v>0</v>
      </c>
      <c r="BN99" s="187">
        <f t="shared" si="33"/>
        <v>0</v>
      </c>
      <c r="BO99" s="187">
        <f t="shared" si="33"/>
        <v>0</v>
      </c>
      <c r="BP99" s="187">
        <f t="shared" si="33"/>
        <v>0</v>
      </c>
      <c r="BQ99" s="187">
        <f t="shared" si="33"/>
        <v>0</v>
      </c>
      <c r="BR99" s="188">
        <f t="shared" si="33"/>
        <v>0</v>
      </c>
      <c r="BS99" s="208">
        <f t="shared" si="33"/>
        <v>0</v>
      </c>
      <c r="BT99" s="208">
        <f t="shared" si="33"/>
        <v>0</v>
      </c>
      <c r="BU99" s="188">
        <f t="shared" si="33"/>
        <v>0</v>
      </c>
      <c r="BW99" s="208">
        <f t="shared" si="34"/>
        <v>0</v>
      </c>
      <c r="BX99" s="187">
        <f t="shared" si="34"/>
        <v>0</v>
      </c>
      <c r="BY99" s="187">
        <f t="shared" si="34"/>
        <v>0</v>
      </c>
      <c r="BZ99" s="187">
        <f t="shared" si="34"/>
        <v>0</v>
      </c>
      <c r="CA99" s="187">
        <f t="shared" si="34"/>
        <v>0</v>
      </c>
      <c r="CB99" s="187">
        <f t="shared" si="34"/>
        <v>0</v>
      </c>
      <c r="CC99" s="187">
        <f t="shared" si="34"/>
        <v>0</v>
      </c>
      <c r="CD99" s="187">
        <f t="shared" si="34"/>
        <v>0</v>
      </c>
      <c r="CE99" s="187">
        <f t="shared" si="34"/>
        <v>0</v>
      </c>
      <c r="CF99" s="187">
        <f t="shared" si="34"/>
        <v>0</v>
      </c>
      <c r="CG99" s="187">
        <f t="shared" si="34"/>
        <v>0</v>
      </c>
      <c r="CH99" s="188">
        <f t="shared" si="34"/>
        <v>0</v>
      </c>
      <c r="CI99" s="208">
        <f t="shared" si="34"/>
        <v>0</v>
      </c>
      <c r="CJ99" s="208">
        <f t="shared" si="34"/>
        <v>0</v>
      </c>
      <c r="CK99" s="188">
        <f t="shared" si="34"/>
        <v>0</v>
      </c>
      <c r="CM99" s="208">
        <f t="shared" si="35"/>
        <v>0</v>
      </c>
      <c r="CN99" s="187">
        <f t="shared" si="35"/>
        <v>0</v>
      </c>
      <c r="CO99" s="187">
        <f t="shared" si="35"/>
        <v>0</v>
      </c>
      <c r="CP99" s="187">
        <f t="shared" si="35"/>
        <v>0</v>
      </c>
      <c r="CQ99" s="187">
        <f t="shared" si="35"/>
        <v>0</v>
      </c>
      <c r="CR99" s="187">
        <f t="shared" si="35"/>
        <v>0</v>
      </c>
      <c r="CS99" s="187">
        <f t="shared" si="35"/>
        <v>0</v>
      </c>
      <c r="CT99" s="187">
        <f t="shared" si="35"/>
        <v>0</v>
      </c>
      <c r="CU99" s="187">
        <f t="shared" si="35"/>
        <v>0</v>
      </c>
      <c r="CV99" s="187">
        <f t="shared" si="35"/>
        <v>0</v>
      </c>
      <c r="CW99" s="187">
        <f t="shared" si="35"/>
        <v>0</v>
      </c>
      <c r="CX99" s="188">
        <f t="shared" si="35"/>
        <v>0</v>
      </c>
      <c r="CY99" s="208">
        <f t="shared" si="35"/>
        <v>0</v>
      </c>
      <c r="CZ99" s="208">
        <f t="shared" si="35"/>
        <v>0</v>
      </c>
      <c r="DA99" s="188">
        <f t="shared" si="35"/>
        <v>0</v>
      </c>
    </row>
    <row r="100" spans="1:105">
      <c r="A100" s="222"/>
      <c r="B100" s="223"/>
      <c r="C100" s="223"/>
      <c r="D100" s="224"/>
      <c r="E100" s="225"/>
      <c r="F100" s="226"/>
      <c r="G100" s="226"/>
      <c r="H100" s="226"/>
      <c r="I100" s="226"/>
      <c r="J100" s="225"/>
      <c r="K100" s="226"/>
      <c r="L100" s="226"/>
      <c r="M100" s="226"/>
      <c r="N100" s="226"/>
      <c r="O100" s="226"/>
      <c r="P100" s="226"/>
      <c r="Q100" s="226"/>
      <c r="R100" s="226"/>
      <c r="S100" s="226"/>
      <c r="T100" s="226"/>
      <c r="U100" s="224"/>
      <c r="V100" s="225"/>
      <c r="W100" s="226"/>
      <c r="X100" s="224"/>
      <c r="Y100" s="226"/>
      <c r="AA100" s="208">
        <f t="shared" si="31"/>
        <v>0</v>
      </c>
      <c r="AB100" s="187">
        <f t="shared" si="31"/>
        <v>0</v>
      </c>
      <c r="AC100" s="187">
        <f t="shared" si="31"/>
        <v>0</v>
      </c>
      <c r="AD100" s="187">
        <f t="shared" si="31"/>
        <v>0</v>
      </c>
      <c r="AE100" s="187">
        <f t="shared" si="31"/>
        <v>0</v>
      </c>
      <c r="AF100" s="187">
        <f t="shared" si="31"/>
        <v>0</v>
      </c>
      <c r="AG100" s="187">
        <f t="shared" si="31"/>
        <v>0</v>
      </c>
      <c r="AH100" s="187">
        <f t="shared" si="31"/>
        <v>0</v>
      </c>
      <c r="AI100" s="187">
        <f t="shared" si="31"/>
        <v>0</v>
      </c>
      <c r="AJ100" s="187">
        <f t="shared" si="31"/>
        <v>0</v>
      </c>
      <c r="AK100" s="187">
        <f t="shared" si="31"/>
        <v>0</v>
      </c>
      <c r="AL100" s="187">
        <f t="shared" si="31"/>
        <v>0</v>
      </c>
      <c r="AM100" s="208">
        <f t="shared" si="31"/>
        <v>0</v>
      </c>
      <c r="AN100" s="187">
        <f t="shared" si="31"/>
        <v>0</v>
      </c>
      <c r="AO100" s="188">
        <f t="shared" si="31"/>
        <v>0</v>
      </c>
      <c r="AQ100" s="208">
        <f t="shared" si="32"/>
        <v>0</v>
      </c>
      <c r="AR100" s="187">
        <f t="shared" si="32"/>
        <v>0</v>
      </c>
      <c r="AS100" s="187">
        <f t="shared" si="32"/>
        <v>0</v>
      </c>
      <c r="AT100" s="187">
        <f t="shared" si="32"/>
        <v>0</v>
      </c>
      <c r="AU100" s="187">
        <f t="shared" si="32"/>
        <v>0</v>
      </c>
      <c r="AV100" s="187">
        <f t="shared" si="32"/>
        <v>0</v>
      </c>
      <c r="AW100" s="187">
        <f t="shared" si="32"/>
        <v>0</v>
      </c>
      <c r="AX100" s="187">
        <f t="shared" si="32"/>
        <v>0</v>
      </c>
      <c r="AY100" s="187">
        <f t="shared" si="32"/>
        <v>0</v>
      </c>
      <c r="AZ100" s="187">
        <f t="shared" si="32"/>
        <v>0</v>
      </c>
      <c r="BA100" s="187">
        <f t="shared" si="32"/>
        <v>0</v>
      </c>
      <c r="BB100" s="188">
        <f t="shared" si="32"/>
        <v>0</v>
      </c>
      <c r="BC100" s="208">
        <f t="shared" si="32"/>
        <v>0</v>
      </c>
      <c r="BD100" s="208">
        <f t="shared" si="32"/>
        <v>0</v>
      </c>
      <c r="BE100" s="188">
        <f t="shared" si="32"/>
        <v>0</v>
      </c>
      <c r="BG100" s="208">
        <f t="shared" si="33"/>
        <v>0</v>
      </c>
      <c r="BH100" s="187">
        <f t="shared" si="33"/>
        <v>0</v>
      </c>
      <c r="BI100" s="187">
        <f t="shared" si="33"/>
        <v>0</v>
      </c>
      <c r="BJ100" s="187">
        <f t="shared" si="33"/>
        <v>0</v>
      </c>
      <c r="BK100" s="187">
        <f t="shared" si="33"/>
        <v>0</v>
      </c>
      <c r="BL100" s="187">
        <f t="shared" si="33"/>
        <v>0</v>
      </c>
      <c r="BM100" s="187">
        <f t="shared" si="33"/>
        <v>0</v>
      </c>
      <c r="BN100" s="187">
        <f t="shared" si="33"/>
        <v>0</v>
      </c>
      <c r="BO100" s="187">
        <f t="shared" si="33"/>
        <v>0</v>
      </c>
      <c r="BP100" s="187">
        <f t="shared" si="33"/>
        <v>0</v>
      </c>
      <c r="BQ100" s="187">
        <f t="shared" si="33"/>
        <v>0</v>
      </c>
      <c r="BR100" s="188">
        <f t="shared" si="33"/>
        <v>0</v>
      </c>
      <c r="BS100" s="208">
        <f t="shared" si="33"/>
        <v>0</v>
      </c>
      <c r="BT100" s="208">
        <f t="shared" si="33"/>
        <v>0</v>
      </c>
      <c r="BU100" s="188">
        <f t="shared" si="33"/>
        <v>0</v>
      </c>
      <c r="BW100" s="208">
        <f t="shared" si="34"/>
        <v>0</v>
      </c>
      <c r="BX100" s="187">
        <f t="shared" si="34"/>
        <v>0</v>
      </c>
      <c r="BY100" s="187">
        <f t="shared" si="34"/>
        <v>0</v>
      </c>
      <c r="BZ100" s="187">
        <f t="shared" si="34"/>
        <v>0</v>
      </c>
      <c r="CA100" s="187">
        <f t="shared" si="34"/>
        <v>0</v>
      </c>
      <c r="CB100" s="187">
        <f t="shared" si="34"/>
        <v>0</v>
      </c>
      <c r="CC100" s="187">
        <f t="shared" si="34"/>
        <v>0</v>
      </c>
      <c r="CD100" s="187">
        <f t="shared" si="34"/>
        <v>0</v>
      </c>
      <c r="CE100" s="187">
        <f t="shared" si="34"/>
        <v>0</v>
      </c>
      <c r="CF100" s="187">
        <f t="shared" si="34"/>
        <v>0</v>
      </c>
      <c r="CG100" s="187">
        <f t="shared" si="34"/>
        <v>0</v>
      </c>
      <c r="CH100" s="188">
        <f t="shared" si="34"/>
        <v>0</v>
      </c>
      <c r="CI100" s="208">
        <f t="shared" si="34"/>
        <v>0</v>
      </c>
      <c r="CJ100" s="208">
        <f t="shared" si="34"/>
        <v>0</v>
      </c>
      <c r="CK100" s="188">
        <f t="shared" si="34"/>
        <v>0</v>
      </c>
      <c r="CM100" s="208">
        <f t="shared" si="35"/>
        <v>0</v>
      </c>
      <c r="CN100" s="187">
        <f t="shared" si="35"/>
        <v>0</v>
      </c>
      <c r="CO100" s="187">
        <f t="shared" si="35"/>
        <v>0</v>
      </c>
      <c r="CP100" s="187">
        <f t="shared" si="35"/>
        <v>0</v>
      </c>
      <c r="CQ100" s="187">
        <f t="shared" si="35"/>
        <v>0</v>
      </c>
      <c r="CR100" s="187">
        <f t="shared" si="35"/>
        <v>0</v>
      </c>
      <c r="CS100" s="187">
        <f t="shared" si="35"/>
        <v>0</v>
      </c>
      <c r="CT100" s="187">
        <f t="shared" si="35"/>
        <v>0</v>
      </c>
      <c r="CU100" s="187">
        <f t="shared" si="35"/>
        <v>0</v>
      </c>
      <c r="CV100" s="187">
        <f t="shared" si="35"/>
        <v>0</v>
      </c>
      <c r="CW100" s="187">
        <f t="shared" si="35"/>
        <v>0</v>
      </c>
      <c r="CX100" s="188">
        <f t="shared" si="35"/>
        <v>0</v>
      </c>
      <c r="CY100" s="208">
        <f t="shared" si="35"/>
        <v>0</v>
      </c>
      <c r="CZ100" s="208">
        <f t="shared" si="35"/>
        <v>0</v>
      </c>
      <c r="DA100" s="188">
        <f t="shared" si="35"/>
        <v>0</v>
      </c>
    </row>
    <row r="101" spans="1:105">
      <c r="A101" s="222"/>
      <c r="B101" s="223"/>
      <c r="C101" s="223"/>
      <c r="D101" s="224"/>
      <c r="E101" s="225"/>
      <c r="F101" s="226"/>
      <c r="G101" s="226"/>
      <c r="H101" s="226"/>
      <c r="I101" s="226"/>
      <c r="J101" s="225"/>
      <c r="K101" s="226"/>
      <c r="L101" s="226"/>
      <c r="M101" s="226"/>
      <c r="N101" s="226"/>
      <c r="O101" s="226"/>
      <c r="P101" s="226"/>
      <c r="Q101" s="226"/>
      <c r="R101" s="226"/>
      <c r="S101" s="226"/>
      <c r="T101" s="226"/>
      <c r="U101" s="224"/>
      <c r="V101" s="225"/>
      <c r="W101" s="226"/>
      <c r="X101" s="224"/>
      <c r="Y101" s="226"/>
      <c r="AA101" s="208">
        <f t="shared" si="31"/>
        <v>0</v>
      </c>
      <c r="AB101" s="187">
        <f t="shared" si="31"/>
        <v>0</v>
      </c>
      <c r="AC101" s="187">
        <f t="shared" si="31"/>
        <v>0</v>
      </c>
      <c r="AD101" s="187">
        <f t="shared" si="31"/>
        <v>0</v>
      </c>
      <c r="AE101" s="187">
        <f t="shared" si="31"/>
        <v>0</v>
      </c>
      <c r="AF101" s="187">
        <f t="shared" si="31"/>
        <v>0</v>
      </c>
      <c r="AG101" s="187">
        <f t="shared" si="31"/>
        <v>0</v>
      </c>
      <c r="AH101" s="187">
        <f t="shared" si="31"/>
        <v>0</v>
      </c>
      <c r="AI101" s="187">
        <f t="shared" si="31"/>
        <v>0</v>
      </c>
      <c r="AJ101" s="187">
        <f t="shared" si="31"/>
        <v>0</v>
      </c>
      <c r="AK101" s="187">
        <f t="shared" si="31"/>
        <v>0</v>
      </c>
      <c r="AL101" s="187">
        <f t="shared" si="31"/>
        <v>0</v>
      </c>
      <c r="AM101" s="208">
        <f t="shared" si="31"/>
        <v>0</v>
      </c>
      <c r="AN101" s="187">
        <f t="shared" si="31"/>
        <v>0</v>
      </c>
      <c r="AO101" s="188">
        <f t="shared" si="31"/>
        <v>0</v>
      </c>
      <c r="AQ101" s="208">
        <f t="shared" si="32"/>
        <v>0</v>
      </c>
      <c r="AR101" s="187">
        <f t="shared" si="32"/>
        <v>0</v>
      </c>
      <c r="AS101" s="187">
        <f t="shared" si="32"/>
        <v>0</v>
      </c>
      <c r="AT101" s="187">
        <f t="shared" si="32"/>
        <v>0</v>
      </c>
      <c r="AU101" s="187">
        <f t="shared" si="32"/>
        <v>0</v>
      </c>
      <c r="AV101" s="187">
        <f t="shared" si="32"/>
        <v>0</v>
      </c>
      <c r="AW101" s="187">
        <f t="shared" si="32"/>
        <v>0</v>
      </c>
      <c r="AX101" s="187">
        <f t="shared" si="32"/>
        <v>0</v>
      </c>
      <c r="AY101" s="187">
        <f t="shared" si="32"/>
        <v>0</v>
      </c>
      <c r="AZ101" s="187">
        <f t="shared" si="32"/>
        <v>0</v>
      </c>
      <c r="BA101" s="187">
        <f t="shared" si="32"/>
        <v>0</v>
      </c>
      <c r="BB101" s="188">
        <f t="shared" si="32"/>
        <v>0</v>
      </c>
      <c r="BC101" s="208">
        <f t="shared" si="32"/>
        <v>0</v>
      </c>
      <c r="BD101" s="208">
        <f t="shared" si="32"/>
        <v>0</v>
      </c>
      <c r="BE101" s="188">
        <f t="shared" si="32"/>
        <v>0</v>
      </c>
      <c r="BG101" s="208">
        <f t="shared" si="33"/>
        <v>0</v>
      </c>
      <c r="BH101" s="187">
        <f t="shared" si="33"/>
        <v>0</v>
      </c>
      <c r="BI101" s="187">
        <f t="shared" si="33"/>
        <v>0</v>
      </c>
      <c r="BJ101" s="187">
        <f t="shared" si="33"/>
        <v>0</v>
      </c>
      <c r="BK101" s="187">
        <f t="shared" si="33"/>
        <v>0</v>
      </c>
      <c r="BL101" s="187">
        <f t="shared" si="33"/>
        <v>0</v>
      </c>
      <c r="BM101" s="187">
        <f t="shared" si="33"/>
        <v>0</v>
      </c>
      <c r="BN101" s="187">
        <f t="shared" si="33"/>
        <v>0</v>
      </c>
      <c r="BO101" s="187">
        <f t="shared" si="33"/>
        <v>0</v>
      </c>
      <c r="BP101" s="187">
        <f t="shared" si="33"/>
        <v>0</v>
      </c>
      <c r="BQ101" s="187">
        <f t="shared" si="33"/>
        <v>0</v>
      </c>
      <c r="BR101" s="188">
        <f t="shared" si="33"/>
        <v>0</v>
      </c>
      <c r="BS101" s="208">
        <f t="shared" si="33"/>
        <v>0</v>
      </c>
      <c r="BT101" s="208">
        <f t="shared" si="33"/>
        <v>0</v>
      </c>
      <c r="BU101" s="188">
        <f t="shared" si="33"/>
        <v>0</v>
      </c>
      <c r="BW101" s="208">
        <f t="shared" si="34"/>
        <v>0</v>
      </c>
      <c r="BX101" s="187">
        <f t="shared" si="34"/>
        <v>0</v>
      </c>
      <c r="BY101" s="187">
        <f t="shared" si="34"/>
        <v>0</v>
      </c>
      <c r="BZ101" s="187">
        <f t="shared" si="34"/>
        <v>0</v>
      </c>
      <c r="CA101" s="187">
        <f t="shared" si="34"/>
        <v>0</v>
      </c>
      <c r="CB101" s="187">
        <f t="shared" si="34"/>
        <v>0</v>
      </c>
      <c r="CC101" s="187">
        <f t="shared" si="34"/>
        <v>0</v>
      </c>
      <c r="CD101" s="187">
        <f t="shared" si="34"/>
        <v>0</v>
      </c>
      <c r="CE101" s="187">
        <f t="shared" si="34"/>
        <v>0</v>
      </c>
      <c r="CF101" s="187">
        <f t="shared" si="34"/>
        <v>0</v>
      </c>
      <c r="CG101" s="187">
        <f t="shared" si="34"/>
        <v>0</v>
      </c>
      <c r="CH101" s="188">
        <f t="shared" si="34"/>
        <v>0</v>
      </c>
      <c r="CI101" s="208">
        <f t="shared" si="34"/>
        <v>0</v>
      </c>
      <c r="CJ101" s="208">
        <f t="shared" si="34"/>
        <v>0</v>
      </c>
      <c r="CK101" s="188">
        <f t="shared" si="34"/>
        <v>0</v>
      </c>
      <c r="CM101" s="208">
        <f t="shared" si="35"/>
        <v>0</v>
      </c>
      <c r="CN101" s="187">
        <f t="shared" si="35"/>
        <v>0</v>
      </c>
      <c r="CO101" s="187">
        <f t="shared" si="35"/>
        <v>0</v>
      </c>
      <c r="CP101" s="187">
        <f t="shared" si="35"/>
        <v>0</v>
      </c>
      <c r="CQ101" s="187">
        <f t="shared" si="35"/>
        <v>0</v>
      </c>
      <c r="CR101" s="187">
        <f t="shared" si="35"/>
        <v>0</v>
      </c>
      <c r="CS101" s="187">
        <f t="shared" si="35"/>
        <v>0</v>
      </c>
      <c r="CT101" s="187">
        <f t="shared" si="35"/>
        <v>0</v>
      </c>
      <c r="CU101" s="187">
        <f t="shared" si="35"/>
        <v>0</v>
      </c>
      <c r="CV101" s="187">
        <f t="shared" si="35"/>
        <v>0</v>
      </c>
      <c r="CW101" s="187">
        <f t="shared" si="35"/>
        <v>0</v>
      </c>
      <c r="CX101" s="188">
        <f t="shared" si="35"/>
        <v>0</v>
      </c>
      <c r="CY101" s="208">
        <f t="shared" si="35"/>
        <v>0</v>
      </c>
      <c r="CZ101" s="208">
        <f t="shared" si="35"/>
        <v>0</v>
      </c>
      <c r="DA101" s="188">
        <f t="shared" si="35"/>
        <v>0</v>
      </c>
    </row>
    <row r="102" spans="1:105">
      <c r="A102" s="222"/>
      <c r="B102" s="223"/>
      <c r="C102" s="223"/>
      <c r="D102" s="224"/>
      <c r="E102" s="225"/>
      <c r="F102" s="226"/>
      <c r="G102" s="226"/>
      <c r="H102" s="226"/>
      <c r="I102" s="226"/>
      <c r="J102" s="225"/>
      <c r="K102" s="226"/>
      <c r="L102" s="226"/>
      <c r="M102" s="226"/>
      <c r="N102" s="226"/>
      <c r="O102" s="226"/>
      <c r="P102" s="226"/>
      <c r="Q102" s="226"/>
      <c r="R102" s="226"/>
      <c r="S102" s="226"/>
      <c r="T102" s="226"/>
      <c r="U102" s="224"/>
      <c r="V102" s="225"/>
      <c r="W102" s="226"/>
      <c r="X102" s="224"/>
      <c r="Y102" s="226"/>
      <c r="AA102" s="208">
        <f t="shared" si="31"/>
        <v>0</v>
      </c>
      <c r="AB102" s="187">
        <f t="shared" si="31"/>
        <v>0</v>
      </c>
      <c r="AC102" s="187">
        <f t="shared" si="31"/>
        <v>0</v>
      </c>
      <c r="AD102" s="187">
        <f t="shared" si="31"/>
        <v>0</v>
      </c>
      <c r="AE102" s="187">
        <f t="shared" si="31"/>
        <v>0</v>
      </c>
      <c r="AF102" s="187">
        <f t="shared" si="31"/>
        <v>0</v>
      </c>
      <c r="AG102" s="187">
        <f t="shared" si="31"/>
        <v>0</v>
      </c>
      <c r="AH102" s="187">
        <f t="shared" si="31"/>
        <v>0</v>
      </c>
      <c r="AI102" s="187">
        <f t="shared" si="31"/>
        <v>0</v>
      </c>
      <c r="AJ102" s="187">
        <f t="shared" si="31"/>
        <v>0</v>
      </c>
      <c r="AK102" s="187">
        <f t="shared" si="31"/>
        <v>0</v>
      </c>
      <c r="AL102" s="187">
        <f t="shared" si="31"/>
        <v>0</v>
      </c>
      <c r="AM102" s="208">
        <f t="shared" si="31"/>
        <v>0</v>
      </c>
      <c r="AN102" s="187">
        <f t="shared" si="31"/>
        <v>0</v>
      </c>
      <c r="AO102" s="188">
        <f t="shared" si="31"/>
        <v>0</v>
      </c>
      <c r="AQ102" s="208">
        <f t="shared" si="32"/>
        <v>0</v>
      </c>
      <c r="AR102" s="187">
        <f t="shared" si="32"/>
        <v>0</v>
      </c>
      <c r="AS102" s="187">
        <f t="shared" si="32"/>
        <v>0</v>
      </c>
      <c r="AT102" s="187">
        <f t="shared" si="32"/>
        <v>0</v>
      </c>
      <c r="AU102" s="187">
        <f t="shared" si="32"/>
        <v>0</v>
      </c>
      <c r="AV102" s="187">
        <f t="shared" si="32"/>
        <v>0</v>
      </c>
      <c r="AW102" s="187">
        <f t="shared" si="32"/>
        <v>0</v>
      </c>
      <c r="AX102" s="187">
        <f t="shared" si="32"/>
        <v>0</v>
      </c>
      <c r="AY102" s="187">
        <f t="shared" si="32"/>
        <v>0</v>
      </c>
      <c r="AZ102" s="187">
        <f t="shared" si="32"/>
        <v>0</v>
      </c>
      <c r="BA102" s="187">
        <f t="shared" si="32"/>
        <v>0</v>
      </c>
      <c r="BB102" s="188">
        <f t="shared" si="32"/>
        <v>0</v>
      </c>
      <c r="BC102" s="208">
        <f t="shared" si="32"/>
        <v>0</v>
      </c>
      <c r="BD102" s="208">
        <f t="shared" si="32"/>
        <v>0</v>
      </c>
      <c r="BE102" s="188">
        <f t="shared" si="32"/>
        <v>0</v>
      </c>
      <c r="BG102" s="208">
        <f t="shared" si="33"/>
        <v>0</v>
      </c>
      <c r="BH102" s="187">
        <f t="shared" si="33"/>
        <v>0</v>
      </c>
      <c r="BI102" s="187">
        <f t="shared" si="33"/>
        <v>0</v>
      </c>
      <c r="BJ102" s="187">
        <f t="shared" si="33"/>
        <v>0</v>
      </c>
      <c r="BK102" s="187">
        <f t="shared" si="33"/>
        <v>0</v>
      </c>
      <c r="BL102" s="187">
        <f t="shared" si="33"/>
        <v>0</v>
      </c>
      <c r="BM102" s="187">
        <f t="shared" si="33"/>
        <v>0</v>
      </c>
      <c r="BN102" s="187">
        <f t="shared" si="33"/>
        <v>0</v>
      </c>
      <c r="BO102" s="187">
        <f t="shared" si="33"/>
        <v>0</v>
      </c>
      <c r="BP102" s="187">
        <f t="shared" si="33"/>
        <v>0</v>
      </c>
      <c r="BQ102" s="187">
        <f t="shared" si="33"/>
        <v>0</v>
      </c>
      <c r="BR102" s="188">
        <f t="shared" si="33"/>
        <v>0</v>
      </c>
      <c r="BS102" s="208">
        <f t="shared" si="33"/>
        <v>0</v>
      </c>
      <c r="BT102" s="208">
        <f t="shared" si="33"/>
        <v>0</v>
      </c>
      <c r="BU102" s="188">
        <f t="shared" si="33"/>
        <v>0</v>
      </c>
      <c r="BW102" s="208">
        <f t="shared" si="34"/>
        <v>0</v>
      </c>
      <c r="BX102" s="187">
        <f t="shared" si="34"/>
        <v>0</v>
      </c>
      <c r="BY102" s="187">
        <f t="shared" si="34"/>
        <v>0</v>
      </c>
      <c r="BZ102" s="187">
        <f t="shared" si="34"/>
        <v>0</v>
      </c>
      <c r="CA102" s="187">
        <f t="shared" si="34"/>
        <v>0</v>
      </c>
      <c r="CB102" s="187">
        <f t="shared" si="34"/>
        <v>0</v>
      </c>
      <c r="CC102" s="187">
        <f t="shared" si="34"/>
        <v>0</v>
      </c>
      <c r="CD102" s="187">
        <f t="shared" si="34"/>
        <v>0</v>
      </c>
      <c r="CE102" s="187">
        <f t="shared" si="34"/>
        <v>0</v>
      </c>
      <c r="CF102" s="187">
        <f t="shared" si="34"/>
        <v>0</v>
      </c>
      <c r="CG102" s="187">
        <f t="shared" si="34"/>
        <v>0</v>
      </c>
      <c r="CH102" s="188">
        <f t="shared" si="34"/>
        <v>0</v>
      </c>
      <c r="CI102" s="208">
        <f t="shared" si="34"/>
        <v>0</v>
      </c>
      <c r="CJ102" s="208">
        <f t="shared" si="34"/>
        <v>0</v>
      </c>
      <c r="CK102" s="188">
        <f t="shared" si="34"/>
        <v>0</v>
      </c>
      <c r="CM102" s="208">
        <f t="shared" si="35"/>
        <v>0</v>
      </c>
      <c r="CN102" s="187">
        <f t="shared" si="35"/>
        <v>0</v>
      </c>
      <c r="CO102" s="187">
        <f t="shared" si="35"/>
        <v>0</v>
      </c>
      <c r="CP102" s="187">
        <f t="shared" si="35"/>
        <v>0</v>
      </c>
      <c r="CQ102" s="187">
        <f t="shared" si="35"/>
        <v>0</v>
      </c>
      <c r="CR102" s="187">
        <f t="shared" si="35"/>
        <v>0</v>
      </c>
      <c r="CS102" s="187">
        <f t="shared" si="35"/>
        <v>0</v>
      </c>
      <c r="CT102" s="187">
        <f t="shared" si="35"/>
        <v>0</v>
      </c>
      <c r="CU102" s="187">
        <f t="shared" si="35"/>
        <v>0</v>
      </c>
      <c r="CV102" s="187">
        <f t="shared" si="35"/>
        <v>0</v>
      </c>
      <c r="CW102" s="187">
        <f t="shared" si="35"/>
        <v>0</v>
      </c>
      <c r="CX102" s="188">
        <f t="shared" si="35"/>
        <v>0</v>
      </c>
      <c r="CY102" s="208">
        <f t="shared" si="35"/>
        <v>0</v>
      </c>
      <c r="CZ102" s="208">
        <f t="shared" si="35"/>
        <v>0</v>
      </c>
      <c r="DA102" s="188">
        <f t="shared" si="35"/>
        <v>0</v>
      </c>
    </row>
    <row r="103" spans="1:105">
      <c r="A103" s="222"/>
      <c r="B103" s="223"/>
      <c r="C103" s="223"/>
      <c r="D103" s="224"/>
      <c r="E103" s="225"/>
      <c r="F103" s="226"/>
      <c r="G103" s="226"/>
      <c r="H103" s="226"/>
      <c r="I103" s="226"/>
      <c r="J103" s="225"/>
      <c r="K103" s="226"/>
      <c r="L103" s="226"/>
      <c r="M103" s="226"/>
      <c r="N103" s="226"/>
      <c r="O103" s="226"/>
      <c r="P103" s="226"/>
      <c r="Q103" s="226"/>
      <c r="R103" s="226"/>
      <c r="S103" s="226"/>
      <c r="T103" s="226"/>
      <c r="U103" s="224"/>
      <c r="V103" s="225"/>
      <c r="W103" s="226"/>
      <c r="X103" s="224"/>
      <c r="Y103" s="226"/>
      <c r="AA103" s="208">
        <f t="shared" si="31"/>
        <v>0</v>
      </c>
      <c r="AB103" s="187">
        <f t="shared" si="31"/>
        <v>0</v>
      </c>
      <c r="AC103" s="187">
        <f t="shared" si="31"/>
        <v>0</v>
      </c>
      <c r="AD103" s="187">
        <f t="shared" si="31"/>
        <v>0</v>
      </c>
      <c r="AE103" s="187">
        <f t="shared" si="31"/>
        <v>0</v>
      </c>
      <c r="AF103" s="187">
        <f t="shared" si="31"/>
        <v>0</v>
      </c>
      <c r="AG103" s="187">
        <f t="shared" si="31"/>
        <v>0</v>
      </c>
      <c r="AH103" s="187">
        <f t="shared" si="31"/>
        <v>0</v>
      </c>
      <c r="AI103" s="187">
        <f t="shared" si="31"/>
        <v>0</v>
      </c>
      <c r="AJ103" s="187">
        <f t="shared" si="31"/>
        <v>0</v>
      </c>
      <c r="AK103" s="187">
        <f t="shared" si="31"/>
        <v>0</v>
      </c>
      <c r="AL103" s="187">
        <f t="shared" si="31"/>
        <v>0</v>
      </c>
      <c r="AM103" s="208">
        <f t="shared" si="31"/>
        <v>0</v>
      </c>
      <c r="AN103" s="187">
        <f t="shared" si="31"/>
        <v>0</v>
      </c>
      <c r="AO103" s="188">
        <f t="shared" si="31"/>
        <v>0</v>
      </c>
      <c r="AQ103" s="208">
        <f t="shared" si="32"/>
        <v>0</v>
      </c>
      <c r="AR103" s="187">
        <f t="shared" si="32"/>
        <v>0</v>
      </c>
      <c r="AS103" s="187">
        <f t="shared" si="32"/>
        <v>0</v>
      </c>
      <c r="AT103" s="187">
        <f t="shared" si="32"/>
        <v>0</v>
      </c>
      <c r="AU103" s="187">
        <f t="shared" si="32"/>
        <v>0</v>
      </c>
      <c r="AV103" s="187">
        <f t="shared" si="32"/>
        <v>0</v>
      </c>
      <c r="AW103" s="187">
        <f t="shared" si="32"/>
        <v>0</v>
      </c>
      <c r="AX103" s="187">
        <f t="shared" si="32"/>
        <v>0</v>
      </c>
      <c r="AY103" s="187">
        <f t="shared" si="32"/>
        <v>0</v>
      </c>
      <c r="AZ103" s="187">
        <f t="shared" si="32"/>
        <v>0</v>
      </c>
      <c r="BA103" s="187">
        <f t="shared" si="32"/>
        <v>0</v>
      </c>
      <c r="BB103" s="188">
        <f t="shared" si="32"/>
        <v>0</v>
      </c>
      <c r="BC103" s="208">
        <f t="shared" si="32"/>
        <v>0</v>
      </c>
      <c r="BD103" s="208">
        <f t="shared" si="32"/>
        <v>0</v>
      </c>
      <c r="BE103" s="188">
        <f t="shared" si="32"/>
        <v>0</v>
      </c>
      <c r="BG103" s="208">
        <f t="shared" si="33"/>
        <v>0</v>
      </c>
      <c r="BH103" s="187">
        <f t="shared" si="33"/>
        <v>0</v>
      </c>
      <c r="BI103" s="187">
        <f t="shared" si="33"/>
        <v>0</v>
      </c>
      <c r="BJ103" s="187">
        <f t="shared" si="33"/>
        <v>0</v>
      </c>
      <c r="BK103" s="187">
        <f t="shared" si="33"/>
        <v>0</v>
      </c>
      <c r="BL103" s="187">
        <f t="shared" si="33"/>
        <v>0</v>
      </c>
      <c r="BM103" s="187">
        <f t="shared" si="33"/>
        <v>0</v>
      </c>
      <c r="BN103" s="187">
        <f t="shared" si="33"/>
        <v>0</v>
      </c>
      <c r="BO103" s="187">
        <f t="shared" si="33"/>
        <v>0</v>
      </c>
      <c r="BP103" s="187">
        <f t="shared" si="33"/>
        <v>0</v>
      </c>
      <c r="BQ103" s="187">
        <f t="shared" si="33"/>
        <v>0</v>
      </c>
      <c r="BR103" s="188">
        <f t="shared" si="33"/>
        <v>0</v>
      </c>
      <c r="BS103" s="208">
        <f t="shared" si="33"/>
        <v>0</v>
      </c>
      <c r="BT103" s="208">
        <f t="shared" si="33"/>
        <v>0</v>
      </c>
      <c r="BU103" s="188">
        <f t="shared" si="33"/>
        <v>0</v>
      </c>
      <c r="BW103" s="208">
        <f t="shared" si="34"/>
        <v>0</v>
      </c>
      <c r="BX103" s="187">
        <f t="shared" si="34"/>
        <v>0</v>
      </c>
      <c r="BY103" s="187">
        <f t="shared" si="34"/>
        <v>0</v>
      </c>
      <c r="BZ103" s="187">
        <f t="shared" si="34"/>
        <v>0</v>
      </c>
      <c r="CA103" s="187">
        <f t="shared" si="34"/>
        <v>0</v>
      </c>
      <c r="CB103" s="187">
        <f t="shared" si="34"/>
        <v>0</v>
      </c>
      <c r="CC103" s="187">
        <f t="shared" si="34"/>
        <v>0</v>
      </c>
      <c r="CD103" s="187">
        <f t="shared" si="34"/>
        <v>0</v>
      </c>
      <c r="CE103" s="187">
        <f t="shared" si="34"/>
        <v>0</v>
      </c>
      <c r="CF103" s="187">
        <f t="shared" si="34"/>
        <v>0</v>
      </c>
      <c r="CG103" s="187">
        <f t="shared" si="34"/>
        <v>0</v>
      </c>
      <c r="CH103" s="188">
        <f t="shared" si="34"/>
        <v>0</v>
      </c>
      <c r="CI103" s="208">
        <f t="shared" si="34"/>
        <v>0</v>
      </c>
      <c r="CJ103" s="208">
        <f t="shared" si="34"/>
        <v>0</v>
      </c>
      <c r="CK103" s="188">
        <f t="shared" si="34"/>
        <v>0</v>
      </c>
      <c r="CM103" s="208">
        <f t="shared" si="35"/>
        <v>0</v>
      </c>
      <c r="CN103" s="187">
        <f t="shared" si="35"/>
        <v>0</v>
      </c>
      <c r="CO103" s="187">
        <f t="shared" si="35"/>
        <v>0</v>
      </c>
      <c r="CP103" s="187">
        <f t="shared" si="35"/>
        <v>0</v>
      </c>
      <c r="CQ103" s="187">
        <f t="shared" si="35"/>
        <v>0</v>
      </c>
      <c r="CR103" s="187">
        <f t="shared" si="35"/>
        <v>0</v>
      </c>
      <c r="CS103" s="187">
        <f t="shared" si="35"/>
        <v>0</v>
      </c>
      <c r="CT103" s="187">
        <f t="shared" si="35"/>
        <v>0</v>
      </c>
      <c r="CU103" s="187">
        <f t="shared" si="35"/>
        <v>0</v>
      </c>
      <c r="CV103" s="187">
        <f t="shared" si="35"/>
        <v>0</v>
      </c>
      <c r="CW103" s="187">
        <f t="shared" si="35"/>
        <v>0</v>
      </c>
      <c r="CX103" s="188">
        <f t="shared" si="35"/>
        <v>0</v>
      </c>
      <c r="CY103" s="208">
        <f t="shared" si="35"/>
        <v>0</v>
      </c>
      <c r="CZ103" s="208">
        <f t="shared" si="35"/>
        <v>0</v>
      </c>
      <c r="DA103" s="188">
        <f t="shared" si="35"/>
        <v>0</v>
      </c>
    </row>
    <row r="104" spans="1:105">
      <c r="A104" s="222"/>
      <c r="B104" s="223"/>
      <c r="C104" s="223"/>
      <c r="D104" s="224"/>
      <c r="E104" s="225"/>
      <c r="F104" s="226"/>
      <c r="G104" s="226"/>
      <c r="H104" s="226"/>
      <c r="I104" s="226"/>
      <c r="J104" s="225"/>
      <c r="K104" s="226"/>
      <c r="L104" s="226"/>
      <c r="M104" s="226"/>
      <c r="N104" s="226"/>
      <c r="O104" s="226"/>
      <c r="P104" s="226"/>
      <c r="Q104" s="226"/>
      <c r="R104" s="226"/>
      <c r="S104" s="226"/>
      <c r="T104" s="226"/>
      <c r="U104" s="224"/>
      <c r="V104" s="225"/>
      <c r="W104" s="226"/>
      <c r="X104" s="224"/>
      <c r="Y104" s="226"/>
      <c r="AA104" s="208">
        <f t="shared" si="31"/>
        <v>0</v>
      </c>
      <c r="AB104" s="187">
        <f t="shared" si="31"/>
        <v>0</v>
      </c>
      <c r="AC104" s="187">
        <f t="shared" si="31"/>
        <v>0</v>
      </c>
      <c r="AD104" s="187">
        <f t="shared" si="31"/>
        <v>0</v>
      </c>
      <c r="AE104" s="187">
        <f t="shared" si="31"/>
        <v>0</v>
      </c>
      <c r="AF104" s="187">
        <f t="shared" si="31"/>
        <v>0</v>
      </c>
      <c r="AG104" s="187">
        <f t="shared" si="31"/>
        <v>0</v>
      </c>
      <c r="AH104" s="187">
        <f t="shared" si="31"/>
        <v>0</v>
      </c>
      <c r="AI104" s="187">
        <f t="shared" si="31"/>
        <v>0</v>
      </c>
      <c r="AJ104" s="187">
        <f t="shared" si="31"/>
        <v>0</v>
      </c>
      <c r="AK104" s="187">
        <f t="shared" si="31"/>
        <v>0</v>
      </c>
      <c r="AL104" s="187">
        <f t="shared" si="31"/>
        <v>0</v>
      </c>
      <c r="AM104" s="208">
        <f t="shared" si="31"/>
        <v>0</v>
      </c>
      <c r="AN104" s="187">
        <f t="shared" si="31"/>
        <v>0</v>
      </c>
      <c r="AO104" s="188">
        <f t="shared" si="31"/>
        <v>0</v>
      </c>
      <c r="AQ104" s="208">
        <f t="shared" si="32"/>
        <v>0</v>
      </c>
      <c r="AR104" s="187">
        <f t="shared" si="32"/>
        <v>0</v>
      </c>
      <c r="AS104" s="187">
        <f t="shared" si="32"/>
        <v>0</v>
      </c>
      <c r="AT104" s="187">
        <f t="shared" si="32"/>
        <v>0</v>
      </c>
      <c r="AU104" s="187">
        <f t="shared" si="32"/>
        <v>0</v>
      </c>
      <c r="AV104" s="187">
        <f t="shared" si="32"/>
        <v>0</v>
      </c>
      <c r="AW104" s="187">
        <f t="shared" si="32"/>
        <v>0</v>
      </c>
      <c r="AX104" s="187">
        <f t="shared" si="32"/>
        <v>0</v>
      </c>
      <c r="AY104" s="187">
        <f t="shared" si="32"/>
        <v>0</v>
      </c>
      <c r="AZ104" s="187">
        <f t="shared" si="32"/>
        <v>0</v>
      </c>
      <c r="BA104" s="187">
        <f t="shared" si="32"/>
        <v>0</v>
      </c>
      <c r="BB104" s="188">
        <f t="shared" si="32"/>
        <v>0</v>
      </c>
      <c r="BC104" s="208">
        <f t="shared" si="32"/>
        <v>0</v>
      </c>
      <c r="BD104" s="208">
        <f t="shared" si="32"/>
        <v>0</v>
      </c>
      <c r="BE104" s="188">
        <f t="shared" si="32"/>
        <v>0</v>
      </c>
      <c r="BG104" s="208">
        <f t="shared" si="33"/>
        <v>0</v>
      </c>
      <c r="BH104" s="187">
        <f t="shared" si="33"/>
        <v>0</v>
      </c>
      <c r="BI104" s="187">
        <f t="shared" si="33"/>
        <v>0</v>
      </c>
      <c r="BJ104" s="187">
        <f t="shared" si="33"/>
        <v>0</v>
      </c>
      <c r="BK104" s="187">
        <f t="shared" si="33"/>
        <v>0</v>
      </c>
      <c r="BL104" s="187">
        <f t="shared" si="33"/>
        <v>0</v>
      </c>
      <c r="BM104" s="187">
        <f t="shared" si="33"/>
        <v>0</v>
      </c>
      <c r="BN104" s="187">
        <f t="shared" si="33"/>
        <v>0</v>
      </c>
      <c r="BO104" s="187">
        <f t="shared" si="33"/>
        <v>0</v>
      </c>
      <c r="BP104" s="187">
        <f t="shared" si="33"/>
        <v>0</v>
      </c>
      <c r="BQ104" s="187">
        <f t="shared" si="33"/>
        <v>0</v>
      </c>
      <c r="BR104" s="188">
        <f t="shared" si="33"/>
        <v>0</v>
      </c>
      <c r="BS104" s="208">
        <f t="shared" si="33"/>
        <v>0</v>
      </c>
      <c r="BT104" s="208">
        <f t="shared" si="33"/>
        <v>0</v>
      </c>
      <c r="BU104" s="188">
        <f t="shared" si="33"/>
        <v>0</v>
      </c>
      <c r="BW104" s="208">
        <f t="shared" si="34"/>
        <v>0</v>
      </c>
      <c r="BX104" s="187">
        <f t="shared" si="34"/>
        <v>0</v>
      </c>
      <c r="BY104" s="187">
        <f t="shared" si="34"/>
        <v>0</v>
      </c>
      <c r="BZ104" s="187">
        <f t="shared" si="34"/>
        <v>0</v>
      </c>
      <c r="CA104" s="187">
        <f t="shared" si="34"/>
        <v>0</v>
      </c>
      <c r="CB104" s="187">
        <f t="shared" si="34"/>
        <v>0</v>
      </c>
      <c r="CC104" s="187">
        <f t="shared" si="34"/>
        <v>0</v>
      </c>
      <c r="CD104" s="187">
        <f t="shared" si="34"/>
        <v>0</v>
      </c>
      <c r="CE104" s="187">
        <f t="shared" si="34"/>
        <v>0</v>
      </c>
      <c r="CF104" s="187">
        <f t="shared" si="34"/>
        <v>0</v>
      </c>
      <c r="CG104" s="187">
        <f t="shared" si="34"/>
        <v>0</v>
      </c>
      <c r="CH104" s="188">
        <f t="shared" si="34"/>
        <v>0</v>
      </c>
      <c r="CI104" s="208">
        <f t="shared" si="34"/>
        <v>0</v>
      </c>
      <c r="CJ104" s="208">
        <f t="shared" si="34"/>
        <v>0</v>
      </c>
      <c r="CK104" s="188">
        <f t="shared" si="34"/>
        <v>0</v>
      </c>
      <c r="CM104" s="208">
        <f t="shared" si="35"/>
        <v>0</v>
      </c>
      <c r="CN104" s="187">
        <f t="shared" si="35"/>
        <v>0</v>
      </c>
      <c r="CO104" s="187">
        <f t="shared" si="35"/>
        <v>0</v>
      </c>
      <c r="CP104" s="187">
        <f t="shared" si="35"/>
        <v>0</v>
      </c>
      <c r="CQ104" s="187">
        <f t="shared" si="35"/>
        <v>0</v>
      </c>
      <c r="CR104" s="187">
        <f t="shared" si="35"/>
        <v>0</v>
      </c>
      <c r="CS104" s="187">
        <f t="shared" si="35"/>
        <v>0</v>
      </c>
      <c r="CT104" s="187">
        <f t="shared" si="35"/>
        <v>0</v>
      </c>
      <c r="CU104" s="187">
        <f t="shared" si="35"/>
        <v>0</v>
      </c>
      <c r="CV104" s="187">
        <f t="shared" si="35"/>
        <v>0</v>
      </c>
      <c r="CW104" s="187">
        <f t="shared" si="35"/>
        <v>0</v>
      </c>
      <c r="CX104" s="188">
        <f t="shared" si="35"/>
        <v>0</v>
      </c>
      <c r="CY104" s="208">
        <f t="shared" si="35"/>
        <v>0</v>
      </c>
      <c r="CZ104" s="208">
        <f t="shared" si="35"/>
        <v>0</v>
      </c>
      <c r="DA104" s="188">
        <f t="shared" si="35"/>
        <v>0</v>
      </c>
    </row>
    <row r="105" spans="1:105">
      <c r="A105" s="222"/>
      <c r="B105" s="223"/>
      <c r="C105" s="223"/>
      <c r="D105" s="224"/>
      <c r="E105" s="225"/>
      <c r="F105" s="226"/>
      <c r="G105" s="226"/>
      <c r="H105" s="226"/>
      <c r="I105" s="226"/>
      <c r="J105" s="225"/>
      <c r="K105" s="226"/>
      <c r="L105" s="226"/>
      <c r="M105" s="226"/>
      <c r="N105" s="226"/>
      <c r="O105" s="226"/>
      <c r="P105" s="226"/>
      <c r="Q105" s="226"/>
      <c r="R105" s="226"/>
      <c r="S105" s="226"/>
      <c r="T105" s="226"/>
      <c r="U105" s="224"/>
      <c r="V105" s="225"/>
      <c r="W105" s="226"/>
      <c r="X105" s="224"/>
      <c r="Y105" s="226"/>
      <c r="AA105" s="208">
        <f t="shared" si="31"/>
        <v>0</v>
      </c>
      <c r="AB105" s="187">
        <f t="shared" si="31"/>
        <v>0</v>
      </c>
      <c r="AC105" s="187">
        <f t="shared" si="31"/>
        <v>0</v>
      </c>
      <c r="AD105" s="187">
        <f t="shared" si="31"/>
        <v>0</v>
      </c>
      <c r="AE105" s="187">
        <f t="shared" si="31"/>
        <v>0</v>
      </c>
      <c r="AF105" s="187">
        <f t="shared" si="31"/>
        <v>0</v>
      </c>
      <c r="AG105" s="187">
        <f t="shared" si="31"/>
        <v>0</v>
      </c>
      <c r="AH105" s="187">
        <f t="shared" si="31"/>
        <v>0</v>
      </c>
      <c r="AI105" s="187">
        <f t="shared" si="31"/>
        <v>0</v>
      </c>
      <c r="AJ105" s="187">
        <f t="shared" si="31"/>
        <v>0</v>
      </c>
      <c r="AK105" s="187">
        <f t="shared" si="31"/>
        <v>0</v>
      </c>
      <c r="AL105" s="187">
        <f t="shared" si="31"/>
        <v>0</v>
      </c>
      <c r="AM105" s="208">
        <f t="shared" si="31"/>
        <v>0</v>
      </c>
      <c r="AN105" s="187">
        <f t="shared" si="31"/>
        <v>0</v>
      </c>
      <c r="AO105" s="188">
        <f t="shared" si="31"/>
        <v>0</v>
      </c>
      <c r="AQ105" s="208">
        <f t="shared" si="32"/>
        <v>0</v>
      </c>
      <c r="AR105" s="187">
        <f t="shared" si="32"/>
        <v>0</v>
      </c>
      <c r="AS105" s="187">
        <f t="shared" si="32"/>
        <v>0</v>
      </c>
      <c r="AT105" s="187">
        <f t="shared" si="32"/>
        <v>0</v>
      </c>
      <c r="AU105" s="187">
        <f t="shared" si="32"/>
        <v>0</v>
      </c>
      <c r="AV105" s="187">
        <f t="shared" si="32"/>
        <v>0</v>
      </c>
      <c r="AW105" s="187">
        <f t="shared" si="32"/>
        <v>0</v>
      </c>
      <c r="AX105" s="187">
        <f t="shared" si="32"/>
        <v>0</v>
      </c>
      <c r="AY105" s="187">
        <f t="shared" si="32"/>
        <v>0</v>
      </c>
      <c r="AZ105" s="187">
        <f t="shared" si="32"/>
        <v>0</v>
      </c>
      <c r="BA105" s="187">
        <f t="shared" si="32"/>
        <v>0</v>
      </c>
      <c r="BB105" s="188">
        <f t="shared" si="32"/>
        <v>0</v>
      </c>
      <c r="BC105" s="208">
        <f t="shared" si="32"/>
        <v>0</v>
      </c>
      <c r="BD105" s="208">
        <f t="shared" si="32"/>
        <v>0</v>
      </c>
      <c r="BE105" s="188">
        <f t="shared" si="32"/>
        <v>0</v>
      </c>
      <c r="BG105" s="208">
        <f t="shared" si="33"/>
        <v>0</v>
      </c>
      <c r="BH105" s="187">
        <f t="shared" si="33"/>
        <v>0</v>
      </c>
      <c r="BI105" s="187">
        <f t="shared" si="33"/>
        <v>0</v>
      </c>
      <c r="BJ105" s="187">
        <f t="shared" si="33"/>
        <v>0</v>
      </c>
      <c r="BK105" s="187">
        <f t="shared" si="33"/>
        <v>0</v>
      </c>
      <c r="BL105" s="187">
        <f t="shared" si="33"/>
        <v>0</v>
      </c>
      <c r="BM105" s="187">
        <f t="shared" si="33"/>
        <v>0</v>
      </c>
      <c r="BN105" s="187">
        <f t="shared" si="33"/>
        <v>0</v>
      </c>
      <c r="BO105" s="187">
        <f t="shared" si="33"/>
        <v>0</v>
      </c>
      <c r="BP105" s="187">
        <f t="shared" si="33"/>
        <v>0</v>
      </c>
      <c r="BQ105" s="187">
        <f t="shared" si="33"/>
        <v>0</v>
      </c>
      <c r="BR105" s="188">
        <f t="shared" si="33"/>
        <v>0</v>
      </c>
      <c r="BS105" s="208">
        <f t="shared" si="33"/>
        <v>0</v>
      </c>
      <c r="BT105" s="208">
        <f t="shared" si="33"/>
        <v>0</v>
      </c>
      <c r="BU105" s="188">
        <f t="shared" si="33"/>
        <v>0</v>
      </c>
      <c r="BW105" s="208">
        <f t="shared" si="34"/>
        <v>0</v>
      </c>
      <c r="BX105" s="187">
        <f t="shared" si="34"/>
        <v>0</v>
      </c>
      <c r="BY105" s="187">
        <f t="shared" si="34"/>
        <v>0</v>
      </c>
      <c r="BZ105" s="187">
        <f t="shared" si="34"/>
        <v>0</v>
      </c>
      <c r="CA105" s="187">
        <f t="shared" si="34"/>
        <v>0</v>
      </c>
      <c r="CB105" s="187">
        <f t="shared" si="34"/>
        <v>0</v>
      </c>
      <c r="CC105" s="187">
        <f t="shared" si="34"/>
        <v>0</v>
      </c>
      <c r="CD105" s="187">
        <f t="shared" si="34"/>
        <v>0</v>
      </c>
      <c r="CE105" s="187">
        <f t="shared" si="34"/>
        <v>0</v>
      </c>
      <c r="CF105" s="187">
        <f t="shared" si="34"/>
        <v>0</v>
      </c>
      <c r="CG105" s="187">
        <f t="shared" si="34"/>
        <v>0</v>
      </c>
      <c r="CH105" s="188">
        <f t="shared" si="34"/>
        <v>0</v>
      </c>
      <c r="CI105" s="208">
        <f t="shared" si="34"/>
        <v>0</v>
      </c>
      <c r="CJ105" s="208">
        <f t="shared" si="34"/>
        <v>0</v>
      </c>
      <c r="CK105" s="188">
        <f t="shared" si="34"/>
        <v>0</v>
      </c>
      <c r="CM105" s="208">
        <f t="shared" si="35"/>
        <v>0</v>
      </c>
      <c r="CN105" s="187">
        <f t="shared" si="35"/>
        <v>0</v>
      </c>
      <c r="CO105" s="187">
        <f t="shared" si="35"/>
        <v>0</v>
      </c>
      <c r="CP105" s="187">
        <f t="shared" si="35"/>
        <v>0</v>
      </c>
      <c r="CQ105" s="187">
        <f t="shared" si="35"/>
        <v>0</v>
      </c>
      <c r="CR105" s="187">
        <f t="shared" si="35"/>
        <v>0</v>
      </c>
      <c r="CS105" s="187">
        <f t="shared" si="35"/>
        <v>0</v>
      </c>
      <c r="CT105" s="187">
        <f t="shared" si="35"/>
        <v>0</v>
      </c>
      <c r="CU105" s="187">
        <f t="shared" si="35"/>
        <v>0</v>
      </c>
      <c r="CV105" s="187">
        <f t="shared" si="35"/>
        <v>0</v>
      </c>
      <c r="CW105" s="187">
        <f t="shared" si="35"/>
        <v>0</v>
      </c>
      <c r="CX105" s="188">
        <f t="shared" si="35"/>
        <v>0</v>
      </c>
      <c r="CY105" s="208">
        <f t="shared" si="35"/>
        <v>0</v>
      </c>
      <c r="CZ105" s="208">
        <f t="shared" si="35"/>
        <v>0</v>
      </c>
      <c r="DA105" s="188">
        <f t="shared" si="35"/>
        <v>0</v>
      </c>
    </row>
    <row r="106" spans="1:105">
      <c r="A106" s="222"/>
      <c r="B106" s="223"/>
      <c r="C106" s="223"/>
      <c r="D106" s="224"/>
      <c r="E106" s="225"/>
      <c r="F106" s="226"/>
      <c r="G106" s="226"/>
      <c r="H106" s="226"/>
      <c r="I106" s="226"/>
      <c r="J106" s="225"/>
      <c r="K106" s="226"/>
      <c r="L106" s="226"/>
      <c r="M106" s="226"/>
      <c r="N106" s="226"/>
      <c r="O106" s="226"/>
      <c r="P106" s="226"/>
      <c r="Q106" s="226"/>
      <c r="R106" s="226"/>
      <c r="S106" s="226"/>
      <c r="T106" s="226"/>
      <c r="U106" s="224"/>
      <c r="V106" s="225"/>
      <c r="W106" s="226"/>
      <c r="X106" s="224"/>
      <c r="Y106" s="226"/>
      <c r="AA106" s="208">
        <f t="shared" si="31"/>
        <v>0</v>
      </c>
      <c r="AB106" s="187">
        <f t="shared" si="31"/>
        <v>0</v>
      </c>
      <c r="AC106" s="187">
        <f t="shared" si="31"/>
        <v>0</v>
      </c>
      <c r="AD106" s="187">
        <f t="shared" si="31"/>
        <v>0</v>
      </c>
      <c r="AE106" s="187">
        <f t="shared" si="31"/>
        <v>0</v>
      </c>
      <c r="AF106" s="187">
        <f t="shared" si="31"/>
        <v>0</v>
      </c>
      <c r="AG106" s="187">
        <f t="shared" si="31"/>
        <v>0</v>
      </c>
      <c r="AH106" s="187">
        <f t="shared" si="31"/>
        <v>0</v>
      </c>
      <c r="AI106" s="187">
        <f t="shared" si="31"/>
        <v>0</v>
      </c>
      <c r="AJ106" s="187">
        <f t="shared" si="31"/>
        <v>0</v>
      </c>
      <c r="AK106" s="187">
        <f t="shared" si="31"/>
        <v>0</v>
      </c>
      <c r="AL106" s="187">
        <f t="shared" si="31"/>
        <v>0</v>
      </c>
      <c r="AM106" s="208">
        <f t="shared" si="31"/>
        <v>0</v>
      </c>
      <c r="AN106" s="187">
        <f t="shared" si="31"/>
        <v>0</v>
      </c>
      <c r="AO106" s="188">
        <f t="shared" si="31"/>
        <v>0</v>
      </c>
      <c r="AQ106" s="208">
        <f t="shared" si="32"/>
        <v>0</v>
      </c>
      <c r="AR106" s="187">
        <f t="shared" si="32"/>
        <v>0</v>
      </c>
      <c r="AS106" s="187">
        <f t="shared" si="32"/>
        <v>0</v>
      </c>
      <c r="AT106" s="187">
        <f t="shared" si="32"/>
        <v>0</v>
      </c>
      <c r="AU106" s="187">
        <f t="shared" si="32"/>
        <v>0</v>
      </c>
      <c r="AV106" s="187">
        <f t="shared" si="32"/>
        <v>0</v>
      </c>
      <c r="AW106" s="187">
        <f t="shared" si="32"/>
        <v>0</v>
      </c>
      <c r="AX106" s="187">
        <f t="shared" si="32"/>
        <v>0</v>
      </c>
      <c r="AY106" s="187">
        <f t="shared" si="32"/>
        <v>0</v>
      </c>
      <c r="AZ106" s="187">
        <f t="shared" si="32"/>
        <v>0</v>
      </c>
      <c r="BA106" s="187">
        <f t="shared" si="32"/>
        <v>0</v>
      </c>
      <c r="BB106" s="188">
        <f t="shared" si="32"/>
        <v>0</v>
      </c>
      <c r="BC106" s="208">
        <f t="shared" si="32"/>
        <v>0</v>
      </c>
      <c r="BD106" s="208">
        <f t="shared" si="32"/>
        <v>0</v>
      </c>
      <c r="BE106" s="188">
        <f t="shared" si="32"/>
        <v>0</v>
      </c>
      <c r="BG106" s="208">
        <f t="shared" si="33"/>
        <v>0</v>
      </c>
      <c r="BH106" s="187">
        <f t="shared" si="33"/>
        <v>0</v>
      </c>
      <c r="BI106" s="187">
        <f t="shared" si="33"/>
        <v>0</v>
      </c>
      <c r="BJ106" s="187">
        <f t="shared" si="33"/>
        <v>0</v>
      </c>
      <c r="BK106" s="187">
        <f t="shared" si="33"/>
        <v>0</v>
      </c>
      <c r="BL106" s="187">
        <f t="shared" si="33"/>
        <v>0</v>
      </c>
      <c r="BM106" s="187">
        <f t="shared" si="33"/>
        <v>0</v>
      </c>
      <c r="BN106" s="187">
        <f t="shared" si="33"/>
        <v>0</v>
      </c>
      <c r="BO106" s="187">
        <f t="shared" si="33"/>
        <v>0</v>
      </c>
      <c r="BP106" s="187">
        <f t="shared" si="33"/>
        <v>0</v>
      </c>
      <c r="BQ106" s="187">
        <f t="shared" si="33"/>
        <v>0</v>
      </c>
      <c r="BR106" s="188">
        <f t="shared" si="33"/>
        <v>0</v>
      </c>
      <c r="BS106" s="208">
        <f t="shared" si="33"/>
        <v>0</v>
      </c>
      <c r="BT106" s="208">
        <f t="shared" si="33"/>
        <v>0</v>
      </c>
      <c r="BU106" s="188">
        <f t="shared" si="33"/>
        <v>0</v>
      </c>
      <c r="BW106" s="208">
        <f t="shared" si="34"/>
        <v>0</v>
      </c>
      <c r="BX106" s="187">
        <f t="shared" si="34"/>
        <v>0</v>
      </c>
      <c r="BY106" s="187">
        <f t="shared" si="34"/>
        <v>0</v>
      </c>
      <c r="BZ106" s="187">
        <f t="shared" si="34"/>
        <v>0</v>
      </c>
      <c r="CA106" s="187">
        <f t="shared" si="34"/>
        <v>0</v>
      </c>
      <c r="CB106" s="187">
        <f t="shared" si="34"/>
        <v>0</v>
      </c>
      <c r="CC106" s="187">
        <f t="shared" si="34"/>
        <v>0</v>
      </c>
      <c r="CD106" s="187">
        <f t="shared" si="34"/>
        <v>0</v>
      </c>
      <c r="CE106" s="187">
        <f t="shared" si="34"/>
        <v>0</v>
      </c>
      <c r="CF106" s="187">
        <f t="shared" si="34"/>
        <v>0</v>
      </c>
      <c r="CG106" s="187">
        <f t="shared" si="34"/>
        <v>0</v>
      </c>
      <c r="CH106" s="188">
        <f t="shared" si="34"/>
        <v>0</v>
      </c>
      <c r="CI106" s="208">
        <f t="shared" si="34"/>
        <v>0</v>
      </c>
      <c r="CJ106" s="208">
        <f t="shared" si="34"/>
        <v>0</v>
      </c>
      <c r="CK106" s="188">
        <f t="shared" si="34"/>
        <v>0</v>
      </c>
      <c r="CM106" s="208">
        <f t="shared" si="35"/>
        <v>0</v>
      </c>
      <c r="CN106" s="187">
        <f t="shared" si="35"/>
        <v>0</v>
      </c>
      <c r="CO106" s="187">
        <f t="shared" si="35"/>
        <v>0</v>
      </c>
      <c r="CP106" s="187">
        <f t="shared" si="35"/>
        <v>0</v>
      </c>
      <c r="CQ106" s="187">
        <f t="shared" si="35"/>
        <v>0</v>
      </c>
      <c r="CR106" s="187">
        <f t="shared" si="35"/>
        <v>0</v>
      </c>
      <c r="CS106" s="187">
        <f t="shared" si="35"/>
        <v>0</v>
      </c>
      <c r="CT106" s="187">
        <f t="shared" si="35"/>
        <v>0</v>
      </c>
      <c r="CU106" s="187">
        <f t="shared" si="35"/>
        <v>0</v>
      </c>
      <c r="CV106" s="187">
        <f t="shared" si="35"/>
        <v>0</v>
      </c>
      <c r="CW106" s="187">
        <f t="shared" si="35"/>
        <v>0</v>
      </c>
      <c r="CX106" s="188">
        <f t="shared" si="35"/>
        <v>0</v>
      </c>
      <c r="CY106" s="208">
        <f t="shared" si="35"/>
        <v>0</v>
      </c>
      <c r="CZ106" s="208">
        <f t="shared" si="35"/>
        <v>0</v>
      </c>
      <c r="DA106" s="188">
        <f t="shared" si="35"/>
        <v>0</v>
      </c>
    </row>
    <row r="107" spans="1:105">
      <c r="A107" s="222"/>
      <c r="B107" s="223"/>
      <c r="C107" s="223"/>
      <c r="D107" s="224"/>
      <c r="E107" s="225"/>
      <c r="F107" s="226"/>
      <c r="G107" s="226"/>
      <c r="H107" s="226"/>
      <c r="I107" s="226"/>
      <c r="J107" s="225"/>
      <c r="K107" s="226"/>
      <c r="L107" s="226"/>
      <c r="M107" s="226"/>
      <c r="N107" s="226"/>
      <c r="O107" s="226"/>
      <c r="P107" s="226"/>
      <c r="Q107" s="226"/>
      <c r="R107" s="226"/>
      <c r="S107" s="226"/>
      <c r="T107" s="226"/>
      <c r="U107" s="224"/>
      <c r="V107" s="225"/>
      <c r="W107" s="226"/>
      <c r="X107" s="224"/>
      <c r="Y107" s="226"/>
      <c r="AA107" s="208">
        <f t="shared" ref="AA107:AO113" si="36">$D107*$E107*J107</f>
        <v>0</v>
      </c>
      <c r="AB107" s="187">
        <f t="shared" si="36"/>
        <v>0</v>
      </c>
      <c r="AC107" s="187">
        <f t="shared" si="36"/>
        <v>0</v>
      </c>
      <c r="AD107" s="187">
        <f t="shared" si="36"/>
        <v>0</v>
      </c>
      <c r="AE107" s="187">
        <f t="shared" si="36"/>
        <v>0</v>
      </c>
      <c r="AF107" s="187">
        <f t="shared" si="36"/>
        <v>0</v>
      </c>
      <c r="AG107" s="187">
        <f t="shared" si="36"/>
        <v>0</v>
      </c>
      <c r="AH107" s="187">
        <f t="shared" si="36"/>
        <v>0</v>
      </c>
      <c r="AI107" s="187">
        <f t="shared" si="36"/>
        <v>0</v>
      </c>
      <c r="AJ107" s="187">
        <f t="shared" si="36"/>
        <v>0</v>
      </c>
      <c r="AK107" s="187">
        <f t="shared" si="36"/>
        <v>0</v>
      </c>
      <c r="AL107" s="187">
        <f t="shared" si="36"/>
        <v>0</v>
      </c>
      <c r="AM107" s="208">
        <f t="shared" si="36"/>
        <v>0</v>
      </c>
      <c r="AN107" s="187">
        <f t="shared" si="36"/>
        <v>0</v>
      </c>
      <c r="AO107" s="188">
        <f t="shared" si="36"/>
        <v>0</v>
      </c>
      <c r="AQ107" s="208">
        <f t="shared" ref="AQ107:BE113" si="37">$D107*$F107*J107</f>
        <v>0</v>
      </c>
      <c r="AR107" s="187">
        <f t="shared" si="37"/>
        <v>0</v>
      </c>
      <c r="AS107" s="187">
        <f t="shared" si="37"/>
        <v>0</v>
      </c>
      <c r="AT107" s="187">
        <f t="shared" si="37"/>
        <v>0</v>
      </c>
      <c r="AU107" s="187">
        <f t="shared" si="37"/>
        <v>0</v>
      </c>
      <c r="AV107" s="187">
        <f t="shared" si="37"/>
        <v>0</v>
      </c>
      <c r="AW107" s="187">
        <f t="shared" si="37"/>
        <v>0</v>
      </c>
      <c r="AX107" s="187">
        <f t="shared" si="37"/>
        <v>0</v>
      </c>
      <c r="AY107" s="187">
        <f t="shared" si="37"/>
        <v>0</v>
      </c>
      <c r="AZ107" s="187">
        <f t="shared" si="37"/>
        <v>0</v>
      </c>
      <c r="BA107" s="187">
        <f t="shared" si="37"/>
        <v>0</v>
      </c>
      <c r="BB107" s="188">
        <f t="shared" si="37"/>
        <v>0</v>
      </c>
      <c r="BC107" s="208">
        <f t="shared" si="37"/>
        <v>0</v>
      </c>
      <c r="BD107" s="208">
        <f t="shared" si="37"/>
        <v>0</v>
      </c>
      <c r="BE107" s="188">
        <f t="shared" si="37"/>
        <v>0</v>
      </c>
      <c r="BG107" s="208">
        <f t="shared" ref="BG107:BU113" si="38">$D107*$G107*J107</f>
        <v>0</v>
      </c>
      <c r="BH107" s="187">
        <f t="shared" si="38"/>
        <v>0</v>
      </c>
      <c r="BI107" s="187">
        <f t="shared" si="38"/>
        <v>0</v>
      </c>
      <c r="BJ107" s="187">
        <f t="shared" si="38"/>
        <v>0</v>
      </c>
      <c r="BK107" s="187">
        <f t="shared" si="38"/>
        <v>0</v>
      </c>
      <c r="BL107" s="187">
        <f t="shared" si="38"/>
        <v>0</v>
      </c>
      <c r="BM107" s="187">
        <f t="shared" si="38"/>
        <v>0</v>
      </c>
      <c r="BN107" s="187">
        <f t="shared" si="38"/>
        <v>0</v>
      </c>
      <c r="BO107" s="187">
        <f t="shared" si="38"/>
        <v>0</v>
      </c>
      <c r="BP107" s="187">
        <f t="shared" si="38"/>
        <v>0</v>
      </c>
      <c r="BQ107" s="187">
        <f t="shared" si="38"/>
        <v>0</v>
      </c>
      <c r="BR107" s="188">
        <f t="shared" si="38"/>
        <v>0</v>
      </c>
      <c r="BS107" s="208">
        <f t="shared" si="38"/>
        <v>0</v>
      </c>
      <c r="BT107" s="208">
        <f t="shared" si="38"/>
        <v>0</v>
      </c>
      <c r="BU107" s="188">
        <f t="shared" si="38"/>
        <v>0</v>
      </c>
      <c r="BW107" s="208">
        <f t="shared" ref="BW107:CK113" si="39">$D107*$H107*J107</f>
        <v>0</v>
      </c>
      <c r="BX107" s="187">
        <f t="shared" si="39"/>
        <v>0</v>
      </c>
      <c r="BY107" s="187">
        <f t="shared" si="39"/>
        <v>0</v>
      </c>
      <c r="BZ107" s="187">
        <f t="shared" si="39"/>
        <v>0</v>
      </c>
      <c r="CA107" s="187">
        <f t="shared" si="39"/>
        <v>0</v>
      </c>
      <c r="CB107" s="187">
        <f t="shared" si="39"/>
        <v>0</v>
      </c>
      <c r="CC107" s="187">
        <f t="shared" si="39"/>
        <v>0</v>
      </c>
      <c r="CD107" s="187">
        <f t="shared" si="39"/>
        <v>0</v>
      </c>
      <c r="CE107" s="187">
        <f t="shared" si="39"/>
        <v>0</v>
      </c>
      <c r="CF107" s="187">
        <f t="shared" si="39"/>
        <v>0</v>
      </c>
      <c r="CG107" s="187">
        <f t="shared" si="39"/>
        <v>0</v>
      </c>
      <c r="CH107" s="188">
        <f t="shared" si="39"/>
        <v>0</v>
      </c>
      <c r="CI107" s="208">
        <f t="shared" si="39"/>
        <v>0</v>
      </c>
      <c r="CJ107" s="208">
        <f t="shared" si="39"/>
        <v>0</v>
      </c>
      <c r="CK107" s="188">
        <f t="shared" si="39"/>
        <v>0</v>
      </c>
      <c r="CM107" s="208">
        <f t="shared" ref="CM107:DA113" si="40">$D107*$I107*J107</f>
        <v>0</v>
      </c>
      <c r="CN107" s="187">
        <f t="shared" si="40"/>
        <v>0</v>
      </c>
      <c r="CO107" s="187">
        <f t="shared" si="40"/>
        <v>0</v>
      </c>
      <c r="CP107" s="187">
        <f t="shared" si="40"/>
        <v>0</v>
      </c>
      <c r="CQ107" s="187">
        <f t="shared" si="40"/>
        <v>0</v>
      </c>
      <c r="CR107" s="187">
        <f t="shared" si="40"/>
        <v>0</v>
      </c>
      <c r="CS107" s="187">
        <f t="shared" si="40"/>
        <v>0</v>
      </c>
      <c r="CT107" s="187">
        <f t="shared" si="40"/>
        <v>0</v>
      </c>
      <c r="CU107" s="187">
        <f t="shared" si="40"/>
        <v>0</v>
      </c>
      <c r="CV107" s="187">
        <f t="shared" si="40"/>
        <v>0</v>
      </c>
      <c r="CW107" s="187">
        <f t="shared" si="40"/>
        <v>0</v>
      </c>
      <c r="CX107" s="188">
        <f t="shared" si="40"/>
        <v>0</v>
      </c>
      <c r="CY107" s="208">
        <f t="shared" si="40"/>
        <v>0</v>
      </c>
      <c r="CZ107" s="208">
        <f t="shared" si="40"/>
        <v>0</v>
      </c>
      <c r="DA107" s="188">
        <f t="shared" si="40"/>
        <v>0</v>
      </c>
    </row>
    <row r="108" spans="1:105">
      <c r="A108" s="222"/>
      <c r="B108" s="223"/>
      <c r="C108" s="223"/>
      <c r="D108" s="224"/>
      <c r="E108" s="225"/>
      <c r="F108" s="226"/>
      <c r="G108" s="226"/>
      <c r="H108" s="226"/>
      <c r="I108" s="226"/>
      <c r="J108" s="225"/>
      <c r="K108" s="226"/>
      <c r="L108" s="226"/>
      <c r="M108" s="226"/>
      <c r="N108" s="226"/>
      <c r="O108" s="226"/>
      <c r="P108" s="226"/>
      <c r="Q108" s="226"/>
      <c r="R108" s="226"/>
      <c r="S108" s="226"/>
      <c r="T108" s="226"/>
      <c r="U108" s="224"/>
      <c r="V108" s="225"/>
      <c r="W108" s="226"/>
      <c r="X108" s="224"/>
      <c r="Y108" s="226"/>
      <c r="AA108" s="208">
        <f t="shared" si="36"/>
        <v>0</v>
      </c>
      <c r="AB108" s="187">
        <f t="shared" si="36"/>
        <v>0</v>
      </c>
      <c r="AC108" s="187">
        <f t="shared" si="36"/>
        <v>0</v>
      </c>
      <c r="AD108" s="187">
        <f t="shared" si="36"/>
        <v>0</v>
      </c>
      <c r="AE108" s="187">
        <f t="shared" si="36"/>
        <v>0</v>
      </c>
      <c r="AF108" s="187">
        <f t="shared" si="36"/>
        <v>0</v>
      </c>
      <c r="AG108" s="187">
        <f t="shared" si="36"/>
        <v>0</v>
      </c>
      <c r="AH108" s="187">
        <f t="shared" si="36"/>
        <v>0</v>
      </c>
      <c r="AI108" s="187">
        <f t="shared" si="36"/>
        <v>0</v>
      </c>
      <c r="AJ108" s="187">
        <f t="shared" si="36"/>
        <v>0</v>
      </c>
      <c r="AK108" s="187">
        <f t="shared" si="36"/>
        <v>0</v>
      </c>
      <c r="AL108" s="187">
        <f t="shared" si="36"/>
        <v>0</v>
      </c>
      <c r="AM108" s="208">
        <f t="shared" si="36"/>
        <v>0</v>
      </c>
      <c r="AN108" s="187">
        <f t="shared" si="36"/>
        <v>0</v>
      </c>
      <c r="AO108" s="188">
        <f t="shared" si="36"/>
        <v>0</v>
      </c>
      <c r="AQ108" s="208">
        <f t="shared" si="37"/>
        <v>0</v>
      </c>
      <c r="AR108" s="187">
        <f t="shared" si="37"/>
        <v>0</v>
      </c>
      <c r="AS108" s="187">
        <f t="shared" si="37"/>
        <v>0</v>
      </c>
      <c r="AT108" s="187">
        <f t="shared" si="37"/>
        <v>0</v>
      </c>
      <c r="AU108" s="187">
        <f t="shared" si="37"/>
        <v>0</v>
      </c>
      <c r="AV108" s="187">
        <f t="shared" si="37"/>
        <v>0</v>
      </c>
      <c r="AW108" s="187">
        <f t="shared" si="37"/>
        <v>0</v>
      </c>
      <c r="AX108" s="187">
        <f t="shared" si="37"/>
        <v>0</v>
      </c>
      <c r="AY108" s="187">
        <f t="shared" si="37"/>
        <v>0</v>
      </c>
      <c r="AZ108" s="187">
        <f t="shared" si="37"/>
        <v>0</v>
      </c>
      <c r="BA108" s="187">
        <f t="shared" si="37"/>
        <v>0</v>
      </c>
      <c r="BB108" s="188">
        <f t="shared" si="37"/>
        <v>0</v>
      </c>
      <c r="BC108" s="208">
        <f t="shared" si="37"/>
        <v>0</v>
      </c>
      <c r="BD108" s="208">
        <f t="shared" si="37"/>
        <v>0</v>
      </c>
      <c r="BE108" s="188">
        <f t="shared" si="37"/>
        <v>0</v>
      </c>
      <c r="BG108" s="208">
        <f t="shared" si="38"/>
        <v>0</v>
      </c>
      <c r="BH108" s="187">
        <f t="shared" si="38"/>
        <v>0</v>
      </c>
      <c r="BI108" s="187">
        <f t="shared" si="38"/>
        <v>0</v>
      </c>
      <c r="BJ108" s="187">
        <f t="shared" si="38"/>
        <v>0</v>
      </c>
      <c r="BK108" s="187">
        <f t="shared" si="38"/>
        <v>0</v>
      </c>
      <c r="BL108" s="187">
        <f t="shared" si="38"/>
        <v>0</v>
      </c>
      <c r="BM108" s="187">
        <f t="shared" si="38"/>
        <v>0</v>
      </c>
      <c r="BN108" s="187">
        <f t="shared" si="38"/>
        <v>0</v>
      </c>
      <c r="BO108" s="187">
        <f t="shared" si="38"/>
        <v>0</v>
      </c>
      <c r="BP108" s="187">
        <f t="shared" si="38"/>
        <v>0</v>
      </c>
      <c r="BQ108" s="187">
        <f t="shared" si="38"/>
        <v>0</v>
      </c>
      <c r="BR108" s="188">
        <f t="shared" si="38"/>
        <v>0</v>
      </c>
      <c r="BS108" s="208">
        <f t="shared" si="38"/>
        <v>0</v>
      </c>
      <c r="BT108" s="208">
        <f t="shared" si="38"/>
        <v>0</v>
      </c>
      <c r="BU108" s="188">
        <f t="shared" si="38"/>
        <v>0</v>
      </c>
      <c r="BW108" s="208">
        <f t="shared" si="39"/>
        <v>0</v>
      </c>
      <c r="BX108" s="187">
        <f t="shared" si="39"/>
        <v>0</v>
      </c>
      <c r="BY108" s="187">
        <f t="shared" si="39"/>
        <v>0</v>
      </c>
      <c r="BZ108" s="187">
        <f t="shared" si="39"/>
        <v>0</v>
      </c>
      <c r="CA108" s="187">
        <f t="shared" si="39"/>
        <v>0</v>
      </c>
      <c r="CB108" s="187">
        <f t="shared" si="39"/>
        <v>0</v>
      </c>
      <c r="CC108" s="187">
        <f t="shared" si="39"/>
        <v>0</v>
      </c>
      <c r="CD108" s="187">
        <f t="shared" si="39"/>
        <v>0</v>
      </c>
      <c r="CE108" s="187">
        <f t="shared" si="39"/>
        <v>0</v>
      </c>
      <c r="CF108" s="187">
        <f t="shared" si="39"/>
        <v>0</v>
      </c>
      <c r="CG108" s="187">
        <f t="shared" si="39"/>
        <v>0</v>
      </c>
      <c r="CH108" s="188">
        <f t="shared" si="39"/>
        <v>0</v>
      </c>
      <c r="CI108" s="208">
        <f t="shared" si="39"/>
        <v>0</v>
      </c>
      <c r="CJ108" s="208">
        <f t="shared" si="39"/>
        <v>0</v>
      </c>
      <c r="CK108" s="188">
        <f t="shared" si="39"/>
        <v>0</v>
      </c>
      <c r="CM108" s="208">
        <f t="shared" si="40"/>
        <v>0</v>
      </c>
      <c r="CN108" s="187">
        <f t="shared" si="40"/>
        <v>0</v>
      </c>
      <c r="CO108" s="187">
        <f t="shared" si="40"/>
        <v>0</v>
      </c>
      <c r="CP108" s="187">
        <f t="shared" si="40"/>
        <v>0</v>
      </c>
      <c r="CQ108" s="187">
        <f t="shared" si="40"/>
        <v>0</v>
      </c>
      <c r="CR108" s="187">
        <f t="shared" si="40"/>
        <v>0</v>
      </c>
      <c r="CS108" s="187">
        <f t="shared" si="40"/>
        <v>0</v>
      </c>
      <c r="CT108" s="187">
        <f t="shared" si="40"/>
        <v>0</v>
      </c>
      <c r="CU108" s="187">
        <f t="shared" si="40"/>
        <v>0</v>
      </c>
      <c r="CV108" s="187">
        <f t="shared" si="40"/>
        <v>0</v>
      </c>
      <c r="CW108" s="187">
        <f t="shared" si="40"/>
        <v>0</v>
      </c>
      <c r="CX108" s="188">
        <f t="shared" si="40"/>
        <v>0</v>
      </c>
      <c r="CY108" s="208">
        <f t="shared" si="40"/>
        <v>0</v>
      </c>
      <c r="CZ108" s="208">
        <f t="shared" si="40"/>
        <v>0</v>
      </c>
      <c r="DA108" s="188">
        <f t="shared" si="40"/>
        <v>0</v>
      </c>
    </row>
    <row r="109" spans="1:105">
      <c r="A109" s="222"/>
      <c r="B109" s="223"/>
      <c r="C109" s="223"/>
      <c r="D109" s="224"/>
      <c r="E109" s="225"/>
      <c r="F109" s="226"/>
      <c r="G109" s="226"/>
      <c r="H109" s="226"/>
      <c r="I109" s="226"/>
      <c r="J109" s="225"/>
      <c r="K109" s="226"/>
      <c r="L109" s="226"/>
      <c r="M109" s="226"/>
      <c r="N109" s="226"/>
      <c r="O109" s="226"/>
      <c r="P109" s="226"/>
      <c r="Q109" s="226"/>
      <c r="R109" s="226"/>
      <c r="S109" s="226"/>
      <c r="T109" s="226"/>
      <c r="U109" s="224"/>
      <c r="V109" s="225"/>
      <c r="W109" s="226"/>
      <c r="X109" s="224"/>
      <c r="Y109" s="226"/>
      <c r="AA109" s="208">
        <f t="shared" si="36"/>
        <v>0</v>
      </c>
      <c r="AB109" s="187">
        <f t="shared" si="36"/>
        <v>0</v>
      </c>
      <c r="AC109" s="187">
        <f t="shared" si="36"/>
        <v>0</v>
      </c>
      <c r="AD109" s="187">
        <f t="shared" si="36"/>
        <v>0</v>
      </c>
      <c r="AE109" s="187">
        <f t="shared" si="36"/>
        <v>0</v>
      </c>
      <c r="AF109" s="187">
        <f t="shared" si="36"/>
        <v>0</v>
      </c>
      <c r="AG109" s="187">
        <f t="shared" si="36"/>
        <v>0</v>
      </c>
      <c r="AH109" s="187">
        <f t="shared" si="36"/>
        <v>0</v>
      </c>
      <c r="AI109" s="187">
        <f t="shared" si="36"/>
        <v>0</v>
      </c>
      <c r="AJ109" s="187">
        <f t="shared" si="36"/>
        <v>0</v>
      </c>
      <c r="AK109" s="187">
        <f t="shared" si="36"/>
        <v>0</v>
      </c>
      <c r="AL109" s="187">
        <f t="shared" si="36"/>
        <v>0</v>
      </c>
      <c r="AM109" s="208">
        <f t="shared" si="36"/>
        <v>0</v>
      </c>
      <c r="AN109" s="187">
        <f t="shared" si="36"/>
        <v>0</v>
      </c>
      <c r="AO109" s="188">
        <f t="shared" si="36"/>
        <v>0</v>
      </c>
      <c r="AQ109" s="208">
        <f t="shared" si="37"/>
        <v>0</v>
      </c>
      <c r="AR109" s="187">
        <f t="shared" si="37"/>
        <v>0</v>
      </c>
      <c r="AS109" s="187">
        <f t="shared" si="37"/>
        <v>0</v>
      </c>
      <c r="AT109" s="187">
        <f t="shared" si="37"/>
        <v>0</v>
      </c>
      <c r="AU109" s="187">
        <f t="shared" si="37"/>
        <v>0</v>
      </c>
      <c r="AV109" s="187">
        <f t="shared" si="37"/>
        <v>0</v>
      </c>
      <c r="AW109" s="187">
        <f t="shared" si="37"/>
        <v>0</v>
      </c>
      <c r="AX109" s="187">
        <f t="shared" si="37"/>
        <v>0</v>
      </c>
      <c r="AY109" s="187">
        <f t="shared" si="37"/>
        <v>0</v>
      </c>
      <c r="AZ109" s="187">
        <f t="shared" si="37"/>
        <v>0</v>
      </c>
      <c r="BA109" s="187">
        <f t="shared" si="37"/>
        <v>0</v>
      </c>
      <c r="BB109" s="188">
        <f t="shared" si="37"/>
        <v>0</v>
      </c>
      <c r="BC109" s="208">
        <f t="shared" si="37"/>
        <v>0</v>
      </c>
      <c r="BD109" s="208">
        <f t="shared" si="37"/>
        <v>0</v>
      </c>
      <c r="BE109" s="188">
        <f t="shared" si="37"/>
        <v>0</v>
      </c>
      <c r="BG109" s="208">
        <f t="shared" si="38"/>
        <v>0</v>
      </c>
      <c r="BH109" s="187">
        <f t="shared" si="38"/>
        <v>0</v>
      </c>
      <c r="BI109" s="187">
        <f t="shared" si="38"/>
        <v>0</v>
      </c>
      <c r="BJ109" s="187">
        <f t="shared" si="38"/>
        <v>0</v>
      </c>
      <c r="BK109" s="187">
        <f t="shared" si="38"/>
        <v>0</v>
      </c>
      <c r="BL109" s="187">
        <f t="shared" si="38"/>
        <v>0</v>
      </c>
      <c r="BM109" s="187">
        <f t="shared" si="38"/>
        <v>0</v>
      </c>
      <c r="BN109" s="187">
        <f t="shared" si="38"/>
        <v>0</v>
      </c>
      <c r="BO109" s="187">
        <f t="shared" si="38"/>
        <v>0</v>
      </c>
      <c r="BP109" s="187">
        <f t="shared" si="38"/>
        <v>0</v>
      </c>
      <c r="BQ109" s="187">
        <f t="shared" si="38"/>
        <v>0</v>
      </c>
      <c r="BR109" s="188">
        <f t="shared" si="38"/>
        <v>0</v>
      </c>
      <c r="BS109" s="208">
        <f t="shared" si="38"/>
        <v>0</v>
      </c>
      <c r="BT109" s="208">
        <f t="shared" si="38"/>
        <v>0</v>
      </c>
      <c r="BU109" s="188">
        <f t="shared" si="38"/>
        <v>0</v>
      </c>
      <c r="BW109" s="208">
        <f t="shared" si="39"/>
        <v>0</v>
      </c>
      <c r="BX109" s="187">
        <f t="shared" si="39"/>
        <v>0</v>
      </c>
      <c r="BY109" s="187">
        <f t="shared" si="39"/>
        <v>0</v>
      </c>
      <c r="BZ109" s="187">
        <f t="shared" si="39"/>
        <v>0</v>
      </c>
      <c r="CA109" s="187">
        <f t="shared" si="39"/>
        <v>0</v>
      </c>
      <c r="CB109" s="187">
        <f t="shared" si="39"/>
        <v>0</v>
      </c>
      <c r="CC109" s="187">
        <f t="shared" si="39"/>
        <v>0</v>
      </c>
      <c r="CD109" s="187">
        <f t="shared" si="39"/>
        <v>0</v>
      </c>
      <c r="CE109" s="187">
        <f t="shared" si="39"/>
        <v>0</v>
      </c>
      <c r="CF109" s="187">
        <f t="shared" si="39"/>
        <v>0</v>
      </c>
      <c r="CG109" s="187">
        <f t="shared" si="39"/>
        <v>0</v>
      </c>
      <c r="CH109" s="188">
        <f t="shared" si="39"/>
        <v>0</v>
      </c>
      <c r="CI109" s="208">
        <f t="shared" si="39"/>
        <v>0</v>
      </c>
      <c r="CJ109" s="208">
        <f t="shared" si="39"/>
        <v>0</v>
      </c>
      <c r="CK109" s="188">
        <f t="shared" si="39"/>
        <v>0</v>
      </c>
      <c r="CM109" s="208">
        <f t="shared" si="40"/>
        <v>0</v>
      </c>
      <c r="CN109" s="187">
        <f t="shared" si="40"/>
        <v>0</v>
      </c>
      <c r="CO109" s="187">
        <f t="shared" si="40"/>
        <v>0</v>
      </c>
      <c r="CP109" s="187">
        <f t="shared" si="40"/>
        <v>0</v>
      </c>
      <c r="CQ109" s="187">
        <f t="shared" si="40"/>
        <v>0</v>
      </c>
      <c r="CR109" s="187">
        <f t="shared" si="40"/>
        <v>0</v>
      </c>
      <c r="CS109" s="187">
        <f t="shared" si="40"/>
        <v>0</v>
      </c>
      <c r="CT109" s="187">
        <f t="shared" si="40"/>
        <v>0</v>
      </c>
      <c r="CU109" s="187">
        <f t="shared" si="40"/>
        <v>0</v>
      </c>
      <c r="CV109" s="187">
        <f t="shared" si="40"/>
        <v>0</v>
      </c>
      <c r="CW109" s="187">
        <f t="shared" si="40"/>
        <v>0</v>
      </c>
      <c r="CX109" s="188">
        <f t="shared" si="40"/>
        <v>0</v>
      </c>
      <c r="CY109" s="208">
        <f t="shared" si="40"/>
        <v>0</v>
      </c>
      <c r="CZ109" s="208">
        <f t="shared" si="40"/>
        <v>0</v>
      </c>
      <c r="DA109" s="188">
        <f t="shared" si="40"/>
        <v>0</v>
      </c>
    </row>
    <row r="110" spans="1:105">
      <c r="A110" s="222"/>
      <c r="B110" s="223"/>
      <c r="C110" s="223"/>
      <c r="D110" s="224"/>
      <c r="E110" s="225"/>
      <c r="F110" s="226"/>
      <c r="G110" s="226"/>
      <c r="H110" s="226"/>
      <c r="I110" s="226"/>
      <c r="J110" s="225"/>
      <c r="K110" s="226"/>
      <c r="L110" s="226"/>
      <c r="M110" s="226"/>
      <c r="N110" s="226"/>
      <c r="O110" s="226"/>
      <c r="P110" s="226"/>
      <c r="Q110" s="226"/>
      <c r="R110" s="226"/>
      <c r="S110" s="226"/>
      <c r="T110" s="226"/>
      <c r="U110" s="224"/>
      <c r="V110" s="225"/>
      <c r="W110" s="226"/>
      <c r="X110" s="224"/>
      <c r="Y110" s="226"/>
      <c r="AA110" s="208">
        <f t="shared" si="36"/>
        <v>0</v>
      </c>
      <c r="AB110" s="187">
        <f t="shared" si="36"/>
        <v>0</v>
      </c>
      <c r="AC110" s="187">
        <f t="shared" si="36"/>
        <v>0</v>
      </c>
      <c r="AD110" s="187">
        <f t="shared" si="36"/>
        <v>0</v>
      </c>
      <c r="AE110" s="187">
        <f t="shared" si="36"/>
        <v>0</v>
      </c>
      <c r="AF110" s="187">
        <f t="shared" si="36"/>
        <v>0</v>
      </c>
      <c r="AG110" s="187">
        <f t="shared" si="36"/>
        <v>0</v>
      </c>
      <c r="AH110" s="187">
        <f t="shared" si="36"/>
        <v>0</v>
      </c>
      <c r="AI110" s="187">
        <f t="shared" si="36"/>
        <v>0</v>
      </c>
      <c r="AJ110" s="187">
        <f t="shared" si="36"/>
        <v>0</v>
      </c>
      <c r="AK110" s="187">
        <f t="shared" si="36"/>
        <v>0</v>
      </c>
      <c r="AL110" s="187">
        <f t="shared" si="36"/>
        <v>0</v>
      </c>
      <c r="AM110" s="208">
        <f t="shared" si="36"/>
        <v>0</v>
      </c>
      <c r="AN110" s="187">
        <f t="shared" si="36"/>
        <v>0</v>
      </c>
      <c r="AO110" s="188">
        <f t="shared" si="36"/>
        <v>0</v>
      </c>
      <c r="AQ110" s="208">
        <f t="shared" si="37"/>
        <v>0</v>
      </c>
      <c r="AR110" s="187">
        <f t="shared" si="37"/>
        <v>0</v>
      </c>
      <c r="AS110" s="187">
        <f t="shared" si="37"/>
        <v>0</v>
      </c>
      <c r="AT110" s="187">
        <f t="shared" si="37"/>
        <v>0</v>
      </c>
      <c r="AU110" s="187">
        <f t="shared" si="37"/>
        <v>0</v>
      </c>
      <c r="AV110" s="187">
        <f t="shared" si="37"/>
        <v>0</v>
      </c>
      <c r="AW110" s="187">
        <f t="shared" si="37"/>
        <v>0</v>
      </c>
      <c r="AX110" s="187">
        <f t="shared" si="37"/>
        <v>0</v>
      </c>
      <c r="AY110" s="187">
        <f t="shared" si="37"/>
        <v>0</v>
      </c>
      <c r="AZ110" s="187">
        <f t="shared" si="37"/>
        <v>0</v>
      </c>
      <c r="BA110" s="187">
        <f t="shared" si="37"/>
        <v>0</v>
      </c>
      <c r="BB110" s="188">
        <f t="shared" si="37"/>
        <v>0</v>
      </c>
      <c r="BC110" s="208">
        <f t="shared" si="37"/>
        <v>0</v>
      </c>
      <c r="BD110" s="208">
        <f t="shared" si="37"/>
        <v>0</v>
      </c>
      <c r="BE110" s="188">
        <f t="shared" si="37"/>
        <v>0</v>
      </c>
      <c r="BG110" s="208">
        <f t="shared" si="38"/>
        <v>0</v>
      </c>
      <c r="BH110" s="187">
        <f t="shared" si="38"/>
        <v>0</v>
      </c>
      <c r="BI110" s="187">
        <f t="shared" si="38"/>
        <v>0</v>
      </c>
      <c r="BJ110" s="187">
        <f t="shared" si="38"/>
        <v>0</v>
      </c>
      <c r="BK110" s="187">
        <f t="shared" si="38"/>
        <v>0</v>
      </c>
      <c r="BL110" s="187">
        <f t="shared" si="38"/>
        <v>0</v>
      </c>
      <c r="BM110" s="187">
        <f t="shared" si="38"/>
        <v>0</v>
      </c>
      <c r="BN110" s="187">
        <f t="shared" si="38"/>
        <v>0</v>
      </c>
      <c r="BO110" s="187">
        <f t="shared" si="38"/>
        <v>0</v>
      </c>
      <c r="BP110" s="187">
        <f t="shared" si="38"/>
        <v>0</v>
      </c>
      <c r="BQ110" s="187">
        <f t="shared" si="38"/>
        <v>0</v>
      </c>
      <c r="BR110" s="188">
        <f t="shared" si="38"/>
        <v>0</v>
      </c>
      <c r="BS110" s="208">
        <f t="shared" si="38"/>
        <v>0</v>
      </c>
      <c r="BT110" s="208">
        <f t="shared" si="38"/>
        <v>0</v>
      </c>
      <c r="BU110" s="188">
        <f t="shared" si="38"/>
        <v>0</v>
      </c>
      <c r="BW110" s="208">
        <f t="shared" si="39"/>
        <v>0</v>
      </c>
      <c r="BX110" s="187">
        <f t="shared" si="39"/>
        <v>0</v>
      </c>
      <c r="BY110" s="187">
        <f t="shared" si="39"/>
        <v>0</v>
      </c>
      <c r="BZ110" s="187">
        <f t="shared" si="39"/>
        <v>0</v>
      </c>
      <c r="CA110" s="187">
        <f t="shared" si="39"/>
        <v>0</v>
      </c>
      <c r="CB110" s="187">
        <f t="shared" si="39"/>
        <v>0</v>
      </c>
      <c r="CC110" s="187">
        <f t="shared" si="39"/>
        <v>0</v>
      </c>
      <c r="CD110" s="187">
        <f t="shared" si="39"/>
        <v>0</v>
      </c>
      <c r="CE110" s="187">
        <f t="shared" si="39"/>
        <v>0</v>
      </c>
      <c r="CF110" s="187">
        <f t="shared" si="39"/>
        <v>0</v>
      </c>
      <c r="CG110" s="187">
        <f t="shared" si="39"/>
        <v>0</v>
      </c>
      <c r="CH110" s="188">
        <f t="shared" si="39"/>
        <v>0</v>
      </c>
      <c r="CI110" s="208">
        <f t="shared" si="39"/>
        <v>0</v>
      </c>
      <c r="CJ110" s="208">
        <f t="shared" si="39"/>
        <v>0</v>
      </c>
      <c r="CK110" s="188">
        <f t="shared" si="39"/>
        <v>0</v>
      </c>
      <c r="CM110" s="208">
        <f t="shared" si="40"/>
        <v>0</v>
      </c>
      <c r="CN110" s="187">
        <f t="shared" si="40"/>
        <v>0</v>
      </c>
      <c r="CO110" s="187">
        <f t="shared" si="40"/>
        <v>0</v>
      </c>
      <c r="CP110" s="187">
        <f t="shared" si="40"/>
        <v>0</v>
      </c>
      <c r="CQ110" s="187">
        <f t="shared" si="40"/>
        <v>0</v>
      </c>
      <c r="CR110" s="187">
        <f t="shared" si="40"/>
        <v>0</v>
      </c>
      <c r="CS110" s="187">
        <f t="shared" si="40"/>
        <v>0</v>
      </c>
      <c r="CT110" s="187">
        <f t="shared" si="40"/>
        <v>0</v>
      </c>
      <c r="CU110" s="187">
        <f t="shared" si="40"/>
        <v>0</v>
      </c>
      <c r="CV110" s="187">
        <f t="shared" si="40"/>
        <v>0</v>
      </c>
      <c r="CW110" s="187">
        <f t="shared" si="40"/>
        <v>0</v>
      </c>
      <c r="CX110" s="188">
        <f t="shared" si="40"/>
        <v>0</v>
      </c>
      <c r="CY110" s="208">
        <f t="shared" si="40"/>
        <v>0</v>
      </c>
      <c r="CZ110" s="208">
        <f t="shared" si="40"/>
        <v>0</v>
      </c>
      <c r="DA110" s="188">
        <f t="shared" si="40"/>
        <v>0</v>
      </c>
    </row>
    <row r="111" spans="1:105" ht="15" thickBot="1">
      <c r="A111" s="227"/>
      <c r="B111" s="228"/>
      <c r="C111" s="228"/>
      <c r="D111" s="229"/>
      <c r="E111" s="230"/>
      <c r="F111" s="215"/>
      <c r="G111" s="215"/>
      <c r="H111" s="215"/>
      <c r="I111" s="215"/>
      <c r="J111" s="230"/>
      <c r="K111" s="215"/>
      <c r="L111" s="215"/>
      <c r="M111" s="215"/>
      <c r="N111" s="215"/>
      <c r="O111" s="215"/>
      <c r="P111" s="215"/>
      <c r="Q111" s="215"/>
      <c r="R111" s="215"/>
      <c r="S111" s="215"/>
      <c r="T111" s="215"/>
      <c r="U111" s="229"/>
      <c r="V111" s="230"/>
      <c r="W111" s="215"/>
      <c r="X111" s="229"/>
      <c r="Y111" s="226"/>
      <c r="AA111" s="208">
        <f t="shared" si="36"/>
        <v>0</v>
      </c>
      <c r="AB111" s="187">
        <f t="shared" si="36"/>
        <v>0</v>
      </c>
      <c r="AC111" s="187">
        <f t="shared" si="36"/>
        <v>0</v>
      </c>
      <c r="AD111" s="187">
        <f t="shared" si="36"/>
        <v>0</v>
      </c>
      <c r="AE111" s="187">
        <f t="shared" si="36"/>
        <v>0</v>
      </c>
      <c r="AF111" s="187">
        <f t="shared" si="36"/>
        <v>0</v>
      </c>
      <c r="AG111" s="187">
        <f t="shared" si="36"/>
        <v>0</v>
      </c>
      <c r="AH111" s="187">
        <f t="shared" si="36"/>
        <v>0</v>
      </c>
      <c r="AI111" s="187">
        <f t="shared" si="36"/>
        <v>0</v>
      </c>
      <c r="AJ111" s="187">
        <f t="shared" si="36"/>
        <v>0</v>
      </c>
      <c r="AK111" s="187">
        <f t="shared" si="36"/>
        <v>0</v>
      </c>
      <c r="AL111" s="187">
        <f t="shared" si="36"/>
        <v>0</v>
      </c>
      <c r="AM111" s="208">
        <f t="shared" si="36"/>
        <v>0</v>
      </c>
      <c r="AN111" s="187">
        <f t="shared" si="36"/>
        <v>0</v>
      </c>
      <c r="AO111" s="188">
        <f t="shared" si="36"/>
        <v>0</v>
      </c>
      <c r="AQ111" s="208">
        <f t="shared" si="37"/>
        <v>0</v>
      </c>
      <c r="AR111" s="187">
        <f t="shared" si="37"/>
        <v>0</v>
      </c>
      <c r="AS111" s="187">
        <f t="shared" si="37"/>
        <v>0</v>
      </c>
      <c r="AT111" s="187">
        <f t="shared" si="37"/>
        <v>0</v>
      </c>
      <c r="AU111" s="187">
        <f t="shared" si="37"/>
        <v>0</v>
      </c>
      <c r="AV111" s="187">
        <f t="shared" si="37"/>
        <v>0</v>
      </c>
      <c r="AW111" s="187">
        <f t="shared" si="37"/>
        <v>0</v>
      </c>
      <c r="AX111" s="187">
        <f t="shared" si="37"/>
        <v>0</v>
      </c>
      <c r="AY111" s="187">
        <f t="shared" si="37"/>
        <v>0</v>
      </c>
      <c r="AZ111" s="187">
        <f t="shared" si="37"/>
        <v>0</v>
      </c>
      <c r="BA111" s="187">
        <f t="shared" si="37"/>
        <v>0</v>
      </c>
      <c r="BB111" s="188">
        <f t="shared" si="37"/>
        <v>0</v>
      </c>
      <c r="BC111" s="208">
        <f t="shared" si="37"/>
        <v>0</v>
      </c>
      <c r="BD111" s="208">
        <f t="shared" si="37"/>
        <v>0</v>
      </c>
      <c r="BE111" s="188">
        <f t="shared" si="37"/>
        <v>0</v>
      </c>
      <c r="BG111" s="208">
        <f t="shared" si="38"/>
        <v>0</v>
      </c>
      <c r="BH111" s="187">
        <f t="shared" si="38"/>
        <v>0</v>
      </c>
      <c r="BI111" s="187">
        <f t="shared" si="38"/>
        <v>0</v>
      </c>
      <c r="BJ111" s="187">
        <f t="shared" si="38"/>
        <v>0</v>
      </c>
      <c r="BK111" s="187">
        <f t="shared" si="38"/>
        <v>0</v>
      </c>
      <c r="BL111" s="187">
        <f t="shared" si="38"/>
        <v>0</v>
      </c>
      <c r="BM111" s="187">
        <f t="shared" si="38"/>
        <v>0</v>
      </c>
      <c r="BN111" s="187">
        <f t="shared" si="38"/>
        <v>0</v>
      </c>
      <c r="BO111" s="187">
        <f t="shared" si="38"/>
        <v>0</v>
      </c>
      <c r="BP111" s="187">
        <f t="shared" si="38"/>
        <v>0</v>
      </c>
      <c r="BQ111" s="187">
        <f t="shared" si="38"/>
        <v>0</v>
      </c>
      <c r="BR111" s="188">
        <f t="shared" si="38"/>
        <v>0</v>
      </c>
      <c r="BS111" s="208">
        <f t="shared" si="38"/>
        <v>0</v>
      </c>
      <c r="BT111" s="208">
        <f t="shared" si="38"/>
        <v>0</v>
      </c>
      <c r="BU111" s="188">
        <f t="shared" si="38"/>
        <v>0</v>
      </c>
      <c r="BW111" s="208">
        <f t="shared" si="39"/>
        <v>0</v>
      </c>
      <c r="BX111" s="187">
        <f t="shared" si="39"/>
        <v>0</v>
      </c>
      <c r="BY111" s="187">
        <f t="shared" si="39"/>
        <v>0</v>
      </c>
      <c r="BZ111" s="187">
        <f t="shared" si="39"/>
        <v>0</v>
      </c>
      <c r="CA111" s="187">
        <f t="shared" si="39"/>
        <v>0</v>
      </c>
      <c r="CB111" s="187">
        <f t="shared" si="39"/>
        <v>0</v>
      </c>
      <c r="CC111" s="187">
        <f t="shared" si="39"/>
        <v>0</v>
      </c>
      <c r="CD111" s="187">
        <f t="shared" si="39"/>
        <v>0</v>
      </c>
      <c r="CE111" s="187">
        <f t="shared" si="39"/>
        <v>0</v>
      </c>
      <c r="CF111" s="187">
        <f t="shared" si="39"/>
        <v>0</v>
      </c>
      <c r="CG111" s="187">
        <f t="shared" si="39"/>
        <v>0</v>
      </c>
      <c r="CH111" s="188">
        <f t="shared" si="39"/>
        <v>0</v>
      </c>
      <c r="CI111" s="208">
        <f t="shared" si="39"/>
        <v>0</v>
      </c>
      <c r="CJ111" s="208">
        <f t="shared" si="39"/>
        <v>0</v>
      </c>
      <c r="CK111" s="188">
        <f t="shared" si="39"/>
        <v>0</v>
      </c>
      <c r="CM111" s="208">
        <f t="shared" si="40"/>
        <v>0</v>
      </c>
      <c r="CN111" s="187">
        <f t="shared" si="40"/>
        <v>0</v>
      </c>
      <c r="CO111" s="187">
        <f t="shared" si="40"/>
        <v>0</v>
      </c>
      <c r="CP111" s="187">
        <f t="shared" si="40"/>
        <v>0</v>
      </c>
      <c r="CQ111" s="187">
        <f t="shared" si="40"/>
        <v>0</v>
      </c>
      <c r="CR111" s="187">
        <f t="shared" si="40"/>
        <v>0</v>
      </c>
      <c r="CS111" s="187">
        <f t="shared" si="40"/>
        <v>0</v>
      </c>
      <c r="CT111" s="187">
        <f t="shared" si="40"/>
        <v>0</v>
      </c>
      <c r="CU111" s="187">
        <f t="shared" si="40"/>
        <v>0</v>
      </c>
      <c r="CV111" s="187">
        <f t="shared" si="40"/>
        <v>0</v>
      </c>
      <c r="CW111" s="187">
        <f t="shared" si="40"/>
        <v>0</v>
      </c>
      <c r="CX111" s="188">
        <f t="shared" si="40"/>
        <v>0</v>
      </c>
      <c r="CY111" s="208">
        <f t="shared" si="40"/>
        <v>0</v>
      </c>
      <c r="CZ111" s="208">
        <f t="shared" si="40"/>
        <v>0</v>
      </c>
      <c r="DA111" s="188">
        <f t="shared" si="40"/>
        <v>0</v>
      </c>
    </row>
    <row r="112" spans="1:105">
      <c r="AA112" s="208">
        <f t="shared" si="36"/>
        <v>0</v>
      </c>
      <c r="AB112" s="187">
        <f t="shared" si="36"/>
        <v>0</v>
      </c>
      <c r="AC112" s="187">
        <f t="shared" si="36"/>
        <v>0</v>
      </c>
      <c r="AD112" s="187">
        <f t="shared" si="36"/>
        <v>0</v>
      </c>
      <c r="AE112" s="187">
        <f t="shared" si="36"/>
        <v>0</v>
      </c>
      <c r="AF112" s="187">
        <f t="shared" si="36"/>
        <v>0</v>
      </c>
      <c r="AG112" s="187">
        <f t="shared" si="36"/>
        <v>0</v>
      </c>
      <c r="AH112" s="187">
        <f t="shared" si="36"/>
        <v>0</v>
      </c>
      <c r="AI112" s="187">
        <f t="shared" si="36"/>
        <v>0</v>
      </c>
      <c r="AJ112" s="187">
        <f t="shared" si="36"/>
        <v>0</v>
      </c>
      <c r="AK112" s="187">
        <f t="shared" si="36"/>
        <v>0</v>
      </c>
      <c r="AL112" s="187">
        <f t="shared" si="36"/>
        <v>0</v>
      </c>
      <c r="AM112" s="208">
        <f t="shared" si="36"/>
        <v>0</v>
      </c>
      <c r="AN112" s="187">
        <f t="shared" si="36"/>
        <v>0</v>
      </c>
      <c r="AO112" s="188">
        <f t="shared" si="36"/>
        <v>0</v>
      </c>
      <c r="AQ112" s="208">
        <f t="shared" si="37"/>
        <v>0</v>
      </c>
      <c r="AR112" s="187">
        <f t="shared" si="37"/>
        <v>0</v>
      </c>
      <c r="AS112" s="187">
        <f t="shared" si="37"/>
        <v>0</v>
      </c>
      <c r="AT112" s="187">
        <f t="shared" si="37"/>
        <v>0</v>
      </c>
      <c r="AU112" s="187">
        <f t="shared" si="37"/>
        <v>0</v>
      </c>
      <c r="AV112" s="187">
        <f t="shared" si="37"/>
        <v>0</v>
      </c>
      <c r="AW112" s="187">
        <f t="shared" si="37"/>
        <v>0</v>
      </c>
      <c r="AX112" s="187">
        <f t="shared" si="37"/>
        <v>0</v>
      </c>
      <c r="AY112" s="187">
        <f t="shared" si="37"/>
        <v>0</v>
      </c>
      <c r="AZ112" s="187">
        <f t="shared" si="37"/>
        <v>0</v>
      </c>
      <c r="BA112" s="187">
        <f t="shared" si="37"/>
        <v>0</v>
      </c>
      <c r="BB112" s="188">
        <f t="shared" si="37"/>
        <v>0</v>
      </c>
      <c r="BC112" s="208">
        <f t="shared" si="37"/>
        <v>0</v>
      </c>
      <c r="BD112" s="208">
        <f t="shared" si="37"/>
        <v>0</v>
      </c>
      <c r="BE112" s="188">
        <f t="shared" si="37"/>
        <v>0</v>
      </c>
      <c r="BG112" s="208">
        <f t="shared" si="38"/>
        <v>0</v>
      </c>
      <c r="BH112" s="187">
        <f t="shared" si="38"/>
        <v>0</v>
      </c>
      <c r="BI112" s="187">
        <f t="shared" si="38"/>
        <v>0</v>
      </c>
      <c r="BJ112" s="187">
        <f t="shared" si="38"/>
        <v>0</v>
      </c>
      <c r="BK112" s="187">
        <f t="shared" si="38"/>
        <v>0</v>
      </c>
      <c r="BL112" s="187">
        <f t="shared" si="38"/>
        <v>0</v>
      </c>
      <c r="BM112" s="187">
        <f t="shared" si="38"/>
        <v>0</v>
      </c>
      <c r="BN112" s="187">
        <f t="shared" si="38"/>
        <v>0</v>
      </c>
      <c r="BO112" s="187">
        <f t="shared" si="38"/>
        <v>0</v>
      </c>
      <c r="BP112" s="187">
        <f t="shared" si="38"/>
        <v>0</v>
      </c>
      <c r="BQ112" s="187">
        <f t="shared" si="38"/>
        <v>0</v>
      </c>
      <c r="BR112" s="188">
        <f t="shared" si="38"/>
        <v>0</v>
      </c>
      <c r="BS112" s="208">
        <f t="shared" si="38"/>
        <v>0</v>
      </c>
      <c r="BT112" s="208">
        <f t="shared" si="38"/>
        <v>0</v>
      </c>
      <c r="BU112" s="188">
        <f t="shared" si="38"/>
        <v>0</v>
      </c>
      <c r="BW112" s="208">
        <f t="shared" si="39"/>
        <v>0</v>
      </c>
      <c r="BX112" s="187">
        <f t="shared" si="39"/>
        <v>0</v>
      </c>
      <c r="BY112" s="187">
        <f t="shared" si="39"/>
        <v>0</v>
      </c>
      <c r="BZ112" s="187">
        <f t="shared" si="39"/>
        <v>0</v>
      </c>
      <c r="CA112" s="187">
        <f t="shared" si="39"/>
        <v>0</v>
      </c>
      <c r="CB112" s="187">
        <f t="shared" si="39"/>
        <v>0</v>
      </c>
      <c r="CC112" s="187">
        <f t="shared" si="39"/>
        <v>0</v>
      </c>
      <c r="CD112" s="187">
        <f t="shared" si="39"/>
        <v>0</v>
      </c>
      <c r="CE112" s="187">
        <f t="shared" si="39"/>
        <v>0</v>
      </c>
      <c r="CF112" s="187">
        <f t="shared" si="39"/>
        <v>0</v>
      </c>
      <c r="CG112" s="187">
        <f t="shared" si="39"/>
        <v>0</v>
      </c>
      <c r="CH112" s="188">
        <f t="shared" si="39"/>
        <v>0</v>
      </c>
      <c r="CI112" s="208">
        <f t="shared" si="39"/>
        <v>0</v>
      </c>
      <c r="CJ112" s="208">
        <f t="shared" si="39"/>
        <v>0</v>
      </c>
      <c r="CK112" s="188">
        <f t="shared" si="39"/>
        <v>0</v>
      </c>
      <c r="CM112" s="208">
        <f t="shared" si="40"/>
        <v>0</v>
      </c>
      <c r="CN112" s="187">
        <f t="shared" si="40"/>
        <v>0</v>
      </c>
      <c r="CO112" s="187">
        <f t="shared" si="40"/>
        <v>0</v>
      </c>
      <c r="CP112" s="187">
        <f t="shared" si="40"/>
        <v>0</v>
      </c>
      <c r="CQ112" s="187">
        <f t="shared" si="40"/>
        <v>0</v>
      </c>
      <c r="CR112" s="187">
        <f t="shared" si="40"/>
        <v>0</v>
      </c>
      <c r="CS112" s="187">
        <f t="shared" si="40"/>
        <v>0</v>
      </c>
      <c r="CT112" s="187">
        <f t="shared" si="40"/>
        <v>0</v>
      </c>
      <c r="CU112" s="187">
        <f t="shared" si="40"/>
        <v>0</v>
      </c>
      <c r="CV112" s="187">
        <f t="shared" si="40"/>
        <v>0</v>
      </c>
      <c r="CW112" s="187">
        <f t="shared" si="40"/>
        <v>0</v>
      </c>
      <c r="CX112" s="188">
        <f t="shared" si="40"/>
        <v>0</v>
      </c>
      <c r="CY112" s="208">
        <f t="shared" si="40"/>
        <v>0</v>
      </c>
      <c r="CZ112" s="208">
        <f t="shared" si="40"/>
        <v>0</v>
      </c>
      <c r="DA112" s="188">
        <f t="shared" si="40"/>
        <v>0</v>
      </c>
    </row>
    <row r="113" spans="27:105">
      <c r="AA113" s="208">
        <f t="shared" si="36"/>
        <v>0</v>
      </c>
      <c r="AB113" s="187">
        <f t="shared" si="36"/>
        <v>0</v>
      </c>
      <c r="AC113" s="187">
        <f t="shared" si="36"/>
        <v>0</v>
      </c>
      <c r="AD113" s="187">
        <f t="shared" si="36"/>
        <v>0</v>
      </c>
      <c r="AE113" s="187">
        <f t="shared" si="36"/>
        <v>0</v>
      </c>
      <c r="AF113" s="187">
        <f t="shared" si="36"/>
        <v>0</v>
      </c>
      <c r="AG113" s="187">
        <f t="shared" si="36"/>
        <v>0</v>
      </c>
      <c r="AH113" s="187">
        <f t="shared" si="36"/>
        <v>0</v>
      </c>
      <c r="AI113" s="187">
        <f t="shared" si="36"/>
        <v>0</v>
      </c>
      <c r="AJ113" s="187">
        <f t="shared" si="36"/>
        <v>0</v>
      </c>
      <c r="AK113" s="187">
        <f t="shared" si="36"/>
        <v>0</v>
      </c>
      <c r="AL113" s="187">
        <f t="shared" si="36"/>
        <v>0</v>
      </c>
      <c r="AM113" s="208">
        <f t="shared" si="36"/>
        <v>0</v>
      </c>
      <c r="AN113" s="187">
        <f t="shared" si="36"/>
        <v>0</v>
      </c>
      <c r="AO113" s="188">
        <f t="shared" si="36"/>
        <v>0</v>
      </c>
      <c r="AQ113" s="208">
        <f t="shared" si="37"/>
        <v>0</v>
      </c>
      <c r="AR113" s="187">
        <f t="shared" si="37"/>
        <v>0</v>
      </c>
      <c r="AS113" s="187">
        <f t="shared" si="37"/>
        <v>0</v>
      </c>
      <c r="AT113" s="187">
        <f t="shared" si="37"/>
        <v>0</v>
      </c>
      <c r="AU113" s="187">
        <f t="shared" si="37"/>
        <v>0</v>
      </c>
      <c r="AV113" s="187">
        <f t="shared" si="37"/>
        <v>0</v>
      </c>
      <c r="AW113" s="187">
        <f t="shared" si="37"/>
        <v>0</v>
      </c>
      <c r="AX113" s="187">
        <f t="shared" si="37"/>
        <v>0</v>
      </c>
      <c r="AY113" s="187">
        <f t="shared" si="37"/>
        <v>0</v>
      </c>
      <c r="AZ113" s="187">
        <f t="shared" si="37"/>
        <v>0</v>
      </c>
      <c r="BA113" s="187">
        <f t="shared" si="37"/>
        <v>0</v>
      </c>
      <c r="BB113" s="188">
        <f t="shared" si="37"/>
        <v>0</v>
      </c>
      <c r="BC113" s="208">
        <f t="shared" si="37"/>
        <v>0</v>
      </c>
      <c r="BD113" s="208">
        <f t="shared" si="37"/>
        <v>0</v>
      </c>
      <c r="BE113" s="188">
        <f t="shared" si="37"/>
        <v>0</v>
      </c>
      <c r="BG113" s="208">
        <f t="shared" si="38"/>
        <v>0</v>
      </c>
      <c r="BH113" s="187">
        <f t="shared" si="38"/>
        <v>0</v>
      </c>
      <c r="BI113" s="187">
        <f t="shared" si="38"/>
        <v>0</v>
      </c>
      <c r="BJ113" s="187">
        <f t="shared" si="38"/>
        <v>0</v>
      </c>
      <c r="BK113" s="187">
        <f t="shared" si="38"/>
        <v>0</v>
      </c>
      <c r="BL113" s="187">
        <f t="shared" si="38"/>
        <v>0</v>
      </c>
      <c r="BM113" s="187">
        <f t="shared" si="38"/>
        <v>0</v>
      </c>
      <c r="BN113" s="187">
        <f t="shared" si="38"/>
        <v>0</v>
      </c>
      <c r="BO113" s="187">
        <f t="shared" si="38"/>
        <v>0</v>
      </c>
      <c r="BP113" s="187">
        <f t="shared" si="38"/>
        <v>0</v>
      </c>
      <c r="BQ113" s="187">
        <f t="shared" si="38"/>
        <v>0</v>
      </c>
      <c r="BR113" s="188">
        <f t="shared" si="38"/>
        <v>0</v>
      </c>
      <c r="BS113" s="208">
        <f t="shared" si="38"/>
        <v>0</v>
      </c>
      <c r="BT113" s="208">
        <f t="shared" si="38"/>
        <v>0</v>
      </c>
      <c r="BU113" s="188">
        <f t="shared" si="38"/>
        <v>0</v>
      </c>
      <c r="BW113" s="208">
        <f t="shared" si="39"/>
        <v>0</v>
      </c>
      <c r="BX113" s="187">
        <f t="shared" si="39"/>
        <v>0</v>
      </c>
      <c r="BY113" s="187">
        <f t="shared" si="39"/>
        <v>0</v>
      </c>
      <c r="BZ113" s="187">
        <f t="shared" si="39"/>
        <v>0</v>
      </c>
      <c r="CA113" s="187">
        <f t="shared" si="39"/>
        <v>0</v>
      </c>
      <c r="CB113" s="187">
        <f t="shared" si="39"/>
        <v>0</v>
      </c>
      <c r="CC113" s="187">
        <f t="shared" si="39"/>
        <v>0</v>
      </c>
      <c r="CD113" s="187">
        <f t="shared" si="39"/>
        <v>0</v>
      </c>
      <c r="CE113" s="187">
        <f t="shared" si="39"/>
        <v>0</v>
      </c>
      <c r="CF113" s="187">
        <f t="shared" si="39"/>
        <v>0</v>
      </c>
      <c r="CG113" s="187">
        <f t="shared" si="39"/>
        <v>0</v>
      </c>
      <c r="CH113" s="188">
        <f t="shared" si="39"/>
        <v>0</v>
      </c>
      <c r="CI113" s="208">
        <f t="shared" si="39"/>
        <v>0</v>
      </c>
      <c r="CJ113" s="208">
        <f t="shared" si="39"/>
        <v>0</v>
      </c>
      <c r="CK113" s="188">
        <f t="shared" si="39"/>
        <v>0</v>
      </c>
      <c r="CM113" s="208">
        <f t="shared" si="40"/>
        <v>0</v>
      </c>
      <c r="CN113" s="187">
        <f t="shared" si="40"/>
        <v>0</v>
      </c>
      <c r="CO113" s="187">
        <f t="shared" si="40"/>
        <v>0</v>
      </c>
      <c r="CP113" s="187">
        <f t="shared" si="40"/>
        <v>0</v>
      </c>
      <c r="CQ113" s="187">
        <f t="shared" si="40"/>
        <v>0</v>
      </c>
      <c r="CR113" s="187">
        <f t="shared" si="40"/>
        <v>0</v>
      </c>
      <c r="CS113" s="187">
        <f t="shared" si="40"/>
        <v>0</v>
      </c>
      <c r="CT113" s="187">
        <f t="shared" si="40"/>
        <v>0</v>
      </c>
      <c r="CU113" s="187">
        <f t="shared" si="40"/>
        <v>0</v>
      </c>
      <c r="CV113" s="187">
        <f t="shared" si="40"/>
        <v>0</v>
      </c>
      <c r="CW113" s="187">
        <f t="shared" si="40"/>
        <v>0</v>
      </c>
      <c r="CX113" s="188">
        <f t="shared" si="40"/>
        <v>0</v>
      </c>
      <c r="CY113" s="208">
        <f t="shared" si="40"/>
        <v>0</v>
      </c>
      <c r="CZ113" s="208">
        <f t="shared" si="40"/>
        <v>0</v>
      </c>
      <c r="DA113" s="188">
        <f t="shared" si="40"/>
        <v>0</v>
      </c>
    </row>
  </sheetData>
  <mergeCells count="17">
    <mergeCell ref="BS1:BU1"/>
    <mergeCell ref="BW1:CH1"/>
    <mergeCell ref="CI1:CK1"/>
    <mergeCell ref="CM1:CX1"/>
    <mergeCell ref="CY1:DA1"/>
    <mergeCell ref="BG1:BR1"/>
    <mergeCell ref="A1:A4"/>
    <mergeCell ref="B1:B4"/>
    <mergeCell ref="C1:C4"/>
    <mergeCell ref="D1:D4"/>
    <mergeCell ref="E1:I1"/>
    <mergeCell ref="J1:U1"/>
    <mergeCell ref="V1:X1"/>
    <mergeCell ref="AA1:AL1"/>
    <mergeCell ref="AM1:AO1"/>
    <mergeCell ref="AQ1:BB1"/>
    <mergeCell ref="BC1:BE1"/>
  </mergeCells>
  <dataValidations count="1">
    <dataValidation type="list" allowBlank="1" showInputMessage="1" showErrorMessage="1" sqref="C5:C111" xr:uid="{00000000-0002-0000-0100-000000000000}">
      <formula1>"Th,Pr,Oth"</formula1>
    </dataValidation>
  </dataValidations>
  <pageMargins left="0.83" right="0.23" top="0.17" bottom="0.16" header="0.3" footer="0.3"/>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3"/>
  <sheetViews>
    <sheetView workbookViewId="0">
      <selection activeCell="B9" sqref="B9"/>
    </sheetView>
  </sheetViews>
  <sheetFormatPr defaultColWidth="9.109375" defaultRowHeight="14.4"/>
  <cols>
    <col min="1" max="1" width="11.33203125" style="187" customWidth="1"/>
    <col min="2" max="2" width="47.88671875" style="234" customWidth="1"/>
    <col min="3" max="3" width="6.5546875" style="187" customWidth="1"/>
    <col min="4" max="4" width="7.88671875" style="170" customWidth="1"/>
    <col min="5" max="5" width="11" style="170" customWidth="1"/>
    <col min="6" max="6" width="12" style="170" customWidth="1"/>
    <col min="7" max="16384" width="9.109375" style="170"/>
  </cols>
  <sheetData>
    <row r="1" spans="1:6" ht="21" customHeight="1">
      <c r="B1" s="337" t="s">
        <v>250</v>
      </c>
      <c r="C1" s="338"/>
      <c r="D1" s="338"/>
      <c r="E1" s="338"/>
    </row>
    <row r="2" spans="1:6" ht="19.5" customHeight="1">
      <c r="B2" s="338"/>
      <c r="C2" s="338"/>
      <c r="D2" s="338"/>
      <c r="E2" s="338"/>
    </row>
    <row r="3" spans="1:6">
      <c r="A3" s="232" t="s">
        <v>251</v>
      </c>
      <c r="B3" s="233" t="str">
        <f>CONCATENATE('[1]Input Data'!B1:D1, "(", '[1]Input Data'!B2, " )")</f>
        <v>Analog and Digital Engineering(BE03009011  )</v>
      </c>
    </row>
    <row r="4" spans="1:6">
      <c r="A4" s="232" t="s">
        <v>252</v>
      </c>
      <c r="B4" s="234" t="str">
        <f>'[1]Input Data'!B4</f>
        <v>Nupur Sinha, M. N. Priyadarshi</v>
      </c>
    </row>
    <row r="5" spans="1:6">
      <c r="A5" s="235" t="s">
        <v>253</v>
      </c>
      <c r="B5" s="233" t="str">
        <f>'[1]Input Data'!B5</f>
        <v>14/07/2025  to 02/12/2025    (ODD Term 2025-26)</v>
      </c>
    </row>
    <row r="6" spans="1:6" ht="15" thickBot="1"/>
    <row r="7" spans="1:6" ht="28.2" thickBot="1">
      <c r="A7" s="236" t="s">
        <v>254</v>
      </c>
      <c r="B7" s="237" t="s">
        <v>255</v>
      </c>
      <c r="C7" s="237" t="s">
        <v>256</v>
      </c>
      <c r="D7" s="237" t="s">
        <v>257</v>
      </c>
      <c r="E7" s="237" t="s">
        <v>258</v>
      </c>
      <c r="F7" s="237" t="s">
        <v>259</v>
      </c>
    </row>
    <row r="8" spans="1:6" ht="31.8" thickBot="1">
      <c r="A8" s="238" t="str">
        <f>COPO_Th_Pr_Oth!A5</f>
        <v>Unit 1</v>
      </c>
      <c r="B8" s="239" t="str">
        <f>COPO_Th_Pr_Oth!B5</f>
        <v>Differential, multi-stage and operational amplifiers</v>
      </c>
      <c r="C8" s="240">
        <f>SUM(D9:D15)</f>
        <v>8</v>
      </c>
      <c r="D8" s="241">
        <v>0</v>
      </c>
      <c r="E8" s="241"/>
      <c r="F8" s="242"/>
    </row>
    <row r="9" spans="1:6" ht="15.6">
      <c r="A9" s="243">
        <f>COPO_Th_Pr_Oth!A6</f>
        <v>1.1000000000000001</v>
      </c>
      <c r="B9" s="244" t="str">
        <f>COPO_Th_Pr_Oth!B6</f>
        <v>Differential Amplifier</v>
      </c>
      <c r="C9" s="245"/>
      <c r="D9" s="245">
        <f>IF(COPO_Th_Pr_Oth!C6="Th",COPO_Th_Pr_Oth!D6,0)</f>
        <v>2</v>
      </c>
      <c r="E9" s="246"/>
      <c r="F9" s="247"/>
    </row>
    <row r="10" spans="1:6" ht="15">
      <c r="A10" s="248">
        <f>COPO_Th_Pr_Oth!A7</f>
        <v>1.2</v>
      </c>
      <c r="B10" s="249" t="str">
        <f>COPO_Th_Pr_Oth!B7</f>
        <v>Power Amplifier</v>
      </c>
      <c r="C10" s="250"/>
      <c r="D10" s="250">
        <f>IF(COPO_Th_Pr_Oth!C7="Th",COPO_Th_Pr_Oth!D7,0)</f>
        <v>1</v>
      </c>
      <c r="E10" s="251"/>
      <c r="F10" s="252"/>
    </row>
    <row r="11" spans="1:6" ht="15">
      <c r="A11" s="248">
        <f>COPO_Th_Pr_Oth!A8</f>
        <v>1.3</v>
      </c>
      <c r="B11" s="249" t="str">
        <f>COPO_Th_Pr_Oth!B8</f>
        <v xml:space="preserve">Direct Coupled Multi-Stage Amplifier </v>
      </c>
      <c r="C11" s="250"/>
      <c r="D11" s="250">
        <f>IF(COPO_Th_Pr_Oth!C8="Th",COPO_Th_Pr_Oth!D8,0)</f>
        <v>1</v>
      </c>
      <c r="E11" s="251"/>
      <c r="F11" s="252"/>
    </row>
    <row r="12" spans="1:6" ht="15">
      <c r="A12" s="248">
        <f>COPO_Th_Pr_Oth!A9</f>
        <v>1.4</v>
      </c>
      <c r="B12" s="249" t="str">
        <f>COPO_Th_Pr_Oth!B9</f>
        <v>Internal Structure of an Operational Amplifier</v>
      </c>
      <c r="C12" s="250"/>
      <c r="D12" s="250">
        <f>IF(COPO_Th_Pr_Oth!C9="Th",COPO_Th_Pr_Oth!D9,0)</f>
        <v>1</v>
      </c>
      <c r="E12" s="251"/>
      <c r="F12" s="252"/>
    </row>
    <row r="13" spans="1:6" ht="15.6">
      <c r="A13" s="243">
        <f>COPO_Th_Pr_Oth!A10</f>
        <v>1.5</v>
      </c>
      <c r="B13" s="244" t="str">
        <f>COPO_Th_Pr_Oth!B10</f>
        <v>Ideal Op-Amp, Non-Idealities in an Op-Amp</v>
      </c>
      <c r="C13" s="253"/>
      <c r="D13" s="245">
        <f>IF(COPO_Th_Pr_Oth!C10="Th",COPO_Th_Pr_Oth!D10,0)</f>
        <v>1</v>
      </c>
      <c r="E13" s="251"/>
      <c r="F13" s="252"/>
    </row>
    <row r="14" spans="1:6" ht="15">
      <c r="A14" s="248">
        <f>COPO_Th_Pr_Oth!A11</f>
        <v>1.6</v>
      </c>
      <c r="B14" s="249" t="str">
        <f>COPO_Th_Pr_Oth!B11</f>
        <v>Output Offset Voltage, Input Bias Current</v>
      </c>
      <c r="C14" s="253"/>
      <c r="D14" s="250">
        <f>IF(COPO_Th_Pr_Oth!C11="Th",COPO_Th_Pr_Oth!D11,0)</f>
        <v>1</v>
      </c>
      <c r="E14" s="251"/>
      <c r="F14" s="252"/>
    </row>
    <row r="15" spans="1:6" ht="30.6" thickBot="1">
      <c r="A15" s="248">
        <f>COPO_Th_Pr_Oth!A12</f>
        <v>1.7</v>
      </c>
      <c r="B15" s="249" t="str">
        <f>COPO_Th_Pr_Oth!B12</f>
        <v>Input Offset Current, Slew Rate, Gain Bandwidth Product</v>
      </c>
      <c r="C15" s="253"/>
      <c r="D15" s="250">
        <f>IF(COPO_Th_Pr_Oth!C12="Th",COPO_Th_Pr_Oth!D12,0)</f>
        <v>1</v>
      </c>
      <c r="E15" s="254"/>
      <c r="F15" s="255"/>
    </row>
    <row r="16" spans="1:6" ht="16.2" thickBot="1">
      <c r="A16" s="238" t="str">
        <f>COPO_Th_Pr_Oth!A13</f>
        <v>Unit 2</v>
      </c>
      <c r="B16" s="239" t="str">
        <f>COPO_Th_Pr_Oth!B13</f>
        <v>Linear applications of op-amp</v>
      </c>
      <c r="C16" s="240">
        <f>SUM(D17:D22)</f>
        <v>6</v>
      </c>
      <c r="D16" s="241">
        <f>IF(COPO_Th_Pr_Oth!C13="Th",COPO_Th_Pr_Oth!D13,0)</f>
        <v>0</v>
      </c>
      <c r="E16" s="241"/>
      <c r="F16" s="242"/>
    </row>
    <row r="17" spans="1:6" ht="15">
      <c r="A17" s="248">
        <f>COPO_Th_Pr_Oth!A14</f>
        <v>2.1</v>
      </c>
      <c r="B17" s="249" t="str">
        <f>COPO_Th_Pr_Oth!B14</f>
        <v>Idealized Analysis of Op-Amp Circuits</v>
      </c>
      <c r="C17" s="250"/>
      <c r="D17" s="250">
        <f>IF(COPO_Th_Pr_Oth!C14="Th",COPO_Th_Pr_Oth!D14,0)</f>
        <v>1</v>
      </c>
      <c r="E17" s="251"/>
      <c r="F17" s="252"/>
    </row>
    <row r="18" spans="1:6" ht="15">
      <c r="A18" s="248">
        <f>COPO_Th_Pr_Oth!A15</f>
        <v>2.2000000000000002</v>
      </c>
      <c r="B18" s="249" t="str">
        <f>COPO_Th_Pr_Oth!B15</f>
        <v>Inverting and Non-Inverting Amplifier</v>
      </c>
      <c r="C18" s="256"/>
      <c r="D18" s="250">
        <f>IF(COPO_Th_Pr_Oth!C15="Th",COPO_Th_Pr_Oth!D15,0)</f>
        <v>1</v>
      </c>
      <c r="E18" s="250"/>
      <c r="F18" s="252"/>
    </row>
    <row r="19" spans="1:6" ht="15">
      <c r="A19" s="248">
        <f>COPO_Th_Pr_Oth!A16</f>
        <v>2.2999999999999998</v>
      </c>
      <c r="B19" s="249" t="str">
        <f>COPO_Th_Pr_Oth!B16</f>
        <v>Differential Amplifier, Instrumentation Amplifier</v>
      </c>
      <c r="C19" s="250"/>
      <c r="D19" s="250">
        <f>IF(COPO_Th_Pr_Oth!C16="Th",COPO_Th_Pr_Oth!D16,0)</f>
        <v>1</v>
      </c>
      <c r="E19" s="251"/>
      <c r="F19" s="252"/>
    </row>
    <row r="20" spans="1:6" ht="15">
      <c r="A20" s="248">
        <f>COPO_Th_Pr_Oth!A17</f>
        <v>2.4</v>
      </c>
      <c r="B20" s="249" t="str">
        <f>COPO_Th_Pr_Oth!B17</f>
        <v>Integrator and Differentiator</v>
      </c>
      <c r="C20" s="250"/>
      <c r="D20" s="250">
        <f>IF(COPO_Th_Pr_Oth!C17="Th",COPO_Th_Pr_Oth!D17,0)</f>
        <v>1</v>
      </c>
      <c r="E20" s="251"/>
      <c r="F20" s="252"/>
    </row>
    <row r="21" spans="1:6" ht="15">
      <c r="A21" s="248">
        <f>COPO_Th_Pr_Oth!A18</f>
        <v>2.5</v>
      </c>
      <c r="B21" s="249" t="str">
        <f>COPO_Th_Pr_Oth!B18</f>
        <v>Active Filter, Voltage regulator</v>
      </c>
      <c r="C21" s="250"/>
      <c r="D21" s="250">
        <f>IF(COPO_Th_Pr_Oth!C18="Th",COPO_Th_Pr_Oth!D18,0)</f>
        <v>1</v>
      </c>
      <c r="E21" s="251"/>
      <c r="F21" s="252"/>
    </row>
    <row r="22" spans="1:6" ht="15.6" thickBot="1">
      <c r="A22" s="248">
        <f>COPO_Th_Pr_Oth!A19</f>
        <v>2.6</v>
      </c>
      <c r="B22" s="249" t="str">
        <f>COPO_Th_Pr_Oth!B19</f>
        <v>Oscillators (Wein Bridge and Phase Shift)</v>
      </c>
      <c r="C22" s="250"/>
      <c r="D22" s="250">
        <f>IF(COPO_Th_Pr_Oth!C19="Th",COPO_Th_Pr_Oth!D19,0)</f>
        <v>1</v>
      </c>
      <c r="E22" s="251"/>
      <c r="F22" s="252"/>
    </row>
    <row r="23" spans="1:6" ht="16.2" thickBot="1">
      <c r="A23" s="238" t="str">
        <f>COPO_Th_Pr_Oth!A20</f>
        <v>Unit 3</v>
      </c>
      <c r="B23" s="239" t="str">
        <f>COPO_Th_Pr_Oth!B20</f>
        <v>Nonlinear applications of op-amp</v>
      </c>
      <c r="C23" s="240">
        <f>SUM(D24:D29)</f>
        <v>6</v>
      </c>
      <c r="D23" s="241">
        <f>IF(COPO_Th_Pr_Oth!C20="Th",COPO_Th_Pr_Oth!D20,0)</f>
        <v>0</v>
      </c>
      <c r="E23" s="241"/>
      <c r="F23" s="242"/>
    </row>
    <row r="24" spans="1:6" ht="15">
      <c r="A24" s="248">
        <f>COPO_Th_Pr_Oth!A21</f>
        <v>3.1</v>
      </c>
      <c r="B24" s="249" t="str">
        <f>COPO_Th_Pr_Oth!B21</f>
        <v>Hysteretic Comparator</v>
      </c>
      <c r="C24" s="250"/>
      <c r="D24" s="250">
        <f>IF(COPO_Th_Pr_Oth!C21="Th",COPO_Th_Pr_Oth!D21,0)</f>
        <v>1</v>
      </c>
      <c r="E24" s="251"/>
      <c r="F24" s="252"/>
    </row>
    <row r="25" spans="1:6" ht="15">
      <c r="A25" s="248">
        <f>COPO_Th_Pr_Oth!A22</f>
        <v>3.2</v>
      </c>
      <c r="B25" s="249" t="str">
        <f>COPO_Th_Pr_Oth!B22</f>
        <v>Zero Crossing Detector</v>
      </c>
      <c r="C25" s="250"/>
      <c r="D25" s="250">
        <f>IF(COPO_Th_Pr_Oth!C22="Th",COPO_Th_Pr_Oth!D22,0)</f>
        <v>1</v>
      </c>
      <c r="E25" s="251"/>
      <c r="F25" s="252"/>
    </row>
    <row r="26" spans="1:6" ht="15">
      <c r="A26" s="248">
        <f>COPO_Th_Pr_Oth!A23</f>
        <v>3.3</v>
      </c>
      <c r="B26" s="249" t="str">
        <f>COPO_Th_Pr_Oth!B23</f>
        <v>Square-wave generators</v>
      </c>
      <c r="C26" s="250"/>
      <c r="D26" s="250">
        <f>IF(COPO_Th_Pr_Oth!C23="Th",COPO_Th_Pr_Oth!D23,0)</f>
        <v>1</v>
      </c>
      <c r="E26" s="250"/>
      <c r="F26" s="252"/>
    </row>
    <row r="27" spans="1:6" ht="15">
      <c r="A27" s="248">
        <f>COPO_Th_Pr_Oth!A24</f>
        <v>3.4</v>
      </c>
      <c r="B27" s="249" t="str">
        <f>COPO_Th_Pr_Oth!B24</f>
        <v>Triangular-wave generators</v>
      </c>
      <c r="C27" s="257"/>
      <c r="D27" s="250">
        <f>IF(COPO_Th_Pr_Oth!C24="Th",COPO_Th_Pr_Oth!D24,0)</f>
        <v>1</v>
      </c>
      <c r="E27" s="258"/>
      <c r="F27" s="259"/>
    </row>
    <row r="28" spans="1:6" ht="15">
      <c r="A28" s="248">
        <f>COPO_Th_Pr_Oth!A25</f>
        <v>3.5</v>
      </c>
      <c r="B28" s="249" t="str">
        <f>COPO_Th_Pr_Oth!B25</f>
        <v>Precision rectifier</v>
      </c>
      <c r="C28" s="257"/>
      <c r="D28" s="250">
        <f>IF(COPO_Th_Pr_Oth!C25="Th",COPO_Th_Pr_Oth!D25,0)</f>
        <v>1</v>
      </c>
      <c r="E28" s="258"/>
      <c r="F28" s="259"/>
    </row>
    <row r="29" spans="1:6" ht="15.6" thickBot="1">
      <c r="A29" s="248">
        <f>COPO_Th_Pr_Oth!A26</f>
        <v>3.6</v>
      </c>
      <c r="B29" s="249" t="str">
        <f>COPO_Th_Pr_Oth!B26</f>
        <v>Peak detector</v>
      </c>
      <c r="C29" s="257"/>
      <c r="D29" s="250">
        <f>IF(COPO_Th_Pr_Oth!C26="Th",COPO_Th_Pr_Oth!D26,0)</f>
        <v>1</v>
      </c>
      <c r="E29" s="260"/>
      <c r="F29" s="261"/>
    </row>
    <row r="30" spans="1:6" ht="16.2" thickBot="1">
      <c r="A30" s="238" t="str">
        <f>COPO_Th_Pr_Oth!A27</f>
        <v>Unit 4</v>
      </c>
      <c r="B30" s="239" t="str">
        <f>COPO_Th_Pr_Oth!B27</f>
        <v>Combinational Digital Circuits</v>
      </c>
      <c r="C30" s="240">
        <f>SUM(D31:D38)</f>
        <v>8</v>
      </c>
      <c r="D30" s="241">
        <f>IF(COPO_Th_Pr_Oth!C27="Th",COPO_Th_Pr_Oth!D27,0)</f>
        <v>0</v>
      </c>
      <c r="E30" s="241"/>
      <c r="F30" s="242"/>
    </row>
    <row r="31" spans="1:6" ht="15">
      <c r="A31" s="248">
        <f>COPO_Th_Pr_Oth!A28</f>
        <v>4.0999999999999996</v>
      </c>
      <c r="B31" s="249" t="str">
        <f>COPO_Th_Pr_Oth!B28</f>
        <v>Standard Representation for Logic Functions</v>
      </c>
      <c r="C31" s="250"/>
      <c r="D31" s="250">
        <f>IF(COPO_Th_Pr_Oth!C28="Th",COPO_Th_Pr_Oth!D28,0)</f>
        <v>1</v>
      </c>
      <c r="E31" s="251"/>
      <c r="F31" s="252"/>
    </row>
    <row r="32" spans="1:6" ht="30">
      <c r="A32" s="248">
        <f>COPO_Th_Pr_Oth!A29</f>
        <v>4.2</v>
      </c>
      <c r="B32" s="249" t="str">
        <f>COPO_Th_Pr_Oth!B29</f>
        <v>Simplification of Logic Functions using K-map and Boolean Algebra</v>
      </c>
      <c r="C32" s="250"/>
      <c r="D32" s="250">
        <f>IF(COPO_Th_Pr_Oth!C29="Th",COPO_Th_Pr_Oth!D29,0)</f>
        <v>1</v>
      </c>
      <c r="E32" s="251"/>
      <c r="F32" s="252"/>
    </row>
    <row r="33" spans="1:6" ht="15">
      <c r="A33" s="248">
        <f>COPO_Th_Pr_Oth!A30</f>
        <v>4.3</v>
      </c>
      <c r="B33" s="249" t="str">
        <f>COPO_Th_Pr_Oth!B30</f>
        <v>Don’t Care Conditions</v>
      </c>
      <c r="C33" s="250"/>
      <c r="D33" s="250">
        <f>IF(COPO_Th_Pr_Oth!C30="Th",COPO_Th_Pr_Oth!D30,0)</f>
        <v>1</v>
      </c>
      <c r="E33" s="251"/>
      <c r="F33" s="252"/>
    </row>
    <row r="34" spans="1:6" ht="15">
      <c r="A34" s="248">
        <f>COPO_Th_Pr_Oth!A31</f>
        <v>4.4000000000000004</v>
      </c>
      <c r="B34" s="249" t="str">
        <f>COPO_Th_Pr_Oth!B31</f>
        <v>Multiplexer, De-Multiplexer / Decoders</v>
      </c>
      <c r="C34" s="250"/>
      <c r="D34" s="250">
        <f>IF(COPO_Th_Pr_Oth!C31="Th",COPO_Th_Pr_Oth!D31,0)</f>
        <v>1</v>
      </c>
      <c r="E34" s="250"/>
      <c r="F34" s="252"/>
    </row>
    <row r="35" spans="1:6" ht="15">
      <c r="A35" s="248">
        <f>COPO_Th_Pr_Oth!A32</f>
        <v>4.5</v>
      </c>
      <c r="B35" s="249" t="str">
        <f>COPO_Th_Pr_Oth!B32</f>
        <v>Adders, Subtractors</v>
      </c>
      <c r="C35" s="250"/>
      <c r="D35" s="250">
        <f>IF(COPO_Th_Pr_Oth!C32="Th",COPO_Th_Pr_Oth!D32,0)</f>
        <v>1</v>
      </c>
      <c r="E35" s="251"/>
      <c r="F35" s="252"/>
    </row>
    <row r="36" spans="1:6" ht="30">
      <c r="A36" s="248">
        <f>COPO_Th_Pr_Oth!A33</f>
        <v>4.5999999999999996</v>
      </c>
      <c r="B36" s="249" t="str">
        <f>COPO_Th_Pr_Oth!B33</f>
        <v>BCD Arithmetic, Carry Look Ahead Adder, Serial Adder</v>
      </c>
      <c r="C36" s="250"/>
      <c r="D36" s="250">
        <f>IF(COPO_Th_Pr_Oth!C33="Th",COPO_Th_Pr_Oth!D33,0)</f>
        <v>1</v>
      </c>
      <c r="E36" s="250"/>
      <c r="F36" s="252"/>
    </row>
    <row r="37" spans="1:6" ht="15">
      <c r="A37" s="248">
        <f>COPO_Th_Pr_Oth!A34</f>
        <v>4.7</v>
      </c>
      <c r="B37" s="249" t="str">
        <f>COPO_Th_Pr_Oth!B34</f>
        <v>Digital Comparator, Parity Checker / Generator</v>
      </c>
      <c r="C37" s="250"/>
      <c r="D37" s="250">
        <f>IF(COPO_Th_Pr_Oth!C34="Th",COPO_Th_Pr_Oth!D34,0)</f>
        <v>1</v>
      </c>
      <c r="E37" s="251"/>
      <c r="F37" s="252"/>
    </row>
    <row r="38" spans="1:6" ht="30.6" thickBot="1">
      <c r="A38" s="248">
        <f>COPO_Th_Pr_Oth!A35</f>
        <v>4.8</v>
      </c>
      <c r="B38" s="249" t="str">
        <f>COPO_Th_Pr_Oth!B35</f>
        <v>Code Converters, Priority Encoders, Decoders / Drivers for Display Devices</v>
      </c>
      <c r="C38" s="250"/>
      <c r="D38" s="250">
        <f>IF(COPO_Th_Pr_Oth!C35="Th",COPO_Th_Pr_Oth!D35,0)</f>
        <v>1</v>
      </c>
      <c r="E38" s="254"/>
      <c r="F38" s="255"/>
    </row>
    <row r="39" spans="1:6" ht="16.2" thickBot="1">
      <c r="A39" s="238" t="str">
        <f>COPO_Th_Pr_Oth!A36</f>
        <v>Unit 5</v>
      </c>
      <c r="B39" s="239" t="str">
        <f>COPO_Th_Pr_Oth!B36</f>
        <v>Sequential circuits and systems</v>
      </c>
      <c r="C39" s="240">
        <f>SUM(D40:D48)</f>
        <v>9</v>
      </c>
      <c r="D39" s="241">
        <f>IF(COPO_Th_Pr_Oth!C36="Th",COPO_Th_Pr_Oth!D36,0)</f>
        <v>0</v>
      </c>
      <c r="E39" s="241"/>
      <c r="F39" s="242"/>
    </row>
    <row r="40" spans="1:6" ht="15">
      <c r="A40" s="248">
        <f>COPO_Th_Pr_Oth!A37</f>
        <v>5.0999999999999996</v>
      </c>
      <c r="B40" s="249" t="str">
        <f>COPO_Th_Pr_Oth!B37</f>
        <v>A 1-bit memory, the circuit properties of Bi-stable latch</v>
      </c>
      <c r="C40" s="250"/>
      <c r="D40" s="250">
        <f>IF(COPO_Th_Pr_Oth!C37="Th",COPO_Th_Pr_Oth!D37,0)</f>
        <v>1</v>
      </c>
      <c r="E40" s="251"/>
      <c r="F40" s="252"/>
    </row>
    <row r="41" spans="1:6" ht="15">
      <c r="A41" s="248">
        <f>COPO_Th_Pr_Oth!A38</f>
        <v>5.2</v>
      </c>
      <c r="B41" s="249" t="str">
        <f>COPO_Th_Pr_Oth!B38</f>
        <v>Clocked SR flip flop, J- K-T and D types flip-flops</v>
      </c>
      <c r="C41" s="250"/>
      <c r="D41" s="250">
        <f>IF(COPO_Th_Pr_Oth!C38="Th",COPO_Th_Pr_Oth!D38,0)</f>
        <v>1</v>
      </c>
      <c r="E41" s="251"/>
      <c r="F41" s="252"/>
    </row>
    <row r="42" spans="1:6" ht="15">
      <c r="A42" s="248">
        <f>COPO_Th_Pr_Oth!A39</f>
        <v>5.3</v>
      </c>
      <c r="B42" s="249" t="str">
        <f>COPO_Th_Pr_Oth!B39</f>
        <v>Applications of flip-flops</v>
      </c>
      <c r="C42" s="250"/>
      <c r="D42" s="250">
        <f>IF(COPO_Th_Pr_Oth!C39="Th",COPO_Th_Pr_Oth!D39,0)</f>
        <v>1</v>
      </c>
      <c r="E42" s="251"/>
      <c r="F42" s="252"/>
    </row>
    <row r="43" spans="1:6" s="264" customFormat="1" ht="15">
      <c r="A43" s="248">
        <f>COPO_Th_Pr_Oth!A40</f>
        <v>5.4</v>
      </c>
      <c r="B43" s="249" t="str">
        <f>COPO_Th_Pr_Oth!B40</f>
        <v>Shift registers, applications of shift registers</v>
      </c>
      <c r="C43" s="256"/>
      <c r="D43" s="250">
        <f>IF(COPO_Th_Pr_Oth!C40="Th",COPO_Th_Pr_Oth!D40,0)</f>
        <v>1</v>
      </c>
      <c r="E43" s="262"/>
      <c r="F43" s="263"/>
    </row>
    <row r="44" spans="1:6" s="264" customFormat="1" ht="15">
      <c r="A44" s="248">
        <f>COPO_Th_Pr_Oth!A41</f>
        <v>5.5</v>
      </c>
      <c r="B44" s="249" t="str">
        <f>COPO_Th_Pr_Oth!B41</f>
        <v xml:space="preserve">Ring counter, sequence generator,  </v>
      </c>
      <c r="C44" s="256"/>
      <c r="D44" s="250">
        <f>IF(COPO_Th_Pr_Oth!C41="Th",COPO_Th_Pr_Oth!D41,0)</f>
        <v>1</v>
      </c>
      <c r="E44" s="265"/>
      <c r="F44" s="266"/>
    </row>
    <row r="45" spans="1:6" s="264" customFormat="1" ht="15">
      <c r="A45" s="248">
        <f>COPO_Th_Pr_Oth!A42</f>
        <v>5.6</v>
      </c>
      <c r="B45" s="249" t="str">
        <f>COPO_Th_Pr_Oth!B42</f>
        <v>Ripple (Asynchronous) counters,</v>
      </c>
      <c r="C45" s="256"/>
      <c r="D45" s="250">
        <f>IF(COPO_Th_Pr_Oth!C42="Th",COPO_Th_Pr_Oth!D42,0)</f>
        <v>1</v>
      </c>
      <c r="E45" s="265"/>
      <c r="F45" s="266"/>
    </row>
    <row r="46" spans="1:6" s="264" customFormat="1" ht="30">
      <c r="A46" s="248">
        <f>COPO_Th_Pr_Oth!A43</f>
        <v>5.7</v>
      </c>
      <c r="B46" s="249" t="str">
        <f>COPO_Th_Pr_Oth!B43</f>
        <v>Synchronous counters, counters design using flip flops,</v>
      </c>
      <c r="C46" s="256"/>
      <c r="D46" s="250">
        <f>IF(COPO_Th_Pr_Oth!C43="Th",COPO_Th_Pr_Oth!D43,0)</f>
        <v>1</v>
      </c>
      <c r="E46" s="265"/>
      <c r="F46" s="266"/>
    </row>
    <row r="47" spans="1:6" s="264" customFormat="1" ht="30">
      <c r="A47" s="248">
        <f>COPO_Th_Pr_Oth!A44</f>
        <v>5.8</v>
      </c>
      <c r="B47" s="249" t="str">
        <f>COPO_Th_Pr_Oth!B44</f>
        <v xml:space="preserve">Special counter IC’s, asynchronous sequential counters, </v>
      </c>
      <c r="C47" s="256"/>
      <c r="D47" s="250">
        <f>IF(COPO_Th_Pr_Oth!C44="Th",COPO_Th_Pr_Oth!D44,0)</f>
        <v>1</v>
      </c>
      <c r="E47" s="265"/>
      <c r="F47" s="266"/>
    </row>
    <row r="48" spans="1:6" ht="15.6" thickBot="1">
      <c r="A48" s="248">
        <f>COPO_Th_Pr_Oth!A45</f>
        <v>5.9</v>
      </c>
      <c r="B48" s="249" t="str">
        <f>COPO_Th_Pr_Oth!B45</f>
        <v>Applications of counters.</v>
      </c>
      <c r="C48" s="256"/>
      <c r="D48" s="250">
        <f>IF(COPO_Th_Pr_Oth!C45="Th",COPO_Th_Pr_Oth!D45,0)</f>
        <v>1</v>
      </c>
      <c r="E48" s="267"/>
      <c r="F48" s="268"/>
    </row>
    <row r="49" spans="1:6" ht="16.2" thickBot="1">
      <c r="A49" s="238" t="str">
        <f>COPO_Th_Pr_Oth!A46</f>
        <v>Unit 6</v>
      </c>
      <c r="B49" s="239" t="str">
        <f>COPO_Th_Pr_Oth!B46</f>
        <v>A/D and D/A Converters</v>
      </c>
      <c r="C49" s="240">
        <f>SUM(D50:D57)</f>
        <v>8</v>
      </c>
      <c r="D49" s="241">
        <f>IF(COPO_Th_Pr_Oth!C46="Th",COPO_Th_Pr_Oth!D46,0)</f>
        <v>0</v>
      </c>
      <c r="E49" s="269"/>
      <c r="F49" s="270"/>
    </row>
    <row r="50" spans="1:6" ht="30">
      <c r="A50" s="248">
        <f>COPO_Th_Pr_Oth!A47</f>
        <v>6.1</v>
      </c>
      <c r="B50" s="249" t="str">
        <f>COPO_Th_Pr_Oth!B47</f>
        <v>Digital to analog converters: weighted resistor/converter,</v>
      </c>
      <c r="C50" s="250"/>
      <c r="D50" s="250">
        <f>IF(COPO_Th_Pr_Oth!C47="Th",COPO_Th_Pr_Oth!D47,0)</f>
        <v>1</v>
      </c>
      <c r="E50" s="251"/>
      <c r="F50" s="252"/>
    </row>
    <row r="51" spans="1:6" ht="30">
      <c r="A51" s="248">
        <f>COPO_Th_Pr_Oth!A48</f>
        <v>6.2</v>
      </c>
      <c r="B51" s="249" t="str">
        <f>COPO_Th_Pr_Oth!B48</f>
        <v>R-2R Ladder D/A converter, specifications for D/A converters</v>
      </c>
      <c r="C51" s="250"/>
      <c r="D51" s="250">
        <f>IF(COPO_Th_Pr_Oth!C48="Th",COPO_Th_Pr_Oth!D48,0)</f>
        <v>1</v>
      </c>
      <c r="E51" s="251"/>
      <c r="F51" s="252"/>
    </row>
    <row r="52" spans="1:6" ht="30">
      <c r="A52" s="248">
        <f>COPO_Th_Pr_Oth!A49</f>
        <v>6.3</v>
      </c>
      <c r="B52" s="249" t="str">
        <f>COPO_Th_Pr_Oth!B49</f>
        <v>Examples of D/A converter lCs, sample and hold circuit</v>
      </c>
      <c r="C52" s="250"/>
      <c r="D52" s="250">
        <f>IF(COPO_Th_Pr_Oth!C49="Th",COPO_Th_Pr_Oth!D49,0)</f>
        <v>1</v>
      </c>
      <c r="E52" s="251"/>
      <c r="F52" s="252"/>
    </row>
    <row r="53" spans="1:6" ht="15">
      <c r="A53" s="248">
        <f>COPO_Th_Pr_Oth!A50</f>
        <v>6.4</v>
      </c>
      <c r="B53" s="249" t="str">
        <f>COPO_Th_Pr_Oth!B50</f>
        <v>Analog to digital converters: quantization and encoding</v>
      </c>
      <c r="C53" s="250"/>
      <c r="D53" s="250">
        <f>IF(COPO_Th_Pr_Oth!C50="Th",COPO_Th_Pr_Oth!D50,0)</f>
        <v>1</v>
      </c>
      <c r="E53" s="262"/>
      <c r="F53" s="263"/>
    </row>
    <row r="54" spans="1:6" ht="30">
      <c r="A54" s="248">
        <f>COPO_Th_Pr_Oth!A51</f>
        <v>6.5</v>
      </c>
      <c r="B54" s="249" t="str">
        <f>COPO_Th_Pr_Oth!B51</f>
        <v>Parallel comparator A/D converter, successive approximation A/D converter</v>
      </c>
      <c r="C54" s="250"/>
      <c r="D54" s="250">
        <f>IF(COPO_Th_Pr_Oth!C51="Th",COPO_Th_Pr_Oth!D51,0)</f>
        <v>1</v>
      </c>
      <c r="E54" s="265"/>
      <c r="F54" s="266"/>
    </row>
    <row r="55" spans="1:6" ht="15">
      <c r="A55" s="248">
        <f>COPO_Th_Pr_Oth!A52</f>
        <v>6.6</v>
      </c>
      <c r="B55" s="249" t="str">
        <f>COPO_Th_Pr_Oth!B52</f>
        <v>Counting A/D converter, dual slope A/D converter</v>
      </c>
      <c r="C55" s="250"/>
      <c r="D55" s="250">
        <f>IF(COPO_Th_Pr_Oth!C52="Th",COPO_Th_Pr_Oth!D52,0)</f>
        <v>1</v>
      </c>
      <c r="E55" s="265"/>
      <c r="F55" s="266"/>
    </row>
    <row r="56" spans="1:6" ht="30">
      <c r="A56" s="248">
        <f>COPO_Th_Pr_Oth!A53</f>
        <v>6.7</v>
      </c>
      <c r="B56" s="249" t="str">
        <f>COPO_Th_Pr_Oth!B53</f>
        <v>A/D converter using voltage to frequency and voltage to time conversion</v>
      </c>
      <c r="C56" s="250"/>
      <c r="D56" s="250">
        <f>IF(COPO_Th_Pr_Oth!C53="Th",COPO_Th_Pr_Oth!D53,0)</f>
        <v>1</v>
      </c>
      <c r="E56" s="265"/>
      <c r="F56" s="266"/>
    </row>
    <row r="57" spans="1:6" ht="30.6" thickBot="1">
      <c r="A57" s="248">
        <f>COPO_Th_Pr_Oth!A54</f>
        <v>6.8</v>
      </c>
      <c r="B57" s="249" t="str">
        <f>COPO_Th_Pr_Oth!B54</f>
        <v>Specifications of A/D converters, example of A/D converter ICs</v>
      </c>
      <c r="C57" s="250"/>
      <c r="D57" s="250">
        <f>IF(COPO_Th_Pr_Oth!C54="Th",COPO_Th_Pr_Oth!D54,0)</f>
        <v>1</v>
      </c>
      <c r="E57" s="267"/>
      <c r="F57" s="268"/>
    </row>
    <row r="58" spans="1:6" s="274" customFormat="1" ht="23.4" thickBot="1">
      <c r="A58" s="238"/>
      <c r="B58" s="239"/>
      <c r="C58" s="271" t="s">
        <v>260</v>
      </c>
      <c r="D58" s="241">
        <f>SUM(D8:D57)</f>
        <v>45</v>
      </c>
      <c r="E58" s="272"/>
      <c r="F58" s="273"/>
    </row>
    <row r="60" spans="1:6">
      <c r="B60" s="275" t="str">
        <f>CONCATENATE("Total planned lectures: ",D58)</f>
        <v>Total planned lectures: 45</v>
      </c>
    </row>
    <row r="61" spans="1:6">
      <c r="A61" s="170"/>
      <c r="B61" s="276"/>
      <c r="C61" s="170"/>
    </row>
    <row r="62" spans="1:6">
      <c r="A62" s="170"/>
      <c r="B62" s="276"/>
      <c r="C62" s="170"/>
    </row>
    <row r="63" spans="1:6">
      <c r="A63" s="170"/>
      <c r="B63" s="276" t="s">
        <v>261</v>
      </c>
      <c r="C63" s="170"/>
    </row>
  </sheetData>
  <mergeCells count="1">
    <mergeCell ref="B1:E2"/>
  </mergeCells>
  <pageMargins left="0.31496062992125984" right="0.31496062992125984" top="0.35433070866141736" bottom="0.35433070866141736"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
  <sheetViews>
    <sheetView topLeftCell="A7" workbookViewId="0">
      <selection activeCell="W29" sqref="W29"/>
    </sheetView>
  </sheetViews>
  <sheetFormatPr defaultColWidth="9.109375" defaultRowHeight="14.4"/>
  <cols>
    <col min="1" max="1" width="9.5546875" style="187" customWidth="1"/>
    <col min="2" max="2" width="50.109375" style="234" customWidth="1"/>
    <col min="3" max="3" width="6.5546875" style="187" customWidth="1"/>
    <col min="4" max="4" width="15" style="170" customWidth="1"/>
    <col min="5" max="5" width="14.5546875" style="170" customWidth="1"/>
    <col min="6" max="16384" width="9.109375" style="170"/>
  </cols>
  <sheetData>
    <row r="1" spans="1:5" ht="19.5" customHeight="1">
      <c r="B1" s="337" t="s">
        <v>262</v>
      </c>
      <c r="C1" s="338"/>
      <c r="D1" s="338"/>
    </row>
    <row r="2" spans="1:5" ht="25.5" customHeight="1">
      <c r="B2" s="338"/>
      <c r="C2" s="338"/>
      <c r="D2" s="338"/>
    </row>
    <row r="3" spans="1:5">
      <c r="A3" s="232" t="s">
        <v>251</v>
      </c>
      <c r="B3" s="233" t="str">
        <f>CONCATENATE('[1]Input Data'!B1:D1, "(", '[1]Input Data'!B2, " )")</f>
        <v>Analog and Digital Engineering(BE03009011  )</v>
      </c>
    </row>
    <row r="4" spans="1:5">
      <c r="A4" s="232" t="s">
        <v>252</v>
      </c>
      <c r="B4" s="233" t="str">
        <f>'[1]Input Data'!B4</f>
        <v>Nupur Sinha, M. N. Priyadarshi</v>
      </c>
    </row>
    <row r="5" spans="1:5" ht="28.8">
      <c r="A5" s="235" t="s">
        <v>253</v>
      </c>
      <c r="B5" s="233" t="str">
        <f>'[1]Input Data'!B5</f>
        <v>14/07/2025  to 02/12/2025    (ODD Term 2025-26)</v>
      </c>
    </row>
    <row r="6" spans="1:5" ht="15" thickBot="1"/>
    <row r="7" spans="1:5" ht="15" thickBot="1">
      <c r="A7" s="236" t="s">
        <v>254</v>
      </c>
      <c r="B7" s="237" t="s">
        <v>255</v>
      </c>
      <c r="C7" s="237" t="s">
        <v>256</v>
      </c>
      <c r="D7" s="237" t="s">
        <v>258</v>
      </c>
      <c r="E7" s="237" t="s">
        <v>259</v>
      </c>
    </row>
    <row r="8" spans="1:5" ht="55.2">
      <c r="A8" s="277" t="str">
        <f>COPO_Th_Pr_Oth!A56</f>
        <v>Pr.1</v>
      </c>
      <c r="B8" s="278" t="str">
        <f>COPO_Th_Pr_Oth!B56</f>
        <v>(a) To verify the working of Op-amp as a Non - inverting Amplifier.
(b) To verify the working of Op-amp as an Inverting Amplifier</v>
      </c>
      <c r="C8" s="279">
        <f>COPO_Th_Pr_Oth!D56</f>
        <v>2</v>
      </c>
      <c r="D8" s="279"/>
      <c r="E8" s="280"/>
    </row>
    <row r="9" spans="1:5" ht="27.6">
      <c r="A9" s="248" t="str">
        <f>COPO_Th_Pr_Oth!A57</f>
        <v>Pr.2</v>
      </c>
      <c r="B9" s="281" t="str">
        <f>COPO_Th_Pr_Oth!B57</f>
        <v>(a) To verify the working of Op-amp as an Integrator.
(b) To verify the working of Op-amp as an Differentiator.</v>
      </c>
      <c r="C9" s="250">
        <f>COPO_Th_Pr_Oth!D57</f>
        <v>2</v>
      </c>
      <c r="D9" s="251"/>
      <c r="E9" s="252"/>
    </row>
    <row r="10" spans="1:5">
      <c r="A10" s="248" t="str">
        <f>COPO_Th_Pr_Oth!A58</f>
        <v>Pr.3</v>
      </c>
      <c r="B10" s="281" t="str">
        <f>COPO_Th_Pr_Oth!B58</f>
        <v>To verify the operation of Phase Shift Oscillator</v>
      </c>
      <c r="C10" s="250">
        <f>COPO_Th_Pr_Oth!D58</f>
        <v>2</v>
      </c>
      <c r="D10" s="251"/>
      <c r="E10" s="252"/>
    </row>
    <row r="11" spans="1:5" ht="55.2">
      <c r="A11" s="248" t="str">
        <f>COPO_Th_Pr_Oth!A59</f>
        <v>Pr.4</v>
      </c>
      <c r="B11" s="281" t="str">
        <f>COPO_Th_Pr_Oth!B59</f>
        <v>(a) To verify the working of Op-amp as a square wave generator.
(b) To verify the working of Op-amp as a Triangular wave generator.</v>
      </c>
      <c r="C11" s="250">
        <f>COPO_Th_Pr_Oth!D59</f>
        <v>2</v>
      </c>
      <c r="D11" s="251"/>
      <c r="E11" s="252"/>
    </row>
    <row r="12" spans="1:5" ht="41.4">
      <c r="A12" s="248" t="str">
        <f>COPO_Th_Pr_Oth!A60</f>
        <v>Pr.5</v>
      </c>
      <c r="B12" s="281" t="str">
        <f>COPO_Th_Pr_Oth!B60</f>
        <v>(a) To verify the application of op-amp as a Zero Crossing Detector.
(b) To verify the application of op-amp as a Peak Detector.</v>
      </c>
      <c r="C12" s="250">
        <f>COPO_Th_Pr_Oth!D60</f>
        <v>2</v>
      </c>
      <c r="D12" s="251"/>
      <c r="E12" s="252"/>
    </row>
    <row r="13" spans="1:5" ht="55.2">
      <c r="A13" s="248" t="str">
        <f>COPO_Th_Pr_Oth!A61</f>
        <v>Pr.6</v>
      </c>
      <c r="B13" s="281" t="str">
        <f>COPO_Th_Pr_Oth!B61</f>
        <v>(a) To verify working of half and full binary adder and subtractor circuits.
(b) To verify working of binary to gray and gray to binary converter circuit</v>
      </c>
      <c r="C13" s="250">
        <f>COPO_Th_Pr_Oth!D61</f>
        <v>2</v>
      </c>
      <c r="D13" s="251"/>
      <c r="E13" s="252"/>
    </row>
    <row r="14" spans="1:5">
      <c r="A14" s="248" t="str">
        <f>COPO_Th_Pr_Oth!A62</f>
        <v>Pr.7</v>
      </c>
      <c r="B14" s="281" t="str">
        <f>COPO_Th_Pr_Oth!B62</f>
        <v>To verify truth tables of RS, JK, D and T flip-flops.</v>
      </c>
      <c r="C14" s="250">
        <f>COPO_Th_Pr_Oth!D62</f>
        <v>2</v>
      </c>
      <c r="D14" s="251"/>
      <c r="E14" s="252"/>
    </row>
    <row r="15" spans="1:5" ht="41.4">
      <c r="A15" s="248" t="str">
        <f>COPO_Th_Pr_Oth!A63</f>
        <v>Pr.8</v>
      </c>
      <c r="B15" s="281" t="str">
        <f>COPO_Th_Pr_Oth!B63</f>
        <v>(a) To Design 8 to 3 Encoder and 3 to 8 line Decoder.
(b) To Design 4 to 1 Multiplexer and 1 to 4 line De-multiplexer</v>
      </c>
      <c r="C15" s="250">
        <f>COPO_Th_Pr_Oth!D63</f>
        <v>2</v>
      </c>
      <c r="D15" s="251"/>
      <c r="E15" s="252"/>
    </row>
    <row r="16" spans="1:5" ht="41.4">
      <c r="A16" s="248" t="str">
        <f>COPO_Th_Pr_Oth!A64</f>
        <v>Pr.9</v>
      </c>
      <c r="B16" s="281" t="str">
        <f>COPO_Th_Pr_Oth!B64</f>
        <v xml:space="preserve">(a) To verify the working of binary up/down counter.
(b) To verify the working of Ring counter, Johnson counter. </v>
      </c>
      <c r="C16" s="250">
        <f>COPO_Th_Pr_Oth!D64</f>
        <v>2</v>
      </c>
      <c r="D16" s="251"/>
      <c r="E16" s="252"/>
    </row>
    <row r="17" spans="1:5" ht="55.2">
      <c r="A17" s="248" t="str">
        <f>COPO_Th_Pr_Oth!A65</f>
        <v>Pr.10</v>
      </c>
      <c r="B17" s="281" t="str">
        <f>COPO_Th_Pr_Oth!B65</f>
        <v>(a) To study Specification and Performance indices of D/A converters. 
(b) To study Specification and Performance indices of A/D converters.</v>
      </c>
      <c r="C17" s="250">
        <f>COPO_Th_Pr_Oth!D65</f>
        <v>2</v>
      </c>
      <c r="D17" s="251"/>
      <c r="E17" s="252"/>
    </row>
    <row r="18" spans="1:5">
      <c r="A18" s="248" t="str">
        <f>COPO_Th_Pr_Oth!A66</f>
        <v>Pr.11</v>
      </c>
      <c r="B18" s="281">
        <f>COPO_Th_Pr_Oth!B66</f>
        <v>0</v>
      </c>
      <c r="C18" s="250">
        <f>COPO_Th_Pr_Oth!D66</f>
        <v>0</v>
      </c>
      <c r="D18" s="251"/>
      <c r="E18" s="252"/>
    </row>
    <row r="19" spans="1:5">
      <c r="A19" s="248" t="str">
        <f>COPO_Th_Pr_Oth!A67</f>
        <v>Pr.12</v>
      </c>
      <c r="B19" s="281">
        <f>COPO_Th_Pr_Oth!B67</f>
        <v>0</v>
      </c>
      <c r="C19" s="250">
        <f>COPO_Th_Pr_Oth!D67</f>
        <v>0</v>
      </c>
      <c r="D19" s="251"/>
      <c r="E19" s="252"/>
    </row>
    <row r="20" spans="1:5">
      <c r="A20" s="248" t="str">
        <f>COPO_Th_Pr_Oth!A68</f>
        <v>Pr.13</v>
      </c>
      <c r="B20" s="281">
        <f>COPO_Th_Pr_Oth!B68</f>
        <v>0</v>
      </c>
      <c r="C20" s="250">
        <f>COPO_Th_Pr_Oth!D68</f>
        <v>0</v>
      </c>
      <c r="D20" s="251"/>
      <c r="E20" s="252"/>
    </row>
    <row r="21" spans="1:5">
      <c r="A21" s="248" t="str">
        <f>COPO_Th_Pr_Oth!A69</f>
        <v>Pr.14</v>
      </c>
      <c r="B21" s="281">
        <f>COPO_Th_Pr_Oth!B69</f>
        <v>0</v>
      </c>
      <c r="C21" s="250">
        <f>COPO_Th_Pr_Oth!D69</f>
        <v>0</v>
      </c>
      <c r="D21" s="251"/>
      <c r="E21" s="252"/>
    </row>
    <row r="22" spans="1:5">
      <c r="A22" s="248" t="str">
        <f>COPO_Th_Pr_Oth!A70</f>
        <v>Pr.15</v>
      </c>
      <c r="B22" s="281">
        <f>COPO_Th_Pr_Oth!B70</f>
        <v>0</v>
      </c>
      <c r="C22" s="250">
        <f>COPO_Th_Pr_Oth!D70</f>
        <v>0</v>
      </c>
      <c r="D22" s="251"/>
      <c r="E22" s="252"/>
    </row>
    <row r="23" spans="1:5" ht="15" thickBot="1">
      <c r="A23" s="282" t="str">
        <f>COPO_Th_Pr_Oth!A71</f>
        <v>Pr.16</v>
      </c>
      <c r="B23" s="283">
        <f>COPO_Th_Pr_Oth!B71</f>
        <v>0</v>
      </c>
      <c r="C23" s="267">
        <f>COPO_Th_Pr_Oth!D71</f>
        <v>0</v>
      </c>
      <c r="D23" s="284"/>
      <c r="E23" s="268"/>
    </row>
    <row r="24" spans="1:5" s="274" customFormat="1" ht="16.2" thickBot="1">
      <c r="A24" s="285"/>
      <c r="B24" s="286" t="s">
        <v>263</v>
      </c>
      <c r="C24" s="287">
        <f>SUM(C8:C23)</f>
        <v>20</v>
      </c>
      <c r="D24" s="272"/>
      <c r="E24" s="273"/>
    </row>
    <row r="26" spans="1:5">
      <c r="B26" s="276" t="str">
        <f>CONCATENATE("Total Lab Planned : ",C24)</f>
        <v>Total Lab Planned : 20</v>
      </c>
    </row>
    <row r="27" spans="1:5">
      <c r="B27" s="276"/>
    </row>
    <row r="28" spans="1:5">
      <c r="A28" s="170"/>
      <c r="B28" s="276" t="s">
        <v>261</v>
      </c>
      <c r="C28" s="170"/>
    </row>
  </sheetData>
  <mergeCells count="1">
    <mergeCell ref="B1:D2"/>
  </mergeCells>
  <pageMargins left="0.31496062992125984" right="0.31496062992125984"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9"/>
  <sheetViews>
    <sheetView view="pageBreakPreview" topLeftCell="A17" zoomScaleSheetLayoutView="100" workbookViewId="0">
      <selection activeCell="C23" sqref="C23"/>
    </sheetView>
  </sheetViews>
  <sheetFormatPr defaultColWidth="8.88671875" defaultRowHeight="14.4"/>
  <cols>
    <col min="1" max="1" width="21" style="210" customWidth="1"/>
    <col min="2" max="2" width="137" style="170" customWidth="1"/>
    <col min="3" max="16384" width="8.88671875" style="170"/>
  </cols>
  <sheetData>
    <row r="1" spans="1:2" ht="26.4">
      <c r="A1" s="187" t="str">
        <f>CONCATENATE("CO ",'[1]Input Data'!$B$2,".1")</f>
        <v>CO BE03009011 .1</v>
      </c>
      <c r="B1" s="288" t="s">
        <v>264</v>
      </c>
    </row>
    <row r="2" spans="1:2">
      <c r="A2" s="187" t="str">
        <f>CONCATENATE("CO ",'[1]Input Data'!$B$2,".2")</f>
        <v>CO BE03009011 .2</v>
      </c>
      <c r="B2" s="289" t="s">
        <v>265</v>
      </c>
    </row>
    <row r="3" spans="1:2">
      <c r="A3" s="187" t="str">
        <f>CONCATENATE("CO ",'[1]Input Data'!$B$2,".3")</f>
        <v>CO BE03009011 .3</v>
      </c>
      <c r="B3" s="289" t="s">
        <v>266</v>
      </c>
    </row>
    <row r="4" spans="1:2">
      <c r="A4" s="187" t="str">
        <f>CONCATENATE("CO ",'[1]Input Data'!$B$2,".4")</f>
        <v>CO BE03009011 .4</v>
      </c>
      <c r="B4" s="289" t="s">
        <v>267</v>
      </c>
    </row>
    <row r="5" spans="1:2">
      <c r="A5" s="187" t="str">
        <f>CONCATENATE("CO ",'[1]Input Data'!$B$2,".5")</f>
        <v>CO BE03009011 .5</v>
      </c>
      <c r="B5" s="288" t="s">
        <v>268</v>
      </c>
    </row>
    <row r="6" spans="1:2">
      <c r="A6" s="187"/>
      <c r="B6" s="289"/>
    </row>
    <row r="7" spans="1:2">
      <c r="A7" s="187"/>
      <c r="B7" s="290" t="s">
        <v>269</v>
      </c>
    </row>
    <row r="8" spans="1:2">
      <c r="B8" s="291"/>
    </row>
    <row r="9" spans="1:2">
      <c r="B9" s="291" t="s">
        <v>270</v>
      </c>
    </row>
    <row r="10" spans="1:2">
      <c r="B10" s="291"/>
    </row>
    <row r="11" spans="1:2" ht="22.8">
      <c r="B11" s="290" t="s">
        <v>271</v>
      </c>
    </row>
    <row r="12" spans="1:2">
      <c r="B12" s="292"/>
    </row>
    <row r="13" spans="1:2" ht="22.8">
      <c r="B13" s="293" t="s">
        <v>272</v>
      </c>
    </row>
    <row r="14" spans="1:2">
      <c r="B14" s="291"/>
    </row>
    <row r="15" spans="1:2" ht="34.200000000000003">
      <c r="B15" s="293" t="s">
        <v>273</v>
      </c>
    </row>
    <row r="16" spans="1:2">
      <c r="B16" s="291"/>
    </row>
    <row r="17" spans="2:2" s="170" customFormat="1" ht="22.8">
      <c r="B17" s="293" t="s">
        <v>274</v>
      </c>
    </row>
    <row r="18" spans="2:2" s="170" customFormat="1">
      <c r="B18" s="291"/>
    </row>
    <row r="19" spans="2:2" s="170" customFormat="1" ht="22.8">
      <c r="B19" s="293" t="s">
        <v>275</v>
      </c>
    </row>
    <row r="20" spans="2:2" s="170" customFormat="1">
      <c r="B20" s="291"/>
    </row>
    <row r="21" spans="2:2" s="170" customFormat="1" ht="22.8">
      <c r="B21" s="293" t="s">
        <v>276</v>
      </c>
    </row>
    <row r="22" spans="2:2" s="170" customFormat="1">
      <c r="B22" s="291"/>
    </row>
    <row r="23" spans="2:2" s="170" customFormat="1" ht="22.8">
      <c r="B23" s="293" t="s">
        <v>277</v>
      </c>
    </row>
    <row r="24" spans="2:2" s="170" customFormat="1">
      <c r="B24" s="291"/>
    </row>
    <row r="25" spans="2:2" s="170" customFormat="1" ht="22.8">
      <c r="B25" s="290" t="s">
        <v>278</v>
      </c>
    </row>
    <row r="26" spans="2:2" s="170" customFormat="1">
      <c r="B26" s="291"/>
    </row>
    <row r="27" spans="2:2" s="170" customFormat="1" ht="34.200000000000003">
      <c r="B27" s="290" t="s">
        <v>279</v>
      </c>
    </row>
    <row r="28" spans="2:2" s="170" customFormat="1">
      <c r="B28" s="291"/>
    </row>
    <row r="29" spans="2:2" s="170" customFormat="1" ht="22.8">
      <c r="B29" s="293" t="s">
        <v>280</v>
      </c>
    </row>
    <row r="30" spans="2:2" s="170" customFormat="1">
      <c r="B30" s="291"/>
    </row>
    <row r="31" spans="2:2" s="170" customFormat="1" ht="22.8">
      <c r="B31" s="293" t="s">
        <v>281</v>
      </c>
    </row>
    <row r="32" spans="2:2" s="170" customFormat="1">
      <c r="B32" s="291"/>
    </row>
    <row r="33" spans="1:2">
      <c r="B33" s="290" t="s">
        <v>282</v>
      </c>
    </row>
    <row r="35" spans="1:2" ht="28.8">
      <c r="A35" s="294" t="s">
        <v>283</v>
      </c>
      <c r="B35" s="295"/>
    </row>
    <row r="36" spans="1:2" ht="24">
      <c r="A36" s="296" t="s">
        <v>53</v>
      </c>
      <c r="B36" s="297" t="s">
        <v>284</v>
      </c>
    </row>
    <row r="37" spans="1:2" ht="48">
      <c r="A37" s="296" t="s">
        <v>54</v>
      </c>
      <c r="B37" s="297" t="s">
        <v>285</v>
      </c>
    </row>
    <row r="38" spans="1:2" ht="48">
      <c r="A38" s="296" t="s">
        <v>55</v>
      </c>
      <c r="B38" s="297" t="s">
        <v>286</v>
      </c>
    </row>
    <row r="39" spans="1:2" ht="24">
      <c r="A39" s="296"/>
      <c r="B39" s="29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97"/>
  <sheetViews>
    <sheetView topLeftCell="A28" workbookViewId="0">
      <selection activeCell="C41" sqref="C41"/>
    </sheetView>
  </sheetViews>
  <sheetFormatPr defaultColWidth="14.44140625" defaultRowHeight="15" customHeight="1"/>
  <cols>
    <col min="1" max="1" width="10" customWidth="1"/>
    <col min="2" max="2" width="12.109375" customWidth="1"/>
    <col min="3" max="3" width="11.6640625" customWidth="1"/>
    <col min="4" max="4" width="10.109375" customWidth="1"/>
    <col min="5" max="5" width="9.109375" customWidth="1"/>
    <col min="6" max="6" width="9.44140625" customWidth="1"/>
    <col min="7" max="7" width="11.109375" customWidth="1"/>
    <col min="8" max="8" width="9.88671875" customWidth="1"/>
    <col min="9" max="9" width="10" customWidth="1"/>
    <col min="10" max="10" width="9.6640625" customWidth="1"/>
    <col min="11" max="16" width="8.5546875" customWidth="1"/>
    <col min="17" max="25" width="9.109375" customWidth="1"/>
  </cols>
  <sheetData>
    <row r="1" spans="1:25" ht="15.75" customHeight="1">
      <c r="A1" s="341" t="s">
        <v>0</v>
      </c>
      <c r="B1" s="342"/>
      <c r="C1" s="342"/>
      <c r="D1" s="342"/>
      <c r="E1" s="342"/>
      <c r="F1" s="342"/>
      <c r="G1" s="342"/>
      <c r="H1" s="342"/>
      <c r="I1" s="342"/>
      <c r="J1" s="342"/>
      <c r="K1" s="342"/>
      <c r="L1" s="342"/>
      <c r="M1" s="342"/>
      <c r="N1" s="340"/>
      <c r="O1" s="1"/>
      <c r="P1" s="1"/>
      <c r="Q1" s="1"/>
      <c r="R1" s="1"/>
      <c r="S1" s="1"/>
      <c r="T1" s="1"/>
      <c r="U1" s="1"/>
      <c r="V1" s="1"/>
      <c r="W1" s="1"/>
      <c r="X1" s="1"/>
      <c r="Y1" s="1"/>
    </row>
    <row r="2" spans="1:25" ht="15.75" customHeight="1">
      <c r="A2" s="2">
        <v>3110002</v>
      </c>
      <c r="B2" s="341" t="s">
        <v>1</v>
      </c>
      <c r="C2" s="342"/>
      <c r="D2" s="342"/>
      <c r="E2" s="342"/>
      <c r="F2" s="342"/>
      <c r="G2" s="342"/>
      <c r="H2" s="342"/>
      <c r="I2" s="342"/>
      <c r="J2" s="342"/>
      <c r="K2" s="342"/>
      <c r="L2" s="342"/>
      <c r="M2" s="342"/>
      <c r="N2" s="340"/>
      <c r="O2" s="1"/>
      <c r="P2" s="1"/>
      <c r="Q2" s="1"/>
      <c r="R2" s="1"/>
      <c r="S2" s="1"/>
      <c r="T2" s="1"/>
      <c r="U2" s="1"/>
      <c r="V2" s="1"/>
      <c r="W2" s="1"/>
      <c r="X2" s="1"/>
      <c r="Y2" s="1"/>
    </row>
    <row r="3" spans="1:25" ht="15.75" customHeight="1">
      <c r="A3" s="339" t="s">
        <v>2</v>
      </c>
      <c r="B3" s="342"/>
      <c r="C3" s="342"/>
      <c r="D3" s="342"/>
      <c r="E3" s="342"/>
      <c r="F3" s="342"/>
      <c r="G3" s="342"/>
      <c r="H3" s="342"/>
      <c r="I3" s="342"/>
      <c r="J3" s="342"/>
      <c r="K3" s="342"/>
      <c r="L3" s="342"/>
      <c r="M3" s="342"/>
      <c r="N3" s="340"/>
      <c r="O3" s="1"/>
      <c r="P3" s="1"/>
      <c r="Q3" s="1"/>
      <c r="R3" s="1"/>
      <c r="S3" s="1"/>
      <c r="T3" s="1"/>
      <c r="U3" s="1"/>
      <c r="V3" s="1"/>
      <c r="W3" s="1"/>
      <c r="X3" s="1"/>
      <c r="Y3" s="1"/>
    </row>
    <row r="4" spans="1:25" ht="15.75" customHeight="1">
      <c r="A4" s="4"/>
      <c r="B4" s="1"/>
      <c r="C4" s="1"/>
      <c r="D4" s="1"/>
      <c r="E4" s="1"/>
      <c r="F4" s="1"/>
      <c r="G4" s="1"/>
      <c r="H4" s="1"/>
      <c r="I4" s="4"/>
      <c r="J4" s="4"/>
      <c r="K4" s="4"/>
      <c r="L4" s="1"/>
      <c r="M4" s="1"/>
      <c r="N4" s="1"/>
      <c r="O4" s="1"/>
      <c r="P4" s="1"/>
      <c r="Q4" s="1"/>
      <c r="R4" s="1"/>
      <c r="S4" s="1"/>
      <c r="T4" s="1"/>
      <c r="U4" s="1"/>
      <c r="V4" s="1"/>
      <c r="W4" s="1"/>
      <c r="X4" s="1"/>
      <c r="Y4" s="1"/>
    </row>
    <row r="5" spans="1:25" ht="15.75" customHeight="1">
      <c r="A5" s="343" t="s">
        <v>3</v>
      </c>
      <c r="B5" s="342"/>
      <c r="C5" s="342"/>
      <c r="D5" s="342"/>
      <c r="E5" s="342"/>
      <c r="F5" s="342"/>
      <c r="G5" s="342"/>
      <c r="H5" s="342"/>
      <c r="I5" s="342"/>
      <c r="J5" s="342"/>
      <c r="K5" s="342"/>
      <c r="L5" s="342"/>
      <c r="M5" s="342"/>
      <c r="N5" s="340"/>
      <c r="O5" s="1"/>
      <c r="P5" s="1"/>
      <c r="Q5" s="1"/>
      <c r="R5" s="1"/>
      <c r="S5" s="1"/>
      <c r="T5" s="1"/>
      <c r="U5" s="1"/>
      <c r="V5" s="1"/>
      <c r="W5" s="1"/>
      <c r="X5" s="1"/>
      <c r="Y5" s="1"/>
    </row>
    <row r="6" spans="1:25" ht="15.75" customHeight="1">
      <c r="A6" s="5" t="s">
        <v>4</v>
      </c>
      <c r="B6" s="6" t="s">
        <v>5</v>
      </c>
      <c r="C6" s="343" t="s">
        <v>6</v>
      </c>
      <c r="D6" s="342"/>
      <c r="E6" s="342"/>
      <c r="F6" s="342"/>
      <c r="G6" s="342"/>
      <c r="H6" s="342"/>
      <c r="I6" s="342"/>
      <c r="J6" s="342"/>
      <c r="K6" s="342"/>
      <c r="L6" s="342"/>
      <c r="M6" s="342"/>
      <c r="N6" s="340"/>
      <c r="O6" s="1"/>
      <c r="P6" s="1"/>
      <c r="Q6" s="1"/>
      <c r="R6" s="1"/>
      <c r="S6" s="1"/>
      <c r="T6" s="1"/>
      <c r="U6" s="1"/>
      <c r="V6" s="1"/>
      <c r="W6" s="1"/>
      <c r="X6" s="1"/>
      <c r="Y6" s="1"/>
    </row>
    <row r="7" spans="1:25" ht="44.25" customHeight="1">
      <c r="A7" s="7">
        <v>1</v>
      </c>
      <c r="B7" s="8">
        <f>IF(A7=1,A2+0.1,"")</f>
        <v>3110002.1</v>
      </c>
      <c r="C7" s="344"/>
      <c r="D7" s="342"/>
      <c r="E7" s="342"/>
      <c r="F7" s="342"/>
      <c r="G7" s="342"/>
      <c r="H7" s="342"/>
      <c r="I7" s="342"/>
      <c r="J7" s="342"/>
      <c r="K7" s="342"/>
      <c r="L7" s="342"/>
      <c r="M7" s="342"/>
      <c r="N7" s="340"/>
      <c r="O7" s="9"/>
      <c r="P7" s="9"/>
      <c r="Q7" s="9"/>
      <c r="R7" s="9"/>
      <c r="S7" s="9"/>
      <c r="T7" s="9"/>
      <c r="U7" s="9"/>
      <c r="V7" s="9"/>
      <c r="W7" s="9"/>
      <c r="X7" s="9"/>
      <c r="Y7" s="9"/>
    </row>
    <row r="8" spans="1:25" ht="44.25" customHeight="1">
      <c r="A8" s="7">
        <v>2</v>
      </c>
      <c r="B8" s="8">
        <f>IF(A8=2,A2+0.2,"")</f>
        <v>3110002.2</v>
      </c>
      <c r="C8" s="344"/>
      <c r="D8" s="342"/>
      <c r="E8" s="342"/>
      <c r="F8" s="342"/>
      <c r="G8" s="342"/>
      <c r="H8" s="342"/>
      <c r="I8" s="342"/>
      <c r="J8" s="342"/>
      <c r="K8" s="342"/>
      <c r="L8" s="342"/>
      <c r="M8" s="342"/>
      <c r="N8" s="340"/>
      <c r="O8" s="9"/>
      <c r="P8" s="9"/>
      <c r="Q8" s="9"/>
      <c r="R8" s="9"/>
      <c r="S8" s="9"/>
      <c r="T8" s="9"/>
      <c r="U8" s="9"/>
      <c r="V8" s="9"/>
      <c r="W8" s="9"/>
      <c r="X8" s="9"/>
      <c r="Y8" s="9"/>
    </row>
    <row r="9" spans="1:25" ht="44.25" customHeight="1">
      <c r="A9" s="7">
        <v>3</v>
      </c>
      <c r="B9" s="8">
        <f>IF(A9=3,A2+0.3,"")</f>
        <v>3110002.3</v>
      </c>
      <c r="C9" s="354"/>
      <c r="D9" s="342"/>
      <c r="E9" s="342"/>
      <c r="F9" s="342"/>
      <c r="G9" s="342"/>
      <c r="H9" s="342"/>
      <c r="I9" s="342"/>
      <c r="J9" s="342"/>
      <c r="K9" s="342"/>
      <c r="L9" s="342"/>
      <c r="M9" s="342"/>
      <c r="N9" s="340"/>
      <c r="O9" s="9"/>
      <c r="P9" s="9"/>
      <c r="Q9" s="9"/>
      <c r="R9" s="9"/>
      <c r="S9" s="9"/>
      <c r="T9" s="9"/>
      <c r="U9" s="9"/>
      <c r="V9" s="9"/>
      <c r="W9" s="9"/>
      <c r="X9" s="9"/>
      <c r="Y9" s="9"/>
    </row>
    <row r="10" spans="1:25" ht="44.25" customHeight="1">
      <c r="A10" s="7">
        <v>4</v>
      </c>
      <c r="B10" s="8">
        <f>IF(A10=4,A2+0.4,"")</f>
        <v>3110002.4</v>
      </c>
      <c r="C10" s="354"/>
      <c r="D10" s="342"/>
      <c r="E10" s="342"/>
      <c r="F10" s="342"/>
      <c r="G10" s="342"/>
      <c r="H10" s="342"/>
      <c r="I10" s="342"/>
      <c r="J10" s="342"/>
      <c r="K10" s="342"/>
      <c r="L10" s="342"/>
      <c r="M10" s="342"/>
      <c r="N10" s="340"/>
      <c r="O10" s="9"/>
      <c r="P10" s="9"/>
      <c r="Q10" s="9"/>
      <c r="R10" s="9"/>
      <c r="S10" s="9"/>
      <c r="T10" s="9"/>
      <c r="U10" s="9"/>
      <c r="V10" s="9"/>
      <c r="W10" s="9"/>
      <c r="X10" s="9"/>
      <c r="Y10" s="9"/>
    </row>
    <row r="11" spans="1:25" ht="44.25" customHeight="1">
      <c r="A11" s="7">
        <v>5</v>
      </c>
      <c r="B11" s="8">
        <f>IF(A11=5,A2+0.5,"")</f>
        <v>3110002.5</v>
      </c>
      <c r="C11" s="354"/>
      <c r="D11" s="342"/>
      <c r="E11" s="342"/>
      <c r="F11" s="342"/>
      <c r="G11" s="342"/>
      <c r="H11" s="342"/>
      <c r="I11" s="342"/>
      <c r="J11" s="342"/>
      <c r="K11" s="342"/>
      <c r="L11" s="342"/>
      <c r="M11" s="342"/>
      <c r="N11" s="340"/>
      <c r="O11" s="9"/>
      <c r="P11" s="9"/>
      <c r="Q11" s="9"/>
      <c r="R11" s="9"/>
      <c r="S11" s="9"/>
      <c r="T11" s="9"/>
      <c r="U11" s="9"/>
      <c r="V11" s="9"/>
      <c r="W11" s="9"/>
      <c r="X11" s="9"/>
      <c r="Y11" s="9"/>
    </row>
    <row r="12" spans="1:25" ht="44.25" customHeight="1">
      <c r="A12" s="7"/>
      <c r="B12" s="8" t="str">
        <f>IF(A12=6,A2+0.6,"")</f>
        <v/>
      </c>
      <c r="C12" s="354"/>
      <c r="D12" s="342"/>
      <c r="E12" s="342"/>
      <c r="F12" s="342"/>
      <c r="G12" s="342"/>
      <c r="H12" s="342"/>
      <c r="I12" s="342"/>
      <c r="J12" s="342"/>
      <c r="K12" s="342"/>
      <c r="L12" s="342"/>
      <c r="M12" s="342"/>
      <c r="N12" s="340"/>
      <c r="O12" s="9"/>
      <c r="P12" s="9"/>
      <c r="Q12" s="9"/>
      <c r="R12" s="9"/>
      <c r="S12" s="9"/>
      <c r="T12" s="9"/>
      <c r="U12" s="9"/>
      <c r="V12" s="9"/>
      <c r="W12" s="9"/>
      <c r="X12" s="9"/>
      <c r="Y12" s="9"/>
    </row>
    <row r="13" spans="1:25" ht="15.75" customHeight="1">
      <c r="A13" s="10"/>
      <c r="B13" s="11"/>
      <c r="C13" s="12"/>
      <c r="D13" s="12"/>
      <c r="E13" s="12"/>
      <c r="F13" s="12"/>
      <c r="G13" s="12"/>
      <c r="H13" s="12"/>
      <c r="I13" s="12"/>
      <c r="J13" s="12"/>
      <c r="K13" s="12"/>
      <c r="L13" s="12"/>
      <c r="M13" s="12"/>
      <c r="N13" s="13"/>
      <c r="O13" s="1"/>
      <c r="P13" s="1"/>
      <c r="Q13" s="1"/>
      <c r="R13" s="1"/>
      <c r="S13" s="1"/>
      <c r="T13" s="1"/>
      <c r="U13" s="1"/>
      <c r="V13" s="1"/>
      <c r="W13" s="1"/>
      <c r="X13" s="1"/>
      <c r="Y13" s="1"/>
    </row>
    <row r="14" spans="1:25" ht="15.75" customHeight="1">
      <c r="A14" s="355" t="s">
        <v>7</v>
      </c>
      <c r="B14" s="356"/>
      <c r="C14" s="356"/>
      <c r="D14" s="356"/>
      <c r="E14" s="356"/>
      <c r="F14" s="356"/>
      <c r="G14" s="356"/>
      <c r="H14" s="356"/>
      <c r="I14" s="356"/>
      <c r="J14" s="14"/>
      <c r="K14" s="14"/>
      <c r="L14" s="14"/>
      <c r="M14" s="14"/>
      <c r="N14" s="14"/>
      <c r="O14" s="1"/>
      <c r="P14" s="1"/>
      <c r="Q14" s="1"/>
      <c r="R14" s="1"/>
      <c r="S14" s="1"/>
      <c r="T14" s="1"/>
      <c r="U14" s="1"/>
      <c r="V14" s="1"/>
      <c r="W14" s="1"/>
      <c r="X14" s="1"/>
      <c r="Y14" s="1"/>
    </row>
    <row r="15" spans="1:25" ht="18.75" customHeight="1">
      <c r="A15" s="357" t="s">
        <v>8</v>
      </c>
      <c r="B15" s="357" t="s">
        <v>9</v>
      </c>
      <c r="C15" s="345" t="s">
        <v>10</v>
      </c>
      <c r="D15" s="345" t="s">
        <v>11</v>
      </c>
      <c r="E15" s="339" t="s">
        <v>12</v>
      </c>
      <c r="F15" s="340"/>
      <c r="G15" s="339" t="s">
        <v>13</v>
      </c>
      <c r="H15" s="340"/>
      <c r="I15" s="345" t="s">
        <v>14</v>
      </c>
      <c r="J15" s="12"/>
      <c r="K15" s="12"/>
      <c r="L15" s="12"/>
      <c r="M15" s="12"/>
      <c r="N15" s="13"/>
      <c r="O15" s="1"/>
      <c r="P15" s="1"/>
      <c r="Q15" s="1"/>
      <c r="R15" s="1"/>
      <c r="S15" s="1"/>
      <c r="T15" s="1"/>
      <c r="U15" s="1"/>
      <c r="V15" s="1"/>
      <c r="W15" s="1"/>
      <c r="X15" s="1"/>
      <c r="Y15" s="1"/>
    </row>
    <row r="16" spans="1:25" ht="15.75" customHeight="1">
      <c r="A16" s="346"/>
      <c r="B16" s="346"/>
      <c r="C16" s="346"/>
      <c r="D16" s="346"/>
      <c r="E16" s="15" t="s">
        <v>15</v>
      </c>
      <c r="F16" s="15" t="s">
        <v>16</v>
      </c>
      <c r="G16" s="15" t="s">
        <v>17</v>
      </c>
      <c r="H16" s="15" t="s">
        <v>18</v>
      </c>
      <c r="I16" s="346"/>
      <c r="J16" s="12"/>
      <c r="K16" s="12"/>
      <c r="L16" s="12"/>
      <c r="M16" s="12"/>
      <c r="N16" s="13"/>
      <c r="O16" s="1"/>
      <c r="P16" s="1"/>
      <c r="Q16" s="1"/>
      <c r="R16" s="1"/>
      <c r="S16" s="1"/>
      <c r="T16" s="1"/>
      <c r="U16" s="1"/>
      <c r="V16" s="1"/>
      <c r="W16" s="1"/>
      <c r="X16" s="1"/>
      <c r="Y16" s="1"/>
    </row>
    <row r="17" spans="1:25" ht="25.5" customHeight="1">
      <c r="A17" s="7"/>
      <c r="B17" s="7"/>
      <c r="C17" s="2"/>
      <c r="D17" s="2"/>
      <c r="E17" s="2"/>
      <c r="F17" s="2"/>
      <c r="G17" s="2"/>
      <c r="H17" s="2"/>
      <c r="I17" s="15">
        <f>SUM(E17:H17)</f>
        <v>0</v>
      </c>
      <c r="J17" s="12"/>
      <c r="K17" s="12"/>
      <c r="L17" s="12"/>
      <c r="M17" s="12"/>
      <c r="N17" s="13"/>
      <c r="O17" s="1"/>
      <c r="P17" s="1"/>
      <c r="Q17" s="1"/>
      <c r="R17" s="1"/>
      <c r="S17" s="1"/>
      <c r="T17" s="1"/>
      <c r="U17" s="1"/>
      <c r="V17" s="1"/>
      <c r="W17" s="1"/>
      <c r="X17" s="1"/>
      <c r="Y17" s="1"/>
    </row>
    <row r="18" spans="1:25" ht="15.75" customHeight="1">
      <c r="A18" s="10"/>
      <c r="B18" s="11"/>
      <c r="C18" s="12"/>
      <c r="D18" s="12"/>
      <c r="E18" s="12"/>
      <c r="F18" s="12"/>
      <c r="G18" s="12"/>
      <c r="H18" s="12"/>
      <c r="I18" s="12"/>
      <c r="J18" s="12"/>
      <c r="K18" s="12"/>
      <c r="L18" s="12"/>
      <c r="M18" s="12"/>
      <c r="N18" s="13"/>
      <c r="O18" s="1"/>
      <c r="P18" s="1"/>
      <c r="Q18" s="1"/>
      <c r="R18" s="1"/>
      <c r="S18" s="1"/>
      <c r="T18" s="1"/>
      <c r="U18" s="1"/>
      <c r="V18" s="1"/>
      <c r="W18" s="1"/>
      <c r="X18" s="1"/>
      <c r="Y18" s="1"/>
    </row>
    <row r="19" spans="1:25" ht="15.75" customHeight="1">
      <c r="A19" s="347" t="s">
        <v>19</v>
      </c>
      <c r="B19" s="342"/>
      <c r="C19" s="342"/>
      <c r="D19" s="342"/>
      <c r="E19" s="342"/>
      <c r="F19" s="342"/>
      <c r="G19" s="342"/>
      <c r="H19" s="340"/>
      <c r="I19" s="16"/>
      <c r="J19" s="12"/>
      <c r="K19" s="12"/>
      <c r="L19" s="12"/>
      <c r="M19" s="12"/>
      <c r="N19" s="13"/>
      <c r="O19" s="1"/>
      <c r="P19" s="1"/>
      <c r="Q19" s="1"/>
      <c r="R19" s="1"/>
      <c r="S19" s="1"/>
      <c r="T19" s="1"/>
      <c r="U19" s="1"/>
      <c r="V19" s="1"/>
      <c r="W19" s="1"/>
      <c r="X19" s="1"/>
      <c r="Y19" s="1"/>
    </row>
    <row r="20" spans="1:25" ht="33.75" customHeight="1">
      <c r="A20" s="345">
        <f>A2</f>
        <v>3110002</v>
      </c>
      <c r="B20" s="339" t="s">
        <v>20</v>
      </c>
      <c r="C20" s="340"/>
      <c r="D20" s="345" t="s">
        <v>21</v>
      </c>
      <c r="E20" s="339" t="s">
        <v>22</v>
      </c>
      <c r="F20" s="340"/>
      <c r="G20" s="345" t="s">
        <v>23</v>
      </c>
      <c r="H20" s="345" t="s">
        <v>24</v>
      </c>
      <c r="I20" s="12"/>
      <c r="J20" s="12"/>
      <c r="K20" s="12"/>
      <c r="L20" s="12"/>
      <c r="M20" s="13"/>
      <c r="N20" s="1"/>
      <c r="O20" s="1"/>
      <c r="P20" s="1"/>
      <c r="Q20" s="1"/>
      <c r="R20" s="1"/>
      <c r="S20" s="1"/>
      <c r="T20" s="1"/>
      <c r="U20" s="1"/>
      <c r="V20" s="1"/>
      <c r="W20" s="1"/>
      <c r="X20" s="1"/>
      <c r="Y20" s="1"/>
    </row>
    <row r="21" spans="1:25" ht="31.5" customHeight="1">
      <c r="A21" s="346"/>
      <c r="B21" s="15" t="s">
        <v>25</v>
      </c>
      <c r="C21" s="3" t="s">
        <v>26</v>
      </c>
      <c r="D21" s="346"/>
      <c r="E21" s="15" t="s">
        <v>27</v>
      </c>
      <c r="F21" s="15" t="s">
        <v>28</v>
      </c>
      <c r="G21" s="346"/>
      <c r="H21" s="346"/>
      <c r="I21" s="12"/>
      <c r="J21" s="12"/>
      <c r="K21" s="12"/>
      <c r="L21" s="12"/>
      <c r="M21" s="13"/>
      <c r="N21" s="1"/>
      <c r="O21" s="1"/>
      <c r="P21" s="1"/>
      <c r="Q21" s="1"/>
      <c r="R21" s="1"/>
      <c r="S21" s="1"/>
      <c r="T21" s="1"/>
      <c r="U21" s="1"/>
      <c r="V21" s="1"/>
      <c r="W21" s="1"/>
      <c r="X21" s="1"/>
      <c r="Y21" s="1"/>
    </row>
    <row r="22" spans="1:25" ht="15.75" customHeight="1">
      <c r="A22" s="17" t="s">
        <v>29</v>
      </c>
      <c r="B22" s="18" t="str">
        <f>M!D6</f>
        <v/>
      </c>
      <c r="C22" s="19" t="str">
        <f>I!D6</f>
        <v/>
      </c>
      <c r="D22" s="18">
        <f t="shared" ref="D22:D24" si="0">SUM(B22:C22)</f>
        <v>0</v>
      </c>
      <c r="E22" s="18" t="str">
        <f>E!D6</f>
        <v/>
      </c>
      <c r="F22" s="18" t="str">
        <f>V!D6</f>
        <v/>
      </c>
      <c r="G22" s="18">
        <f t="shared" ref="G22:G24" si="1">SUM(E22:F22)</f>
        <v>0</v>
      </c>
      <c r="H22" s="18">
        <f t="shared" ref="H22:H27" si="2">IF(D22="",(G22),IF(G22="",(D22),(D22+G22)))</f>
        <v>0</v>
      </c>
      <c r="I22" s="12"/>
      <c r="J22" s="12"/>
      <c r="K22" s="12"/>
      <c r="L22" s="12"/>
      <c r="M22" s="20"/>
      <c r="N22" s="1"/>
      <c r="O22" s="1"/>
      <c r="P22" s="1"/>
      <c r="Q22" s="1"/>
      <c r="R22" s="1"/>
      <c r="S22" s="1"/>
      <c r="T22" s="1"/>
      <c r="U22" s="1"/>
      <c r="V22" s="1"/>
      <c r="W22" s="1"/>
      <c r="X22" s="1"/>
      <c r="Y22" s="1"/>
    </row>
    <row r="23" spans="1:25" ht="15.75" customHeight="1">
      <c r="A23" s="17" t="s">
        <v>30</v>
      </c>
      <c r="B23" s="18" t="str">
        <f>M!E6</f>
        <v/>
      </c>
      <c r="C23" s="19" t="str">
        <f>I!E6</f>
        <v/>
      </c>
      <c r="D23" s="18">
        <f t="shared" si="0"/>
        <v>0</v>
      </c>
      <c r="E23" s="18" t="str">
        <f>E!E6</f>
        <v/>
      </c>
      <c r="F23" s="18" t="str">
        <f>V!E6</f>
        <v/>
      </c>
      <c r="G23" s="18">
        <f t="shared" si="1"/>
        <v>0</v>
      </c>
      <c r="H23" s="18">
        <f t="shared" si="2"/>
        <v>0</v>
      </c>
      <c r="I23" s="12"/>
      <c r="J23" s="339" t="s">
        <v>31</v>
      </c>
      <c r="K23" s="342"/>
      <c r="L23" s="342"/>
      <c r="M23" s="340"/>
      <c r="N23" s="1"/>
      <c r="O23" s="1"/>
      <c r="P23" s="1"/>
      <c r="Q23" s="1"/>
      <c r="R23" s="1"/>
      <c r="S23" s="1"/>
      <c r="T23" s="1"/>
      <c r="U23" s="1"/>
      <c r="V23" s="1"/>
      <c r="W23" s="1"/>
      <c r="X23" s="1"/>
      <c r="Y23" s="1"/>
    </row>
    <row r="24" spans="1:25" ht="15.75" customHeight="1">
      <c r="A24" s="17" t="s">
        <v>32</v>
      </c>
      <c r="B24" s="18" t="str">
        <f>M!F6</f>
        <v/>
      </c>
      <c r="C24" s="19" t="str">
        <f>I!F6</f>
        <v/>
      </c>
      <c r="D24" s="18">
        <f t="shared" si="0"/>
        <v>0</v>
      </c>
      <c r="E24" s="18" t="str">
        <f>E!F6</f>
        <v/>
      </c>
      <c r="F24" s="18" t="str">
        <f>V!F6</f>
        <v/>
      </c>
      <c r="G24" s="18">
        <f t="shared" si="1"/>
        <v>0</v>
      </c>
      <c r="H24" s="18">
        <f t="shared" si="2"/>
        <v>0</v>
      </c>
      <c r="I24" s="12"/>
      <c r="J24" s="348" t="s">
        <v>33</v>
      </c>
      <c r="K24" s="349"/>
      <c r="L24" s="348" t="s">
        <v>34</v>
      </c>
      <c r="M24" s="349"/>
      <c r="N24" s="21"/>
      <c r="O24" s="21"/>
      <c r="P24" s="1"/>
      <c r="Q24" s="1"/>
      <c r="R24" s="1"/>
      <c r="S24" s="1"/>
      <c r="T24" s="1"/>
      <c r="U24" s="1"/>
      <c r="V24" s="1"/>
      <c r="W24" s="1"/>
      <c r="X24" s="1"/>
      <c r="Y24" s="1"/>
    </row>
    <row r="25" spans="1:25" ht="15.75" customHeight="1">
      <c r="A25" s="17" t="s">
        <v>35</v>
      </c>
      <c r="B25" s="18" t="str">
        <f>M!G6</f>
        <v/>
      </c>
      <c r="C25" s="19" t="str">
        <f>I!G6</f>
        <v/>
      </c>
      <c r="D25" s="18" t="str">
        <f t="shared" ref="D25:D27" si="3">IF(B25&amp;C25="","",SUM(B25:C25))</f>
        <v/>
      </c>
      <c r="E25" s="18" t="str">
        <f>E!G6</f>
        <v/>
      </c>
      <c r="F25" s="18" t="str">
        <f>V!G6</f>
        <v/>
      </c>
      <c r="G25" s="18" t="str">
        <f t="shared" ref="G25:G27" si="4">IF(E25&amp;F25="","",SUM(E25:F25))</f>
        <v/>
      </c>
      <c r="H25" s="18" t="str">
        <f t="shared" si="2"/>
        <v/>
      </c>
      <c r="I25" s="12"/>
      <c r="J25" s="350"/>
      <c r="K25" s="351"/>
      <c r="L25" s="350"/>
      <c r="M25" s="351"/>
      <c r="N25" s="21"/>
      <c r="O25" s="21"/>
      <c r="P25" s="1"/>
      <c r="Q25" s="1"/>
      <c r="R25" s="1"/>
      <c r="S25" s="1"/>
      <c r="T25" s="1"/>
      <c r="U25" s="1"/>
      <c r="V25" s="1"/>
      <c r="W25" s="1"/>
      <c r="X25" s="1"/>
      <c r="Y25" s="1"/>
    </row>
    <row r="26" spans="1:25" ht="15.75" customHeight="1">
      <c r="A26" s="17" t="s">
        <v>36</v>
      </c>
      <c r="B26" s="18" t="str">
        <f>M!H6</f>
        <v/>
      </c>
      <c r="C26" s="19" t="str">
        <f>I!H6</f>
        <v/>
      </c>
      <c r="D26" s="18" t="str">
        <f t="shared" si="3"/>
        <v/>
      </c>
      <c r="E26" s="18" t="str">
        <f>E!H6</f>
        <v/>
      </c>
      <c r="F26" s="18" t="str">
        <f>V!H6</f>
        <v/>
      </c>
      <c r="G26" s="18" t="str">
        <f t="shared" si="4"/>
        <v/>
      </c>
      <c r="H26" s="18" t="str">
        <f t="shared" si="2"/>
        <v/>
      </c>
      <c r="I26" s="12"/>
      <c r="J26" s="350"/>
      <c r="K26" s="351"/>
      <c r="L26" s="352"/>
      <c r="M26" s="353"/>
      <c r="N26" s="21"/>
      <c r="O26" s="21"/>
      <c r="P26" s="1"/>
      <c r="Q26" s="1"/>
      <c r="R26" s="1"/>
      <c r="S26" s="1"/>
      <c r="T26" s="1"/>
      <c r="U26" s="1"/>
      <c r="V26" s="1"/>
      <c r="W26" s="1"/>
      <c r="X26" s="1"/>
      <c r="Y26" s="1"/>
    </row>
    <row r="27" spans="1:25" ht="15.75" customHeight="1">
      <c r="A27" s="17" t="s">
        <v>37</v>
      </c>
      <c r="B27" s="18" t="str">
        <f>M!I6</f>
        <v/>
      </c>
      <c r="C27" s="19" t="str">
        <f>I!I6</f>
        <v/>
      </c>
      <c r="D27" s="18" t="str">
        <f t="shared" si="3"/>
        <v/>
      </c>
      <c r="E27" s="18" t="str">
        <f>E!I6</f>
        <v/>
      </c>
      <c r="F27" s="18" t="str">
        <f>V!I6</f>
        <v/>
      </c>
      <c r="G27" s="18" t="str">
        <f t="shared" si="4"/>
        <v/>
      </c>
      <c r="H27" s="18" t="str">
        <f t="shared" si="2"/>
        <v/>
      </c>
      <c r="I27" s="12"/>
      <c r="J27" s="339">
        <v>0</v>
      </c>
      <c r="K27" s="340"/>
      <c r="L27" s="22">
        <v>60</v>
      </c>
      <c r="M27" s="23"/>
      <c r="N27" s="21"/>
      <c r="O27" s="21"/>
      <c r="P27" s="1"/>
      <c r="Q27" s="1"/>
      <c r="R27" s="1"/>
      <c r="S27" s="1"/>
      <c r="T27" s="1"/>
      <c r="U27" s="1"/>
      <c r="V27" s="1"/>
      <c r="W27" s="1"/>
      <c r="X27" s="1"/>
      <c r="Y27" s="1"/>
    </row>
    <row r="28" spans="1:25" ht="21.75" customHeight="1">
      <c r="A28" s="24"/>
      <c r="B28" s="18" t="str">
        <f>IF(F17="","",SUM(B22:B27))</f>
        <v/>
      </c>
      <c r="C28" s="19" t="str">
        <f>IF(H17="","",SUM(C22:C27))</f>
        <v/>
      </c>
      <c r="D28" s="18">
        <f>SUM(D22:D27)</f>
        <v>0</v>
      </c>
      <c r="E28" s="18" t="str">
        <f>IF(E17="","",SUM(E22:E27))</f>
        <v/>
      </c>
      <c r="F28" s="18" t="str">
        <f>IF(G17="","",SUM(F22:F27))</f>
        <v/>
      </c>
      <c r="G28" s="18">
        <f t="shared" ref="G28:H28" si="5">SUM(G22:G27)</f>
        <v>0</v>
      </c>
      <c r="H28" s="18">
        <f t="shared" si="5"/>
        <v>0</v>
      </c>
      <c r="I28" s="12"/>
      <c r="J28" s="339">
        <v>1</v>
      </c>
      <c r="K28" s="340"/>
      <c r="L28" s="22">
        <v>70</v>
      </c>
      <c r="M28" s="23"/>
      <c r="N28" s="25"/>
      <c r="O28" s="25"/>
      <c r="P28" s="1"/>
      <c r="Q28" s="1"/>
      <c r="R28" s="1"/>
      <c r="S28" s="1"/>
      <c r="T28" s="1"/>
      <c r="U28" s="1"/>
      <c r="V28" s="1"/>
      <c r="W28" s="1"/>
      <c r="X28" s="1"/>
      <c r="Y28" s="1"/>
    </row>
    <row r="29" spans="1:25" ht="21.75" customHeight="1">
      <c r="A29" s="26"/>
      <c r="B29" s="11"/>
      <c r="C29" s="12"/>
      <c r="D29" s="12"/>
      <c r="E29" s="12"/>
      <c r="F29" s="12"/>
      <c r="G29" s="12"/>
      <c r="H29" s="12"/>
      <c r="I29" s="12"/>
      <c r="J29" s="339">
        <v>2</v>
      </c>
      <c r="K29" s="340"/>
      <c r="L29" s="22">
        <v>80</v>
      </c>
      <c r="M29" s="23"/>
      <c r="N29" s="25"/>
      <c r="O29" s="25"/>
      <c r="P29" s="1"/>
      <c r="Q29" s="1"/>
      <c r="R29" s="1"/>
      <c r="S29" s="1"/>
      <c r="T29" s="1"/>
      <c r="U29" s="1"/>
      <c r="V29" s="1"/>
      <c r="W29" s="1"/>
      <c r="X29" s="1"/>
      <c r="Y29" s="1"/>
    </row>
    <row r="30" spans="1:25" ht="22.5" customHeight="1">
      <c r="A30" s="369" t="s">
        <v>38</v>
      </c>
      <c r="B30" s="342"/>
      <c r="C30" s="342"/>
      <c r="D30" s="340"/>
      <c r="E30" s="2">
        <v>40</v>
      </c>
      <c r="F30" s="27"/>
      <c r="G30" s="27"/>
      <c r="H30" s="27"/>
      <c r="I30" s="27"/>
      <c r="J30" s="339">
        <v>3</v>
      </c>
      <c r="K30" s="340"/>
      <c r="L30" s="339" t="str">
        <f>" &gt;" &amp; TEXT(L29,"0")</f>
        <v xml:space="preserve"> &gt;80</v>
      </c>
      <c r="M30" s="340"/>
      <c r="N30" s="25"/>
      <c r="O30" s="25"/>
      <c r="P30" s="27"/>
      <c r="Q30" s="1"/>
      <c r="R30" s="1"/>
      <c r="S30" s="1"/>
      <c r="T30" s="1"/>
      <c r="U30" s="1"/>
      <c r="V30" s="1"/>
      <c r="W30" s="1"/>
      <c r="X30" s="1"/>
      <c r="Y30" s="1"/>
    </row>
    <row r="31" spans="1:25" ht="15.75" customHeight="1">
      <c r="A31" s="26"/>
      <c r="B31" s="11"/>
      <c r="C31" s="12"/>
      <c r="D31" s="12"/>
      <c r="E31" s="12"/>
      <c r="F31" s="12"/>
      <c r="G31" s="12"/>
      <c r="H31" s="12"/>
      <c r="I31" s="12"/>
      <c r="J31" s="12"/>
      <c r="K31" s="12"/>
      <c r="L31" s="12"/>
      <c r="M31" s="12"/>
      <c r="N31" s="1"/>
      <c r="O31" s="28"/>
      <c r="P31" s="1"/>
      <c r="Q31" s="1"/>
      <c r="R31" s="1"/>
      <c r="S31" s="1"/>
      <c r="T31" s="1"/>
      <c r="U31" s="1"/>
      <c r="V31" s="1"/>
      <c r="W31" s="1"/>
      <c r="X31" s="1"/>
      <c r="Y31" s="1"/>
    </row>
    <row r="32" spans="1:25" ht="15.75" customHeight="1">
      <c r="A32" s="367" t="s">
        <v>39</v>
      </c>
      <c r="B32" s="356"/>
      <c r="C32" s="356"/>
      <c r="D32" s="356"/>
      <c r="E32" s="356"/>
      <c r="F32" s="356"/>
      <c r="G32" s="356"/>
      <c r="H32" s="356"/>
      <c r="I32" s="356"/>
      <c r="J32" s="356"/>
      <c r="K32" s="356"/>
      <c r="L32" s="356"/>
      <c r="M32" s="356"/>
      <c r="N32" s="356"/>
      <c r="O32" s="356"/>
      <c r="P32" s="356"/>
      <c r="Q32" s="356"/>
      <c r="R32" s="1"/>
      <c r="S32" s="1"/>
      <c r="T32" s="1"/>
      <c r="U32" s="1"/>
      <c r="V32" s="1"/>
      <c r="W32" s="1"/>
      <c r="X32" s="1"/>
      <c r="Y32" s="1"/>
    </row>
    <row r="33" spans="1:25" ht="15.75" customHeight="1">
      <c r="A33" s="15" t="s">
        <v>40</v>
      </c>
      <c r="B33" s="15"/>
      <c r="C33" s="15" t="s">
        <v>41</v>
      </c>
      <c r="D33" s="15" t="s">
        <v>42</v>
      </c>
      <c r="E33" s="15" t="s">
        <v>43</v>
      </c>
      <c r="F33" s="15" t="s">
        <v>44</v>
      </c>
      <c r="G33" s="15" t="s">
        <v>45</v>
      </c>
      <c r="H33" s="15" t="s">
        <v>46</v>
      </c>
      <c r="I33" s="15" t="s">
        <v>47</v>
      </c>
      <c r="J33" s="15" t="s">
        <v>48</v>
      </c>
      <c r="K33" s="15" t="s">
        <v>49</v>
      </c>
      <c r="L33" s="15" t="s">
        <v>50</v>
      </c>
      <c r="M33" s="15" t="s">
        <v>51</v>
      </c>
      <c r="N33" s="15" t="s">
        <v>53</v>
      </c>
      <c r="O33" s="15" t="s">
        <v>54</v>
      </c>
      <c r="P33" s="15" t="s">
        <v>55</v>
      </c>
      <c r="Q33" s="15" t="s">
        <v>56</v>
      </c>
      <c r="R33" s="1"/>
      <c r="S33" s="1"/>
      <c r="T33" s="1"/>
      <c r="U33" s="1"/>
      <c r="V33" s="1"/>
      <c r="W33" s="1"/>
      <c r="X33" s="1"/>
      <c r="Y33" s="1"/>
    </row>
    <row r="34" spans="1:25" ht="15.75" customHeight="1">
      <c r="A34" s="29">
        <v>1</v>
      </c>
      <c r="B34" s="17" t="s">
        <v>29</v>
      </c>
      <c r="C34" s="30">
        <f>'CO-PO mapping summary'!D32</f>
        <v>3</v>
      </c>
      <c r="D34" s="30">
        <f>'CO-PO mapping summary'!E32</f>
        <v>3</v>
      </c>
      <c r="E34" s="30">
        <f>'CO-PO mapping summary'!F32</f>
        <v>3</v>
      </c>
      <c r="F34" s="30">
        <f>'CO-PO mapping summary'!G32</f>
        <v>2</v>
      </c>
      <c r="G34" s="30">
        <f>'CO-PO mapping summary'!H32</f>
        <v>3</v>
      </c>
      <c r="H34" s="30" t="str">
        <f>'CO-PO mapping summary'!I32</f>
        <v/>
      </c>
      <c r="I34" s="30" t="str">
        <f>'CO-PO mapping summary'!J32</f>
        <v/>
      </c>
      <c r="J34" s="30">
        <f>'CO-PO mapping summary'!K32</f>
        <v>1</v>
      </c>
      <c r="K34" s="30" t="str">
        <f>'CO-PO mapping summary'!L32</f>
        <v/>
      </c>
      <c r="L34" s="30">
        <f>'CO-PO mapping summary'!M32</f>
        <v>3</v>
      </c>
      <c r="M34" s="30">
        <f>'CO-PO mapping summary'!N32</f>
        <v>1</v>
      </c>
      <c r="N34" s="30">
        <f>'CO-PO mapping summary'!O32</f>
        <v>1</v>
      </c>
      <c r="O34" s="30">
        <f>'CO-PO mapping summary'!P32</f>
        <v>3</v>
      </c>
      <c r="P34" s="30">
        <f>'CO-PO mapping summary'!Q32</f>
        <v>3</v>
      </c>
      <c r="Q34" s="30">
        <f>'CO-PO mapping summary'!R32</f>
        <v>2</v>
      </c>
      <c r="R34" s="1"/>
      <c r="S34" s="1"/>
      <c r="T34" s="1"/>
      <c r="U34" s="1"/>
      <c r="V34" s="1"/>
      <c r="W34" s="1"/>
      <c r="X34" s="1"/>
      <c r="Y34" s="1"/>
    </row>
    <row r="35" spans="1:25" ht="15.75" customHeight="1">
      <c r="A35" s="29">
        <v>2</v>
      </c>
      <c r="B35" s="17" t="s">
        <v>30</v>
      </c>
      <c r="C35" s="30">
        <f>'CO-PO mapping summary'!D33</f>
        <v>3</v>
      </c>
      <c r="D35" s="30">
        <f>'CO-PO mapping summary'!E33</f>
        <v>3</v>
      </c>
      <c r="E35" s="30">
        <f>'CO-PO mapping summary'!F33</f>
        <v>3</v>
      </c>
      <c r="F35" s="30">
        <f>'CO-PO mapping summary'!G33</f>
        <v>2</v>
      </c>
      <c r="G35" s="30">
        <f>'CO-PO mapping summary'!H33</f>
        <v>3</v>
      </c>
      <c r="H35" s="30" t="str">
        <f>'CO-PO mapping summary'!I33</f>
        <v/>
      </c>
      <c r="I35" s="30" t="str">
        <f>'CO-PO mapping summary'!J33</f>
        <v/>
      </c>
      <c r="J35" s="30">
        <f>'CO-PO mapping summary'!K33</f>
        <v>2</v>
      </c>
      <c r="K35" s="30" t="str">
        <f>'CO-PO mapping summary'!L33</f>
        <v/>
      </c>
      <c r="L35" s="30">
        <f>'CO-PO mapping summary'!M33</f>
        <v>3</v>
      </c>
      <c r="M35" s="30" t="str">
        <f>'CO-PO mapping summary'!N33</f>
        <v/>
      </c>
      <c r="N35" s="30">
        <f>'CO-PO mapping summary'!O33</f>
        <v>2</v>
      </c>
      <c r="O35" s="30">
        <f>'CO-PO mapping summary'!P33</f>
        <v>3</v>
      </c>
      <c r="P35" s="30" t="str">
        <f>'CO-PO mapping summary'!Q33</f>
        <v/>
      </c>
      <c r="Q35" s="30">
        <f>'CO-PO mapping summary'!R33</f>
        <v>2</v>
      </c>
      <c r="R35" s="1"/>
      <c r="S35" s="1"/>
      <c r="T35" s="1"/>
      <c r="U35" s="1"/>
      <c r="V35" s="1"/>
      <c r="W35" s="1"/>
      <c r="X35" s="1"/>
      <c r="Y35" s="1"/>
    </row>
    <row r="36" spans="1:25" ht="15.75" customHeight="1">
      <c r="A36" s="29">
        <v>3</v>
      </c>
      <c r="B36" s="17" t="s">
        <v>32</v>
      </c>
      <c r="C36" s="30">
        <f>'CO-PO mapping summary'!D34</f>
        <v>3</v>
      </c>
      <c r="D36" s="30">
        <f>'CO-PO mapping summary'!E34</f>
        <v>3</v>
      </c>
      <c r="E36" s="30">
        <f>'CO-PO mapping summary'!F34</f>
        <v>3</v>
      </c>
      <c r="F36" s="30">
        <f>'CO-PO mapping summary'!G34</f>
        <v>1</v>
      </c>
      <c r="G36" s="30">
        <f>'CO-PO mapping summary'!H34</f>
        <v>3</v>
      </c>
      <c r="H36" s="30" t="str">
        <f>'CO-PO mapping summary'!I34</f>
        <v/>
      </c>
      <c r="I36" s="30" t="str">
        <f>'CO-PO mapping summary'!J34</f>
        <v/>
      </c>
      <c r="J36" s="30">
        <f>'CO-PO mapping summary'!K34</f>
        <v>1</v>
      </c>
      <c r="K36" s="30" t="str">
        <f>'CO-PO mapping summary'!L34</f>
        <v/>
      </c>
      <c r="L36" s="30">
        <f>'CO-PO mapping summary'!M34</f>
        <v>3</v>
      </c>
      <c r="M36" s="30">
        <f>'CO-PO mapping summary'!N34</f>
        <v>1</v>
      </c>
      <c r="N36" s="30" t="str">
        <f>'CO-PO mapping summary'!O34</f>
        <v/>
      </c>
      <c r="O36" s="30">
        <f>'CO-PO mapping summary'!P34</f>
        <v>2</v>
      </c>
      <c r="P36" s="30" t="str">
        <f>'CO-PO mapping summary'!Q34</f>
        <v/>
      </c>
      <c r="Q36" s="30" t="str">
        <f>'CO-PO mapping summary'!R34</f>
        <v/>
      </c>
      <c r="R36" s="1"/>
      <c r="S36" s="1"/>
      <c r="T36" s="1"/>
      <c r="U36" s="1"/>
      <c r="V36" s="1"/>
      <c r="W36" s="1"/>
      <c r="X36" s="1"/>
      <c r="Y36" s="1"/>
    </row>
    <row r="37" spans="1:25" ht="15.75" customHeight="1">
      <c r="A37" s="29">
        <v>4</v>
      </c>
      <c r="B37" s="17" t="s">
        <v>35</v>
      </c>
      <c r="C37" s="30">
        <f>'CO-PO mapping summary'!D35</f>
        <v>3</v>
      </c>
      <c r="D37" s="30">
        <f>'CO-PO mapping summary'!E35</f>
        <v>3</v>
      </c>
      <c r="E37" s="30">
        <f>'CO-PO mapping summary'!F35</f>
        <v>3</v>
      </c>
      <c r="F37" s="30">
        <f>'CO-PO mapping summary'!G35</f>
        <v>3</v>
      </c>
      <c r="G37" s="30">
        <f>'CO-PO mapping summary'!H35</f>
        <v>3</v>
      </c>
      <c r="H37" s="30" t="str">
        <f>'CO-PO mapping summary'!I35</f>
        <v/>
      </c>
      <c r="I37" s="30" t="str">
        <f>'CO-PO mapping summary'!J35</f>
        <v/>
      </c>
      <c r="J37" s="30">
        <f>'CO-PO mapping summary'!K35</f>
        <v>1</v>
      </c>
      <c r="K37" s="30" t="str">
        <f>'CO-PO mapping summary'!L35</f>
        <v/>
      </c>
      <c r="L37" s="30">
        <f>'CO-PO mapping summary'!M35</f>
        <v>3</v>
      </c>
      <c r="M37" s="30">
        <f>'CO-PO mapping summary'!N35</f>
        <v>1</v>
      </c>
      <c r="N37" s="30">
        <f>'CO-PO mapping summary'!O35</f>
        <v>1</v>
      </c>
      <c r="O37" s="30">
        <f>'CO-PO mapping summary'!P35</f>
        <v>3</v>
      </c>
      <c r="P37" s="30" t="str">
        <f>'CO-PO mapping summary'!Q35</f>
        <v/>
      </c>
      <c r="Q37" s="30">
        <f>'CO-PO mapping summary'!R35</f>
        <v>2</v>
      </c>
      <c r="R37" s="1"/>
      <c r="S37" s="1"/>
      <c r="T37" s="1"/>
      <c r="U37" s="1"/>
      <c r="V37" s="1"/>
      <c r="W37" s="1"/>
      <c r="X37" s="1"/>
      <c r="Y37" s="1"/>
    </row>
    <row r="38" spans="1:25" ht="15.75" customHeight="1">
      <c r="A38" s="29">
        <v>5</v>
      </c>
      <c r="B38" s="17" t="s">
        <v>36</v>
      </c>
      <c r="C38" s="30">
        <f>'CO-PO mapping summary'!D36</f>
        <v>3</v>
      </c>
      <c r="D38" s="30">
        <f>'CO-PO mapping summary'!E36</f>
        <v>3</v>
      </c>
      <c r="E38" s="30">
        <f>'CO-PO mapping summary'!F36</f>
        <v>3</v>
      </c>
      <c r="F38" s="30" t="str">
        <f>'CO-PO mapping summary'!G36</f>
        <v/>
      </c>
      <c r="G38" s="30">
        <f>'CO-PO mapping summary'!H36</f>
        <v>1</v>
      </c>
      <c r="H38" s="30" t="str">
        <f>'CO-PO mapping summary'!I36</f>
        <v/>
      </c>
      <c r="I38" s="30" t="str">
        <f>'CO-PO mapping summary'!J36</f>
        <v/>
      </c>
      <c r="J38" s="30" t="str">
        <f>'CO-PO mapping summary'!K36</f>
        <v/>
      </c>
      <c r="K38" s="30" t="str">
        <f>'CO-PO mapping summary'!L36</f>
        <v/>
      </c>
      <c r="L38" s="30">
        <f>'CO-PO mapping summary'!M36</f>
        <v>2</v>
      </c>
      <c r="M38" s="30">
        <f>'CO-PO mapping summary'!N36</f>
        <v>2</v>
      </c>
      <c r="N38" s="30">
        <f>'CO-PO mapping summary'!O36</f>
        <v>1</v>
      </c>
      <c r="O38" s="30">
        <f>'CO-PO mapping summary'!P36</f>
        <v>3</v>
      </c>
      <c r="P38" s="30" t="str">
        <f>'CO-PO mapping summary'!Q36</f>
        <v/>
      </c>
      <c r="Q38" s="30" t="str">
        <f>'CO-PO mapping summary'!R36</f>
        <v/>
      </c>
      <c r="R38" s="1"/>
      <c r="S38" s="1"/>
      <c r="T38" s="1"/>
      <c r="U38" s="1"/>
      <c r="V38" s="1"/>
      <c r="W38" s="1"/>
      <c r="X38" s="1"/>
      <c r="Y38" s="1"/>
    </row>
    <row r="39" spans="1:25" ht="15.75" customHeight="1">
      <c r="A39" s="29">
        <v>6</v>
      </c>
      <c r="B39" s="17" t="s">
        <v>37</v>
      </c>
      <c r="C39" s="30"/>
      <c r="D39" s="30"/>
      <c r="E39" s="30"/>
      <c r="F39" s="30"/>
      <c r="G39" s="30"/>
      <c r="H39" s="30"/>
      <c r="I39" s="30"/>
      <c r="J39" s="30"/>
      <c r="K39" s="30"/>
      <c r="L39" s="30"/>
      <c r="M39" s="30"/>
      <c r="N39" s="30"/>
      <c r="O39" s="30"/>
      <c r="P39" s="30"/>
      <c r="Q39" s="30"/>
      <c r="R39" s="1"/>
      <c r="S39" s="1"/>
      <c r="T39" s="1"/>
      <c r="U39" s="1"/>
      <c r="V39" s="1"/>
      <c r="W39" s="1"/>
      <c r="X39" s="1"/>
      <c r="Y39" s="1"/>
    </row>
    <row r="40" spans="1:25" ht="15.75" customHeight="1">
      <c r="A40" s="370" t="s">
        <v>57</v>
      </c>
      <c r="B40" s="340"/>
      <c r="C40" s="31">
        <f t="shared" ref="C40:O40" si="6">IFERROR(AVERAGE(C34:C39),"")</f>
        <v>3</v>
      </c>
      <c r="D40" s="31">
        <f t="shared" si="6"/>
        <v>3</v>
      </c>
      <c r="E40" s="31">
        <f t="shared" si="6"/>
        <v>3</v>
      </c>
      <c r="F40" s="31">
        <f t="shared" si="6"/>
        <v>2</v>
      </c>
      <c r="G40" s="31">
        <f t="shared" si="6"/>
        <v>2.6</v>
      </c>
      <c r="H40" s="31" t="str">
        <f t="shared" si="6"/>
        <v/>
      </c>
      <c r="I40" s="31" t="str">
        <f t="shared" si="6"/>
        <v/>
      </c>
      <c r="J40" s="31">
        <f t="shared" si="6"/>
        <v>1.25</v>
      </c>
      <c r="K40" s="31" t="str">
        <f t="shared" si="6"/>
        <v/>
      </c>
      <c r="L40" s="31">
        <f t="shared" si="6"/>
        <v>2.8</v>
      </c>
      <c r="M40" s="31">
        <f t="shared" si="6"/>
        <v>1.25</v>
      </c>
      <c r="N40" s="31">
        <f t="shared" si="6"/>
        <v>1.25</v>
      </c>
      <c r="O40" s="31">
        <f t="shared" si="6"/>
        <v>2.8</v>
      </c>
      <c r="P40" s="31">
        <f t="shared" ref="P40:Q40" si="7">IFERROR(AVERAGE(P34:P39),"")</f>
        <v>3</v>
      </c>
      <c r="Q40" s="31">
        <f t="shared" si="7"/>
        <v>2</v>
      </c>
      <c r="R40" s="1"/>
      <c r="S40" s="1"/>
      <c r="T40" s="1"/>
      <c r="U40" s="1"/>
      <c r="V40" s="1"/>
      <c r="W40" s="1"/>
      <c r="X40" s="1"/>
      <c r="Y40" s="1"/>
    </row>
    <row r="41" spans="1:25" ht="15.75" customHeight="1">
      <c r="A41" s="371" t="s">
        <v>58</v>
      </c>
      <c r="B41" s="340"/>
      <c r="C41" s="32" t="str">
        <f>IFERROR(Attainment!C27,"")</f>
        <v/>
      </c>
      <c r="D41" s="32" t="str">
        <f>IFERROR(Attainment!D27,"")</f>
        <v/>
      </c>
      <c r="E41" s="32" t="str">
        <f>IFERROR(Attainment!E27,"")</f>
        <v/>
      </c>
      <c r="F41" s="32" t="str">
        <f>IFERROR(Attainment!F27,"")</f>
        <v/>
      </c>
      <c r="G41" s="32" t="str">
        <f>IFERROR(Attainment!G27,"")</f>
        <v/>
      </c>
      <c r="H41" s="32" t="str">
        <f>IFERROR(Attainment!H27,"")</f>
        <v/>
      </c>
      <c r="I41" s="32" t="str">
        <f>IFERROR(Attainment!I27,"")</f>
        <v/>
      </c>
      <c r="J41" s="32" t="str">
        <f>IFERROR(Attainment!J27,"")</f>
        <v/>
      </c>
      <c r="K41" s="32" t="str">
        <f>IFERROR(Attainment!K27,"")</f>
        <v/>
      </c>
      <c r="L41" s="32" t="str">
        <f>IFERROR(Attainment!L27,"")</f>
        <v/>
      </c>
      <c r="M41" s="32" t="str">
        <f>IFERROR(Attainment!M27,"")</f>
        <v/>
      </c>
      <c r="N41" s="32" t="str">
        <f>IFERROR(Attainment!N27,"")</f>
        <v/>
      </c>
      <c r="O41" s="32" t="str">
        <f>IFERROR(Attainment!O27,"")</f>
        <v/>
      </c>
      <c r="P41" s="32" t="str">
        <f>IFERROR(Attainment!P27,"")</f>
        <v/>
      </c>
      <c r="Q41" s="32" t="str">
        <f>IFERROR(Attainment!Q27,"")</f>
        <v/>
      </c>
      <c r="R41" s="1"/>
      <c r="S41" s="1"/>
      <c r="T41" s="1"/>
      <c r="U41" s="1"/>
      <c r="V41" s="1"/>
      <c r="W41" s="1"/>
      <c r="X41" s="1"/>
      <c r="Y41" s="1"/>
    </row>
    <row r="42" spans="1:25" ht="15.75" customHeight="1">
      <c r="A42" s="4"/>
      <c r="B42" s="4"/>
      <c r="C42" s="4"/>
      <c r="D42" s="4"/>
      <c r="E42" s="4"/>
      <c r="F42" s="1"/>
      <c r="G42" s="1"/>
      <c r="H42" s="1"/>
      <c r="I42" s="1"/>
      <c r="J42" s="1"/>
      <c r="K42" s="1"/>
      <c r="L42" s="1"/>
      <c r="M42" s="1"/>
      <c r="N42" s="1"/>
      <c r="O42" s="1"/>
      <c r="P42" s="1"/>
      <c r="Q42" s="1"/>
      <c r="R42" s="1"/>
      <c r="S42" s="1"/>
      <c r="T42" s="1"/>
      <c r="U42" s="1"/>
      <c r="V42" s="1"/>
      <c r="W42" s="1"/>
      <c r="X42" s="1"/>
      <c r="Y42" s="1"/>
    </row>
    <row r="43" spans="1:25" ht="15.75" customHeight="1">
      <c r="A43" s="4"/>
      <c r="B43" s="4"/>
      <c r="C43" s="33"/>
      <c r="D43" s="34" t="s">
        <v>59</v>
      </c>
      <c r="E43" s="35"/>
      <c r="F43" s="36"/>
      <c r="G43" s="37"/>
      <c r="H43" s="9"/>
      <c r="I43" s="1"/>
      <c r="J43" s="1"/>
      <c r="K43" s="1"/>
      <c r="L43" s="1"/>
      <c r="M43" s="1"/>
      <c r="N43" s="1"/>
      <c r="O43" s="1"/>
      <c r="P43" s="1"/>
      <c r="Q43" s="1"/>
      <c r="R43" s="1"/>
      <c r="S43" s="1"/>
      <c r="T43" s="1"/>
      <c r="U43" s="1"/>
      <c r="V43" s="1"/>
      <c r="W43" s="1"/>
      <c r="X43" s="1"/>
      <c r="Y43" s="1"/>
    </row>
    <row r="44" spans="1:25" ht="15.75" customHeight="1">
      <c r="A44" s="368" t="s">
        <v>60</v>
      </c>
      <c r="B44" s="356"/>
      <c r="C44" s="356"/>
      <c r="D44" s="356"/>
      <c r="E44" s="356"/>
      <c r="F44" s="356"/>
      <c r="G44" s="356"/>
      <c r="H44" s="356"/>
      <c r="I44" s="356"/>
      <c r="J44" s="356"/>
      <c r="K44" s="356"/>
      <c r="L44" s="356"/>
      <c r="M44" s="356"/>
      <c r="N44" s="356"/>
      <c r="O44" s="1"/>
      <c r="P44" s="1"/>
      <c r="Q44" s="1"/>
      <c r="R44" s="1"/>
      <c r="S44" s="1"/>
      <c r="T44" s="1"/>
      <c r="U44" s="1"/>
      <c r="V44" s="1"/>
      <c r="W44" s="1"/>
      <c r="X44" s="1"/>
      <c r="Y44" s="1"/>
    </row>
    <row r="45" spans="1:25" s="300" customFormat="1" ht="15.75" customHeight="1">
      <c r="A45" s="298" t="s">
        <v>61</v>
      </c>
      <c r="B45" s="298" t="s">
        <v>62</v>
      </c>
      <c r="C45" s="298" t="s">
        <v>63</v>
      </c>
      <c r="D45" s="366" t="s">
        <v>64</v>
      </c>
      <c r="E45" s="359"/>
      <c r="F45" s="359"/>
      <c r="G45" s="360"/>
      <c r="H45" s="298" t="s">
        <v>61</v>
      </c>
      <c r="I45" s="298" t="s">
        <v>62</v>
      </c>
      <c r="J45" s="298" t="s">
        <v>63</v>
      </c>
      <c r="K45" s="366" t="s">
        <v>64</v>
      </c>
      <c r="L45" s="359"/>
      <c r="M45" s="359"/>
      <c r="N45" s="360"/>
      <c r="O45" s="299"/>
      <c r="P45" s="299"/>
      <c r="Q45" s="299"/>
      <c r="R45" s="299"/>
      <c r="S45" s="299"/>
      <c r="T45" s="299"/>
      <c r="U45" s="299"/>
      <c r="V45" s="299"/>
      <c r="W45" s="299"/>
      <c r="X45" s="299"/>
      <c r="Y45" s="299"/>
    </row>
    <row r="46" spans="1:25" s="300" customFormat="1" ht="17.399999999999999">
      <c r="A46" s="301">
        <v>1</v>
      </c>
      <c r="B46" s="301">
        <v>1</v>
      </c>
      <c r="C46" s="302">
        <f>C34</f>
        <v>3</v>
      </c>
      <c r="D46" s="361"/>
      <c r="E46" s="359"/>
      <c r="F46" s="359"/>
      <c r="G46" s="360"/>
      <c r="H46" s="301">
        <v>2</v>
      </c>
      <c r="I46" s="301">
        <v>1</v>
      </c>
      <c r="J46" s="302">
        <f>C35</f>
        <v>3</v>
      </c>
      <c r="K46" s="358"/>
      <c r="L46" s="359"/>
      <c r="M46" s="359"/>
      <c r="N46" s="360"/>
      <c r="O46" s="299"/>
      <c r="P46" s="299"/>
      <c r="Q46" s="299"/>
      <c r="R46" s="299"/>
      <c r="S46" s="299"/>
      <c r="T46" s="299"/>
      <c r="U46" s="299"/>
      <c r="V46" s="299"/>
      <c r="W46" s="299"/>
      <c r="X46" s="299"/>
      <c r="Y46" s="299"/>
    </row>
    <row r="47" spans="1:25" s="300" customFormat="1" ht="17.399999999999999">
      <c r="A47" s="301">
        <v>1</v>
      </c>
      <c r="B47" s="301">
        <v>2</v>
      </c>
      <c r="C47" s="302">
        <f>D34</f>
        <v>3</v>
      </c>
      <c r="D47" s="361"/>
      <c r="E47" s="359"/>
      <c r="F47" s="359"/>
      <c r="G47" s="360"/>
      <c r="H47" s="301">
        <v>2</v>
      </c>
      <c r="I47" s="301">
        <v>2</v>
      </c>
      <c r="J47" s="302">
        <f>D35</f>
        <v>3</v>
      </c>
      <c r="K47" s="358"/>
      <c r="L47" s="359"/>
      <c r="M47" s="359"/>
      <c r="N47" s="360"/>
      <c r="O47" s="299"/>
      <c r="P47" s="299"/>
      <c r="Q47" s="299"/>
      <c r="R47" s="299"/>
      <c r="S47" s="299"/>
      <c r="T47" s="299"/>
      <c r="U47" s="299"/>
      <c r="V47" s="299"/>
      <c r="W47" s="299"/>
      <c r="X47" s="299"/>
      <c r="Y47" s="299"/>
    </row>
    <row r="48" spans="1:25" s="300" customFormat="1" ht="17.399999999999999">
      <c r="A48" s="301">
        <v>1</v>
      </c>
      <c r="B48" s="301">
        <v>3</v>
      </c>
      <c r="C48" s="302">
        <f>E34</f>
        <v>3</v>
      </c>
      <c r="D48" s="361"/>
      <c r="E48" s="359"/>
      <c r="F48" s="359"/>
      <c r="G48" s="360"/>
      <c r="H48" s="301">
        <v>2</v>
      </c>
      <c r="I48" s="301">
        <v>3</v>
      </c>
      <c r="J48" s="303">
        <f>E35</f>
        <v>3</v>
      </c>
      <c r="K48" s="358"/>
      <c r="L48" s="359"/>
      <c r="M48" s="359"/>
      <c r="N48" s="360"/>
      <c r="O48" s="299"/>
      <c r="P48" s="299"/>
      <c r="Q48" s="299"/>
      <c r="R48" s="299"/>
      <c r="S48" s="299"/>
      <c r="T48" s="299"/>
      <c r="U48" s="299"/>
      <c r="V48" s="299"/>
      <c r="W48" s="299"/>
      <c r="X48" s="299"/>
      <c r="Y48" s="299"/>
    </row>
    <row r="49" spans="1:25" s="300" customFormat="1" ht="17.399999999999999">
      <c r="A49" s="301">
        <v>1</v>
      </c>
      <c r="B49" s="301">
        <v>4</v>
      </c>
      <c r="C49" s="302">
        <f>F34</f>
        <v>2</v>
      </c>
      <c r="D49" s="361"/>
      <c r="E49" s="359"/>
      <c r="F49" s="359"/>
      <c r="G49" s="360"/>
      <c r="H49" s="301">
        <v>2</v>
      </c>
      <c r="I49" s="301">
        <v>4</v>
      </c>
      <c r="J49" s="303">
        <f>F35</f>
        <v>2</v>
      </c>
      <c r="K49" s="358"/>
      <c r="L49" s="359"/>
      <c r="M49" s="359"/>
      <c r="N49" s="360"/>
      <c r="O49" s="299"/>
      <c r="P49" s="299"/>
      <c r="Q49" s="299"/>
      <c r="R49" s="299"/>
      <c r="S49" s="299"/>
      <c r="T49" s="299"/>
      <c r="U49" s="299"/>
      <c r="V49" s="299"/>
      <c r="W49" s="299"/>
      <c r="X49" s="299"/>
      <c r="Y49" s="299"/>
    </row>
    <row r="50" spans="1:25" s="300" customFormat="1" ht="17.399999999999999">
      <c r="A50" s="301">
        <v>1</v>
      </c>
      <c r="B50" s="301">
        <v>5</v>
      </c>
      <c r="C50" s="302">
        <f>G34</f>
        <v>3</v>
      </c>
      <c r="D50" s="361"/>
      <c r="E50" s="359"/>
      <c r="F50" s="359"/>
      <c r="G50" s="360"/>
      <c r="H50" s="301">
        <v>2</v>
      </c>
      <c r="I50" s="301">
        <v>5</v>
      </c>
      <c r="J50" s="302">
        <f>G35</f>
        <v>3</v>
      </c>
      <c r="K50" s="358"/>
      <c r="L50" s="359"/>
      <c r="M50" s="359"/>
      <c r="N50" s="360"/>
      <c r="O50" s="299"/>
      <c r="P50" s="299"/>
      <c r="Q50" s="299"/>
      <c r="R50" s="299"/>
      <c r="S50" s="299"/>
      <c r="T50" s="299"/>
      <c r="U50" s="299"/>
      <c r="V50" s="299"/>
      <c r="W50" s="299"/>
      <c r="X50" s="299"/>
      <c r="Y50" s="299"/>
    </row>
    <row r="51" spans="1:25" s="300" customFormat="1" ht="17.399999999999999">
      <c r="A51" s="301">
        <v>1</v>
      </c>
      <c r="B51" s="301">
        <v>6</v>
      </c>
      <c r="C51" s="302" t="str">
        <f>H34</f>
        <v/>
      </c>
      <c r="D51" s="361"/>
      <c r="E51" s="359"/>
      <c r="F51" s="359"/>
      <c r="G51" s="360"/>
      <c r="H51" s="301">
        <v>2</v>
      </c>
      <c r="I51" s="301">
        <v>6</v>
      </c>
      <c r="J51" s="303" t="str">
        <f>H35</f>
        <v/>
      </c>
      <c r="K51" s="358"/>
      <c r="L51" s="359"/>
      <c r="M51" s="359"/>
      <c r="N51" s="360"/>
      <c r="O51" s="299"/>
      <c r="P51" s="299"/>
      <c r="Q51" s="299"/>
      <c r="R51" s="299"/>
      <c r="S51" s="299"/>
      <c r="T51" s="299"/>
      <c r="U51" s="299"/>
      <c r="V51" s="299"/>
      <c r="W51" s="299"/>
      <c r="X51" s="299"/>
      <c r="Y51" s="299"/>
    </row>
    <row r="52" spans="1:25" s="300" customFormat="1" ht="17.399999999999999">
      <c r="A52" s="301">
        <v>1</v>
      </c>
      <c r="B52" s="301">
        <v>7</v>
      </c>
      <c r="C52" s="302" t="str">
        <f>I34</f>
        <v/>
      </c>
      <c r="D52" s="361"/>
      <c r="E52" s="359"/>
      <c r="F52" s="359"/>
      <c r="G52" s="360"/>
      <c r="H52" s="301">
        <v>2</v>
      </c>
      <c r="I52" s="301">
        <v>7</v>
      </c>
      <c r="J52" s="303" t="str">
        <f>I35</f>
        <v/>
      </c>
      <c r="K52" s="358"/>
      <c r="L52" s="359"/>
      <c r="M52" s="359"/>
      <c r="N52" s="360"/>
      <c r="O52" s="299"/>
      <c r="P52" s="299"/>
      <c r="Q52" s="299"/>
      <c r="R52" s="299"/>
      <c r="S52" s="299"/>
      <c r="T52" s="299"/>
      <c r="U52" s="299"/>
      <c r="V52" s="299"/>
      <c r="W52" s="299"/>
      <c r="X52" s="299"/>
      <c r="Y52" s="299"/>
    </row>
    <row r="53" spans="1:25" s="300" customFormat="1" ht="17.399999999999999">
      <c r="A53" s="301">
        <v>1</v>
      </c>
      <c r="B53" s="301">
        <v>8</v>
      </c>
      <c r="C53" s="302">
        <f>J34</f>
        <v>1</v>
      </c>
      <c r="D53" s="361"/>
      <c r="E53" s="359"/>
      <c r="F53" s="359"/>
      <c r="G53" s="360"/>
      <c r="H53" s="301">
        <v>2</v>
      </c>
      <c r="I53" s="301">
        <v>8</v>
      </c>
      <c r="J53" s="302">
        <f>J35</f>
        <v>2</v>
      </c>
      <c r="K53" s="358"/>
      <c r="L53" s="359"/>
      <c r="M53" s="359"/>
      <c r="N53" s="360"/>
      <c r="O53" s="299"/>
      <c r="P53" s="299"/>
      <c r="Q53" s="299"/>
      <c r="R53" s="299"/>
      <c r="S53" s="299"/>
      <c r="T53" s="299"/>
      <c r="U53" s="299"/>
      <c r="V53" s="299"/>
      <c r="W53" s="299"/>
      <c r="X53" s="299"/>
      <c r="Y53" s="299"/>
    </row>
    <row r="54" spans="1:25" s="300" customFormat="1" ht="18">
      <c r="A54" s="301">
        <v>1</v>
      </c>
      <c r="B54" s="301">
        <v>9</v>
      </c>
      <c r="C54" s="302" t="str">
        <f>K34</f>
        <v/>
      </c>
      <c r="D54" s="362"/>
      <c r="E54" s="363"/>
      <c r="F54" s="363"/>
      <c r="G54" s="364"/>
      <c r="H54" s="301">
        <v>2</v>
      </c>
      <c r="I54" s="301">
        <v>9</v>
      </c>
      <c r="J54" s="302" t="str">
        <f>K35</f>
        <v/>
      </c>
      <c r="K54" s="358"/>
      <c r="L54" s="359"/>
      <c r="M54" s="359"/>
      <c r="N54" s="360"/>
      <c r="O54" s="299"/>
      <c r="P54" s="299"/>
      <c r="Q54" s="299"/>
      <c r="R54" s="299"/>
      <c r="S54" s="299"/>
      <c r="T54" s="299"/>
      <c r="U54" s="299"/>
      <c r="V54" s="299"/>
      <c r="W54" s="299"/>
      <c r="X54" s="299"/>
      <c r="Y54" s="299"/>
    </row>
    <row r="55" spans="1:25" s="300" customFormat="1" ht="18">
      <c r="A55" s="301">
        <v>1</v>
      </c>
      <c r="B55" s="301">
        <v>10</v>
      </c>
      <c r="C55" s="302">
        <f>L34</f>
        <v>3</v>
      </c>
      <c r="D55" s="362"/>
      <c r="E55" s="363"/>
      <c r="F55" s="363"/>
      <c r="G55" s="364"/>
      <c r="H55" s="301">
        <v>2</v>
      </c>
      <c r="I55" s="301">
        <v>10</v>
      </c>
      <c r="J55" s="303">
        <f>L35</f>
        <v>3</v>
      </c>
      <c r="K55" s="362"/>
      <c r="L55" s="363"/>
      <c r="M55" s="363"/>
      <c r="N55" s="364"/>
      <c r="O55" s="299"/>
      <c r="P55" s="299"/>
      <c r="Q55" s="299"/>
      <c r="R55" s="299"/>
      <c r="S55" s="299"/>
      <c r="T55" s="299"/>
      <c r="U55" s="299"/>
      <c r="V55" s="299"/>
      <c r="W55" s="299"/>
      <c r="X55" s="299"/>
      <c r="Y55" s="299"/>
    </row>
    <row r="56" spans="1:25" s="300" customFormat="1" ht="17.399999999999999">
      <c r="A56" s="301">
        <v>1</v>
      </c>
      <c r="B56" s="301">
        <v>11</v>
      </c>
      <c r="C56" s="302">
        <f>M34</f>
        <v>1</v>
      </c>
      <c r="D56" s="361"/>
      <c r="E56" s="359"/>
      <c r="F56" s="359"/>
      <c r="G56" s="360"/>
      <c r="H56" s="301">
        <v>2</v>
      </c>
      <c r="I56" s="301">
        <v>11</v>
      </c>
      <c r="J56" s="303" t="str">
        <f>M35</f>
        <v/>
      </c>
      <c r="K56" s="358"/>
      <c r="L56" s="359"/>
      <c r="M56" s="359"/>
      <c r="N56" s="360"/>
      <c r="O56" s="299"/>
      <c r="P56" s="299"/>
      <c r="Q56" s="299"/>
      <c r="R56" s="299"/>
      <c r="S56" s="299"/>
      <c r="T56" s="299"/>
      <c r="U56" s="299"/>
      <c r="V56" s="299"/>
      <c r="W56" s="299"/>
      <c r="X56" s="299"/>
      <c r="Y56" s="299"/>
    </row>
    <row r="57" spans="1:25" s="300" customFormat="1" ht="17.399999999999999">
      <c r="A57" s="303" t="s">
        <v>61</v>
      </c>
      <c r="B57" s="303" t="s">
        <v>62</v>
      </c>
      <c r="C57" s="303" t="s">
        <v>63</v>
      </c>
      <c r="D57" s="365" t="s">
        <v>64</v>
      </c>
      <c r="E57" s="359"/>
      <c r="F57" s="359"/>
      <c r="G57" s="360"/>
      <c r="H57" s="303" t="s">
        <v>61</v>
      </c>
      <c r="I57" s="303" t="s">
        <v>62</v>
      </c>
      <c r="J57" s="303" t="s">
        <v>63</v>
      </c>
      <c r="K57" s="365" t="s">
        <v>64</v>
      </c>
      <c r="L57" s="359"/>
      <c r="M57" s="359"/>
      <c r="N57" s="360"/>
      <c r="O57" s="299"/>
      <c r="P57" s="299"/>
      <c r="Q57" s="299"/>
      <c r="R57" s="299"/>
      <c r="S57" s="299"/>
      <c r="T57" s="299"/>
      <c r="U57" s="299"/>
      <c r="V57" s="299"/>
      <c r="W57" s="299"/>
      <c r="X57" s="299"/>
      <c r="Y57" s="299"/>
    </row>
    <row r="58" spans="1:25" s="300" customFormat="1" ht="17.399999999999999">
      <c r="A58" s="301">
        <v>3</v>
      </c>
      <c r="B58" s="301">
        <v>1</v>
      </c>
      <c r="C58" s="302">
        <f>C36</f>
        <v>3</v>
      </c>
      <c r="D58" s="361"/>
      <c r="E58" s="359"/>
      <c r="F58" s="359"/>
      <c r="G58" s="360"/>
      <c r="H58" s="301">
        <v>4</v>
      </c>
      <c r="I58" s="301">
        <v>1</v>
      </c>
      <c r="J58" s="303">
        <f>C37</f>
        <v>3</v>
      </c>
      <c r="K58" s="358"/>
      <c r="L58" s="359"/>
      <c r="M58" s="359"/>
      <c r="N58" s="360"/>
      <c r="O58" s="299"/>
      <c r="P58" s="299"/>
      <c r="Q58" s="299"/>
      <c r="R58" s="299"/>
      <c r="S58" s="299"/>
      <c r="T58" s="299"/>
      <c r="U58" s="299"/>
      <c r="V58" s="299"/>
      <c r="W58" s="299"/>
      <c r="X58" s="299"/>
      <c r="Y58" s="299"/>
    </row>
    <row r="59" spans="1:25" s="300" customFormat="1" ht="17.399999999999999">
      <c r="A59" s="301">
        <v>3</v>
      </c>
      <c r="B59" s="301">
        <v>2</v>
      </c>
      <c r="C59" s="303">
        <f>D36</f>
        <v>3</v>
      </c>
      <c r="D59" s="361"/>
      <c r="E59" s="359"/>
      <c r="F59" s="359"/>
      <c r="G59" s="360"/>
      <c r="H59" s="301">
        <v>4</v>
      </c>
      <c r="I59" s="301">
        <v>2</v>
      </c>
      <c r="J59" s="303">
        <f>D37</f>
        <v>3</v>
      </c>
      <c r="K59" s="358"/>
      <c r="L59" s="359"/>
      <c r="M59" s="359"/>
      <c r="N59" s="360"/>
      <c r="O59" s="299"/>
      <c r="P59" s="299"/>
      <c r="Q59" s="299"/>
      <c r="R59" s="299"/>
      <c r="S59" s="299"/>
      <c r="T59" s="299"/>
      <c r="U59" s="299"/>
      <c r="V59" s="299"/>
      <c r="W59" s="299"/>
      <c r="X59" s="299"/>
      <c r="Y59" s="299"/>
    </row>
    <row r="60" spans="1:25" s="300" customFormat="1" ht="17.399999999999999">
      <c r="A60" s="301">
        <v>3</v>
      </c>
      <c r="B60" s="301">
        <v>3</v>
      </c>
      <c r="C60" s="303">
        <f>E36</f>
        <v>3</v>
      </c>
      <c r="D60" s="361"/>
      <c r="E60" s="359"/>
      <c r="F60" s="359"/>
      <c r="G60" s="360"/>
      <c r="H60" s="301">
        <v>4</v>
      </c>
      <c r="I60" s="301">
        <v>3</v>
      </c>
      <c r="J60" s="303">
        <f>E37</f>
        <v>3</v>
      </c>
      <c r="K60" s="358"/>
      <c r="L60" s="359"/>
      <c r="M60" s="359"/>
      <c r="N60" s="360"/>
      <c r="O60" s="299"/>
      <c r="P60" s="299"/>
      <c r="Q60" s="299"/>
      <c r="R60" s="299"/>
      <c r="S60" s="299"/>
      <c r="T60" s="299"/>
      <c r="U60" s="299"/>
      <c r="V60" s="299"/>
      <c r="W60" s="299"/>
      <c r="X60" s="299"/>
      <c r="Y60" s="299"/>
    </row>
    <row r="61" spans="1:25" s="300" customFormat="1" ht="17.399999999999999">
      <c r="A61" s="301">
        <v>3</v>
      </c>
      <c r="B61" s="301">
        <v>4</v>
      </c>
      <c r="C61" s="303">
        <f>F36</f>
        <v>1</v>
      </c>
      <c r="D61" s="361"/>
      <c r="E61" s="359"/>
      <c r="F61" s="359"/>
      <c r="G61" s="360"/>
      <c r="H61" s="301">
        <v>4</v>
      </c>
      <c r="I61" s="301">
        <v>4</v>
      </c>
      <c r="J61" s="303">
        <f>F37</f>
        <v>3</v>
      </c>
      <c r="K61" s="358"/>
      <c r="L61" s="359"/>
      <c r="M61" s="359"/>
      <c r="N61" s="360"/>
      <c r="O61" s="299"/>
      <c r="P61" s="299"/>
      <c r="Q61" s="299"/>
      <c r="R61" s="299"/>
      <c r="S61" s="299"/>
      <c r="T61" s="299"/>
      <c r="U61" s="299"/>
      <c r="V61" s="299"/>
      <c r="W61" s="299"/>
      <c r="X61" s="299"/>
      <c r="Y61" s="299"/>
    </row>
    <row r="62" spans="1:25" s="300" customFormat="1" ht="17.399999999999999">
      <c r="A62" s="301">
        <v>3</v>
      </c>
      <c r="B62" s="301">
        <v>5</v>
      </c>
      <c r="C62" s="302">
        <f>G36</f>
        <v>3</v>
      </c>
      <c r="D62" s="361"/>
      <c r="E62" s="359"/>
      <c r="F62" s="359"/>
      <c r="G62" s="360"/>
      <c r="H62" s="301">
        <v>4</v>
      </c>
      <c r="I62" s="301">
        <v>5</v>
      </c>
      <c r="J62" s="302">
        <f>G37</f>
        <v>3</v>
      </c>
      <c r="K62" s="358"/>
      <c r="L62" s="359"/>
      <c r="M62" s="359"/>
      <c r="N62" s="360"/>
      <c r="O62" s="299"/>
      <c r="P62" s="299"/>
      <c r="Q62" s="299"/>
      <c r="R62" s="299"/>
      <c r="S62" s="299"/>
      <c r="T62" s="299"/>
      <c r="U62" s="299"/>
      <c r="V62" s="299"/>
      <c r="W62" s="299"/>
      <c r="X62" s="299"/>
      <c r="Y62" s="299"/>
    </row>
    <row r="63" spans="1:25" s="300" customFormat="1" ht="17.399999999999999">
      <c r="A63" s="301">
        <v>3</v>
      </c>
      <c r="B63" s="301">
        <v>6</v>
      </c>
      <c r="C63" s="303" t="str">
        <f>H36</f>
        <v/>
      </c>
      <c r="D63" s="361"/>
      <c r="E63" s="359"/>
      <c r="F63" s="359"/>
      <c r="G63" s="360"/>
      <c r="H63" s="301">
        <v>4</v>
      </c>
      <c r="I63" s="301">
        <v>6</v>
      </c>
      <c r="J63" s="303" t="str">
        <f>H37</f>
        <v/>
      </c>
      <c r="K63" s="358"/>
      <c r="L63" s="359"/>
      <c r="M63" s="359"/>
      <c r="N63" s="360"/>
      <c r="O63" s="299"/>
      <c r="P63" s="299"/>
      <c r="Q63" s="299"/>
      <c r="R63" s="299"/>
      <c r="S63" s="299"/>
      <c r="T63" s="299"/>
      <c r="U63" s="299"/>
      <c r="V63" s="299"/>
      <c r="W63" s="299"/>
      <c r="X63" s="299"/>
      <c r="Y63" s="299"/>
    </row>
    <row r="64" spans="1:25" s="300" customFormat="1" ht="17.399999999999999">
      <c r="A64" s="301">
        <v>3</v>
      </c>
      <c r="B64" s="301">
        <v>7</v>
      </c>
      <c r="C64" s="303" t="str">
        <f>I36</f>
        <v/>
      </c>
      <c r="D64" s="361"/>
      <c r="E64" s="359"/>
      <c r="F64" s="359"/>
      <c r="G64" s="360"/>
      <c r="H64" s="301">
        <v>4</v>
      </c>
      <c r="I64" s="301">
        <v>7</v>
      </c>
      <c r="J64" s="303" t="str">
        <f>I37</f>
        <v/>
      </c>
      <c r="K64" s="358"/>
      <c r="L64" s="359"/>
      <c r="M64" s="359"/>
      <c r="N64" s="360"/>
      <c r="O64" s="299"/>
      <c r="P64" s="299"/>
      <c r="Q64" s="299"/>
      <c r="R64" s="299"/>
      <c r="S64" s="299"/>
      <c r="T64" s="299"/>
      <c r="U64" s="299"/>
      <c r="V64" s="299"/>
      <c r="W64" s="299"/>
      <c r="X64" s="299"/>
      <c r="Y64" s="299"/>
    </row>
    <row r="65" spans="1:25" s="300" customFormat="1" ht="17.399999999999999">
      <c r="A65" s="301">
        <v>3</v>
      </c>
      <c r="B65" s="301">
        <v>8</v>
      </c>
      <c r="C65" s="302">
        <f>J36</f>
        <v>1</v>
      </c>
      <c r="D65" s="361"/>
      <c r="E65" s="359"/>
      <c r="F65" s="359"/>
      <c r="G65" s="360"/>
      <c r="H65" s="301">
        <v>4</v>
      </c>
      <c r="I65" s="301">
        <v>8</v>
      </c>
      <c r="J65" s="302">
        <f>J37</f>
        <v>1</v>
      </c>
      <c r="K65" s="358"/>
      <c r="L65" s="359"/>
      <c r="M65" s="359"/>
      <c r="N65" s="360"/>
      <c r="O65" s="299"/>
      <c r="P65" s="299"/>
      <c r="Q65" s="299"/>
      <c r="R65" s="299"/>
      <c r="S65" s="299"/>
      <c r="T65" s="299"/>
      <c r="U65" s="299"/>
      <c r="V65" s="299"/>
      <c r="W65" s="299"/>
      <c r="X65" s="299"/>
      <c r="Y65" s="299"/>
    </row>
    <row r="66" spans="1:25" s="300" customFormat="1" ht="18">
      <c r="A66" s="301">
        <v>3</v>
      </c>
      <c r="B66" s="301">
        <v>9</v>
      </c>
      <c r="C66" s="302" t="str">
        <f>K36</f>
        <v/>
      </c>
      <c r="D66" s="362"/>
      <c r="E66" s="363"/>
      <c r="F66" s="363"/>
      <c r="G66" s="364"/>
      <c r="H66" s="301">
        <v>4</v>
      </c>
      <c r="I66" s="301">
        <v>9</v>
      </c>
      <c r="J66" s="302" t="str">
        <f>K37</f>
        <v/>
      </c>
      <c r="K66" s="358"/>
      <c r="L66" s="359"/>
      <c r="M66" s="359"/>
      <c r="N66" s="360"/>
      <c r="O66" s="299"/>
      <c r="P66" s="299"/>
      <c r="Q66" s="299"/>
      <c r="R66" s="299"/>
      <c r="S66" s="299"/>
      <c r="T66" s="299"/>
      <c r="U66" s="299"/>
      <c r="V66" s="299"/>
      <c r="W66" s="299"/>
      <c r="X66" s="299"/>
      <c r="Y66" s="299"/>
    </row>
    <row r="67" spans="1:25" s="300" customFormat="1" ht="18">
      <c r="A67" s="301">
        <v>3</v>
      </c>
      <c r="B67" s="301">
        <v>10</v>
      </c>
      <c r="C67" s="303">
        <f>L36</f>
        <v>3</v>
      </c>
      <c r="D67" s="362"/>
      <c r="E67" s="363"/>
      <c r="F67" s="363"/>
      <c r="G67" s="364"/>
      <c r="H67" s="301">
        <v>4</v>
      </c>
      <c r="I67" s="301">
        <v>10</v>
      </c>
      <c r="J67" s="302">
        <f>L37</f>
        <v>3</v>
      </c>
      <c r="K67" s="362"/>
      <c r="L67" s="363"/>
      <c r="M67" s="363"/>
      <c r="N67" s="364"/>
      <c r="O67" s="299"/>
      <c r="P67" s="299"/>
      <c r="Q67" s="299"/>
      <c r="R67" s="299"/>
      <c r="S67" s="299"/>
      <c r="T67" s="299"/>
      <c r="U67" s="299"/>
      <c r="V67" s="299"/>
      <c r="W67" s="299"/>
      <c r="X67" s="299"/>
      <c r="Y67" s="299"/>
    </row>
    <row r="68" spans="1:25" s="300" customFormat="1" ht="17.399999999999999">
      <c r="A68" s="301">
        <v>3</v>
      </c>
      <c r="B68" s="301">
        <v>11</v>
      </c>
      <c r="C68" s="303">
        <f>M36</f>
        <v>1</v>
      </c>
      <c r="D68" s="361"/>
      <c r="E68" s="359"/>
      <c r="F68" s="359"/>
      <c r="G68" s="360"/>
      <c r="H68" s="301">
        <v>4</v>
      </c>
      <c r="I68" s="301">
        <v>11</v>
      </c>
      <c r="J68" s="303">
        <f>M37</f>
        <v>1</v>
      </c>
      <c r="K68" s="358"/>
      <c r="L68" s="359"/>
      <c r="M68" s="359"/>
      <c r="N68" s="360"/>
      <c r="O68" s="299"/>
      <c r="P68" s="299"/>
      <c r="Q68" s="299"/>
      <c r="R68" s="299"/>
      <c r="S68" s="299"/>
      <c r="T68" s="299"/>
      <c r="U68" s="299"/>
      <c r="V68" s="299"/>
      <c r="W68" s="299"/>
      <c r="X68" s="299"/>
      <c r="Y68" s="299"/>
    </row>
    <row r="69" spans="1:25" s="300" customFormat="1" ht="17.399999999999999">
      <c r="A69" s="303" t="s">
        <v>61</v>
      </c>
      <c r="B69" s="303" t="s">
        <v>62</v>
      </c>
      <c r="C69" s="303" t="s">
        <v>63</v>
      </c>
      <c r="D69" s="365" t="s">
        <v>64</v>
      </c>
      <c r="E69" s="359"/>
      <c r="F69" s="359"/>
      <c r="G69" s="360"/>
      <c r="H69" s="303" t="s">
        <v>61</v>
      </c>
      <c r="I69" s="303" t="s">
        <v>62</v>
      </c>
      <c r="J69" s="303" t="s">
        <v>63</v>
      </c>
      <c r="K69" s="365" t="s">
        <v>64</v>
      </c>
      <c r="L69" s="359"/>
      <c r="M69" s="359"/>
      <c r="N69" s="360"/>
      <c r="O69" s="299"/>
      <c r="P69" s="299"/>
      <c r="Q69" s="299"/>
      <c r="R69" s="299"/>
      <c r="S69" s="299"/>
      <c r="T69" s="299"/>
      <c r="U69" s="299"/>
      <c r="V69" s="299"/>
      <c r="W69" s="299"/>
      <c r="X69" s="299"/>
      <c r="Y69" s="299"/>
    </row>
    <row r="70" spans="1:25" s="300" customFormat="1" ht="17.399999999999999">
      <c r="A70" s="301">
        <v>5</v>
      </c>
      <c r="B70" s="301">
        <v>1</v>
      </c>
      <c r="C70" s="303">
        <f>C38</f>
        <v>3</v>
      </c>
      <c r="D70" s="361"/>
      <c r="E70" s="359"/>
      <c r="F70" s="359"/>
      <c r="G70" s="360"/>
      <c r="H70" s="301">
        <v>6</v>
      </c>
      <c r="I70" s="301">
        <v>1</v>
      </c>
      <c r="J70" s="303">
        <f>C39</f>
        <v>0</v>
      </c>
      <c r="K70" s="358"/>
      <c r="L70" s="359"/>
      <c r="M70" s="359"/>
      <c r="N70" s="360"/>
      <c r="O70" s="299"/>
      <c r="P70" s="299"/>
      <c r="Q70" s="299"/>
      <c r="R70" s="299"/>
      <c r="S70" s="299"/>
      <c r="T70" s="299"/>
      <c r="U70" s="299"/>
      <c r="V70" s="299"/>
      <c r="W70" s="299"/>
      <c r="X70" s="299"/>
      <c r="Y70" s="299"/>
    </row>
    <row r="71" spans="1:25" s="300" customFormat="1" ht="17.399999999999999">
      <c r="A71" s="301">
        <v>5</v>
      </c>
      <c r="B71" s="301">
        <v>2</v>
      </c>
      <c r="C71" s="303">
        <f>D38</f>
        <v>3</v>
      </c>
      <c r="D71" s="361"/>
      <c r="E71" s="359"/>
      <c r="F71" s="359"/>
      <c r="G71" s="360"/>
      <c r="H71" s="301">
        <v>6</v>
      </c>
      <c r="I71" s="301">
        <v>2</v>
      </c>
      <c r="J71" s="303">
        <f>D39</f>
        <v>0</v>
      </c>
      <c r="K71" s="358"/>
      <c r="L71" s="359"/>
      <c r="M71" s="359"/>
      <c r="N71" s="360"/>
      <c r="O71" s="299"/>
      <c r="P71" s="299"/>
      <c r="Q71" s="299"/>
      <c r="R71" s="299"/>
      <c r="S71" s="299"/>
      <c r="T71" s="299"/>
      <c r="U71" s="299"/>
      <c r="V71" s="299"/>
      <c r="W71" s="299"/>
      <c r="X71" s="299"/>
      <c r="Y71" s="299"/>
    </row>
    <row r="72" spans="1:25" s="300" customFormat="1" ht="17.399999999999999">
      <c r="A72" s="301">
        <v>5</v>
      </c>
      <c r="B72" s="301">
        <v>3</v>
      </c>
      <c r="C72" s="303">
        <f>E38</f>
        <v>3</v>
      </c>
      <c r="D72" s="361"/>
      <c r="E72" s="359"/>
      <c r="F72" s="359"/>
      <c r="G72" s="360"/>
      <c r="H72" s="301">
        <v>6</v>
      </c>
      <c r="I72" s="301">
        <v>3</v>
      </c>
      <c r="J72" s="303">
        <f>E39</f>
        <v>0</v>
      </c>
      <c r="K72" s="358"/>
      <c r="L72" s="359"/>
      <c r="M72" s="359"/>
      <c r="N72" s="360"/>
      <c r="O72" s="299"/>
      <c r="P72" s="299"/>
      <c r="Q72" s="299"/>
      <c r="R72" s="299"/>
      <c r="S72" s="299"/>
      <c r="T72" s="299"/>
      <c r="U72" s="299"/>
      <c r="V72" s="299"/>
      <c r="W72" s="299"/>
      <c r="X72" s="299"/>
      <c r="Y72" s="299"/>
    </row>
    <row r="73" spans="1:25" s="300" customFormat="1" ht="17.399999999999999">
      <c r="A73" s="301">
        <v>5</v>
      </c>
      <c r="B73" s="301">
        <v>4</v>
      </c>
      <c r="C73" s="303" t="str">
        <f>F38</f>
        <v/>
      </c>
      <c r="D73" s="361"/>
      <c r="E73" s="359"/>
      <c r="F73" s="359"/>
      <c r="G73" s="360"/>
      <c r="H73" s="301">
        <v>6</v>
      </c>
      <c r="I73" s="301">
        <v>4</v>
      </c>
      <c r="J73" s="303">
        <f>F39</f>
        <v>0</v>
      </c>
      <c r="K73" s="358"/>
      <c r="L73" s="359"/>
      <c r="M73" s="359"/>
      <c r="N73" s="360"/>
      <c r="O73" s="299"/>
      <c r="P73" s="299"/>
      <c r="Q73" s="299"/>
      <c r="R73" s="299"/>
      <c r="S73" s="299"/>
      <c r="T73" s="299"/>
      <c r="U73" s="299"/>
      <c r="V73" s="299"/>
      <c r="W73" s="299"/>
      <c r="X73" s="299"/>
      <c r="Y73" s="299"/>
    </row>
    <row r="74" spans="1:25" s="300" customFormat="1" ht="17.399999999999999">
      <c r="A74" s="301">
        <v>5</v>
      </c>
      <c r="B74" s="301">
        <v>5</v>
      </c>
      <c r="C74" s="302">
        <f>G38</f>
        <v>1</v>
      </c>
      <c r="D74" s="361"/>
      <c r="E74" s="359"/>
      <c r="F74" s="359"/>
      <c r="G74" s="360"/>
      <c r="H74" s="301">
        <v>6</v>
      </c>
      <c r="I74" s="301">
        <v>5</v>
      </c>
      <c r="J74" s="303">
        <f>G39</f>
        <v>0</v>
      </c>
      <c r="K74" s="358"/>
      <c r="L74" s="359"/>
      <c r="M74" s="359"/>
      <c r="N74" s="360"/>
      <c r="O74" s="299"/>
      <c r="P74" s="299"/>
      <c r="Q74" s="299"/>
      <c r="R74" s="299"/>
      <c r="S74" s="299"/>
      <c r="T74" s="299"/>
      <c r="U74" s="299"/>
      <c r="V74" s="299"/>
      <c r="W74" s="299"/>
      <c r="X74" s="299"/>
      <c r="Y74" s="299"/>
    </row>
    <row r="75" spans="1:25" s="300" customFormat="1" ht="17.399999999999999">
      <c r="A75" s="301">
        <v>5</v>
      </c>
      <c r="B75" s="301">
        <v>6</v>
      </c>
      <c r="C75" s="303" t="str">
        <f>H38</f>
        <v/>
      </c>
      <c r="D75" s="361"/>
      <c r="E75" s="359"/>
      <c r="F75" s="359"/>
      <c r="G75" s="360"/>
      <c r="H75" s="301">
        <v>6</v>
      </c>
      <c r="I75" s="301">
        <v>6</v>
      </c>
      <c r="J75" s="303">
        <f>H39</f>
        <v>0</v>
      </c>
      <c r="K75" s="358"/>
      <c r="L75" s="359"/>
      <c r="M75" s="359"/>
      <c r="N75" s="360"/>
      <c r="O75" s="299"/>
      <c r="P75" s="299"/>
      <c r="Q75" s="299"/>
      <c r="R75" s="299"/>
      <c r="S75" s="299"/>
      <c r="T75" s="299"/>
      <c r="U75" s="299"/>
      <c r="V75" s="299"/>
      <c r="W75" s="299"/>
      <c r="X75" s="299"/>
      <c r="Y75" s="299"/>
    </row>
    <row r="76" spans="1:25" s="300" customFormat="1" ht="17.399999999999999">
      <c r="A76" s="301">
        <v>5</v>
      </c>
      <c r="B76" s="301">
        <v>7</v>
      </c>
      <c r="C76" s="303" t="str">
        <f>I38</f>
        <v/>
      </c>
      <c r="D76" s="361"/>
      <c r="E76" s="359"/>
      <c r="F76" s="359"/>
      <c r="G76" s="360"/>
      <c r="H76" s="301">
        <v>6</v>
      </c>
      <c r="I76" s="301">
        <v>7</v>
      </c>
      <c r="J76" s="303">
        <f>I39</f>
        <v>0</v>
      </c>
      <c r="K76" s="358"/>
      <c r="L76" s="359"/>
      <c r="M76" s="359"/>
      <c r="N76" s="360"/>
      <c r="O76" s="299"/>
      <c r="P76" s="299"/>
      <c r="Q76" s="299"/>
      <c r="R76" s="299"/>
      <c r="S76" s="299"/>
      <c r="T76" s="299"/>
      <c r="U76" s="299"/>
      <c r="V76" s="299"/>
      <c r="W76" s="299"/>
      <c r="X76" s="299"/>
      <c r="Y76" s="299"/>
    </row>
    <row r="77" spans="1:25" s="300" customFormat="1" ht="17.399999999999999">
      <c r="A77" s="301">
        <v>5</v>
      </c>
      <c r="B77" s="301">
        <v>8</v>
      </c>
      <c r="C77" s="302" t="str">
        <f>J38</f>
        <v/>
      </c>
      <c r="D77" s="361"/>
      <c r="E77" s="359"/>
      <c r="F77" s="359"/>
      <c r="G77" s="360"/>
      <c r="H77" s="301">
        <v>6</v>
      </c>
      <c r="I77" s="301">
        <v>8</v>
      </c>
      <c r="J77" s="303">
        <f>J39</f>
        <v>0</v>
      </c>
      <c r="K77" s="372"/>
      <c r="L77" s="359"/>
      <c r="M77" s="359"/>
      <c r="N77" s="360"/>
      <c r="O77" s="299"/>
      <c r="P77" s="299"/>
      <c r="Q77" s="299"/>
      <c r="R77" s="299"/>
      <c r="S77" s="299"/>
      <c r="T77" s="299"/>
      <c r="U77" s="299"/>
      <c r="V77" s="299"/>
      <c r="W77" s="299"/>
      <c r="X77" s="299"/>
      <c r="Y77" s="299"/>
    </row>
    <row r="78" spans="1:25" s="300" customFormat="1" ht="17.399999999999999">
      <c r="A78" s="301">
        <v>5</v>
      </c>
      <c r="B78" s="301">
        <v>9</v>
      </c>
      <c r="C78" s="302" t="str">
        <f>K38</f>
        <v/>
      </c>
      <c r="D78" s="361"/>
      <c r="E78" s="359"/>
      <c r="F78" s="359"/>
      <c r="G78" s="360"/>
      <c r="H78" s="301">
        <v>6</v>
      </c>
      <c r="I78" s="301">
        <v>9</v>
      </c>
      <c r="J78" s="303">
        <f>K39</f>
        <v>0</v>
      </c>
      <c r="K78" s="372"/>
      <c r="L78" s="359"/>
      <c r="M78" s="359"/>
      <c r="N78" s="360"/>
      <c r="O78" s="299"/>
      <c r="P78" s="299"/>
      <c r="Q78" s="299"/>
      <c r="R78" s="299"/>
      <c r="S78" s="299"/>
      <c r="T78" s="299"/>
      <c r="U78" s="299"/>
      <c r="V78" s="299"/>
      <c r="W78" s="299"/>
      <c r="X78" s="299"/>
      <c r="Y78" s="299"/>
    </row>
    <row r="79" spans="1:25" s="300" customFormat="1" ht="18">
      <c r="A79" s="301">
        <v>5</v>
      </c>
      <c r="B79" s="301">
        <v>10</v>
      </c>
      <c r="C79" s="303">
        <f>L38</f>
        <v>2</v>
      </c>
      <c r="D79" s="362"/>
      <c r="E79" s="363"/>
      <c r="F79" s="363"/>
      <c r="G79" s="364"/>
      <c r="H79" s="301">
        <v>6</v>
      </c>
      <c r="I79" s="301">
        <v>10</v>
      </c>
      <c r="J79" s="303">
        <f>L39</f>
        <v>0</v>
      </c>
      <c r="K79" s="372"/>
      <c r="L79" s="359"/>
      <c r="M79" s="359"/>
      <c r="N79" s="360"/>
      <c r="O79" s="299"/>
      <c r="P79" s="299"/>
      <c r="Q79" s="299"/>
      <c r="R79" s="299"/>
      <c r="S79" s="299"/>
      <c r="T79" s="299"/>
      <c r="U79" s="299"/>
      <c r="V79" s="299"/>
      <c r="W79" s="299"/>
      <c r="X79" s="299"/>
      <c r="Y79" s="299"/>
    </row>
    <row r="80" spans="1:25" s="300" customFormat="1" ht="17.399999999999999">
      <c r="A80" s="301">
        <v>5</v>
      </c>
      <c r="B80" s="301">
        <v>11</v>
      </c>
      <c r="C80" s="303">
        <f>M38</f>
        <v>2</v>
      </c>
      <c r="D80" s="361"/>
      <c r="E80" s="359"/>
      <c r="F80" s="359"/>
      <c r="G80" s="360"/>
      <c r="H80" s="301">
        <v>6</v>
      </c>
      <c r="I80" s="301">
        <v>11</v>
      </c>
      <c r="J80" s="303">
        <f>M39</f>
        <v>0</v>
      </c>
      <c r="K80" s="372"/>
      <c r="L80" s="359"/>
      <c r="M80" s="359"/>
      <c r="N80" s="360"/>
      <c r="O80" s="299"/>
      <c r="P80" s="299"/>
      <c r="Q80" s="299"/>
      <c r="R80" s="299"/>
      <c r="S80" s="299"/>
      <c r="T80" s="299"/>
      <c r="U80" s="299"/>
      <c r="V80" s="299"/>
      <c r="W80" s="299"/>
      <c r="X80" s="299"/>
      <c r="Y80" s="299"/>
    </row>
    <row r="81" spans="1:25" s="300" customFormat="1" ht="15.6">
      <c r="A81" s="118"/>
      <c r="B81" s="118"/>
      <c r="C81" s="304"/>
      <c r="D81" s="118"/>
      <c r="E81" s="118"/>
      <c r="F81" s="118"/>
      <c r="G81" s="118"/>
      <c r="H81" s="118"/>
      <c r="I81" s="118"/>
      <c r="J81" s="304"/>
      <c r="K81" s="118"/>
      <c r="L81" s="118"/>
      <c r="M81" s="118"/>
      <c r="N81" s="118"/>
      <c r="O81" s="299"/>
      <c r="P81" s="299"/>
      <c r="Q81" s="299"/>
      <c r="R81" s="299"/>
      <c r="S81" s="299"/>
      <c r="T81" s="299"/>
      <c r="U81" s="299"/>
      <c r="V81" s="299"/>
      <c r="W81" s="299"/>
      <c r="X81" s="299"/>
      <c r="Y81" s="299"/>
    </row>
    <row r="82" spans="1:25" s="300" customFormat="1" ht="15.6">
      <c r="A82" s="118"/>
      <c r="B82" s="118"/>
      <c r="C82" s="304"/>
      <c r="D82" s="118"/>
      <c r="E82" s="118"/>
      <c r="F82" s="118"/>
      <c r="G82" s="118"/>
      <c r="H82" s="118"/>
      <c r="I82" s="118"/>
      <c r="J82" s="304"/>
      <c r="K82" s="118"/>
      <c r="L82" s="118"/>
      <c r="M82" s="118"/>
      <c r="N82" s="118"/>
      <c r="O82" s="299"/>
      <c r="P82" s="299"/>
      <c r="Q82" s="299"/>
      <c r="R82" s="299"/>
      <c r="S82" s="299"/>
      <c r="T82" s="299"/>
      <c r="U82" s="299"/>
      <c r="V82" s="299"/>
      <c r="W82" s="299"/>
      <c r="X82" s="299"/>
      <c r="Y82" s="299"/>
    </row>
    <row r="83" spans="1:25" s="300" customFormat="1" ht="15.6">
      <c r="A83" s="118"/>
      <c r="B83" s="118"/>
      <c r="C83" s="304"/>
      <c r="D83" s="118"/>
      <c r="E83" s="118"/>
      <c r="F83" s="118"/>
      <c r="G83" s="118"/>
      <c r="H83" s="118"/>
      <c r="I83" s="118"/>
      <c r="J83" s="304"/>
      <c r="K83" s="118"/>
      <c r="L83" s="118"/>
      <c r="M83" s="118"/>
      <c r="N83" s="118"/>
      <c r="O83" s="299"/>
      <c r="P83" s="299"/>
      <c r="Q83" s="299"/>
      <c r="R83" s="299"/>
      <c r="S83" s="299"/>
      <c r="T83" s="299"/>
      <c r="U83" s="299"/>
      <c r="V83" s="299"/>
      <c r="W83" s="299"/>
      <c r="X83" s="299"/>
      <c r="Y83" s="299"/>
    </row>
    <row r="84" spans="1:25" s="300" customFormat="1" ht="15.6">
      <c r="A84" s="118"/>
      <c r="B84" s="118"/>
      <c r="C84" s="304"/>
      <c r="D84" s="118"/>
      <c r="E84" s="118"/>
      <c r="F84" s="118"/>
      <c r="G84" s="118"/>
      <c r="H84" s="118"/>
      <c r="I84" s="118"/>
      <c r="J84" s="304"/>
      <c r="K84" s="118"/>
      <c r="L84" s="118"/>
      <c r="M84" s="118"/>
      <c r="N84" s="118"/>
      <c r="O84" s="299"/>
      <c r="P84" s="299"/>
      <c r="Q84" s="299"/>
      <c r="R84" s="299"/>
      <c r="S84" s="299"/>
      <c r="T84" s="299"/>
      <c r="U84" s="299"/>
      <c r="V84" s="299"/>
      <c r="W84" s="299"/>
      <c r="X84" s="299"/>
      <c r="Y84" s="299"/>
    </row>
    <row r="85" spans="1:25" s="300" customFormat="1" ht="15.6">
      <c r="A85" s="118"/>
      <c r="B85" s="118"/>
      <c r="C85" s="304"/>
      <c r="D85" s="118"/>
      <c r="E85" s="118"/>
      <c r="F85" s="118"/>
      <c r="G85" s="118"/>
      <c r="H85" s="118"/>
      <c r="I85" s="118"/>
      <c r="J85" s="304"/>
      <c r="K85" s="118"/>
      <c r="L85" s="118"/>
      <c r="M85" s="118"/>
      <c r="N85" s="118"/>
      <c r="O85" s="299"/>
      <c r="P85" s="299"/>
      <c r="Q85" s="299"/>
      <c r="R85" s="299"/>
      <c r="S85" s="299"/>
      <c r="T85" s="299"/>
      <c r="U85" s="299"/>
      <c r="V85" s="299"/>
      <c r="W85" s="299"/>
      <c r="X85" s="299"/>
      <c r="Y85" s="299"/>
    </row>
    <row r="86" spans="1:25" s="300" customFormat="1" ht="15.6">
      <c r="A86" s="118"/>
      <c r="B86" s="118"/>
      <c r="C86" s="304"/>
      <c r="D86" s="118"/>
      <c r="E86" s="118"/>
      <c r="F86" s="118"/>
      <c r="G86" s="118"/>
      <c r="H86" s="118"/>
      <c r="I86" s="118"/>
      <c r="J86" s="304"/>
      <c r="K86" s="118"/>
      <c r="L86" s="118"/>
      <c r="M86" s="118"/>
      <c r="N86" s="118"/>
      <c r="O86" s="299"/>
      <c r="P86" s="299"/>
      <c r="Q86" s="299"/>
      <c r="R86" s="299"/>
      <c r="S86" s="299"/>
      <c r="T86" s="299"/>
      <c r="U86" s="299"/>
      <c r="V86" s="299"/>
      <c r="W86" s="299"/>
      <c r="X86" s="299"/>
      <c r="Y86" s="299"/>
    </row>
    <row r="87" spans="1:25" s="300" customFormat="1" ht="15.6">
      <c r="A87" s="118"/>
      <c r="B87" s="118"/>
      <c r="C87" s="304"/>
      <c r="D87" s="118"/>
      <c r="E87" s="118"/>
      <c r="F87" s="118"/>
      <c r="G87" s="118"/>
      <c r="H87" s="118"/>
      <c r="I87" s="118"/>
      <c r="J87" s="304"/>
      <c r="K87" s="118"/>
      <c r="L87" s="118"/>
      <c r="M87" s="118"/>
      <c r="N87" s="118"/>
      <c r="O87" s="299"/>
      <c r="P87" s="299"/>
      <c r="Q87" s="299"/>
      <c r="R87" s="299"/>
      <c r="S87" s="299"/>
      <c r="T87" s="299"/>
      <c r="U87" s="299"/>
      <c r="V87" s="299"/>
      <c r="W87" s="299"/>
      <c r="X87" s="299"/>
      <c r="Y87" s="299"/>
    </row>
    <row r="88" spans="1:25" s="300" customFormat="1" ht="15.6">
      <c r="A88" s="118"/>
      <c r="B88" s="118"/>
      <c r="C88" s="304"/>
      <c r="D88" s="118"/>
      <c r="E88" s="118"/>
      <c r="F88" s="118"/>
      <c r="G88" s="118"/>
      <c r="H88" s="118"/>
      <c r="I88" s="118"/>
      <c r="J88" s="304"/>
      <c r="K88" s="118"/>
      <c r="L88" s="118"/>
      <c r="M88" s="118"/>
      <c r="N88" s="118"/>
      <c r="O88" s="299"/>
      <c r="P88" s="299"/>
      <c r="Q88" s="299"/>
      <c r="R88" s="299"/>
      <c r="S88" s="299"/>
      <c r="T88" s="299"/>
      <c r="U88" s="299"/>
      <c r="V88" s="299"/>
      <c r="W88" s="299"/>
      <c r="X88" s="299"/>
      <c r="Y88" s="299"/>
    </row>
    <row r="89" spans="1:25" s="300" customFormat="1" ht="15.6">
      <c r="A89" s="118"/>
      <c r="B89" s="118"/>
      <c r="C89" s="304"/>
      <c r="D89" s="118"/>
      <c r="E89" s="118"/>
      <c r="F89" s="118"/>
      <c r="G89" s="118"/>
      <c r="H89" s="118"/>
      <c r="I89" s="118"/>
      <c r="J89" s="304"/>
      <c r="K89" s="118"/>
      <c r="L89" s="118"/>
      <c r="M89" s="118"/>
      <c r="N89" s="118"/>
      <c r="O89" s="299"/>
      <c r="P89" s="299"/>
      <c r="Q89" s="299"/>
      <c r="R89" s="299"/>
      <c r="S89" s="299"/>
      <c r="T89" s="299"/>
      <c r="U89" s="299"/>
      <c r="V89" s="299"/>
      <c r="W89" s="299"/>
      <c r="X89" s="299"/>
      <c r="Y89" s="299"/>
    </row>
    <row r="90" spans="1:25" s="300" customFormat="1" ht="15.6">
      <c r="A90" s="118"/>
      <c r="B90" s="118"/>
      <c r="C90" s="304"/>
      <c r="D90" s="118"/>
      <c r="E90" s="118"/>
      <c r="F90" s="118"/>
      <c r="G90" s="118"/>
      <c r="H90" s="118"/>
      <c r="I90" s="118"/>
      <c r="J90" s="304"/>
      <c r="K90" s="118"/>
      <c r="L90" s="118"/>
      <c r="M90" s="118"/>
      <c r="N90" s="118"/>
      <c r="O90" s="299"/>
      <c r="P90" s="299"/>
      <c r="Q90" s="299"/>
      <c r="R90" s="299"/>
      <c r="S90" s="299"/>
      <c r="T90" s="299"/>
      <c r="U90" s="299"/>
      <c r="V90" s="299"/>
      <c r="W90" s="299"/>
      <c r="X90" s="299"/>
      <c r="Y90" s="299"/>
    </row>
    <row r="91" spans="1:25" s="300" customFormat="1" ht="15.6">
      <c r="A91" s="118"/>
      <c r="B91" s="118"/>
      <c r="C91" s="304"/>
      <c r="D91" s="118"/>
      <c r="E91" s="118"/>
      <c r="F91" s="118"/>
      <c r="G91" s="118"/>
      <c r="H91" s="118"/>
      <c r="I91" s="118"/>
      <c r="J91" s="304"/>
      <c r="K91" s="118"/>
      <c r="L91" s="118"/>
      <c r="M91" s="118"/>
      <c r="N91" s="118"/>
      <c r="O91" s="299"/>
      <c r="P91" s="299"/>
      <c r="Q91" s="299"/>
      <c r="R91" s="299"/>
      <c r="S91" s="299"/>
      <c r="T91" s="299"/>
      <c r="U91" s="299"/>
      <c r="V91" s="299"/>
      <c r="W91" s="299"/>
      <c r="X91" s="299"/>
      <c r="Y91" s="299"/>
    </row>
    <row r="92" spans="1:25" s="300" customFormat="1" ht="15.6">
      <c r="A92" s="118"/>
      <c r="B92" s="118"/>
      <c r="C92" s="304"/>
      <c r="D92" s="118"/>
      <c r="E92" s="118"/>
      <c r="F92" s="118"/>
      <c r="G92" s="118"/>
      <c r="H92" s="118"/>
      <c r="I92" s="118"/>
      <c r="J92" s="304"/>
      <c r="K92" s="118"/>
      <c r="L92" s="118"/>
      <c r="M92" s="118"/>
      <c r="N92" s="118"/>
      <c r="O92" s="299"/>
      <c r="P92" s="299"/>
      <c r="Q92" s="299"/>
      <c r="R92" s="299"/>
      <c r="S92" s="299"/>
      <c r="T92" s="299"/>
      <c r="U92" s="299"/>
      <c r="V92" s="299"/>
      <c r="W92" s="299"/>
      <c r="X92" s="299"/>
      <c r="Y92" s="299"/>
    </row>
    <row r="93" spans="1:25" s="300" customFormat="1" ht="15.6">
      <c r="A93" s="118"/>
      <c r="B93" s="118"/>
      <c r="C93" s="304"/>
      <c r="D93" s="118"/>
      <c r="E93" s="118"/>
      <c r="F93" s="118"/>
      <c r="G93" s="118"/>
      <c r="H93" s="118"/>
      <c r="I93" s="118"/>
      <c r="J93" s="304"/>
      <c r="K93" s="118"/>
      <c r="L93" s="118"/>
      <c r="M93" s="118"/>
      <c r="N93" s="118"/>
      <c r="O93" s="299"/>
      <c r="P93" s="299"/>
      <c r="Q93" s="299"/>
      <c r="R93" s="299"/>
      <c r="S93" s="299"/>
      <c r="T93" s="299"/>
      <c r="U93" s="299"/>
      <c r="V93" s="299"/>
      <c r="W93" s="299"/>
      <c r="X93" s="299"/>
      <c r="Y93" s="299"/>
    </row>
    <row r="94" spans="1:25" s="300" customFormat="1" ht="15.6">
      <c r="A94" s="118"/>
      <c r="B94" s="118"/>
      <c r="C94" s="304"/>
      <c r="D94" s="118"/>
      <c r="E94" s="118"/>
      <c r="F94" s="118"/>
      <c r="G94" s="118"/>
      <c r="H94" s="118"/>
      <c r="I94" s="118"/>
      <c r="J94" s="304"/>
      <c r="K94" s="118"/>
      <c r="L94" s="118"/>
      <c r="M94" s="118"/>
      <c r="N94" s="118"/>
      <c r="O94" s="299"/>
      <c r="P94" s="299"/>
      <c r="Q94" s="299"/>
      <c r="R94" s="299"/>
      <c r="S94" s="299"/>
      <c r="T94" s="299"/>
      <c r="U94" s="299"/>
      <c r="V94" s="299"/>
      <c r="W94" s="299"/>
      <c r="X94" s="299"/>
      <c r="Y94" s="299"/>
    </row>
    <row r="95" spans="1:25" s="300" customFormat="1" ht="15.6">
      <c r="A95" s="118"/>
      <c r="B95" s="118"/>
      <c r="C95" s="304"/>
      <c r="D95" s="118"/>
      <c r="E95" s="118"/>
      <c r="F95" s="118"/>
      <c r="G95" s="118"/>
      <c r="H95" s="118"/>
      <c r="I95" s="118"/>
      <c r="J95" s="304"/>
      <c r="K95" s="118"/>
      <c r="L95" s="118"/>
      <c r="M95" s="118"/>
      <c r="N95" s="118"/>
      <c r="O95" s="299"/>
      <c r="P95" s="299"/>
      <c r="Q95" s="299"/>
      <c r="R95" s="299"/>
      <c r="S95" s="299"/>
      <c r="T95" s="299"/>
      <c r="U95" s="299"/>
      <c r="V95" s="299"/>
      <c r="W95" s="299"/>
      <c r="X95" s="299"/>
      <c r="Y95" s="299"/>
    </row>
    <row r="96" spans="1:25" s="300" customFormat="1" ht="15.6">
      <c r="A96" s="299"/>
      <c r="B96" s="299"/>
      <c r="C96" s="304"/>
      <c r="D96" s="299"/>
      <c r="E96" s="299"/>
      <c r="F96" s="299"/>
      <c r="G96" s="299"/>
      <c r="H96" s="299"/>
      <c r="I96" s="118"/>
      <c r="J96" s="118"/>
      <c r="K96" s="118"/>
      <c r="L96" s="299"/>
      <c r="M96" s="299"/>
      <c r="N96" s="299"/>
      <c r="O96" s="299"/>
      <c r="P96" s="299"/>
      <c r="Q96" s="299"/>
      <c r="R96" s="299"/>
      <c r="S96" s="299"/>
      <c r="T96" s="299"/>
      <c r="U96" s="299"/>
      <c r="V96" s="299"/>
      <c r="W96" s="299"/>
      <c r="X96" s="299"/>
      <c r="Y96" s="299"/>
    </row>
    <row r="97" spans="1:25" s="300" customFormat="1" ht="15.6">
      <c r="A97" s="299"/>
      <c r="B97" s="299"/>
      <c r="C97" s="304"/>
      <c r="D97" s="299"/>
      <c r="E97" s="299"/>
      <c r="F97" s="299"/>
      <c r="G97" s="299"/>
      <c r="H97" s="299"/>
      <c r="I97" s="118"/>
      <c r="J97" s="118"/>
      <c r="K97" s="118"/>
      <c r="L97" s="299"/>
      <c r="M97" s="299"/>
      <c r="N97" s="299"/>
      <c r="O97" s="299"/>
      <c r="P97" s="299"/>
      <c r="Q97" s="299"/>
      <c r="R97" s="299"/>
      <c r="S97" s="299"/>
      <c r="T97" s="299"/>
      <c r="U97" s="299"/>
      <c r="V97" s="299"/>
      <c r="W97" s="299"/>
      <c r="X97" s="299"/>
      <c r="Y97" s="299"/>
    </row>
    <row r="98" spans="1:25" s="300" customFormat="1" ht="15.6">
      <c r="A98" s="299"/>
      <c r="B98" s="299"/>
      <c r="C98" s="304"/>
      <c r="D98" s="299"/>
      <c r="E98" s="299"/>
      <c r="F98" s="299"/>
      <c r="G98" s="299"/>
      <c r="H98" s="299"/>
      <c r="I98" s="118"/>
      <c r="J98" s="118"/>
      <c r="K98" s="118"/>
      <c r="L98" s="299"/>
      <c r="M98" s="299"/>
      <c r="N98" s="299"/>
      <c r="O98" s="299"/>
      <c r="P98" s="299"/>
      <c r="Q98" s="299"/>
      <c r="R98" s="299"/>
      <c r="S98" s="299"/>
      <c r="T98" s="299"/>
      <c r="U98" s="299"/>
      <c r="V98" s="299"/>
      <c r="W98" s="299"/>
      <c r="X98" s="299"/>
      <c r="Y98" s="299"/>
    </row>
    <row r="99" spans="1:25" s="300" customFormat="1" ht="15.6">
      <c r="A99" s="299"/>
      <c r="B99" s="299"/>
      <c r="C99" s="304"/>
      <c r="D99" s="299"/>
      <c r="E99" s="299"/>
      <c r="F99" s="299"/>
      <c r="G99" s="299"/>
      <c r="H99" s="299"/>
      <c r="I99" s="118"/>
      <c r="J99" s="118"/>
      <c r="K99" s="118"/>
      <c r="L99" s="299"/>
      <c r="M99" s="299"/>
      <c r="N99" s="299"/>
      <c r="O99" s="299"/>
      <c r="P99" s="299"/>
      <c r="Q99" s="299"/>
      <c r="R99" s="299"/>
      <c r="S99" s="299"/>
      <c r="T99" s="299"/>
      <c r="U99" s="299"/>
      <c r="V99" s="299"/>
      <c r="W99" s="299"/>
      <c r="X99" s="299"/>
      <c r="Y99" s="299"/>
    </row>
    <row r="100" spans="1:25" s="300" customFormat="1" ht="15.6">
      <c r="A100" s="299"/>
      <c r="B100" s="299"/>
      <c r="C100" s="304"/>
      <c r="D100" s="299"/>
      <c r="E100" s="299"/>
      <c r="F100" s="299"/>
      <c r="G100" s="299"/>
      <c r="H100" s="299"/>
      <c r="I100" s="118"/>
      <c r="J100" s="118"/>
      <c r="K100" s="118"/>
      <c r="L100" s="299"/>
      <c r="M100" s="299"/>
      <c r="N100" s="299"/>
      <c r="O100" s="299"/>
      <c r="P100" s="299"/>
      <c r="Q100" s="299"/>
      <c r="R100" s="299"/>
      <c r="S100" s="299"/>
      <c r="T100" s="299"/>
      <c r="U100" s="299"/>
      <c r="V100" s="299"/>
      <c r="W100" s="299"/>
      <c r="X100" s="299"/>
      <c r="Y100" s="299"/>
    </row>
    <row r="101" spans="1:25" s="300" customFormat="1" ht="15.6">
      <c r="A101" s="299"/>
      <c r="B101" s="299"/>
      <c r="C101" s="304"/>
      <c r="D101" s="299"/>
      <c r="E101" s="299"/>
      <c r="F101" s="299"/>
      <c r="G101" s="299"/>
      <c r="H101" s="299"/>
      <c r="I101" s="118"/>
      <c r="J101" s="118"/>
      <c r="K101" s="118"/>
      <c r="L101" s="299"/>
      <c r="M101" s="299"/>
      <c r="N101" s="299"/>
      <c r="O101" s="299"/>
      <c r="P101" s="299"/>
      <c r="Q101" s="299"/>
      <c r="R101" s="299"/>
      <c r="S101" s="299"/>
      <c r="T101" s="299"/>
      <c r="U101" s="299"/>
      <c r="V101" s="299"/>
      <c r="W101" s="299"/>
      <c r="X101" s="299"/>
      <c r="Y101" s="299"/>
    </row>
    <row r="102" spans="1:25" s="300" customFormat="1" ht="15.6">
      <c r="A102" s="299"/>
      <c r="B102" s="299"/>
      <c r="C102" s="299"/>
      <c r="D102" s="299"/>
      <c r="E102" s="299"/>
      <c r="F102" s="299"/>
      <c r="G102" s="299"/>
      <c r="H102" s="299"/>
      <c r="I102" s="118"/>
      <c r="J102" s="118"/>
      <c r="K102" s="118"/>
      <c r="L102" s="299"/>
      <c r="M102" s="299"/>
      <c r="N102" s="299"/>
      <c r="O102" s="299"/>
      <c r="P102" s="299"/>
      <c r="Q102" s="299"/>
      <c r="R102" s="299"/>
      <c r="S102" s="299"/>
      <c r="T102" s="299"/>
      <c r="U102" s="299"/>
      <c r="V102" s="299"/>
      <c r="W102" s="299"/>
      <c r="X102" s="299"/>
      <c r="Y102" s="299"/>
    </row>
    <row r="103" spans="1:25" s="300" customFormat="1" ht="15.6">
      <c r="A103" s="299"/>
      <c r="B103" s="299"/>
      <c r="C103" s="299"/>
      <c r="D103" s="299"/>
      <c r="E103" s="299"/>
      <c r="F103" s="299"/>
      <c r="G103" s="299"/>
      <c r="H103" s="299"/>
      <c r="I103" s="118"/>
      <c r="J103" s="118"/>
      <c r="K103" s="118"/>
      <c r="L103" s="299"/>
      <c r="M103" s="299"/>
      <c r="N103" s="299"/>
      <c r="O103" s="299"/>
      <c r="P103" s="299"/>
      <c r="Q103" s="299"/>
      <c r="R103" s="299"/>
      <c r="S103" s="299"/>
      <c r="T103" s="299"/>
      <c r="U103" s="299"/>
      <c r="V103" s="299"/>
      <c r="W103" s="299"/>
      <c r="X103" s="299"/>
      <c r="Y103" s="299"/>
    </row>
    <row r="104" spans="1:25" s="300" customFormat="1" ht="15.6">
      <c r="A104" s="299"/>
      <c r="B104" s="299"/>
      <c r="C104" s="299"/>
      <c r="D104" s="299"/>
      <c r="E104" s="299"/>
      <c r="F104" s="299"/>
      <c r="G104" s="299"/>
      <c r="H104" s="299"/>
      <c r="I104" s="118"/>
      <c r="J104" s="118"/>
      <c r="K104" s="118"/>
      <c r="L104" s="299"/>
      <c r="M104" s="299"/>
      <c r="N104" s="299"/>
      <c r="O104" s="299"/>
      <c r="P104" s="299"/>
      <c r="Q104" s="299"/>
      <c r="R104" s="299"/>
      <c r="S104" s="299"/>
      <c r="T104" s="299"/>
      <c r="U104" s="299"/>
      <c r="V104" s="299"/>
      <c r="W104" s="299"/>
      <c r="X104" s="299"/>
      <c r="Y104" s="299"/>
    </row>
    <row r="105" spans="1:25" s="300" customFormat="1" ht="15.6">
      <c r="A105" s="299"/>
      <c r="B105" s="299"/>
      <c r="C105" s="299"/>
      <c r="D105" s="299"/>
      <c r="E105" s="299"/>
      <c r="F105" s="299"/>
      <c r="G105" s="299"/>
      <c r="H105" s="299"/>
      <c r="I105" s="118"/>
      <c r="J105" s="118"/>
      <c r="K105" s="118"/>
      <c r="L105" s="299"/>
      <c r="M105" s="299"/>
      <c r="N105" s="299"/>
      <c r="O105" s="299"/>
      <c r="P105" s="299"/>
      <c r="Q105" s="299"/>
      <c r="R105" s="299"/>
      <c r="S105" s="299"/>
      <c r="T105" s="299"/>
      <c r="U105" s="299"/>
      <c r="V105" s="299"/>
      <c r="W105" s="299"/>
      <c r="X105" s="299"/>
      <c r="Y105" s="299"/>
    </row>
    <row r="106" spans="1:25" s="300" customFormat="1" ht="15.6">
      <c r="A106" s="299"/>
      <c r="B106" s="299"/>
      <c r="C106" s="299"/>
      <c r="D106" s="299"/>
      <c r="E106" s="299"/>
      <c r="F106" s="299"/>
      <c r="G106" s="299"/>
      <c r="H106" s="299"/>
      <c r="I106" s="118"/>
      <c r="J106" s="118"/>
      <c r="K106" s="118"/>
      <c r="L106" s="299"/>
      <c r="M106" s="299"/>
      <c r="N106" s="299"/>
      <c r="O106" s="299"/>
      <c r="P106" s="299"/>
      <c r="Q106" s="299"/>
      <c r="R106" s="299"/>
      <c r="S106" s="299"/>
      <c r="T106" s="299"/>
      <c r="U106" s="299"/>
      <c r="V106" s="299"/>
      <c r="W106" s="299"/>
      <c r="X106" s="299"/>
      <c r="Y106" s="299"/>
    </row>
    <row r="107" spans="1:25" s="300" customFormat="1" ht="15.6">
      <c r="A107" s="299"/>
      <c r="B107" s="299"/>
      <c r="C107" s="299"/>
      <c r="D107" s="299"/>
      <c r="E107" s="299"/>
      <c r="F107" s="299"/>
      <c r="G107" s="299"/>
      <c r="H107" s="299"/>
      <c r="I107" s="118"/>
      <c r="J107" s="118"/>
      <c r="K107" s="118"/>
      <c r="L107" s="299"/>
      <c r="M107" s="299"/>
      <c r="N107" s="299"/>
      <c r="O107" s="299"/>
      <c r="P107" s="299"/>
      <c r="Q107" s="299"/>
      <c r="R107" s="299"/>
      <c r="S107" s="299"/>
      <c r="T107" s="299"/>
      <c r="U107" s="299"/>
      <c r="V107" s="299"/>
      <c r="W107" s="299"/>
      <c r="X107" s="299"/>
      <c r="Y107" s="299"/>
    </row>
    <row r="108" spans="1:25" s="300" customFormat="1" ht="15.6">
      <c r="A108" s="299"/>
      <c r="B108" s="299"/>
      <c r="C108" s="299"/>
      <c r="D108" s="299"/>
      <c r="E108" s="299"/>
      <c r="F108" s="299"/>
      <c r="G108" s="299"/>
      <c r="H108" s="299"/>
      <c r="I108" s="118"/>
      <c r="J108" s="118"/>
      <c r="K108" s="118"/>
      <c r="L108" s="299"/>
      <c r="M108" s="299"/>
      <c r="N108" s="299"/>
      <c r="O108" s="299"/>
      <c r="P108" s="299"/>
      <c r="Q108" s="299"/>
      <c r="R108" s="299"/>
      <c r="S108" s="299"/>
      <c r="T108" s="299"/>
      <c r="U108" s="299"/>
      <c r="V108" s="299"/>
      <c r="W108" s="299"/>
      <c r="X108" s="299"/>
      <c r="Y108" s="299"/>
    </row>
    <row r="109" spans="1:25" s="300" customFormat="1" ht="15.6">
      <c r="A109" s="299"/>
      <c r="B109" s="299"/>
      <c r="C109" s="299"/>
      <c r="D109" s="299"/>
      <c r="E109" s="299"/>
      <c r="F109" s="299"/>
      <c r="G109" s="299"/>
      <c r="H109" s="299"/>
      <c r="I109" s="118"/>
      <c r="J109" s="118"/>
      <c r="K109" s="118"/>
      <c r="L109" s="299"/>
      <c r="M109" s="299"/>
      <c r="N109" s="299"/>
      <c r="O109" s="299"/>
      <c r="P109" s="299"/>
      <c r="Q109" s="299"/>
      <c r="R109" s="299"/>
      <c r="S109" s="299"/>
      <c r="T109" s="299"/>
      <c r="U109" s="299"/>
      <c r="V109" s="299"/>
      <c r="W109" s="299"/>
      <c r="X109" s="299"/>
      <c r="Y109" s="299"/>
    </row>
    <row r="110" spans="1:25" s="300" customFormat="1" ht="15.6">
      <c r="A110" s="299"/>
      <c r="B110" s="299"/>
      <c r="C110" s="299"/>
      <c r="D110" s="299"/>
      <c r="E110" s="299"/>
      <c r="F110" s="299"/>
      <c r="G110" s="299"/>
      <c r="H110" s="299"/>
      <c r="I110" s="118"/>
      <c r="J110" s="118"/>
      <c r="K110" s="118"/>
      <c r="L110" s="299"/>
      <c r="M110" s="299"/>
      <c r="N110" s="299"/>
      <c r="O110" s="299"/>
      <c r="P110" s="299"/>
      <c r="Q110" s="299"/>
      <c r="R110" s="299"/>
      <c r="S110" s="299"/>
      <c r="T110" s="299"/>
      <c r="U110" s="299"/>
      <c r="V110" s="299"/>
      <c r="W110" s="299"/>
      <c r="X110" s="299"/>
      <c r="Y110" s="299"/>
    </row>
    <row r="111" spans="1:25" s="300" customFormat="1" ht="15.6">
      <c r="A111" s="299"/>
      <c r="B111" s="299"/>
      <c r="C111" s="299"/>
      <c r="D111" s="299"/>
      <c r="E111" s="299"/>
      <c r="F111" s="299"/>
      <c r="G111" s="299"/>
      <c r="H111" s="299"/>
      <c r="I111" s="118"/>
      <c r="J111" s="118"/>
      <c r="K111" s="118"/>
      <c r="L111" s="299"/>
      <c r="M111" s="299"/>
      <c r="N111" s="299"/>
      <c r="O111" s="299"/>
      <c r="P111" s="299"/>
      <c r="Q111" s="299"/>
      <c r="R111" s="299"/>
      <c r="S111" s="299"/>
      <c r="T111" s="299"/>
      <c r="U111" s="299"/>
      <c r="V111" s="299"/>
      <c r="W111" s="299"/>
      <c r="X111" s="299"/>
      <c r="Y111" s="299"/>
    </row>
    <row r="112" spans="1:25" s="300" customFormat="1" ht="15.6">
      <c r="A112" s="299"/>
      <c r="B112" s="299"/>
      <c r="C112" s="299"/>
      <c r="D112" s="299"/>
      <c r="E112" s="299"/>
      <c r="F112" s="299"/>
      <c r="G112" s="299"/>
      <c r="H112" s="299"/>
      <c r="I112" s="118"/>
      <c r="J112" s="118"/>
      <c r="K112" s="118"/>
      <c r="L112" s="299"/>
      <c r="M112" s="299"/>
      <c r="N112" s="299"/>
      <c r="O112" s="299"/>
      <c r="P112" s="299"/>
      <c r="Q112" s="299"/>
      <c r="R112" s="299"/>
      <c r="S112" s="299"/>
      <c r="T112" s="299"/>
      <c r="U112" s="299"/>
      <c r="V112" s="299"/>
      <c r="W112" s="299"/>
      <c r="X112" s="299"/>
      <c r="Y112" s="299"/>
    </row>
    <row r="113" spans="1:25" s="300" customFormat="1" ht="15.6">
      <c r="A113" s="299"/>
      <c r="B113" s="299"/>
      <c r="C113" s="299"/>
      <c r="D113" s="299"/>
      <c r="E113" s="299"/>
      <c r="F113" s="299"/>
      <c r="G113" s="299"/>
      <c r="H113" s="299"/>
      <c r="I113" s="118"/>
      <c r="J113" s="118"/>
      <c r="K113" s="118"/>
      <c r="L113" s="299"/>
      <c r="M113" s="299"/>
      <c r="N113" s="299"/>
      <c r="O113" s="299"/>
      <c r="P113" s="299"/>
      <c r="Q113" s="299"/>
      <c r="R113" s="299"/>
      <c r="S113" s="299"/>
      <c r="T113" s="299"/>
      <c r="U113" s="299"/>
      <c r="V113" s="299"/>
      <c r="W113" s="299"/>
      <c r="X113" s="299"/>
      <c r="Y113" s="299"/>
    </row>
    <row r="114" spans="1:25" s="300" customFormat="1" ht="15.6">
      <c r="A114" s="299"/>
      <c r="B114" s="299"/>
      <c r="C114" s="299"/>
      <c r="D114" s="299"/>
      <c r="E114" s="299"/>
      <c r="F114" s="299"/>
      <c r="G114" s="299"/>
      <c r="H114" s="299"/>
      <c r="I114" s="118"/>
      <c r="J114" s="118"/>
      <c r="K114" s="118"/>
      <c r="L114" s="299"/>
      <c r="M114" s="299"/>
      <c r="N114" s="299"/>
      <c r="O114" s="299"/>
      <c r="P114" s="299"/>
      <c r="Q114" s="299"/>
      <c r="R114" s="299"/>
      <c r="S114" s="299"/>
      <c r="T114" s="299"/>
      <c r="U114" s="299"/>
      <c r="V114" s="299"/>
      <c r="W114" s="299"/>
      <c r="X114" s="299"/>
      <c r="Y114" s="299"/>
    </row>
    <row r="115" spans="1:25" s="300" customFormat="1" ht="15.6">
      <c r="A115" s="299"/>
      <c r="B115" s="299"/>
      <c r="C115" s="299"/>
      <c r="D115" s="299"/>
      <c r="E115" s="299"/>
      <c r="F115" s="299"/>
      <c r="G115" s="299"/>
      <c r="H115" s="299"/>
      <c r="I115" s="118"/>
      <c r="J115" s="118"/>
      <c r="K115" s="118"/>
      <c r="L115" s="299"/>
      <c r="M115" s="299"/>
      <c r="N115" s="299"/>
      <c r="O115" s="299"/>
      <c r="P115" s="299"/>
      <c r="Q115" s="299"/>
      <c r="R115" s="299"/>
      <c r="S115" s="299"/>
      <c r="T115" s="299"/>
      <c r="U115" s="299"/>
      <c r="V115" s="299"/>
      <c r="W115" s="299"/>
      <c r="X115" s="299"/>
      <c r="Y115" s="299"/>
    </row>
    <row r="116" spans="1:25" s="300" customFormat="1" ht="15.6">
      <c r="A116" s="299"/>
      <c r="B116" s="299"/>
      <c r="C116" s="299"/>
      <c r="D116" s="299"/>
      <c r="E116" s="299"/>
      <c r="F116" s="299"/>
      <c r="G116" s="299"/>
      <c r="H116" s="299"/>
      <c r="I116" s="118"/>
      <c r="J116" s="118"/>
      <c r="K116" s="118"/>
      <c r="L116" s="299"/>
      <c r="M116" s="299"/>
      <c r="N116" s="299"/>
      <c r="O116" s="299"/>
      <c r="P116" s="299"/>
      <c r="Q116" s="299"/>
      <c r="R116" s="299"/>
      <c r="S116" s="299"/>
      <c r="T116" s="299"/>
      <c r="U116" s="299"/>
      <c r="V116" s="299"/>
      <c r="W116" s="299"/>
      <c r="X116" s="299"/>
      <c r="Y116" s="299"/>
    </row>
    <row r="117" spans="1:25" s="300" customFormat="1" ht="15.6">
      <c r="A117" s="299"/>
      <c r="B117" s="299"/>
      <c r="C117" s="299"/>
      <c r="D117" s="299"/>
      <c r="E117" s="299"/>
      <c r="F117" s="299"/>
      <c r="G117" s="299"/>
      <c r="H117" s="299"/>
      <c r="I117" s="118"/>
      <c r="J117" s="118"/>
      <c r="K117" s="118"/>
      <c r="L117" s="299"/>
      <c r="M117" s="299"/>
      <c r="N117" s="299"/>
      <c r="O117" s="299"/>
      <c r="P117" s="299"/>
      <c r="Q117" s="299"/>
      <c r="R117" s="299"/>
      <c r="S117" s="299"/>
      <c r="T117" s="299"/>
      <c r="U117" s="299"/>
      <c r="V117" s="299"/>
      <c r="W117" s="299"/>
      <c r="X117" s="299"/>
      <c r="Y117" s="299"/>
    </row>
    <row r="118" spans="1:25" s="300" customFormat="1" ht="15.6">
      <c r="A118" s="299"/>
      <c r="B118" s="299"/>
      <c r="C118" s="299"/>
      <c r="D118" s="299"/>
      <c r="E118" s="299"/>
      <c r="F118" s="299"/>
      <c r="G118" s="299"/>
      <c r="H118" s="299"/>
      <c r="I118" s="118"/>
      <c r="J118" s="118"/>
      <c r="K118" s="118"/>
      <c r="L118" s="299"/>
      <c r="M118" s="299"/>
      <c r="N118" s="299"/>
      <c r="O118" s="299"/>
      <c r="P118" s="299"/>
      <c r="Q118" s="299"/>
      <c r="R118" s="299"/>
      <c r="S118" s="299"/>
      <c r="T118" s="299"/>
      <c r="U118" s="299"/>
      <c r="V118" s="299"/>
      <c r="W118" s="299"/>
      <c r="X118" s="299"/>
      <c r="Y118" s="299"/>
    </row>
    <row r="119" spans="1:25" s="300" customFormat="1" ht="15.6">
      <c r="A119" s="299"/>
      <c r="B119" s="299"/>
      <c r="C119" s="299"/>
      <c r="D119" s="299"/>
      <c r="E119" s="299"/>
      <c r="F119" s="299"/>
      <c r="G119" s="299"/>
      <c r="H119" s="299"/>
      <c r="I119" s="118"/>
      <c r="J119" s="118"/>
      <c r="K119" s="118"/>
      <c r="L119" s="299"/>
      <c r="M119" s="299"/>
      <c r="N119" s="299"/>
      <c r="O119" s="299"/>
      <c r="P119" s="299"/>
      <c r="Q119" s="299"/>
      <c r="R119" s="299"/>
      <c r="S119" s="299"/>
      <c r="T119" s="299"/>
      <c r="U119" s="299"/>
      <c r="V119" s="299"/>
      <c r="W119" s="299"/>
      <c r="X119" s="299"/>
      <c r="Y119" s="299"/>
    </row>
    <row r="120" spans="1:25" s="300" customFormat="1" ht="15.6">
      <c r="A120" s="299"/>
      <c r="B120" s="299"/>
      <c r="C120" s="299"/>
      <c r="D120" s="299"/>
      <c r="E120" s="299"/>
      <c r="F120" s="299"/>
      <c r="G120" s="299"/>
      <c r="H120" s="299"/>
      <c r="I120" s="118"/>
      <c r="J120" s="118"/>
      <c r="K120" s="118"/>
      <c r="L120" s="299"/>
      <c r="M120" s="299"/>
      <c r="N120" s="299"/>
      <c r="O120" s="299"/>
      <c r="P120" s="299"/>
      <c r="Q120" s="299"/>
      <c r="R120" s="299"/>
      <c r="S120" s="299"/>
      <c r="T120" s="299"/>
      <c r="U120" s="299"/>
      <c r="V120" s="299"/>
      <c r="W120" s="299"/>
      <c r="X120" s="299"/>
      <c r="Y120" s="299"/>
    </row>
    <row r="121" spans="1:25" s="300" customFormat="1" ht="15.6">
      <c r="A121" s="299"/>
      <c r="B121" s="299"/>
      <c r="C121" s="299"/>
      <c r="D121" s="299"/>
      <c r="E121" s="299"/>
      <c r="F121" s="299"/>
      <c r="G121" s="299"/>
      <c r="H121" s="299"/>
      <c r="I121" s="118"/>
      <c r="J121" s="118"/>
      <c r="K121" s="118"/>
      <c r="L121" s="299"/>
      <c r="M121" s="299"/>
      <c r="N121" s="299"/>
      <c r="O121" s="299"/>
      <c r="P121" s="299"/>
      <c r="Q121" s="299"/>
      <c r="R121" s="299"/>
      <c r="S121" s="299"/>
      <c r="T121" s="299"/>
      <c r="U121" s="299"/>
      <c r="V121" s="299"/>
      <c r="W121" s="299"/>
      <c r="X121" s="299"/>
      <c r="Y121" s="299"/>
    </row>
    <row r="122" spans="1:25" s="300" customFormat="1" ht="15.6">
      <c r="A122" s="299"/>
      <c r="B122" s="299"/>
      <c r="C122" s="299"/>
      <c r="D122" s="299"/>
      <c r="E122" s="299"/>
      <c r="F122" s="299"/>
      <c r="G122" s="299"/>
      <c r="H122" s="299"/>
      <c r="I122" s="118"/>
      <c r="J122" s="118"/>
      <c r="K122" s="118"/>
      <c r="L122" s="299"/>
      <c r="M122" s="299"/>
      <c r="N122" s="299"/>
      <c r="O122" s="299"/>
      <c r="P122" s="299"/>
      <c r="Q122" s="299"/>
      <c r="R122" s="299"/>
      <c r="S122" s="299"/>
      <c r="T122" s="299"/>
      <c r="U122" s="299"/>
      <c r="V122" s="299"/>
      <c r="W122" s="299"/>
      <c r="X122" s="299"/>
      <c r="Y122" s="299"/>
    </row>
    <row r="123" spans="1:25" s="300" customFormat="1" ht="15.6">
      <c r="A123" s="299"/>
      <c r="B123" s="299"/>
      <c r="C123" s="299"/>
      <c r="D123" s="299"/>
      <c r="E123" s="299"/>
      <c r="F123" s="299"/>
      <c r="G123" s="299"/>
      <c r="H123" s="299"/>
      <c r="I123" s="118"/>
      <c r="J123" s="118"/>
      <c r="K123" s="118"/>
      <c r="L123" s="299"/>
      <c r="M123" s="299"/>
      <c r="N123" s="299"/>
      <c r="O123" s="299"/>
      <c r="P123" s="299"/>
      <c r="Q123" s="299"/>
      <c r="R123" s="299"/>
      <c r="S123" s="299"/>
      <c r="T123" s="299"/>
      <c r="U123" s="299"/>
      <c r="V123" s="299"/>
      <c r="W123" s="299"/>
      <c r="X123" s="299"/>
      <c r="Y123" s="299"/>
    </row>
    <row r="124" spans="1:25" s="300" customFormat="1" ht="15.6">
      <c r="A124" s="299"/>
      <c r="B124" s="299"/>
      <c r="C124" s="299"/>
      <c r="D124" s="299"/>
      <c r="E124" s="299"/>
      <c r="F124" s="299"/>
      <c r="G124" s="299"/>
      <c r="H124" s="299"/>
      <c r="I124" s="118"/>
      <c r="J124" s="118"/>
      <c r="K124" s="118"/>
      <c r="L124" s="299"/>
      <c r="M124" s="299"/>
      <c r="N124" s="299"/>
      <c r="O124" s="299"/>
      <c r="P124" s="299"/>
      <c r="Q124" s="299"/>
      <c r="R124" s="299"/>
      <c r="S124" s="299"/>
      <c r="T124" s="299"/>
      <c r="U124" s="299"/>
      <c r="V124" s="299"/>
      <c r="W124" s="299"/>
      <c r="X124" s="299"/>
      <c r="Y124" s="299"/>
    </row>
    <row r="125" spans="1:25" s="300" customFormat="1" ht="15.6">
      <c r="A125" s="299"/>
      <c r="B125" s="299"/>
      <c r="C125" s="299"/>
      <c r="D125" s="299"/>
      <c r="E125" s="299"/>
      <c r="F125" s="299"/>
      <c r="G125" s="299"/>
      <c r="H125" s="299"/>
      <c r="I125" s="118"/>
      <c r="J125" s="118"/>
      <c r="K125" s="118"/>
      <c r="L125" s="299"/>
      <c r="M125" s="299"/>
      <c r="N125" s="299"/>
      <c r="O125" s="299"/>
      <c r="P125" s="299"/>
      <c r="Q125" s="299"/>
      <c r="R125" s="299"/>
      <c r="S125" s="299"/>
      <c r="T125" s="299"/>
      <c r="U125" s="299"/>
      <c r="V125" s="299"/>
      <c r="W125" s="299"/>
      <c r="X125" s="299"/>
      <c r="Y125" s="299"/>
    </row>
    <row r="126" spans="1:25" s="300" customFormat="1" ht="15.6">
      <c r="A126" s="299"/>
      <c r="B126" s="299"/>
      <c r="C126" s="299"/>
      <c r="D126" s="299"/>
      <c r="E126" s="299"/>
      <c r="F126" s="299"/>
      <c r="G126" s="299"/>
      <c r="H126" s="299"/>
      <c r="I126" s="118"/>
      <c r="J126" s="118"/>
      <c r="K126" s="118"/>
      <c r="L126" s="299"/>
      <c r="M126" s="299"/>
      <c r="N126" s="299"/>
      <c r="O126" s="299"/>
      <c r="P126" s="299"/>
      <c r="Q126" s="299"/>
      <c r="R126" s="299"/>
      <c r="S126" s="299"/>
      <c r="T126" s="299"/>
      <c r="U126" s="299"/>
      <c r="V126" s="299"/>
      <c r="W126" s="299"/>
      <c r="X126" s="299"/>
      <c r="Y126" s="299"/>
    </row>
    <row r="127" spans="1:25" s="300" customFormat="1" ht="15.6">
      <c r="A127" s="299"/>
      <c r="B127" s="299"/>
      <c r="C127" s="299"/>
      <c r="D127" s="299"/>
      <c r="E127" s="299"/>
      <c r="F127" s="299"/>
      <c r="G127" s="299"/>
      <c r="H127" s="299"/>
      <c r="I127" s="118"/>
      <c r="J127" s="118"/>
      <c r="K127" s="118"/>
      <c r="L127" s="299"/>
      <c r="M127" s="299"/>
      <c r="N127" s="299"/>
      <c r="O127" s="299"/>
      <c r="P127" s="299"/>
      <c r="Q127" s="299"/>
      <c r="R127" s="299"/>
      <c r="S127" s="299"/>
      <c r="T127" s="299"/>
      <c r="U127" s="299"/>
      <c r="V127" s="299"/>
      <c r="W127" s="299"/>
      <c r="X127" s="299"/>
      <c r="Y127" s="299"/>
    </row>
    <row r="128" spans="1:25" s="300" customFormat="1" ht="15.6">
      <c r="A128" s="299"/>
      <c r="B128" s="299"/>
      <c r="C128" s="299"/>
      <c r="D128" s="299"/>
      <c r="E128" s="299"/>
      <c r="F128" s="299"/>
      <c r="G128" s="299"/>
      <c r="H128" s="299"/>
      <c r="I128" s="118"/>
      <c r="J128" s="118"/>
      <c r="K128" s="118"/>
      <c r="L128" s="299"/>
      <c r="M128" s="299"/>
      <c r="N128" s="299"/>
      <c r="O128" s="299"/>
      <c r="P128" s="299"/>
      <c r="Q128" s="299"/>
      <c r="R128" s="299"/>
      <c r="S128" s="299"/>
      <c r="T128" s="299"/>
      <c r="U128" s="299"/>
      <c r="V128" s="299"/>
      <c r="W128" s="299"/>
      <c r="X128" s="299"/>
      <c r="Y128" s="299"/>
    </row>
    <row r="129" spans="1:25" s="300" customFormat="1" ht="15.6">
      <c r="A129" s="299"/>
      <c r="B129" s="299"/>
      <c r="C129" s="299"/>
      <c r="D129" s="299"/>
      <c r="E129" s="299"/>
      <c r="F129" s="299"/>
      <c r="G129" s="299"/>
      <c r="H129" s="299"/>
      <c r="I129" s="118"/>
      <c r="J129" s="118"/>
      <c r="K129" s="118"/>
      <c r="L129" s="299"/>
      <c r="M129" s="299"/>
      <c r="N129" s="299"/>
      <c r="O129" s="299"/>
      <c r="P129" s="299"/>
      <c r="Q129" s="299"/>
      <c r="R129" s="299"/>
      <c r="S129" s="299"/>
      <c r="T129" s="299"/>
      <c r="U129" s="299"/>
      <c r="V129" s="299"/>
      <c r="W129" s="299"/>
      <c r="X129" s="299"/>
      <c r="Y129" s="299"/>
    </row>
    <row r="130" spans="1:25" s="300" customFormat="1" ht="15.6">
      <c r="A130" s="299"/>
      <c r="B130" s="299"/>
      <c r="C130" s="299"/>
      <c r="D130" s="299"/>
      <c r="E130" s="299"/>
      <c r="F130" s="299"/>
      <c r="G130" s="299"/>
      <c r="H130" s="299"/>
      <c r="I130" s="118"/>
      <c r="J130" s="118"/>
      <c r="K130" s="118"/>
      <c r="L130" s="299"/>
      <c r="M130" s="299"/>
      <c r="N130" s="299"/>
      <c r="O130" s="299"/>
      <c r="P130" s="299"/>
      <c r="Q130" s="299"/>
      <c r="R130" s="299"/>
      <c r="S130" s="299"/>
      <c r="T130" s="299"/>
      <c r="U130" s="299"/>
      <c r="V130" s="299"/>
      <c r="W130" s="299"/>
      <c r="X130" s="299"/>
      <c r="Y130" s="299"/>
    </row>
    <row r="131" spans="1:25" s="300" customFormat="1" ht="15.6">
      <c r="A131" s="299"/>
      <c r="B131" s="299"/>
      <c r="C131" s="299"/>
      <c r="D131" s="299"/>
      <c r="E131" s="299"/>
      <c r="F131" s="299"/>
      <c r="G131" s="299"/>
      <c r="H131" s="299"/>
      <c r="I131" s="118"/>
      <c r="J131" s="118"/>
      <c r="K131" s="118"/>
      <c r="L131" s="299"/>
      <c r="M131" s="299"/>
      <c r="N131" s="299"/>
      <c r="O131" s="299"/>
      <c r="P131" s="299"/>
      <c r="Q131" s="299"/>
      <c r="R131" s="299"/>
      <c r="S131" s="299"/>
      <c r="T131" s="299"/>
      <c r="U131" s="299"/>
      <c r="V131" s="299"/>
      <c r="W131" s="299"/>
      <c r="X131" s="299"/>
      <c r="Y131" s="299"/>
    </row>
    <row r="132" spans="1:25" s="300" customFormat="1" ht="15.6">
      <c r="A132" s="299"/>
      <c r="B132" s="299"/>
      <c r="C132" s="299"/>
      <c r="D132" s="299"/>
      <c r="E132" s="299"/>
      <c r="F132" s="299"/>
      <c r="G132" s="299"/>
      <c r="H132" s="299"/>
      <c r="I132" s="118"/>
      <c r="J132" s="118"/>
      <c r="K132" s="118"/>
      <c r="L132" s="299"/>
      <c r="M132" s="299"/>
      <c r="N132" s="299"/>
      <c r="O132" s="299"/>
      <c r="P132" s="299"/>
      <c r="Q132" s="299"/>
      <c r="R132" s="299"/>
      <c r="S132" s="299"/>
      <c r="T132" s="299"/>
      <c r="U132" s="299"/>
      <c r="V132" s="299"/>
      <c r="W132" s="299"/>
      <c r="X132" s="299"/>
      <c r="Y132" s="299"/>
    </row>
    <row r="133" spans="1:25" s="300" customFormat="1" ht="15.6">
      <c r="A133" s="299"/>
      <c r="B133" s="299"/>
      <c r="C133" s="299"/>
      <c r="D133" s="299"/>
      <c r="E133" s="299"/>
      <c r="F133" s="299"/>
      <c r="G133" s="299"/>
      <c r="H133" s="299"/>
      <c r="I133" s="118"/>
      <c r="J133" s="118"/>
      <c r="K133" s="118"/>
      <c r="L133" s="299"/>
      <c r="M133" s="299"/>
      <c r="N133" s="299"/>
      <c r="O133" s="299"/>
      <c r="P133" s="299"/>
      <c r="Q133" s="299"/>
      <c r="R133" s="299"/>
      <c r="S133" s="299"/>
      <c r="T133" s="299"/>
      <c r="U133" s="299"/>
      <c r="V133" s="299"/>
      <c r="W133" s="299"/>
      <c r="X133" s="299"/>
      <c r="Y133" s="299"/>
    </row>
    <row r="134" spans="1:25" s="300" customFormat="1" ht="15.6">
      <c r="A134" s="299"/>
      <c r="B134" s="299"/>
      <c r="C134" s="299"/>
      <c r="D134" s="299"/>
      <c r="E134" s="299"/>
      <c r="F134" s="299"/>
      <c r="G134" s="299"/>
      <c r="H134" s="299"/>
      <c r="I134" s="118"/>
      <c r="J134" s="118"/>
      <c r="K134" s="118"/>
      <c r="L134" s="299"/>
      <c r="M134" s="299"/>
      <c r="N134" s="299"/>
      <c r="O134" s="299"/>
      <c r="P134" s="299"/>
      <c r="Q134" s="299"/>
      <c r="R134" s="299"/>
      <c r="S134" s="299"/>
      <c r="T134" s="299"/>
      <c r="U134" s="299"/>
      <c r="V134" s="299"/>
      <c r="W134" s="299"/>
      <c r="X134" s="299"/>
      <c r="Y134" s="299"/>
    </row>
    <row r="135" spans="1:25" s="300" customFormat="1" ht="15.6">
      <c r="A135" s="299"/>
      <c r="B135" s="299"/>
      <c r="C135" s="299"/>
      <c r="D135" s="299"/>
      <c r="E135" s="299"/>
      <c r="F135" s="299"/>
      <c r="G135" s="299"/>
      <c r="H135" s="299"/>
      <c r="I135" s="118"/>
      <c r="J135" s="118"/>
      <c r="K135" s="118"/>
      <c r="L135" s="299"/>
      <c r="M135" s="299"/>
      <c r="N135" s="299"/>
      <c r="O135" s="299"/>
      <c r="P135" s="299"/>
      <c r="Q135" s="299"/>
      <c r="R135" s="299"/>
      <c r="S135" s="299"/>
      <c r="T135" s="299"/>
      <c r="U135" s="299"/>
      <c r="V135" s="299"/>
      <c r="W135" s="299"/>
      <c r="X135" s="299"/>
      <c r="Y135" s="299"/>
    </row>
    <row r="136" spans="1:25" s="300" customFormat="1" ht="15.6">
      <c r="A136" s="299"/>
      <c r="B136" s="299"/>
      <c r="C136" s="299"/>
      <c r="D136" s="299"/>
      <c r="E136" s="299"/>
      <c r="F136" s="299"/>
      <c r="G136" s="299"/>
      <c r="H136" s="299"/>
      <c r="I136" s="118"/>
      <c r="J136" s="118"/>
      <c r="K136" s="118"/>
      <c r="L136" s="299"/>
      <c r="M136" s="299"/>
      <c r="N136" s="299"/>
      <c r="O136" s="299"/>
      <c r="P136" s="299"/>
      <c r="Q136" s="299"/>
      <c r="R136" s="299"/>
      <c r="S136" s="299"/>
      <c r="T136" s="299"/>
      <c r="U136" s="299"/>
      <c r="V136" s="299"/>
      <c r="W136" s="299"/>
      <c r="X136" s="299"/>
      <c r="Y136" s="299"/>
    </row>
    <row r="137" spans="1:25" s="300" customFormat="1" ht="15.6">
      <c r="A137" s="299"/>
      <c r="B137" s="299"/>
      <c r="C137" s="299"/>
      <c r="D137" s="299"/>
      <c r="E137" s="299"/>
      <c r="F137" s="299"/>
      <c r="G137" s="299"/>
      <c r="H137" s="299"/>
      <c r="I137" s="118"/>
      <c r="J137" s="118"/>
      <c r="K137" s="118"/>
      <c r="L137" s="299"/>
      <c r="M137" s="299"/>
      <c r="N137" s="299"/>
      <c r="O137" s="299"/>
      <c r="P137" s="299"/>
      <c r="Q137" s="299"/>
      <c r="R137" s="299"/>
      <c r="S137" s="299"/>
      <c r="T137" s="299"/>
      <c r="U137" s="299"/>
      <c r="V137" s="299"/>
      <c r="W137" s="299"/>
      <c r="X137" s="299"/>
      <c r="Y137" s="299"/>
    </row>
    <row r="138" spans="1:25" s="300" customFormat="1" ht="15.6">
      <c r="A138" s="299"/>
      <c r="B138" s="299"/>
      <c r="C138" s="299"/>
      <c r="D138" s="299"/>
      <c r="E138" s="299"/>
      <c r="F138" s="299"/>
      <c r="G138" s="299"/>
      <c r="H138" s="299"/>
      <c r="I138" s="118"/>
      <c r="J138" s="118"/>
      <c r="K138" s="118"/>
      <c r="L138" s="299"/>
      <c r="M138" s="299"/>
      <c r="N138" s="299"/>
      <c r="O138" s="299"/>
      <c r="P138" s="299"/>
      <c r="Q138" s="299"/>
      <c r="R138" s="299"/>
      <c r="S138" s="299"/>
      <c r="T138" s="299"/>
      <c r="U138" s="299"/>
      <c r="V138" s="299"/>
      <c r="W138" s="299"/>
      <c r="X138" s="299"/>
      <c r="Y138" s="299"/>
    </row>
    <row r="139" spans="1:25" s="300" customFormat="1" ht="15.6">
      <c r="A139" s="299"/>
      <c r="B139" s="299"/>
      <c r="C139" s="299"/>
      <c r="D139" s="299"/>
      <c r="E139" s="299"/>
      <c r="F139" s="299"/>
      <c r="G139" s="299"/>
      <c r="H139" s="299"/>
      <c r="I139" s="118"/>
      <c r="J139" s="118"/>
      <c r="K139" s="118"/>
      <c r="L139" s="299"/>
      <c r="M139" s="299"/>
      <c r="N139" s="299"/>
      <c r="O139" s="299"/>
      <c r="P139" s="299"/>
      <c r="Q139" s="299"/>
      <c r="R139" s="299"/>
      <c r="S139" s="299"/>
      <c r="T139" s="299"/>
      <c r="U139" s="299"/>
      <c r="V139" s="299"/>
      <c r="W139" s="299"/>
      <c r="X139" s="299"/>
      <c r="Y139" s="299"/>
    </row>
    <row r="140" spans="1:25" s="300" customFormat="1" ht="15.6">
      <c r="A140" s="299"/>
      <c r="B140" s="299"/>
      <c r="C140" s="299"/>
      <c r="D140" s="299"/>
      <c r="E140" s="299"/>
      <c r="F140" s="299"/>
      <c r="G140" s="299"/>
      <c r="H140" s="299"/>
      <c r="I140" s="118"/>
      <c r="J140" s="118"/>
      <c r="K140" s="118"/>
      <c r="L140" s="299"/>
      <c r="M140" s="299"/>
      <c r="N140" s="299"/>
      <c r="O140" s="299"/>
      <c r="P140" s="299"/>
      <c r="Q140" s="299"/>
      <c r="R140" s="299"/>
      <c r="S140" s="299"/>
      <c r="T140" s="299"/>
      <c r="U140" s="299"/>
      <c r="V140" s="299"/>
      <c r="W140" s="299"/>
      <c r="X140" s="299"/>
      <c r="Y140" s="299"/>
    </row>
    <row r="141" spans="1:25" s="300" customFormat="1" ht="15.6">
      <c r="A141" s="299"/>
      <c r="B141" s="299"/>
      <c r="C141" s="299"/>
      <c r="D141" s="299"/>
      <c r="E141" s="299"/>
      <c r="F141" s="299"/>
      <c r="G141" s="299"/>
      <c r="H141" s="299"/>
      <c r="I141" s="118"/>
      <c r="J141" s="118"/>
      <c r="K141" s="118"/>
      <c r="L141" s="299"/>
      <c r="M141" s="299"/>
      <c r="N141" s="299"/>
      <c r="O141" s="299"/>
      <c r="P141" s="299"/>
      <c r="Q141" s="299"/>
      <c r="R141" s="299"/>
      <c r="S141" s="299"/>
      <c r="T141" s="299"/>
      <c r="U141" s="299"/>
      <c r="V141" s="299"/>
      <c r="W141" s="299"/>
      <c r="X141" s="299"/>
      <c r="Y141" s="299"/>
    </row>
    <row r="142" spans="1:25" s="300" customFormat="1" ht="15.6">
      <c r="A142" s="299"/>
      <c r="B142" s="299"/>
      <c r="C142" s="299"/>
      <c r="D142" s="299"/>
      <c r="E142" s="299"/>
      <c r="F142" s="299"/>
      <c r="G142" s="299"/>
      <c r="H142" s="299"/>
      <c r="I142" s="118"/>
      <c r="J142" s="118"/>
      <c r="K142" s="118"/>
      <c r="L142" s="299"/>
      <c r="M142" s="299"/>
      <c r="N142" s="299"/>
      <c r="O142" s="299"/>
      <c r="P142" s="299"/>
      <c r="Q142" s="299"/>
      <c r="R142" s="299"/>
      <c r="S142" s="299"/>
      <c r="T142" s="299"/>
      <c r="U142" s="299"/>
      <c r="V142" s="299"/>
      <c r="W142" s="299"/>
      <c r="X142" s="299"/>
      <c r="Y142" s="299"/>
    </row>
    <row r="143" spans="1:25" s="300" customFormat="1" ht="15.6">
      <c r="A143" s="299"/>
      <c r="B143" s="299"/>
      <c r="C143" s="299"/>
      <c r="D143" s="299"/>
      <c r="E143" s="299"/>
      <c r="F143" s="299"/>
      <c r="G143" s="299"/>
      <c r="H143" s="299"/>
      <c r="I143" s="118"/>
      <c r="J143" s="118"/>
      <c r="K143" s="118"/>
      <c r="L143" s="299"/>
      <c r="M143" s="299"/>
      <c r="N143" s="299"/>
      <c r="O143" s="299"/>
      <c r="P143" s="299"/>
      <c r="Q143" s="299"/>
      <c r="R143" s="299"/>
      <c r="S143" s="299"/>
      <c r="T143" s="299"/>
      <c r="U143" s="299"/>
      <c r="V143" s="299"/>
      <c r="W143" s="299"/>
      <c r="X143" s="299"/>
      <c r="Y143" s="299"/>
    </row>
    <row r="144" spans="1:25" s="300" customFormat="1" ht="15.6">
      <c r="A144" s="299"/>
      <c r="B144" s="299"/>
      <c r="C144" s="299"/>
      <c r="D144" s="299"/>
      <c r="E144" s="299"/>
      <c r="F144" s="299"/>
      <c r="G144" s="299"/>
      <c r="H144" s="299"/>
      <c r="I144" s="118"/>
      <c r="J144" s="118"/>
      <c r="K144" s="118"/>
      <c r="L144" s="299"/>
      <c r="M144" s="299"/>
      <c r="N144" s="299"/>
      <c r="O144" s="299"/>
      <c r="P144" s="299"/>
      <c r="Q144" s="299"/>
      <c r="R144" s="299"/>
      <c r="S144" s="299"/>
      <c r="T144" s="299"/>
      <c r="U144" s="299"/>
      <c r="V144" s="299"/>
      <c r="W144" s="299"/>
      <c r="X144" s="299"/>
      <c r="Y144" s="299"/>
    </row>
    <row r="145" spans="1:25" s="300" customFormat="1" ht="15.6">
      <c r="A145" s="299"/>
      <c r="B145" s="299"/>
      <c r="C145" s="299"/>
      <c r="D145" s="299"/>
      <c r="E145" s="299"/>
      <c r="F145" s="299"/>
      <c r="G145" s="299"/>
      <c r="H145" s="299"/>
      <c r="I145" s="118"/>
      <c r="J145" s="118"/>
      <c r="K145" s="118"/>
      <c r="L145" s="299"/>
      <c r="M145" s="299"/>
      <c r="N145" s="299"/>
      <c r="O145" s="299"/>
      <c r="P145" s="299"/>
      <c r="Q145" s="299"/>
      <c r="R145" s="299"/>
      <c r="S145" s="299"/>
      <c r="T145" s="299"/>
      <c r="U145" s="299"/>
      <c r="V145" s="299"/>
      <c r="W145" s="299"/>
      <c r="X145" s="299"/>
      <c r="Y145" s="299"/>
    </row>
    <row r="146" spans="1:25" s="300" customFormat="1" ht="15.6">
      <c r="A146" s="299"/>
      <c r="B146" s="299"/>
      <c r="C146" s="299"/>
      <c r="D146" s="299"/>
      <c r="E146" s="299"/>
      <c r="F146" s="299"/>
      <c r="G146" s="299"/>
      <c r="H146" s="299"/>
      <c r="I146" s="118"/>
      <c r="J146" s="118"/>
      <c r="K146" s="118"/>
      <c r="L146" s="299"/>
      <c r="M146" s="299"/>
      <c r="N146" s="299"/>
      <c r="O146" s="299"/>
      <c r="P146" s="299"/>
      <c r="Q146" s="299"/>
      <c r="R146" s="299"/>
      <c r="S146" s="299"/>
      <c r="T146" s="299"/>
      <c r="U146" s="299"/>
      <c r="V146" s="299"/>
      <c r="W146" s="299"/>
      <c r="X146" s="299"/>
      <c r="Y146" s="299"/>
    </row>
    <row r="147" spans="1:25" s="300" customFormat="1" ht="15.6">
      <c r="A147" s="299"/>
      <c r="B147" s="299"/>
      <c r="C147" s="299"/>
      <c r="D147" s="299"/>
      <c r="E147" s="299"/>
      <c r="F147" s="299"/>
      <c r="G147" s="299"/>
      <c r="H147" s="299"/>
      <c r="I147" s="118"/>
      <c r="J147" s="118"/>
      <c r="K147" s="118"/>
      <c r="L147" s="299"/>
      <c r="M147" s="299"/>
      <c r="N147" s="299"/>
      <c r="O147" s="299"/>
      <c r="P147" s="299"/>
      <c r="Q147" s="299"/>
      <c r="R147" s="299"/>
      <c r="S147" s="299"/>
      <c r="T147" s="299"/>
      <c r="U147" s="299"/>
      <c r="V147" s="299"/>
      <c r="W147" s="299"/>
      <c r="X147" s="299"/>
      <c r="Y147" s="299"/>
    </row>
    <row r="148" spans="1:25" ht="15.6">
      <c r="A148" s="1"/>
      <c r="B148" s="1"/>
      <c r="C148" s="1"/>
      <c r="D148" s="1"/>
      <c r="E148" s="1"/>
      <c r="F148" s="1"/>
      <c r="G148" s="1"/>
      <c r="H148" s="1"/>
      <c r="I148" s="4"/>
      <c r="J148" s="4"/>
      <c r="K148" s="4"/>
      <c r="L148" s="1"/>
      <c r="M148" s="1"/>
      <c r="N148" s="1"/>
      <c r="O148" s="1"/>
      <c r="P148" s="1"/>
      <c r="Q148" s="1"/>
      <c r="R148" s="1"/>
      <c r="S148" s="1"/>
      <c r="T148" s="1"/>
      <c r="U148" s="1"/>
      <c r="V148" s="1"/>
      <c r="W148" s="1"/>
      <c r="X148" s="1"/>
      <c r="Y148" s="1"/>
    </row>
    <row r="149" spans="1:25" ht="15.6">
      <c r="A149" s="1"/>
      <c r="B149" s="1"/>
      <c r="C149" s="1"/>
      <c r="D149" s="1"/>
      <c r="E149" s="1"/>
      <c r="F149" s="1"/>
      <c r="G149" s="1"/>
      <c r="H149" s="1"/>
      <c r="I149" s="4"/>
      <c r="J149" s="4"/>
      <c r="K149" s="4"/>
      <c r="L149" s="1"/>
      <c r="M149" s="1"/>
      <c r="N149" s="1"/>
      <c r="O149" s="1"/>
      <c r="P149" s="1"/>
      <c r="Q149" s="1"/>
      <c r="R149" s="1"/>
      <c r="S149" s="1"/>
      <c r="T149" s="1"/>
      <c r="U149" s="1"/>
      <c r="V149" s="1"/>
      <c r="W149" s="1"/>
      <c r="X149" s="1"/>
      <c r="Y149" s="1"/>
    </row>
    <row r="150" spans="1:25" ht="15.6">
      <c r="A150" s="1"/>
      <c r="B150" s="1"/>
      <c r="C150" s="1"/>
      <c r="D150" s="1"/>
      <c r="E150" s="1"/>
      <c r="F150" s="1"/>
      <c r="G150" s="1"/>
      <c r="H150" s="1"/>
      <c r="I150" s="4"/>
      <c r="J150" s="4"/>
      <c r="K150" s="4"/>
      <c r="L150" s="1"/>
      <c r="M150" s="1"/>
      <c r="N150" s="1"/>
      <c r="O150" s="1"/>
      <c r="P150" s="1"/>
      <c r="Q150" s="1"/>
      <c r="R150" s="1"/>
      <c r="S150" s="1"/>
      <c r="T150" s="1"/>
      <c r="U150" s="1"/>
      <c r="V150" s="1"/>
      <c r="W150" s="1"/>
      <c r="X150" s="1"/>
      <c r="Y150" s="1"/>
    </row>
    <row r="151" spans="1:25" ht="15.6">
      <c r="A151" s="1"/>
      <c r="B151" s="1"/>
      <c r="C151" s="1"/>
      <c r="D151" s="1"/>
      <c r="E151" s="1"/>
      <c r="F151" s="1"/>
      <c r="G151" s="1"/>
      <c r="H151" s="1"/>
      <c r="I151" s="4"/>
      <c r="J151" s="4"/>
      <c r="K151" s="4"/>
      <c r="L151" s="1"/>
      <c r="M151" s="1"/>
      <c r="N151" s="1"/>
      <c r="O151" s="1"/>
      <c r="P151" s="1"/>
      <c r="Q151" s="1"/>
      <c r="R151" s="1"/>
      <c r="S151" s="1"/>
      <c r="T151" s="1"/>
      <c r="U151" s="1"/>
      <c r="V151" s="1"/>
      <c r="W151" s="1"/>
      <c r="X151" s="1"/>
      <c r="Y151" s="1"/>
    </row>
    <row r="152" spans="1:25" ht="15.6">
      <c r="A152" s="1"/>
      <c r="B152" s="1"/>
      <c r="C152" s="1"/>
      <c r="D152" s="1"/>
      <c r="E152" s="1"/>
      <c r="F152" s="1"/>
      <c r="G152" s="1"/>
      <c r="H152" s="1"/>
      <c r="I152" s="4"/>
      <c r="J152" s="4"/>
      <c r="K152" s="4"/>
      <c r="L152" s="1"/>
      <c r="M152" s="1"/>
      <c r="N152" s="1"/>
      <c r="O152" s="1"/>
      <c r="P152" s="1"/>
      <c r="Q152" s="1"/>
      <c r="R152" s="1"/>
      <c r="S152" s="1"/>
      <c r="T152" s="1"/>
      <c r="U152" s="1"/>
      <c r="V152" s="1"/>
      <c r="W152" s="1"/>
      <c r="X152" s="1"/>
      <c r="Y152" s="1"/>
    </row>
    <row r="153" spans="1:25" ht="15.6">
      <c r="A153" s="1"/>
      <c r="B153" s="1"/>
      <c r="C153" s="1"/>
      <c r="D153" s="1"/>
      <c r="E153" s="1"/>
      <c r="F153" s="1"/>
      <c r="G153" s="1"/>
      <c r="H153" s="1"/>
      <c r="I153" s="4"/>
      <c r="J153" s="4"/>
      <c r="K153" s="4"/>
      <c r="L153" s="1"/>
      <c r="M153" s="1"/>
      <c r="N153" s="1"/>
      <c r="O153" s="1"/>
      <c r="P153" s="1"/>
      <c r="Q153" s="1"/>
      <c r="R153" s="1"/>
      <c r="S153" s="1"/>
      <c r="T153" s="1"/>
      <c r="U153" s="1"/>
      <c r="V153" s="1"/>
      <c r="W153" s="1"/>
      <c r="X153" s="1"/>
      <c r="Y153" s="1"/>
    </row>
    <row r="154" spans="1:25" ht="15.6">
      <c r="A154" s="1"/>
      <c r="B154" s="1"/>
      <c r="C154" s="1"/>
      <c r="D154" s="1"/>
      <c r="E154" s="1"/>
      <c r="F154" s="1"/>
      <c r="G154" s="1"/>
      <c r="H154" s="1"/>
      <c r="I154" s="4"/>
      <c r="J154" s="4"/>
      <c r="K154" s="4"/>
      <c r="L154" s="1"/>
      <c r="M154" s="1"/>
      <c r="N154" s="1"/>
      <c r="O154" s="1"/>
      <c r="P154" s="1"/>
      <c r="Q154" s="1"/>
      <c r="R154" s="1"/>
      <c r="S154" s="1"/>
      <c r="T154" s="1"/>
      <c r="U154" s="1"/>
      <c r="V154" s="1"/>
      <c r="W154" s="1"/>
      <c r="X154" s="1"/>
      <c r="Y154" s="1"/>
    </row>
    <row r="155" spans="1:25" ht="15.6">
      <c r="A155" s="1"/>
      <c r="B155" s="1"/>
      <c r="C155" s="1"/>
      <c r="D155" s="1"/>
      <c r="E155" s="1"/>
      <c r="F155" s="1"/>
      <c r="G155" s="1"/>
      <c r="H155" s="1"/>
      <c r="I155" s="4"/>
      <c r="J155" s="4"/>
      <c r="K155" s="4"/>
      <c r="L155" s="1"/>
      <c r="M155" s="1"/>
      <c r="N155" s="1"/>
      <c r="O155" s="1"/>
      <c r="P155" s="1"/>
      <c r="Q155" s="1"/>
      <c r="R155" s="1"/>
      <c r="S155" s="1"/>
      <c r="T155" s="1"/>
      <c r="U155" s="1"/>
      <c r="V155" s="1"/>
      <c r="W155" s="1"/>
      <c r="X155" s="1"/>
      <c r="Y155" s="1"/>
    </row>
    <row r="156" spans="1:25" ht="15.6">
      <c r="A156" s="1"/>
      <c r="B156" s="1"/>
      <c r="C156" s="1"/>
      <c r="D156" s="1"/>
      <c r="E156" s="1"/>
      <c r="F156" s="1"/>
      <c r="G156" s="1"/>
      <c r="H156" s="1"/>
      <c r="I156" s="4"/>
      <c r="J156" s="4"/>
      <c r="K156" s="4"/>
      <c r="L156" s="1"/>
      <c r="M156" s="1"/>
      <c r="N156" s="1"/>
      <c r="O156" s="1"/>
      <c r="P156" s="1"/>
      <c r="Q156" s="1"/>
      <c r="R156" s="1"/>
      <c r="S156" s="1"/>
      <c r="T156" s="1"/>
      <c r="U156" s="1"/>
      <c r="V156" s="1"/>
      <c r="W156" s="1"/>
      <c r="X156" s="1"/>
      <c r="Y156" s="1"/>
    </row>
    <row r="157" spans="1:25" ht="15.6">
      <c r="A157" s="1"/>
      <c r="B157" s="1"/>
      <c r="C157" s="1"/>
      <c r="D157" s="1"/>
      <c r="E157" s="1"/>
      <c r="F157" s="1"/>
      <c r="G157" s="1"/>
      <c r="H157" s="1"/>
      <c r="I157" s="4"/>
      <c r="J157" s="4"/>
      <c r="K157" s="4"/>
      <c r="L157" s="1"/>
      <c r="M157" s="1"/>
      <c r="N157" s="1"/>
      <c r="O157" s="1"/>
      <c r="P157" s="1"/>
      <c r="Q157" s="1"/>
      <c r="R157" s="1"/>
      <c r="S157" s="1"/>
      <c r="T157" s="1"/>
      <c r="U157" s="1"/>
      <c r="V157" s="1"/>
      <c r="W157" s="1"/>
      <c r="X157" s="1"/>
      <c r="Y157" s="1"/>
    </row>
    <row r="158" spans="1:25" ht="15.6">
      <c r="A158" s="1"/>
      <c r="B158" s="1"/>
      <c r="C158" s="1"/>
      <c r="D158" s="1"/>
      <c r="E158" s="1"/>
      <c r="F158" s="1"/>
      <c r="G158" s="1"/>
      <c r="H158" s="1"/>
      <c r="I158" s="4"/>
      <c r="J158" s="4"/>
      <c r="K158" s="4"/>
      <c r="L158" s="1"/>
      <c r="M158" s="1"/>
      <c r="N158" s="1"/>
      <c r="O158" s="1"/>
      <c r="P158" s="1"/>
      <c r="Q158" s="1"/>
      <c r="R158" s="1"/>
      <c r="S158" s="1"/>
      <c r="T158" s="1"/>
      <c r="U158" s="1"/>
      <c r="V158" s="1"/>
      <c r="W158" s="1"/>
      <c r="X158" s="1"/>
      <c r="Y158" s="1"/>
    </row>
    <row r="159" spans="1:25" ht="15.6">
      <c r="A159" s="1"/>
      <c r="B159" s="1"/>
      <c r="C159" s="1"/>
      <c r="D159" s="1"/>
      <c r="E159" s="1"/>
      <c r="F159" s="1"/>
      <c r="G159" s="1"/>
      <c r="H159" s="1"/>
      <c r="I159" s="4"/>
      <c r="J159" s="4"/>
      <c r="K159" s="4"/>
      <c r="L159" s="1"/>
      <c r="M159" s="1"/>
      <c r="N159" s="1"/>
      <c r="O159" s="1"/>
      <c r="P159" s="1"/>
      <c r="Q159" s="1"/>
      <c r="R159" s="1"/>
      <c r="S159" s="1"/>
      <c r="T159" s="1"/>
      <c r="U159" s="1"/>
      <c r="V159" s="1"/>
      <c r="W159" s="1"/>
      <c r="X159" s="1"/>
      <c r="Y159" s="1"/>
    </row>
    <row r="160" spans="1:25" ht="15.6">
      <c r="A160" s="1"/>
      <c r="B160" s="1"/>
      <c r="C160" s="1"/>
      <c r="D160" s="1"/>
      <c r="E160" s="1"/>
      <c r="F160" s="1"/>
      <c r="G160" s="1"/>
      <c r="H160" s="1"/>
      <c r="I160" s="4"/>
      <c r="J160" s="4"/>
      <c r="K160" s="4"/>
      <c r="L160" s="1"/>
      <c r="M160" s="1"/>
      <c r="N160" s="1"/>
      <c r="O160" s="1"/>
      <c r="P160" s="1"/>
      <c r="Q160" s="1"/>
      <c r="R160" s="1"/>
      <c r="S160" s="1"/>
      <c r="T160" s="1"/>
      <c r="U160" s="1"/>
      <c r="V160" s="1"/>
      <c r="W160" s="1"/>
      <c r="X160" s="1"/>
      <c r="Y160" s="1"/>
    </row>
    <row r="161" spans="1:25" ht="15.6">
      <c r="A161" s="1"/>
      <c r="B161" s="1"/>
      <c r="C161" s="1"/>
      <c r="D161" s="1"/>
      <c r="E161" s="1"/>
      <c r="F161" s="1"/>
      <c r="G161" s="1"/>
      <c r="H161" s="1"/>
      <c r="I161" s="4"/>
      <c r="J161" s="4"/>
      <c r="K161" s="4"/>
      <c r="L161" s="1"/>
      <c r="M161" s="1"/>
      <c r="N161" s="1"/>
      <c r="O161" s="1"/>
      <c r="P161" s="1"/>
      <c r="Q161" s="1"/>
      <c r="R161" s="1"/>
      <c r="S161" s="1"/>
      <c r="T161" s="1"/>
      <c r="U161" s="1"/>
      <c r="V161" s="1"/>
      <c r="W161" s="1"/>
      <c r="X161" s="1"/>
      <c r="Y161" s="1"/>
    </row>
    <row r="162" spans="1:25" ht="15.6">
      <c r="A162" s="1"/>
      <c r="B162" s="1"/>
      <c r="C162" s="1"/>
      <c r="D162" s="1"/>
      <c r="E162" s="1"/>
      <c r="F162" s="1"/>
      <c r="G162" s="1"/>
      <c r="H162" s="1"/>
      <c r="I162" s="4"/>
      <c r="J162" s="4"/>
      <c r="K162" s="4"/>
      <c r="L162" s="1"/>
      <c r="M162" s="1"/>
      <c r="N162" s="1"/>
      <c r="O162" s="1"/>
      <c r="P162" s="1"/>
      <c r="Q162" s="1"/>
      <c r="R162" s="1"/>
      <c r="S162" s="1"/>
      <c r="T162" s="1"/>
      <c r="U162" s="1"/>
      <c r="V162" s="1"/>
      <c r="W162" s="1"/>
      <c r="X162" s="1"/>
      <c r="Y162" s="1"/>
    </row>
    <row r="163" spans="1:25" ht="15.6">
      <c r="A163" s="1"/>
      <c r="B163" s="1"/>
      <c r="C163" s="1"/>
      <c r="D163" s="1"/>
      <c r="E163" s="1"/>
      <c r="F163" s="1"/>
      <c r="G163" s="1"/>
      <c r="H163" s="1"/>
      <c r="I163" s="4"/>
      <c r="J163" s="4"/>
      <c r="K163" s="4"/>
      <c r="L163" s="1"/>
      <c r="M163" s="1"/>
      <c r="N163" s="1"/>
      <c r="O163" s="1"/>
      <c r="P163" s="1"/>
      <c r="Q163" s="1"/>
      <c r="R163" s="1"/>
      <c r="S163" s="1"/>
      <c r="T163" s="1"/>
      <c r="U163" s="1"/>
      <c r="V163" s="1"/>
      <c r="W163" s="1"/>
      <c r="X163" s="1"/>
      <c r="Y163" s="1"/>
    </row>
    <row r="164" spans="1:25" ht="15.75" customHeight="1">
      <c r="A164" s="1"/>
      <c r="B164" s="1"/>
      <c r="C164" s="1"/>
      <c r="D164" s="1"/>
      <c r="E164" s="1"/>
      <c r="F164" s="1"/>
      <c r="G164" s="1"/>
      <c r="H164" s="1"/>
      <c r="I164" s="4"/>
      <c r="J164" s="4"/>
      <c r="K164" s="4"/>
      <c r="L164" s="1"/>
      <c r="M164" s="1"/>
      <c r="N164" s="1"/>
      <c r="O164" s="1"/>
      <c r="P164" s="1"/>
      <c r="Q164" s="1"/>
      <c r="R164" s="1"/>
      <c r="S164" s="1"/>
      <c r="T164" s="1"/>
      <c r="U164" s="1"/>
      <c r="V164" s="1"/>
      <c r="W164" s="1"/>
      <c r="X164" s="1"/>
      <c r="Y164" s="1"/>
    </row>
    <row r="165" spans="1:25" ht="15.75" customHeight="1">
      <c r="A165" s="1"/>
      <c r="B165" s="1"/>
      <c r="C165" s="1"/>
      <c r="D165" s="1"/>
      <c r="E165" s="1"/>
      <c r="F165" s="1"/>
      <c r="G165" s="1"/>
      <c r="H165" s="1"/>
      <c r="I165" s="4"/>
      <c r="J165" s="4"/>
      <c r="K165" s="4"/>
      <c r="L165" s="1"/>
      <c r="M165" s="1"/>
      <c r="N165" s="1"/>
      <c r="O165" s="1"/>
      <c r="P165" s="1"/>
      <c r="Q165" s="1"/>
      <c r="R165" s="1"/>
      <c r="S165" s="1"/>
      <c r="T165" s="1"/>
      <c r="U165" s="1"/>
      <c r="V165" s="1"/>
      <c r="W165" s="1"/>
      <c r="X165" s="1"/>
      <c r="Y165" s="1"/>
    </row>
    <row r="166" spans="1:25" ht="15.75" customHeight="1">
      <c r="A166" s="1"/>
      <c r="B166" s="1"/>
      <c r="C166" s="1"/>
      <c r="D166" s="1"/>
      <c r="E166" s="1"/>
      <c r="F166" s="1"/>
      <c r="G166" s="1"/>
      <c r="H166" s="1"/>
      <c r="I166" s="4"/>
      <c r="J166" s="4"/>
      <c r="K166" s="4"/>
      <c r="L166" s="1"/>
      <c r="M166" s="1"/>
      <c r="N166" s="1"/>
      <c r="O166" s="1"/>
      <c r="P166" s="1"/>
      <c r="Q166" s="1"/>
      <c r="R166" s="1"/>
      <c r="S166" s="1"/>
      <c r="T166" s="1"/>
      <c r="U166" s="1"/>
      <c r="V166" s="1"/>
      <c r="W166" s="1"/>
      <c r="X166" s="1"/>
      <c r="Y166" s="1"/>
    </row>
    <row r="167" spans="1:25" ht="15.75" customHeight="1">
      <c r="A167" s="1"/>
      <c r="B167" s="1"/>
      <c r="C167" s="1"/>
      <c r="D167" s="1"/>
      <c r="E167" s="1"/>
      <c r="F167" s="1"/>
      <c r="G167" s="1"/>
      <c r="H167" s="1"/>
      <c r="I167" s="4"/>
      <c r="J167" s="4"/>
      <c r="K167" s="4"/>
      <c r="L167" s="1"/>
      <c r="M167" s="1"/>
      <c r="N167" s="1"/>
      <c r="O167" s="1"/>
      <c r="P167" s="1"/>
      <c r="Q167" s="1"/>
      <c r="R167" s="1"/>
      <c r="S167" s="1"/>
      <c r="T167" s="1"/>
      <c r="U167" s="1"/>
      <c r="V167" s="1"/>
      <c r="W167" s="1"/>
      <c r="X167" s="1"/>
      <c r="Y167" s="1"/>
    </row>
    <row r="168" spans="1:25" ht="15.75" customHeight="1">
      <c r="A168" s="1"/>
      <c r="B168" s="1"/>
      <c r="C168" s="1"/>
      <c r="D168" s="1"/>
      <c r="E168" s="1"/>
      <c r="F168" s="1"/>
      <c r="G168" s="1"/>
      <c r="H168" s="1"/>
      <c r="I168" s="4"/>
      <c r="J168" s="4"/>
      <c r="K168" s="4"/>
      <c r="L168" s="1"/>
      <c r="M168" s="1"/>
      <c r="N168" s="1"/>
      <c r="O168" s="1"/>
      <c r="P168" s="1"/>
      <c r="Q168" s="1"/>
      <c r="R168" s="1"/>
      <c r="S168" s="1"/>
      <c r="T168" s="1"/>
      <c r="U168" s="1"/>
      <c r="V168" s="1"/>
      <c r="W168" s="1"/>
      <c r="X168" s="1"/>
      <c r="Y168" s="1"/>
    </row>
    <row r="169" spans="1:25" ht="15.75" customHeight="1">
      <c r="A169" s="1"/>
      <c r="B169" s="1"/>
      <c r="C169" s="1"/>
      <c r="D169" s="1"/>
      <c r="E169" s="1"/>
      <c r="F169" s="1"/>
      <c r="G169" s="1"/>
      <c r="H169" s="1"/>
      <c r="I169" s="4"/>
      <c r="J169" s="4"/>
      <c r="K169" s="4"/>
      <c r="L169" s="1"/>
      <c r="M169" s="1"/>
      <c r="N169" s="1"/>
      <c r="O169" s="1"/>
      <c r="P169" s="1"/>
      <c r="Q169" s="1"/>
      <c r="R169" s="1"/>
      <c r="S169" s="1"/>
      <c r="T169" s="1"/>
      <c r="U169" s="1"/>
      <c r="V169" s="1"/>
      <c r="W169" s="1"/>
      <c r="X169" s="1"/>
      <c r="Y169" s="1"/>
    </row>
    <row r="170" spans="1:25" ht="15.75" customHeight="1">
      <c r="A170" s="1"/>
      <c r="B170" s="1"/>
      <c r="C170" s="1"/>
      <c r="D170" s="1"/>
      <c r="E170" s="1"/>
      <c r="F170" s="1"/>
      <c r="G170" s="1"/>
      <c r="H170" s="1"/>
      <c r="I170" s="4"/>
      <c r="J170" s="4"/>
      <c r="K170" s="4"/>
      <c r="L170" s="1"/>
      <c r="M170" s="1"/>
      <c r="N170" s="1"/>
      <c r="O170" s="1"/>
      <c r="P170" s="1"/>
      <c r="Q170" s="1"/>
      <c r="R170" s="1"/>
      <c r="S170" s="1"/>
      <c r="T170" s="1"/>
      <c r="U170" s="1"/>
      <c r="V170" s="1"/>
      <c r="W170" s="1"/>
      <c r="X170" s="1"/>
      <c r="Y170" s="1"/>
    </row>
    <row r="171" spans="1:25" ht="15.75" customHeight="1">
      <c r="A171" s="1"/>
      <c r="B171" s="1"/>
      <c r="C171" s="1"/>
      <c r="D171" s="1"/>
      <c r="E171" s="1"/>
      <c r="F171" s="1"/>
      <c r="G171" s="1"/>
      <c r="H171" s="1"/>
      <c r="I171" s="4"/>
      <c r="J171" s="4"/>
      <c r="K171" s="4"/>
      <c r="L171" s="1"/>
      <c r="M171" s="1"/>
      <c r="N171" s="1"/>
      <c r="O171" s="1"/>
      <c r="P171" s="1"/>
      <c r="Q171" s="1"/>
      <c r="R171" s="1"/>
      <c r="S171" s="1"/>
      <c r="T171" s="1"/>
      <c r="U171" s="1"/>
      <c r="V171" s="1"/>
      <c r="W171" s="1"/>
      <c r="X171" s="1"/>
      <c r="Y171" s="1"/>
    </row>
    <row r="172" spans="1:25" ht="15.75" customHeight="1">
      <c r="A172" s="1"/>
      <c r="B172" s="1"/>
      <c r="C172" s="1"/>
      <c r="D172" s="1"/>
      <c r="E172" s="1"/>
      <c r="F172" s="1"/>
      <c r="G172" s="1"/>
      <c r="H172" s="1"/>
      <c r="I172" s="4"/>
      <c r="J172" s="4"/>
      <c r="K172" s="4"/>
      <c r="L172" s="1"/>
      <c r="M172" s="1"/>
      <c r="N172" s="1"/>
      <c r="O172" s="1"/>
      <c r="P172" s="1"/>
      <c r="Q172" s="1"/>
      <c r="R172" s="1"/>
      <c r="S172" s="1"/>
      <c r="T172" s="1"/>
      <c r="U172" s="1"/>
      <c r="V172" s="1"/>
      <c r="W172" s="1"/>
      <c r="X172" s="1"/>
      <c r="Y172" s="1"/>
    </row>
    <row r="173" spans="1:25" ht="15.75" customHeight="1">
      <c r="A173" s="1"/>
      <c r="B173" s="1"/>
      <c r="C173" s="1"/>
      <c r="D173" s="1"/>
      <c r="E173" s="1"/>
      <c r="F173" s="1"/>
      <c r="G173" s="1"/>
      <c r="H173" s="1"/>
      <c r="I173" s="4"/>
      <c r="J173" s="4"/>
      <c r="K173" s="4"/>
      <c r="L173" s="1"/>
      <c r="M173" s="1"/>
      <c r="N173" s="1"/>
      <c r="O173" s="1"/>
      <c r="P173" s="1"/>
      <c r="Q173" s="1"/>
      <c r="R173" s="1"/>
      <c r="S173" s="1"/>
      <c r="T173" s="1"/>
      <c r="U173" s="1"/>
      <c r="V173" s="1"/>
      <c r="W173" s="1"/>
      <c r="X173" s="1"/>
      <c r="Y173" s="1"/>
    </row>
    <row r="174" spans="1:25" ht="15.75" customHeight="1">
      <c r="A174" s="1"/>
      <c r="B174" s="1"/>
      <c r="C174" s="1"/>
      <c r="D174" s="1"/>
      <c r="E174" s="1"/>
      <c r="F174" s="1"/>
      <c r="G174" s="1"/>
      <c r="H174" s="1"/>
      <c r="I174" s="4"/>
      <c r="J174" s="4"/>
      <c r="K174" s="4"/>
      <c r="L174" s="1"/>
      <c r="M174" s="1"/>
      <c r="N174" s="1"/>
      <c r="O174" s="1"/>
      <c r="P174" s="1"/>
      <c r="Q174" s="1"/>
      <c r="R174" s="1"/>
      <c r="S174" s="1"/>
      <c r="T174" s="1"/>
      <c r="U174" s="1"/>
      <c r="V174" s="1"/>
      <c r="W174" s="1"/>
      <c r="X174" s="1"/>
      <c r="Y174" s="1"/>
    </row>
    <row r="175" spans="1:25" ht="15.75" customHeight="1">
      <c r="A175" s="1"/>
      <c r="B175" s="1"/>
      <c r="C175" s="1"/>
      <c r="D175" s="1"/>
      <c r="E175" s="1"/>
      <c r="F175" s="1"/>
      <c r="G175" s="1"/>
      <c r="H175" s="1"/>
      <c r="I175" s="4"/>
      <c r="J175" s="4"/>
      <c r="K175" s="4"/>
      <c r="L175" s="1"/>
      <c r="M175" s="1"/>
      <c r="N175" s="1"/>
      <c r="O175" s="1"/>
      <c r="P175" s="1"/>
      <c r="Q175" s="1"/>
      <c r="R175" s="1"/>
      <c r="S175" s="1"/>
      <c r="T175" s="1"/>
      <c r="U175" s="1"/>
      <c r="V175" s="1"/>
      <c r="W175" s="1"/>
      <c r="X175" s="1"/>
      <c r="Y175" s="1"/>
    </row>
    <row r="176" spans="1:25" ht="15.75" customHeight="1">
      <c r="A176" s="1"/>
      <c r="B176" s="1"/>
      <c r="C176" s="1"/>
      <c r="D176" s="1"/>
      <c r="E176" s="1"/>
      <c r="F176" s="1"/>
      <c r="G176" s="1"/>
      <c r="H176" s="1"/>
      <c r="I176" s="4"/>
      <c r="J176" s="4"/>
      <c r="K176" s="4"/>
      <c r="L176" s="1"/>
      <c r="M176" s="1"/>
      <c r="N176" s="1"/>
      <c r="O176" s="1"/>
      <c r="P176" s="1"/>
      <c r="Q176" s="1"/>
      <c r="R176" s="1"/>
      <c r="S176" s="1"/>
      <c r="T176" s="1"/>
      <c r="U176" s="1"/>
      <c r="V176" s="1"/>
      <c r="W176" s="1"/>
      <c r="X176" s="1"/>
      <c r="Y176" s="1"/>
    </row>
    <row r="177" spans="1:25" ht="15.75" customHeight="1">
      <c r="A177" s="1"/>
      <c r="B177" s="1"/>
      <c r="C177" s="1"/>
      <c r="D177" s="1"/>
      <c r="E177" s="1"/>
      <c r="F177" s="1"/>
      <c r="G177" s="1"/>
      <c r="H177" s="1"/>
      <c r="I177" s="4"/>
      <c r="J177" s="4"/>
      <c r="K177" s="4"/>
      <c r="L177" s="1"/>
      <c r="M177" s="1"/>
      <c r="N177" s="1"/>
      <c r="O177" s="1"/>
      <c r="P177" s="1"/>
      <c r="Q177" s="1"/>
      <c r="R177" s="1"/>
      <c r="S177" s="1"/>
      <c r="T177" s="1"/>
      <c r="U177" s="1"/>
      <c r="V177" s="1"/>
      <c r="W177" s="1"/>
      <c r="X177" s="1"/>
      <c r="Y177" s="1"/>
    </row>
    <row r="178" spans="1:25" ht="15.75" customHeight="1">
      <c r="A178" s="1"/>
      <c r="B178" s="1"/>
      <c r="C178" s="1"/>
      <c r="D178" s="1"/>
      <c r="E178" s="1"/>
      <c r="F178" s="1"/>
      <c r="G178" s="1"/>
      <c r="H178" s="1"/>
      <c r="I178" s="4"/>
      <c r="J178" s="4"/>
      <c r="K178" s="4"/>
      <c r="L178" s="1"/>
      <c r="M178" s="1"/>
      <c r="N178" s="1"/>
      <c r="O178" s="1"/>
      <c r="P178" s="1"/>
      <c r="Q178" s="1"/>
      <c r="R178" s="1"/>
      <c r="S178" s="1"/>
      <c r="T178" s="1"/>
      <c r="U178" s="1"/>
      <c r="V178" s="1"/>
      <c r="W178" s="1"/>
      <c r="X178" s="1"/>
      <c r="Y178" s="1"/>
    </row>
    <row r="179" spans="1:25" ht="15.75" customHeight="1">
      <c r="A179" s="1"/>
      <c r="B179" s="1"/>
      <c r="C179" s="1"/>
      <c r="D179" s="1"/>
      <c r="E179" s="1"/>
      <c r="F179" s="1"/>
      <c r="G179" s="1"/>
      <c r="H179" s="1"/>
      <c r="I179" s="4"/>
      <c r="J179" s="4"/>
      <c r="K179" s="4"/>
      <c r="L179" s="1"/>
      <c r="M179" s="1"/>
      <c r="N179" s="1"/>
      <c r="O179" s="1"/>
      <c r="P179" s="1"/>
      <c r="Q179" s="1"/>
      <c r="R179" s="1"/>
      <c r="S179" s="1"/>
      <c r="T179" s="1"/>
      <c r="U179" s="1"/>
      <c r="V179" s="1"/>
      <c r="W179" s="1"/>
      <c r="X179" s="1"/>
      <c r="Y179" s="1"/>
    </row>
    <row r="180" spans="1:25" ht="15.75" customHeight="1">
      <c r="A180" s="1"/>
      <c r="B180" s="1"/>
      <c r="C180" s="1"/>
      <c r="D180" s="1"/>
      <c r="E180" s="1"/>
      <c r="F180" s="1"/>
      <c r="G180" s="1"/>
      <c r="H180" s="1"/>
      <c r="I180" s="4"/>
      <c r="J180" s="4"/>
      <c r="K180" s="4"/>
      <c r="L180" s="1"/>
      <c r="M180" s="1"/>
      <c r="N180" s="1"/>
      <c r="O180" s="1"/>
      <c r="P180" s="1"/>
      <c r="Q180" s="1"/>
      <c r="R180" s="1"/>
      <c r="S180" s="1"/>
      <c r="T180" s="1"/>
      <c r="U180" s="1"/>
      <c r="V180" s="1"/>
      <c r="W180" s="1"/>
      <c r="X180" s="1"/>
      <c r="Y180" s="1"/>
    </row>
    <row r="181" spans="1:25" ht="15.75" customHeight="1">
      <c r="A181" s="1"/>
      <c r="B181" s="1"/>
      <c r="C181" s="1"/>
      <c r="D181" s="1"/>
      <c r="E181" s="1"/>
      <c r="F181" s="1"/>
      <c r="G181" s="1"/>
      <c r="H181" s="1"/>
      <c r="I181" s="4"/>
      <c r="J181" s="4"/>
      <c r="K181" s="4"/>
      <c r="L181" s="1"/>
      <c r="M181" s="1"/>
      <c r="N181" s="1"/>
      <c r="O181" s="1"/>
      <c r="P181" s="1"/>
      <c r="Q181" s="1"/>
      <c r="R181" s="1"/>
      <c r="S181" s="1"/>
      <c r="T181" s="1"/>
      <c r="U181" s="1"/>
      <c r="V181" s="1"/>
      <c r="W181" s="1"/>
      <c r="X181" s="1"/>
      <c r="Y181" s="1"/>
    </row>
    <row r="182" spans="1:25" ht="15.75" customHeight="1">
      <c r="A182" s="1"/>
      <c r="B182" s="1"/>
      <c r="C182" s="1"/>
      <c r="D182" s="1"/>
      <c r="E182" s="1"/>
      <c r="F182" s="1"/>
      <c r="G182" s="1"/>
      <c r="H182" s="1"/>
      <c r="I182" s="4"/>
      <c r="J182" s="4"/>
      <c r="K182" s="4"/>
      <c r="L182" s="1"/>
      <c r="M182" s="1"/>
      <c r="N182" s="1"/>
      <c r="O182" s="1"/>
      <c r="P182" s="1"/>
      <c r="Q182" s="1"/>
      <c r="R182" s="1"/>
      <c r="S182" s="1"/>
      <c r="T182" s="1"/>
      <c r="U182" s="1"/>
      <c r="V182" s="1"/>
      <c r="W182" s="1"/>
      <c r="X182" s="1"/>
      <c r="Y182" s="1"/>
    </row>
    <row r="183" spans="1:25" ht="15.75" customHeight="1">
      <c r="A183" s="1"/>
      <c r="B183" s="1"/>
      <c r="C183" s="1"/>
      <c r="D183" s="1"/>
      <c r="E183" s="1"/>
      <c r="F183" s="1"/>
      <c r="G183" s="1"/>
      <c r="H183" s="1"/>
      <c r="I183" s="4"/>
      <c r="J183" s="4"/>
      <c r="K183" s="4"/>
      <c r="L183" s="1"/>
      <c r="M183" s="1"/>
      <c r="N183" s="1"/>
      <c r="O183" s="1"/>
      <c r="P183" s="1"/>
      <c r="Q183" s="1"/>
      <c r="R183" s="1"/>
      <c r="S183" s="1"/>
      <c r="T183" s="1"/>
      <c r="U183" s="1"/>
      <c r="V183" s="1"/>
      <c r="W183" s="1"/>
      <c r="X183" s="1"/>
      <c r="Y183" s="1"/>
    </row>
    <row r="184" spans="1:25" ht="15.75" customHeight="1">
      <c r="A184" s="1"/>
      <c r="B184" s="1"/>
      <c r="C184" s="1"/>
      <c r="D184" s="1"/>
      <c r="E184" s="1"/>
      <c r="F184" s="1"/>
      <c r="G184" s="1"/>
      <c r="H184" s="1"/>
      <c r="I184" s="4"/>
      <c r="J184" s="4"/>
      <c r="K184" s="4"/>
      <c r="L184" s="1"/>
      <c r="M184" s="1"/>
      <c r="N184" s="1"/>
      <c r="O184" s="1"/>
      <c r="P184" s="1"/>
      <c r="Q184" s="1"/>
      <c r="R184" s="1"/>
      <c r="S184" s="1"/>
      <c r="T184" s="1"/>
      <c r="U184" s="1"/>
      <c r="V184" s="1"/>
      <c r="W184" s="1"/>
      <c r="X184" s="1"/>
      <c r="Y184" s="1"/>
    </row>
    <row r="185" spans="1:25" ht="15.75" customHeight="1">
      <c r="A185" s="1"/>
      <c r="B185" s="1"/>
      <c r="C185" s="1"/>
      <c r="D185" s="1"/>
      <c r="E185" s="1"/>
      <c r="F185" s="1"/>
      <c r="G185" s="1"/>
      <c r="H185" s="1"/>
      <c r="I185" s="4"/>
      <c r="J185" s="4"/>
      <c r="K185" s="4"/>
      <c r="L185" s="1"/>
      <c r="M185" s="1"/>
      <c r="N185" s="1"/>
      <c r="O185" s="1"/>
      <c r="P185" s="1"/>
      <c r="Q185" s="1"/>
      <c r="R185" s="1"/>
      <c r="S185" s="1"/>
      <c r="T185" s="1"/>
      <c r="U185" s="1"/>
      <c r="V185" s="1"/>
      <c r="W185" s="1"/>
      <c r="X185" s="1"/>
      <c r="Y185" s="1"/>
    </row>
    <row r="186" spans="1:25" ht="15.75" customHeight="1">
      <c r="A186" s="1"/>
      <c r="B186" s="1"/>
      <c r="C186" s="1"/>
      <c r="D186" s="1"/>
      <c r="E186" s="1"/>
      <c r="F186" s="1"/>
      <c r="G186" s="1"/>
      <c r="H186" s="1"/>
      <c r="I186" s="4"/>
      <c r="J186" s="4"/>
      <c r="K186" s="4"/>
      <c r="L186" s="1"/>
      <c r="M186" s="1"/>
      <c r="N186" s="1"/>
      <c r="O186" s="1"/>
      <c r="P186" s="1"/>
      <c r="Q186" s="1"/>
      <c r="R186" s="1"/>
      <c r="S186" s="1"/>
      <c r="T186" s="1"/>
      <c r="U186" s="1"/>
      <c r="V186" s="1"/>
      <c r="W186" s="1"/>
      <c r="X186" s="1"/>
      <c r="Y186" s="1"/>
    </row>
    <row r="187" spans="1:25" ht="15.75" customHeight="1">
      <c r="A187" s="1"/>
      <c r="B187" s="1"/>
      <c r="C187" s="1"/>
      <c r="D187" s="1"/>
      <c r="E187" s="1"/>
      <c r="F187" s="1"/>
      <c r="G187" s="1"/>
      <c r="H187" s="1"/>
      <c r="I187" s="4"/>
      <c r="J187" s="4"/>
      <c r="K187" s="4"/>
      <c r="L187" s="1"/>
      <c r="M187" s="1"/>
      <c r="N187" s="1"/>
      <c r="O187" s="1"/>
      <c r="P187" s="1"/>
      <c r="Q187" s="1"/>
      <c r="R187" s="1"/>
      <c r="S187" s="1"/>
      <c r="T187" s="1"/>
      <c r="U187" s="1"/>
      <c r="V187" s="1"/>
      <c r="W187" s="1"/>
      <c r="X187" s="1"/>
      <c r="Y187" s="1"/>
    </row>
    <row r="188" spans="1:25" ht="15.75" customHeight="1">
      <c r="A188" s="1"/>
      <c r="B188" s="1"/>
      <c r="C188" s="1"/>
      <c r="D188" s="1"/>
      <c r="E188" s="1"/>
      <c r="F188" s="1"/>
      <c r="G188" s="1"/>
      <c r="H188" s="1"/>
      <c r="I188" s="4"/>
      <c r="J188" s="4"/>
      <c r="K188" s="4"/>
      <c r="L188" s="1"/>
      <c r="M188" s="1"/>
      <c r="N188" s="1"/>
      <c r="O188" s="1"/>
      <c r="P188" s="1"/>
      <c r="Q188" s="1"/>
      <c r="R188" s="1"/>
      <c r="S188" s="1"/>
      <c r="T188" s="1"/>
      <c r="U188" s="1"/>
      <c r="V188" s="1"/>
      <c r="W188" s="1"/>
      <c r="X188" s="1"/>
      <c r="Y188" s="1"/>
    </row>
    <row r="189" spans="1:25" ht="15.75" customHeight="1">
      <c r="A189" s="1"/>
      <c r="B189" s="1"/>
      <c r="C189" s="1"/>
      <c r="D189" s="1"/>
      <c r="E189" s="1"/>
      <c r="F189" s="1"/>
      <c r="G189" s="1"/>
      <c r="H189" s="1"/>
      <c r="I189" s="4"/>
      <c r="J189" s="4"/>
      <c r="K189" s="4"/>
      <c r="L189" s="1"/>
      <c r="M189" s="1"/>
      <c r="N189" s="1"/>
      <c r="O189" s="1"/>
      <c r="P189" s="1"/>
      <c r="Q189" s="1"/>
      <c r="R189" s="1"/>
      <c r="S189" s="1"/>
      <c r="T189" s="1"/>
      <c r="U189" s="1"/>
      <c r="V189" s="1"/>
      <c r="W189" s="1"/>
      <c r="X189" s="1"/>
      <c r="Y189" s="1"/>
    </row>
    <row r="190" spans="1:25" ht="15.75" customHeight="1">
      <c r="A190" s="1"/>
      <c r="B190" s="1"/>
      <c r="C190" s="1"/>
      <c r="D190" s="1"/>
      <c r="E190" s="1"/>
      <c r="F190" s="1"/>
      <c r="G190" s="1"/>
      <c r="H190" s="1"/>
      <c r="I190" s="4"/>
      <c r="J190" s="4"/>
      <c r="K190" s="4"/>
      <c r="L190" s="1"/>
      <c r="M190" s="1"/>
      <c r="N190" s="1"/>
      <c r="O190" s="1"/>
      <c r="P190" s="1"/>
      <c r="Q190" s="1"/>
      <c r="R190" s="1"/>
      <c r="S190" s="1"/>
      <c r="T190" s="1"/>
      <c r="U190" s="1"/>
      <c r="V190" s="1"/>
      <c r="W190" s="1"/>
      <c r="X190" s="1"/>
      <c r="Y190" s="1"/>
    </row>
    <row r="191" spans="1:25" ht="15.75" customHeight="1">
      <c r="A191" s="1"/>
      <c r="B191" s="1"/>
      <c r="C191" s="1"/>
      <c r="D191" s="1"/>
      <c r="E191" s="1"/>
      <c r="F191" s="1"/>
      <c r="G191" s="1"/>
      <c r="H191" s="1"/>
      <c r="I191" s="4"/>
      <c r="J191" s="4"/>
      <c r="K191" s="4"/>
      <c r="L191" s="1"/>
      <c r="M191" s="1"/>
      <c r="N191" s="1"/>
      <c r="O191" s="1"/>
      <c r="P191" s="1"/>
      <c r="Q191" s="1"/>
      <c r="R191" s="1"/>
      <c r="S191" s="1"/>
      <c r="T191" s="1"/>
      <c r="U191" s="1"/>
      <c r="V191" s="1"/>
      <c r="W191" s="1"/>
      <c r="X191" s="1"/>
      <c r="Y191" s="1"/>
    </row>
    <row r="192" spans="1:25" ht="15.75" customHeight="1">
      <c r="A192" s="1"/>
      <c r="B192" s="1"/>
      <c r="C192" s="1"/>
      <c r="D192" s="1"/>
      <c r="E192" s="1"/>
      <c r="F192" s="1"/>
      <c r="G192" s="1"/>
      <c r="H192" s="1"/>
      <c r="I192" s="4"/>
      <c r="J192" s="4"/>
      <c r="K192" s="4"/>
      <c r="L192" s="1"/>
      <c r="M192" s="1"/>
      <c r="N192" s="1"/>
      <c r="O192" s="1"/>
      <c r="P192" s="1"/>
      <c r="Q192" s="1"/>
      <c r="R192" s="1"/>
      <c r="S192" s="1"/>
      <c r="T192" s="1"/>
      <c r="U192" s="1"/>
      <c r="V192" s="1"/>
      <c r="W192" s="1"/>
      <c r="X192" s="1"/>
      <c r="Y192" s="1"/>
    </row>
    <row r="193" spans="1:25" ht="15.75" customHeight="1">
      <c r="A193" s="1"/>
      <c r="B193" s="1"/>
      <c r="C193" s="1"/>
      <c r="D193" s="1"/>
      <c r="E193" s="1"/>
      <c r="F193" s="1"/>
      <c r="G193" s="1"/>
      <c r="H193" s="1"/>
      <c r="I193" s="4"/>
      <c r="J193" s="4"/>
      <c r="K193" s="4"/>
      <c r="L193" s="1"/>
      <c r="M193" s="1"/>
      <c r="N193" s="1"/>
      <c r="O193" s="1"/>
      <c r="P193" s="1"/>
      <c r="Q193" s="1"/>
      <c r="R193" s="1"/>
      <c r="S193" s="1"/>
      <c r="T193" s="1"/>
      <c r="U193" s="1"/>
      <c r="V193" s="1"/>
      <c r="W193" s="1"/>
      <c r="X193" s="1"/>
      <c r="Y193" s="1"/>
    </row>
    <row r="194" spans="1:25" ht="15.75" customHeight="1">
      <c r="A194" s="1"/>
      <c r="B194" s="1"/>
      <c r="C194" s="1"/>
      <c r="D194" s="1"/>
      <c r="E194" s="1"/>
      <c r="F194" s="1"/>
      <c r="G194" s="1"/>
      <c r="H194" s="1"/>
      <c r="I194" s="4"/>
      <c r="J194" s="4"/>
      <c r="K194" s="4"/>
      <c r="L194" s="1"/>
      <c r="M194" s="1"/>
      <c r="N194" s="1"/>
      <c r="O194" s="1"/>
      <c r="P194" s="1"/>
      <c r="Q194" s="1"/>
      <c r="R194" s="1"/>
      <c r="S194" s="1"/>
      <c r="T194" s="1"/>
      <c r="U194" s="1"/>
      <c r="V194" s="1"/>
      <c r="W194" s="1"/>
      <c r="X194" s="1"/>
      <c r="Y194" s="1"/>
    </row>
    <row r="195" spans="1:25" ht="15.75" customHeight="1">
      <c r="A195" s="1"/>
      <c r="B195" s="1"/>
      <c r="C195" s="1"/>
      <c r="D195" s="1"/>
      <c r="E195" s="1"/>
      <c r="F195" s="1"/>
      <c r="G195" s="1"/>
      <c r="H195" s="1"/>
      <c r="I195" s="4"/>
      <c r="J195" s="4"/>
      <c r="K195" s="4"/>
      <c r="L195" s="1"/>
      <c r="M195" s="1"/>
      <c r="N195" s="1"/>
      <c r="O195" s="1"/>
      <c r="P195" s="1"/>
      <c r="Q195" s="1"/>
      <c r="R195" s="1"/>
      <c r="S195" s="1"/>
      <c r="T195" s="1"/>
      <c r="U195" s="1"/>
      <c r="V195" s="1"/>
      <c r="W195" s="1"/>
      <c r="X195" s="1"/>
      <c r="Y195" s="1"/>
    </row>
    <row r="196" spans="1:25" ht="15.75" customHeight="1">
      <c r="A196" s="1"/>
      <c r="B196" s="1"/>
      <c r="C196" s="1"/>
      <c r="D196" s="1"/>
      <c r="E196" s="1"/>
      <c r="F196" s="1"/>
      <c r="G196" s="1"/>
      <c r="H196" s="1"/>
      <c r="I196" s="4"/>
      <c r="J196" s="4"/>
      <c r="K196" s="4"/>
      <c r="L196" s="1"/>
      <c r="M196" s="1"/>
      <c r="N196" s="1"/>
      <c r="O196" s="1"/>
      <c r="P196" s="1"/>
      <c r="Q196" s="1"/>
      <c r="R196" s="1"/>
      <c r="S196" s="1"/>
      <c r="T196" s="1"/>
      <c r="U196" s="1"/>
      <c r="V196" s="1"/>
      <c r="W196" s="1"/>
      <c r="X196" s="1"/>
      <c r="Y196" s="1"/>
    </row>
    <row r="197" spans="1:25" ht="15.75" customHeight="1">
      <c r="A197" s="1"/>
      <c r="B197" s="1"/>
      <c r="C197" s="1"/>
      <c r="D197" s="1"/>
      <c r="E197" s="1"/>
      <c r="F197" s="1"/>
      <c r="G197" s="1"/>
      <c r="H197" s="1"/>
      <c r="I197" s="4"/>
      <c r="J197" s="4"/>
      <c r="K197" s="4"/>
      <c r="L197" s="1"/>
      <c r="M197" s="1"/>
      <c r="N197" s="1"/>
      <c r="O197" s="1"/>
      <c r="P197" s="1"/>
      <c r="Q197" s="1"/>
      <c r="R197" s="1"/>
      <c r="S197" s="1"/>
      <c r="T197" s="1"/>
      <c r="U197" s="1"/>
      <c r="V197" s="1"/>
      <c r="W197" s="1"/>
      <c r="X197" s="1"/>
      <c r="Y197" s="1"/>
    </row>
    <row r="198" spans="1:25" ht="15.75" customHeight="1">
      <c r="A198" s="1"/>
      <c r="B198" s="1"/>
      <c r="C198" s="1"/>
      <c r="D198" s="1"/>
      <c r="E198" s="1"/>
      <c r="F198" s="1"/>
      <c r="G198" s="1"/>
      <c r="H198" s="1"/>
      <c r="I198" s="4"/>
      <c r="J198" s="4"/>
      <c r="K198" s="4"/>
      <c r="L198" s="1"/>
      <c r="M198" s="1"/>
      <c r="N198" s="1"/>
      <c r="O198" s="1"/>
      <c r="P198" s="1"/>
      <c r="Q198" s="1"/>
      <c r="R198" s="1"/>
      <c r="S198" s="1"/>
      <c r="T198" s="1"/>
      <c r="U198" s="1"/>
      <c r="V198" s="1"/>
      <c r="W198" s="1"/>
      <c r="X198" s="1"/>
      <c r="Y198" s="1"/>
    </row>
    <row r="199" spans="1:25" ht="15.75" customHeight="1">
      <c r="A199" s="1"/>
      <c r="B199" s="1"/>
      <c r="C199" s="1"/>
      <c r="D199" s="1"/>
      <c r="E199" s="1"/>
      <c r="F199" s="1"/>
      <c r="G199" s="1"/>
      <c r="H199" s="1"/>
      <c r="I199" s="4"/>
      <c r="J199" s="4"/>
      <c r="K199" s="4"/>
      <c r="L199" s="1"/>
      <c r="M199" s="1"/>
      <c r="N199" s="1"/>
      <c r="O199" s="1"/>
      <c r="P199" s="1"/>
      <c r="Q199" s="1"/>
      <c r="R199" s="1"/>
      <c r="S199" s="1"/>
      <c r="T199" s="1"/>
      <c r="U199" s="1"/>
      <c r="V199" s="1"/>
      <c r="W199" s="1"/>
      <c r="X199" s="1"/>
      <c r="Y199" s="1"/>
    </row>
    <row r="200" spans="1:25" ht="15.75" customHeight="1">
      <c r="A200" s="1"/>
      <c r="B200" s="1"/>
      <c r="C200" s="1"/>
      <c r="D200" s="1"/>
      <c r="E200" s="1"/>
      <c r="F200" s="1"/>
      <c r="G200" s="1"/>
      <c r="H200" s="1"/>
      <c r="I200" s="4"/>
      <c r="J200" s="4"/>
      <c r="K200" s="4"/>
      <c r="L200" s="1"/>
      <c r="M200" s="1"/>
      <c r="N200" s="1"/>
      <c r="O200" s="1"/>
      <c r="P200" s="1"/>
      <c r="Q200" s="1"/>
      <c r="R200" s="1"/>
      <c r="S200" s="1"/>
      <c r="T200" s="1"/>
      <c r="U200" s="1"/>
      <c r="V200" s="1"/>
      <c r="W200" s="1"/>
      <c r="X200" s="1"/>
      <c r="Y200" s="1"/>
    </row>
    <row r="201" spans="1:25" ht="15.75" customHeight="1">
      <c r="A201" s="1"/>
      <c r="B201" s="1"/>
      <c r="C201" s="1"/>
      <c r="D201" s="1"/>
      <c r="E201" s="1"/>
      <c r="F201" s="1"/>
      <c r="G201" s="1"/>
      <c r="H201" s="1"/>
      <c r="I201" s="4"/>
      <c r="J201" s="4"/>
      <c r="K201" s="4"/>
      <c r="L201" s="1"/>
      <c r="M201" s="1"/>
      <c r="N201" s="1"/>
      <c r="O201" s="1"/>
      <c r="P201" s="1"/>
      <c r="Q201" s="1"/>
      <c r="R201" s="1"/>
      <c r="S201" s="1"/>
      <c r="T201" s="1"/>
      <c r="U201" s="1"/>
      <c r="V201" s="1"/>
      <c r="W201" s="1"/>
      <c r="X201" s="1"/>
      <c r="Y201" s="1"/>
    </row>
    <row r="202" spans="1:25" ht="15.75" customHeight="1">
      <c r="A202" s="1"/>
      <c r="B202" s="1"/>
      <c r="C202" s="1"/>
      <c r="D202" s="1"/>
      <c r="E202" s="1"/>
      <c r="F202" s="1"/>
      <c r="G202" s="1"/>
      <c r="H202" s="1"/>
      <c r="I202" s="4"/>
      <c r="J202" s="4"/>
      <c r="K202" s="4"/>
      <c r="L202" s="1"/>
      <c r="M202" s="1"/>
      <c r="N202" s="1"/>
      <c r="O202" s="1"/>
      <c r="P202" s="1"/>
      <c r="Q202" s="1"/>
      <c r="R202" s="1"/>
      <c r="S202" s="1"/>
      <c r="T202" s="1"/>
      <c r="U202" s="1"/>
      <c r="V202" s="1"/>
      <c r="W202" s="1"/>
      <c r="X202" s="1"/>
      <c r="Y202" s="1"/>
    </row>
    <row r="203" spans="1:25" ht="15.75" customHeight="1">
      <c r="A203" s="1"/>
      <c r="B203" s="1"/>
      <c r="C203" s="1"/>
      <c r="D203" s="1"/>
      <c r="E203" s="1"/>
      <c r="F203" s="1"/>
      <c r="G203" s="1"/>
      <c r="H203" s="1"/>
      <c r="I203" s="4"/>
      <c r="J203" s="4"/>
      <c r="K203" s="4"/>
      <c r="L203" s="1"/>
      <c r="M203" s="1"/>
      <c r="N203" s="1"/>
      <c r="O203" s="1"/>
      <c r="P203" s="1"/>
      <c r="Q203" s="1"/>
      <c r="R203" s="1"/>
      <c r="S203" s="1"/>
      <c r="T203" s="1"/>
      <c r="U203" s="1"/>
      <c r="V203" s="1"/>
      <c r="W203" s="1"/>
      <c r="X203" s="1"/>
      <c r="Y203" s="1"/>
    </row>
    <row r="204" spans="1:25" ht="15.75" customHeight="1">
      <c r="A204" s="1"/>
      <c r="B204" s="1"/>
      <c r="C204" s="1"/>
      <c r="D204" s="1"/>
      <c r="E204" s="1"/>
      <c r="F204" s="1"/>
      <c r="G204" s="1"/>
      <c r="H204" s="1"/>
      <c r="I204" s="4"/>
      <c r="J204" s="4"/>
      <c r="K204" s="4"/>
      <c r="L204" s="1"/>
      <c r="M204" s="1"/>
      <c r="N204" s="1"/>
      <c r="O204" s="1"/>
      <c r="P204" s="1"/>
      <c r="Q204" s="1"/>
      <c r="R204" s="1"/>
      <c r="S204" s="1"/>
      <c r="T204" s="1"/>
      <c r="U204" s="1"/>
      <c r="V204" s="1"/>
      <c r="W204" s="1"/>
      <c r="X204" s="1"/>
      <c r="Y204" s="1"/>
    </row>
    <row r="205" spans="1:25" ht="15.75" customHeight="1">
      <c r="A205" s="1"/>
      <c r="B205" s="1"/>
      <c r="C205" s="1"/>
      <c r="D205" s="1"/>
      <c r="E205" s="1"/>
      <c r="F205" s="1"/>
      <c r="G205" s="1"/>
      <c r="H205" s="1"/>
      <c r="I205" s="4"/>
      <c r="J205" s="4"/>
      <c r="K205" s="4"/>
      <c r="L205" s="1"/>
      <c r="M205" s="1"/>
      <c r="N205" s="1"/>
      <c r="O205" s="1"/>
      <c r="P205" s="1"/>
      <c r="Q205" s="1"/>
      <c r="R205" s="1"/>
      <c r="S205" s="1"/>
      <c r="T205" s="1"/>
      <c r="U205" s="1"/>
      <c r="V205" s="1"/>
      <c r="W205" s="1"/>
      <c r="X205" s="1"/>
      <c r="Y205" s="1"/>
    </row>
    <row r="206" spans="1:25" ht="15.75" customHeight="1">
      <c r="A206" s="1"/>
      <c r="B206" s="1"/>
      <c r="C206" s="1"/>
      <c r="D206" s="1"/>
      <c r="E206" s="1"/>
      <c r="F206" s="1"/>
      <c r="G206" s="1"/>
      <c r="H206" s="1"/>
      <c r="I206" s="4"/>
      <c r="J206" s="4"/>
      <c r="K206" s="4"/>
      <c r="L206" s="1"/>
      <c r="M206" s="1"/>
      <c r="N206" s="1"/>
      <c r="O206" s="1"/>
      <c r="P206" s="1"/>
      <c r="Q206" s="1"/>
      <c r="R206" s="1"/>
      <c r="S206" s="1"/>
      <c r="T206" s="1"/>
      <c r="U206" s="1"/>
      <c r="V206" s="1"/>
      <c r="W206" s="1"/>
      <c r="X206" s="1"/>
      <c r="Y206" s="1"/>
    </row>
    <row r="207" spans="1:25" ht="15.75" customHeight="1">
      <c r="A207" s="1"/>
      <c r="B207" s="1"/>
      <c r="C207" s="1"/>
      <c r="D207" s="1"/>
      <c r="E207" s="1"/>
      <c r="F207" s="1"/>
      <c r="G207" s="1"/>
      <c r="H207" s="1"/>
      <c r="I207" s="4"/>
      <c r="J207" s="4"/>
      <c r="K207" s="4"/>
      <c r="L207" s="1"/>
      <c r="M207" s="1"/>
      <c r="N207" s="1"/>
      <c r="O207" s="1"/>
      <c r="P207" s="1"/>
      <c r="Q207" s="1"/>
      <c r="R207" s="1"/>
      <c r="S207" s="1"/>
      <c r="T207" s="1"/>
      <c r="U207" s="1"/>
      <c r="V207" s="1"/>
      <c r="W207" s="1"/>
      <c r="X207" s="1"/>
      <c r="Y207" s="1"/>
    </row>
    <row r="208" spans="1:25" ht="15.75" customHeight="1">
      <c r="A208" s="1"/>
      <c r="B208" s="1"/>
      <c r="C208" s="1"/>
      <c r="D208" s="1"/>
      <c r="E208" s="1"/>
      <c r="F208" s="1"/>
      <c r="G208" s="1"/>
      <c r="H208" s="1"/>
      <c r="I208" s="4"/>
      <c r="J208" s="4"/>
      <c r="K208" s="4"/>
      <c r="L208" s="1"/>
      <c r="M208" s="1"/>
      <c r="N208" s="1"/>
      <c r="O208" s="1"/>
      <c r="P208" s="1"/>
      <c r="Q208" s="1"/>
      <c r="R208" s="1"/>
      <c r="S208" s="1"/>
      <c r="T208" s="1"/>
      <c r="U208" s="1"/>
      <c r="V208" s="1"/>
      <c r="W208" s="1"/>
      <c r="X208" s="1"/>
      <c r="Y208" s="1"/>
    </row>
    <row r="209" spans="1:25" ht="15.75" customHeight="1">
      <c r="A209" s="1"/>
      <c r="B209" s="1"/>
      <c r="C209" s="1"/>
      <c r="D209" s="1"/>
      <c r="E209" s="1"/>
      <c r="F209" s="1"/>
      <c r="G209" s="1"/>
      <c r="H209" s="1"/>
      <c r="I209" s="4"/>
      <c r="J209" s="4"/>
      <c r="K209" s="4"/>
      <c r="L209" s="1"/>
      <c r="M209" s="1"/>
      <c r="N209" s="1"/>
      <c r="O209" s="1"/>
      <c r="P209" s="1"/>
      <c r="Q209" s="1"/>
      <c r="R209" s="1"/>
      <c r="S209" s="1"/>
      <c r="T209" s="1"/>
      <c r="U209" s="1"/>
      <c r="V209" s="1"/>
      <c r="W209" s="1"/>
      <c r="X209" s="1"/>
      <c r="Y209" s="1"/>
    </row>
    <row r="210" spans="1:25" ht="15.75" customHeight="1">
      <c r="A210" s="1"/>
      <c r="B210" s="1"/>
      <c r="C210" s="1"/>
      <c r="D210" s="1"/>
      <c r="E210" s="1"/>
      <c r="F210" s="1"/>
      <c r="G210" s="1"/>
      <c r="H210" s="1"/>
      <c r="I210" s="4"/>
      <c r="J210" s="4"/>
      <c r="K210" s="4"/>
      <c r="L210" s="1"/>
      <c r="M210" s="1"/>
      <c r="N210" s="1"/>
      <c r="O210" s="1"/>
      <c r="P210" s="1"/>
      <c r="Q210" s="1"/>
      <c r="R210" s="1"/>
      <c r="S210" s="1"/>
      <c r="T210" s="1"/>
      <c r="U210" s="1"/>
      <c r="V210" s="1"/>
      <c r="W210" s="1"/>
      <c r="X210" s="1"/>
      <c r="Y210" s="1"/>
    </row>
    <row r="211" spans="1:25" ht="15.75" customHeight="1">
      <c r="A211" s="1"/>
      <c r="B211" s="1"/>
      <c r="C211" s="1"/>
      <c r="D211" s="1"/>
      <c r="E211" s="1"/>
      <c r="F211" s="1"/>
      <c r="G211" s="1"/>
      <c r="H211" s="1"/>
      <c r="I211" s="4"/>
      <c r="J211" s="4"/>
      <c r="K211" s="4"/>
      <c r="L211" s="1"/>
      <c r="M211" s="1"/>
      <c r="N211" s="1"/>
      <c r="O211" s="1"/>
      <c r="P211" s="1"/>
      <c r="Q211" s="1"/>
      <c r="R211" s="1"/>
      <c r="S211" s="1"/>
      <c r="T211" s="1"/>
      <c r="U211" s="1"/>
      <c r="V211" s="1"/>
      <c r="W211" s="1"/>
      <c r="X211" s="1"/>
      <c r="Y211" s="1"/>
    </row>
    <row r="212" spans="1:25" ht="15.75" customHeight="1">
      <c r="A212" s="1"/>
      <c r="B212" s="1"/>
      <c r="C212" s="1"/>
      <c r="D212" s="1"/>
      <c r="E212" s="1"/>
      <c r="F212" s="1"/>
      <c r="G212" s="1"/>
      <c r="H212" s="1"/>
      <c r="I212" s="4"/>
      <c r="J212" s="4"/>
      <c r="K212" s="4"/>
      <c r="L212" s="1"/>
      <c r="M212" s="1"/>
      <c r="N212" s="1"/>
      <c r="O212" s="1"/>
      <c r="P212" s="1"/>
      <c r="Q212" s="1"/>
      <c r="R212" s="1"/>
      <c r="S212" s="1"/>
      <c r="T212" s="1"/>
      <c r="U212" s="1"/>
      <c r="V212" s="1"/>
      <c r="W212" s="1"/>
      <c r="X212" s="1"/>
      <c r="Y212" s="1"/>
    </row>
    <row r="213" spans="1:25" ht="15.75" customHeight="1">
      <c r="A213" s="1"/>
      <c r="B213" s="1"/>
      <c r="C213" s="1"/>
      <c r="D213" s="1"/>
      <c r="E213" s="1"/>
      <c r="F213" s="1"/>
      <c r="G213" s="1"/>
      <c r="H213" s="1"/>
      <c r="I213" s="4"/>
      <c r="J213" s="4"/>
      <c r="K213" s="4"/>
      <c r="L213" s="1"/>
      <c r="M213" s="1"/>
      <c r="N213" s="1"/>
      <c r="O213" s="1"/>
      <c r="P213" s="1"/>
      <c r="Q213" s="1"/>
      <c r="R213" s="1"/>
      <c r="S213" s="1"/>
      <c r="T213" s="1"/>
      <c r="U213" s="1"/>
      <c r="V213" s="1"/>
      <c r="W213" s="1"/>
      <c r="X213" s="1"/>
      <c r="Y213" s="1"/>
    </row>
    <row r="214" spans="1:25" ht="15.75" customHeight="1">
      <c r="A214" s="1"/>
      <c r="B214" s="1"/>
      <c r="C214" s="1"/>
      <c r="D214" s="1"/>
      <c r="E214" s="1"/>
      <c r="F214" s="1"/>
      <c r="G214" s="1"/>
      <c r="H214" s="1"/>
      <c r="I214" s="4"/>
      <c r="J214" s="4"/>
      <c r="K214" s="4"/>
      <c r="L214" s="1"/>
      <c r="M214" s="1"/>
      <c r="N214" s="1"/>
      <c r="O214" s="1"/>
      <c r="P214" s="1"/>
      <c r="Q214" s="1"/>
      <c r="R214" s="1"/>
      <c r="S214" s="1"/>
      <c r="T214" s="1"/>
      <c r="U214" s="1"/>
      <c r="V214" s="1"/>
      <c r="W214" s="1"/>
      <c r="X214" s="1"/>
      <c r="Y214" s="1"/>
    </row>
    <row r="215" spans="1:25" ht="15.75" customHeight="1">
      <c r="A215" s="1"/>
      <c r="B215" s="1"/>
      <c r="C215" s="1"/>
      <c r="D215" s="1"/>
      <c r="E215" s="1"/>
      <c r="F215" s="1"/>
      <c r="G215" s="1"/>
      <c r="H215" s="1"/>
      <c r="I215" s="4"/>
      <c r="J215" s="4"/>
      <c r="K215" s="4"/>
      <c r="L215" s="1"/>
      <c r="M215" s="1"/>
      <c r="N215" s="1"/>
      <c r="O215" s="1"/>
      <c r="P215" s="1"/>
      <c r="Q215" s="1"/>
      <c r="R215" s="1"/>
      <c r="S215" s="1"/>
      <c r="T215" s="1"/>
      <c r="U215" s="1"/>
      <c r="V215" s="1"/>
      <c r="W215" s="1"/>
      <c r="X215" s="1"/>
      <c r="Y215" s="1"/>
    </row>
    <row r="216" spans="1:25" ht="15.75" customHeight="1">
      <c r="A216" s="1"/>
      <c r="B216" s="1"/>
      <c r="C216" s="1"/>
      <c r="D216" s="1"/>
      <c r="E216" s="1"/>
      <c r="F216" s="1"/>
      <c r="G216" s="1"/>
      <c r="H216" s="1"/>
      <c r="I216" s="4"/>
      <c r="J216" s="4"/>
      <c r="K216" s="4"/>
      <c r="L216" s="1"/>
      <c r="M216" s="1"/>
      <c r="N216" s="1"/>
      <c r="O216" s="1"/>
      <c r="P216" s="1"/>
      <c r="Q216" s="1"/>
      <c r="R216" s="1"/>
      <c r="S216" s="1"/>
      <c r="T216" s="1"/>
      <c r="U216" s="1"/>
      <c r="V216" s="1"/>
      <c r="W216" s="1"/>
      <c r="X216" s="1"/>
      <c r="Y216" s="1"/>
    </row>
    <row r="217" spans="1:25" ht="15.75" customHeight="1">
      <c r="A217" s="1"/>
      <c r="B217" s="1"/>
      <c r="C217" s="1"/>
      <c r="D217" s="1"/>
      <c r="E217" s="1"/>
      <c r="F217" s="1"/>
      <c r="G217" s="1"/>
      <c r="H217" s="1"/>
      <c r="I217" s="4"/>
      <c r="J217" s="4"/>
      <c r="K217" s="4"/>
      <c r="L217" s="1"/>
      <c r="M217" s="1"/>
      <c r="N217" s="1"/>
      <c r="O217" s="1"/>
      <c r="P217" s="1"/>
      <c r="Q217" s="1"/>
      <c r="R217" s="1"/>
      <c r="S217" s="1"/>
      <c r="T217" s="1"/>
      <c r="U217" s="1"/>
      <c r="V217" s="1"/>
      <c r="W217" s="1"/>
      <c r="X217" s="1"/>
      <c r="Y217" s="1"/>
    </row>
    <row r="218" spans="1:25" ht="15.75" customHeight="1">
      <c r="A218" s="1"/>
      <c r="B218" s="1"/>
      <c r="C218" s="1"/>
      <c r="D218" s="1"/>
      <c r="E218" s="1"/>
      <c r="F218" s="1"/>
      <c r="G218" s="1"/>
      <c r="H218" s="1"/>
      <c r="I218" s="4"/>
      <c r="J218" s="4"/>
      <c r="K218" s="4"/>
      <c r="L218" s="1"/>
      <c r="M218" s="1"/>
      <c r="N218" s="1"/>
      <c r="O218" s="1"/>
      <c r="P218" s="1"/>
      <c r="Q218" s="1"/>
      <c r="R218" s="1"/>
      <c r="S218" s="1"/>
      <c r="T218" s="1"/>
      <c r="U218" s="1"/>
      <c r="V218" s="1"/>
      <c r="W218" s="1"/>
      <c r="X218" s="1"/>
      <c r="Y218" s="1"/>
    </row>
    <row r="219" spans="1:25" ht="15.75" customHeight="1">
      <c r="A219" s="1"/>
      <c r="B219" s="1"/>
      <c r="C219" s="1"/>
      <c r="D219" s="1"/>
      <c r="E219" s="1"/>
      <c r="F219" s="1"/>
      <c r="G219" s="1"/>
      <c r="H219" s="1"/>
      <c r="I219" s="4"/>
      <c r="J219" s="4"/>
      <c r="K219" s="4"/>
      <c r="L219" s="1"/>
      <c r="M219" s="1"/>
      <c r="N219" s="1"/>
      <c r="O219" s="1"/>
      <c r="P219" s="1"/>
      <c r="Q219" s="1"/>
      <c r="R219" s="1"/>
      <c r="S219" s="1"/>
      <c r="T219" s="1"/>
      <c r="U219" s="1"/>
      <c r="V219" s="1"/>
      <c r="W219" s="1"/>
      <c r="X219" s="1"/>
      <c r="Y219" s="1"/>
    </row>
    <row r="220" spans="1:25" ht="15.75" customHeight="1">
      <c r="A220" s="1"/>
      <c r="B220" s="1"/>
      <c r="C220" s="1"/>
      <c r="D220" s="1"/>
      <c r="E220" s="1"/>
      <c r="F220" s="1"/>
      <c r="G220" s="1"/>
      <c r="H220" s="1"/>
      <c r="I220" s="4"/>
      <c r="J220" s="4"/>
      <c r="K220" s="4"/>
      <c r="L220" s="1"/>
      <c r="M220" s="1"/>
      <c r="N220" s="1"/>
      <c r="O220" s="1"/>
      <c r="P220" s="1"/>
      <c r="Q220" s="1"/>
      <c r="R220" s="1"/>
      <c r="S220" s="1"/>
      <c r="T220" s="1"/>
      <c r="U220" s="1"/>
      <c r="V220" s="1"/>
      <c r="W220" s="1"/>
      <c r="X220" s="1"/>
      <c r="Y220" s="1"/>
    </row>
    <row r="221" spans="1:25" ht="15.75" customHeight="1">
      <c r="A221" s="1"/>
      <c r="B221" s="1"/>
      <c r="C221" s="1"/>
      <c r="D221" s="1"/>
      <c r="E221" s="1"/>
      <c r="F221" s="1"/>
      <c r="G221" s="1"/>
      <c r="H221" s="1"/>
      <c r="I221" s="4"/>
      <c r="J221" s="4"/>
      <c r="K221" s="4"/>
      <c r="L221" s="1"/>
      <c r="M221" s="1"/>
      <c r="N221" s="1"/>
      <c r="O221" s="1"/>
      <c r="P221" s="1"/>
      <c r="Q221" s="1"/>
      <c r="R221" s="1"/>
      <c r="S221" s="1"/>
      <c r="T221" s="1"/>
      <c r="U221" s="1"/>
      <c r="V221" s="1"/>
      <c r="W221" s="1"/>
      <c r="X221" s="1"/>
      <c r="Y221" s="1"/>
    </row>
    <row r="222" spans="1:25" ht="15.75" customHeight="1">
      <c r="A222" s="1"/>
      <c r="B222" s="1"/>
      <c r="C222" s="1"/>
      <c r="D222" s="1"/>
      <c r="E222" s="1"/>
      <c r="F222" s="1"/>
      <c r="G222" s="1"/>
      <c r="H222" s="1"/>
      <c r="I222" s="4"/>
      <c r="J222" s="4"/>
      <c r="K222" s="4"/>
      <c r="L222" s="1"/>
      <c r="M222" s="1"/>
      <c r="N222" s="1"/>
      <c r="O222" s="1"/>
      <c r="P222" s="1"/>
      <c r="Q222" s="1"/>
      <c r="R222" s="1"/>
      <c r="S222" s="1"/>
      <c r="T222" s="1"/>
      <c r="U222" s="1"/>
      <c r="V222" s="1"/>
      <c r="W222" s="1"/>
      <c r="X222" s="1"/>
      <c r="Y222" s="1"/>
    </row>
    <row r="223" spans="1:25" ht="15.75" customHeight="1">
      <c r="A223" s="1"/>
      <c r="B223" s="1"/>
      <c r="C223" s="1"/>
      <c r="D223" s="1"/>
      <c r="E223" s="1"/>
      <c r="F223" s="1"/>
      <c r="G223" s="1"/>
      <c r="H223" s="1"/>
      <c r="I223" s="4"/>
      <c r="J223" s="4"/>
      <c r="K223" s="4"/>
      <c r="L223" s="1"/>
      <c r="M223" s="1"/>
      <c r="N223" s="1"/>
      <c r="O223" s="1"/>
      <c r="P223" s="1"/>
      <c r="Q223" s="1"/>
      <c r="R223" s="1"/>
      <c r="S223" s="1"/>
      <c r="T223" s="1"/>
      <c r="U223" s="1"/>
      <c r="V223" s="1"/>
      <c r="W223" s="1"/>
      <c r="X223" s="1"/>
      <c r="Y223" s="1"/>
    </row>
    <row r="224" spans="1:25" ht="15.75" customHeight="1">
      <c r="A224" s="1"/>
      <c r="B224" s="1"/>
      <c r="C224" s="1"/>
      <c r="D224" s="1"/>
      <c r="E224" s="1"/>
      <c r="F224" s="1"/>
      <c r="G224" s="1"/>
      <c r="H224" s="1"/>
      <c r="I224" s="4"/>
      <c r="J224" s="4"/>
      <c r="K224" s="4"/>
      <c r="L224" s="1"/>
      <c r="M224" s="1"/>
      <c r="N224" s="1"/>
      <c r="O224" s="1"/>
      <c r="P224" s="1"/>
      <c r="Q224" s="1"/>
      <c r="R224" s="1"/>
      <c r="S224" s="1"/>
      <c r="T224" s="1"/>
      <c r="U224" s="1"/>
      <c r="V224" s="1"/>
      <c r="W224" s="1"/>
      <c r="X224" s="1"/>
      <c r="Y224" s="1"/>
    </row>
    <row r="225" spans="1:25" ht="15.75" customHeight="1">
      <c r="A225" s="1"/>
      <c r="B225" s="1"/>
      <c r="C225" s="1"/>
      <c r="D225" s="1"/>
      <c r="E225" s="1"/>
      <c r="F225" s="1"/>
      <c r="G225" s="1"/>
      <c r="H225" s="1"/>
      <c r="I225" s="4"/>
      <c r="J225" s="4"/>
      <c r="K225" s="4"/>
      <c r="L225" s="1"/>
      <c r="M225" s="1"/>
      <c r="N225" s="1"/>
      <c r="O225" s="1"/>
      <c r="P225" s="1"/>
      <c r="Q225" s="1"/>
      <c r="R225" s="1"/>
      <c r="S225" s="1"/>
      <c r="T225" s="1"/>
      <c r="U225" s="1"/>
      <c r="V225" s="1"/>
      <c r="W225" s="1"/>
      <c r="X225" s="1"/>
      <c r="Y225" s="1"/>
    </row>
    <row r="226" spans="1:25" ht="15.75" customHeight="1">
      <c r="A226" s="1"/>
      <c r="B226" s="1"/>
      <c r="C226" s="1"/>
      <c r="D226" s="1"/>
      <c r="E226" s="1"/>
      <c r="F226" s="1"/>
      <c r="G226" s="1"/>
      <c r="H226" s="1"/>
      <c r="I226" s="4"/>
      <c r="J226" s="4"/>
      <c r="K226" s="4"/>
      <c r="L226" s="1"/>
      <c r="M226" s="1"/>
      <c r="N226" s="1"/>
      <c r="O226" s="1"/>
      <c r="P226" s="1"/>
      <c r="Q226" s="1"/>
      <c r="R226" s="1"/>
      <c r="S226" s="1"/>
      <c r="T226" s="1"/>
      <c r="U226" s="1"/>
      <c r="V226" s="1"/>
      <c r="W226" s="1"/>
      <c r="X226" s="1"/>
      <c r="Y226" s="1"/>
    </row>
    <row r="227" spans="1:25" ht="15.75" customHeight="1">
      <c r="A227" s="1"/>
      <c r="B227" s="1"/>
      <c r="C227" s="1"/>
      <c r="D227" s="1"/>
      <c r="E227" s="1"/>
      <c r="F227" s="1"/>
      <c r="G227" s="1"/>
      <c r="H227" s="1"/>
      <c r="I227" s="4"/>
      <c r="J227" s="4"/>
      <c r="K227" s="4"/>
      <c r="L227" s="1"/>
      <c r="M227" s="1"/>
      <c r="N227" s="1"/>
      <c r="O227" s="1"/>
      <c r="P227" s="1"/>
      <c r="Q227" s="1"/>
      <c r="R227" s="1"/>
      <c r="S227" s="1"/>
      <c r="T227" s="1"/>
      <c r="U227" s="1"/>
      <c r="V227" s="1"/>
      <c r="W227" s="1"/>
      <c r="X227" s="1"/>
      <c r="Y227" s="1"/>
    </row>
    <row r="228" spans="1:25" ht="15.75" customHeight="1">
      <c r="A228" s="1"/>
      <c r="B228" s="1"/>
      <c r="C228" s="1"/>
      <c r="D228" s="1"/>
      <c r="E228" s="1"/>
      <c r="F228" s="1"/>
      <c r="G228" s="1"/>
      <c r="H228" s="1"/>
      <c r="I228" s="4"/>
      <c r="J228" s="4"/>
      <c r="K228" s="4"/>
      <c r="L228" s="1"/>
      <c r="M228" s="1"/>
      <c r="N228" s="1"/>
      <c r="O228" s="1"/>
      <c r="P228" s="1"/>
      <c r="Q228" s="1"/>
      <c r="R228" s="1"/>
      <c r="S228" s="1"/>
      <c r="T228" s="1"/>
      <c r="U228" s="1"/>
      <c r="V228" s="1"/>
      <c r="W228" s="1"/>
      <c r="X228" s="1"/>
      <c r="Y228" s="1"/>
    </row>
    <row r="229" spans="1:25" ht="15.75" customHeight="1">
      <c r="A229" s="1"/>
      <c r="B229" s="1"/>
      <c r="C229" s="1"/>
      <c r="D229" s="1"/>
      <c r="E229" s="1"/>
      <c r="F229" s="1"/>
      <c r="G229" s="1"/>
      <c r="H229" s="1"/>
      <c r="I229" s="4"/>
      <c r="J229" s="4"/>
      <c r="K229" s="4"/>
      <c r="L229" s="1"/>
      <c r="M229" s="1"/>
      <c r="N229" s="1"/>
      <c r="O229" s="1"/>
      <c r="P229" s="1"/>
      <c r="Q229" s="1"/>
      <c r="R229" s="1"/>
      <c r="S229" s="1"/>
      <c r="T229" s="1"/>
      <c r="U229" s="1"/>
      <c r="V229" s="1"/>
      <c r="W229" s="1"/>
      <c r="X229" s="1"/>
      <c r="Y229" s="1"/>
    </row>
    <row r="230" spans="1:25" ht="15.75" customHeight="1">
      <c r="A230" s="1"/>
      <c r="B230" s="1"/>
      <c r="C230" s="1"/>
      <c r="D230" s="1"/>
      <c r="E230" s="1"/>
      <c r="F230" s="1"/>
      <c r="G230" s="1"/>
      <c r="H230" s="1"/>
      <c r="I230" s="4"/>
      <c r="J230" s="4"/>
      <c r="K230" s="4"/>
      <c r="L230" s="1"/>
      <c r="M230" s="1"/>
      <c r="N230" s="1"/>
      <c r="O230" s="1"/>
      <c r="P230" s="1"/>
      <c r="Q230" s="1"/>
      <c r="R230" s="1"/>
      <c r="S230" s="1"/>
      <c r="T230" s="1"/>
      <c r="U230" s="1"/>
      <c r="V230" s="1"/>
      <c r="W230" s="1"/>
      <c r="X230" s="1"/>
      <c r="Y230" s="1"/>
    </row>
    <row r="231" spans="1:25" ht="15.75" customHeight="1">
      <c r="A231" s="1"/>
      <c r="B231" s="1"/>
      <c r="C231" s="1"/>
      <c r="D231" s="1"/>
      <c r="E231" s="1"/>
      <c r="F231" s="1"/>
      <c r="G231" s="1"/>
      <c r="H231" s="1"/>
      <c r="I231" s="4"/>
      <c r="J231" s="4"/>
      <c r="K231" s="4"/>
      <c r="L231" s="1"/>
      <c r="M231" s="1"/>
      <c r="N231" s="1"/>
      <c r="O231" s="1"/>
      <c r="P231" s="1"/>
      <c r="Q231" s="1"/>
      <c r="R231" s="1"/>
      <c r="S231" s="1"/>
      <c r="T231" s="1"/>
      <c r="U231" s="1"/>
      <c r="V231" s="1"/>
      <c r="W231" s="1"/>
      <c r="X231" s="1"/>
      <c r="Y231" s="1"/>
    </row>
    <row r="232" spans="1:25" ht="15.75" customHeight="1">
      <c r="A232" s="1"/>
      <c r="B232" s="1"/>
      <c r="C232" s="1"/>
      <c r="D232" s="1"/>
      <c r="E232" s="1"/>
      <c r="F232" s="1"/>
      <c r="G232" s="1"/>
      <c r="H232" s="1"/>
      <c r="I232" s="4"/>
      <c r="J232" s="4"/>
      <c r="K232" s="4"/>
      <c r="L232" s="1"/>
      <c r="M232" s="1"/>
      <c r="N232" s="1"/>
      <c r="O232" s="1"/>
      <c r="P232" s="1"/>
      <c r="Q232" s="1"/>
      <c r="R232" s="1"/>
      <c r="S232" s="1"/>
      <c r="T232" s="1"/>
      <c r="U232" s="1"/>
      <c r="V232" s="1"/>
      <c r="W232" s="1"/>
      <c r="X232" s="1"/>
      <c r="Y232" s="1"/>
    </row>
    <row r="233" spans="1:25" ht="15.75" customHeight="1">
      <c r="A233" s="1"/>
      <c r="B233" s="1"/>
      <c r="C233" s="1"/>
      <c r="D233" s="1"/>
      <c r="E233" s="1"/>
      <c r="F233" s="1"/>
      <c r="G233" s="1"/>
      <c r="H233" s="1"/>
      <c r="I233" s="4"/>
      <c r="J233" s="4"/>
      <c r="K233" s="4"/>
      <c r="L233" s="1"/>
      <c r="M233" s="1"/>
      <c r="N233" s="1"/>
      <c r="O233" s="1"/>
      <c r="P233" s="1"/>
      <c r="Q233" s="1"/>
      <c r="R233" s="1"/>
      <c r="S233" s="1"/>
      <c r="T233" s="1"/>
      <c r="U233" s="1"/>
      <c r="V233" s="1"/>
      <c r="W233" s="1"/>
      <c r="X233" s="1"/>
      <c r="Y233" s="1"/>
    </row>
    <row r="234" spans="1:25" ht="15.75" customHeight="1">
      <c r="A234" s="1"/>
      <c r="B234" s="1"/>
      <c r="C234" s="1"/>
      <c r="D234" s="1"/>
      <c r="E234" s="1"/>
      <c r="F234" s="1"/>
      <c r="G234" s="1"/>
      <c r="H234" s="1"/>
      <c r="I234" s="4"/>
      <c r="J234" s="4"/>
      <c r="K234" s="4"/>
      <c r="L234" s="1"/>
      <c r="M234" s="1"/>
      <c r="N234" s="1"/>
      <c r="O234" s="1"/>
      <c r="P234" s="1"/>
      <c r="Q234" s="1"/>
      <c r="R234" s="1"/>
      <c r="S234" s="1"/>
      <c r="T234" s="1"/>
      <c r="U234" s="1"/>
      <c r="V234" s="1"/>
      <c r="W234" s="1"/>
      <c r="X234" s="1"/>
      <c r="Y234" s="1"/>
    </row>
    <row r="235" spans="1:25" ht="15.75" customHeight="1">
      <c r="A235" s="1"/>
      <c r="B235" s="1"/>
      <c r="C235" s="1"/>
      <c r="D235" s="1"/>
      <c r="E235" s="1"/>
      <c r="F235" s="1"/>
      <c r="G235" s="1"/>
      <c r="H235" s="1"/>
      <c r="I235" s="4"/>
      <c r="J235" s="4"/>
      <c r="K235" s="4"/>
      <c r="L235" s="1"/>
      <c r="M235" s="1"/>
      <c r="N235" s="1"/>
      <c r="O235" s="1"/>
      <c r="P235" s="1"/>
      <c r="Q235" s="1"/>
      <c r="R235" s="1"/>
      <c r="S235" s="1"/>
      <c r="T235" s="1"/>
      <c r="U235" s="1"/>
      <c r="V235" s="1"/>
      <c r="W235" s="1"/>
      <c r="X235" s="1"/>
      <c r="Y235" s="1"/>
    </row>
    <row r="236" spans="1:25" ht="15.75" customHeight="1">
      <c r="A236" s="1"/>
      <c r="B236" s="1"/>
      <c r="C236" s="1"/>
      <c r="D236" s="1"/>
      <c r="E236" s="1"/>
      <c r="F236" s="1"/>
      <c r="G236" s="1"/>
      <c r="H236" s="1"/>
      <c r="I236" s="4"/>
      <c r="J236" s="4"/>
      <c r="K236" s="4"/>
      <c r="L236" s="1"/>
      <c r="M236" s="1"/>
      <c r="N236" s="1"/>
      <c r="O236" s="1"/>
      <c r="P236" s="1"/>
      <c r="Q236" s="1"/>
      <c r="R236" s="1"/>
      <c r="S236" s="1"/>
      <c r="T236" s="1"/>
      <c r="U236" s="1"/>
      <c r="V236" s="1"/>
      <c r="W236" s="1"/>
      <c r="X236" s="1"/>
      <c r="Y236" s="1"/>
    </row>
    <row r="237" spans="1:25" ht="15.75" customHeight="1">
      <c r="A237" s="1"/>
      <c r="B237" s="1"/>
      <c r="C237" s="1"/>
      <c r="D237" s="1"/>
      <c r="E237" s="1"/>
      <c r="F237" s="1"/>
      <c r="G237" s="1"/>
      <c r="H237" s="1"/>
      <c r="I237" s="4"/>
      <c r="J237" s="4"/>
      <c r="K237" s="4"/>
      <c r="L237" s="1"/>
      <c r="M237" s="1"/>
      <c r="N237" s="1"/>
      <c r="O237" s="1"/>
      <c r="P237" s="1"/>
      <c r="Q237" s="1"/>
      <c r="R237" s="1"/>
      <c r="S237" s="1"/>
      <c r="T237" s="1"/>
      <c r="U237" s="1"/>
      <c r="V237" s="1"/>
      <c r="W237" s="1"/>
      <c r="X237" s="1"/>
      <c r="Y237" s="1"/>
    </row>
    <row r="238" spans="1:25" ht="15.75" customHeight="1">
      <c r="A238" s="1"/>
      <c r="B238" s="1"/>
      <c r="C238" s="1"/>
      <c r="D238" s="1"/>
      <c r="E238" s="1"/>
      <c r="F238" s="1"/>
      <c r="G238" s="1"/>
      <c r="H238" s="1"/>
      <c r="I238" s="4"/>
      <c r="J238" s="4"/>
      <c r="K238" s="4"/>
      <c r="L238" s="1"/>
      <c r="M238" s="1"/>
      <c r="N238" s="1"/>
      <c r="O238" s="1"/>
      <c r="P238" s="1"/>
      <c r="Q238" s="1"/>
      <c r="R238" s="1"/>
      <c r="S238" s="1"/>
      <c r="T238" s="1"/>
      <c r="U238" s="1"/>
      <c r="V238" s="1"/>
      <c r="W238" s="1"/>
      <c r="X238" s="1"/>
      <c r="Y238" s="1"/>
    </row>
    <row r="239" spans="1:25" ht="15.75" customHeight="1">
      <c r="A239" s="1"/>
      <c r="B239" s="1"/>
      <c r="C239" s="1"/>
      <c r="D239" s="1"/>
      <c r="E239" s="1"/>
      <c r="F239" s="1"/>
      <c r="G239" s="1"/>
      <c r="H239" s="1"/>
      <c r="I239" s="4"/>
      <c r="J239" s="4"/>
      <c r="K239" s="4"/>
      <c r="L239" s="1"/>
      <c r="M239" s="1"/>
      <c r="N239" s="1"/>
      <c r="O239" s="1"/>
      <c r="P239" s="1"/>
      <c r="Q239" s="1"/>
      <c r="R239" s="1"/>
      <c r="S239" s="1"/>
      <c r="T239" s="1"/>
      <c r="U239" s="1"/>
      <c r="V239" s="1"/>
      <c r="W239" s="1"/>
      <c r="X239" s="1"/>
      <c r="Y239" s="1"/>
    </row>
    <row r="240" spans="1:25" ht="15.75" customHeight="1">
      <c r="A240" s="1"/>
      <c r="B240" s="1"/>
      <c r="C240" s="1"/>
      <c r="D240" s="1"/>
      <c r="E240" s="1"/>
      <c r="F240" s="1"/>
      <c r="G240" s="1"/>
      <c r="H240" s="1"/>
      <c r="I240" s="4"/>
      <c r="J240" s="4"/>
      <c r="K240" s="4"/>
      <c r="L240" s="1"/>
      <c r="M240" s="1"/>
      <c r="N240" s="1"/>
      <c r="O240" s="1"/>
      <c r="P240" s="1"/>
      <c r="Q240" s="1"/>
      <c r="R240" s="1"/>
      <c r="S240" s="1"/>
      <c r="T240" s="1"/>
      <c r="U240" s="1"/>
      <c r="V240" s="1"/>
      <c r="W240" s="1"/>
      <c r="X240" s="1"/>
      <c r="Y240" s="1"/>
    </row>
    <row r="241" spans="1:25" ht="15.75" customHeight="1">
      <c r="A241" s="1"/>
      <c r="B241" s="1"/>
      <c r="C241" s="1"/>
      <c r="D241" s="1"/>
      <c r="E241" s="1"/>
      <c r="F241" s="1"/>
      <c r="G241" s="1"/>
      <c r="H241" s="1"/>
      <c r="I241" s="4"/>
      <c r="J241" s="4"/>
      <c r="K241" s="4"/>
      <c r="L241" s="1"/>
      <c r="M241" s="1"/>
      <c r="N241" s="1"/>
      <c r="O241" s="1"/>
      <c r="P241" s="1"/>
      <c r="Q241" s="1"/>
      <c r="R241" s="1"/>
      <c r="S241" s="1"/>
      <c r="T241" s="1"/>
      <c r="U241" s="1"/>
      <c r="V241" s="1"/>
      <c r="W241" s="1"/>
      <c r="X241" s="1"/>
      <c r="Y241" s="1"/>
    </row>
    <row r="242" spans="1:25" ht="15.75" customHeight="1">
      <c r="A242" s="1"/>
      <c r="B242" s="1"/>
      <c r="C242" s="1"/>
      <c r="D242" s="1"/>
      <c r="E242" s="1"/>
      <c r="F242" s="1"/>
      <c r="G242" s="1"/>
      <c r="H242" s="1"/>
      <c r="I242" s="4"/>
      <c r="J242" s="4"/>
      <c r="K242" s="4"/>
      <c r="L242" s="1"/>
      <c r="M242" s="1"/>
      <c r="N242" s="1"/>
      <c r="O242" s="1"/>
      <c r="P242" s="1"/>
      <c r="Q242" s="1"/>
      <c r="R242" s="1"/>
      <c r="S242" s="1"/>
      <c r="T242" s="1"/>
      <c r="U242" s="1"/>
      <c r="V242" s="1"/>
      <c r="W242" s="1"/>
      <c r="X242" s="1"/>
      <c r="Y242" s="1"/>
    </row>
    <row r="243" spans="1:25" ht="15.75" customHeight="1">
      <c r="A243" s="1"/>
      <c r="B243" s="1"/>
      <c r="C243" s="1"/>
      <c r="D243" s="1"/>
      <c r="E243" s="1"/>
      <c r="F243" s="1"/>
      <c r="G243" s="1"/>
      <c r="H243" s="1"/>
      <c r="I243" s="4"/>
      <c r="J243" s="4"/>
      <c r="K243" s="4"/>
      <c r="L243" s="1"/>
      <c r="M243" s="1"/>
      <c r="N243" s="1"/>
      <c r="O243" s="1"/>
      <c r="P243" s="1"/>
      <c r="Q243" s="1"/>
      <c r="R243" s="1"/>
      <c r="S243" s="1"/>
      <c r="T243" s="1"/>
      <c r="U243" s="1"/>
      <c r="V243" s="1"/>
      <c r="W243" s="1"/>
      <c r="X243" s="1"/>
      <c r="Y243" s="1"/>
    </row>
    <row r="244" spans="1:25" ht="15.75" customHeight="1">
      <c r="A244" s="1"/>
      <c r="B244" s="1"/>
      <c r="C244" s="1"/>
      <c r="D244" s="1"/>
      <c r="E244" s="1"/>
      <c r="F244" s="1"/>
      <c r="G244" s="1"/>
      <c r="H244" s="1"/>
      <c r="I244" s="4"/>
      <c r="J244" s="4"/>
      <c r="K244" s="4"/>
      <c r="L244" s="1"/>
      <c r="M244" s="1"/>
      <c r="N244" s="1"/>
      <c r="O244" s="1"/>
      <c r="P244" s="1"/>
      <c r="Q244" s="1"/>
      <c r="R244" s="1"/>
      <c r="S244" s="1"/>
      <c r="T244" s="1"/>
      <c r="U244" s="1"/>
      <c r="V244" s="1"/>
      <c r="W244" s="1"/>
      <c r="X244" s="1"/>
      <c r="Y244" s="1"/>
    </row>
    <row r="245" spans="1:25" ht="15.75" customHeight="1">
      <c r="A245" s="1"/>
      <c r="B245" s="1"/>
      <c r="C245" s="1"/>
      <c r="D245" s="1"/>
      <c r="E245" s="1"/>
      <c r="F245" s="1"/>
      <c r="G245" s="1"/>
      <c r="H245" s="1"/>
      <c r="I245" s="4"/>
      <c r="J245" s="4"/>
      <c r="K245" s="4"/>
      <c r="L245" s="1"/>
      <c r="M245" s="1"/>
      <c r="N245" s="1"/>
      <c r="O245" s="1"/>
      <c r="P245" s="1"/>
      <c r="Q245" s="1"/>
      <c r="R245" s="1"/>
      <c r="S245" s="1"/>
      <c r="T245" s="1"/>
      <c r="U245" s="1"/>
      <c r="V245" s="1"/>
      <c r="W245" s="1"/>
      <c r="X245" s="1"/>
      <c r="Y245" s="1"/>
    </row>
    <row r="246" spans="1:25" ht="15.75" customHeight="1">
      <c r="A246" s="1"/>
      <c r="B246" s="1"/>
      <c r="C246" s="1"/>
      <c r="D246" s="1"/>
      <c r="E246" s="1"/>
      <c r="F246" s="1"/>
      <c r="G246" s="1"/>
      <c r="H246" s="1"/>
      <c r="I246" s="4"/>
      <c r="J246" s="4"/>
      <c r="K246" s="4"/>
      <c r="L246" s="1"/>
      <c r="M246" s="1"/>
      <c r="N246" s="1"/>
      <c r="O246" s="1"/>
      <c r="P246" s="1"/>
      <c r="Q246" s="1"/>
      <c r="R246" s="1"/>
      <c r="S246" s="1"/>
      <c r="T246" s="1"/>
      <c r="U246" s="1"/>
      <c r="V246" s="1"/>
      <c r="W246" s="1"/>
      <c r="X246" s="1"/>
      <c r="Y246" s="1"/>
    </row>
    <row r="247" spans="1:25" ht="15.75" customHeight="1">
      <c r="A247" s="1"/>
      <c r="B247" s="1"/>
      <c r="C247" s="1"/>
      <c r="D247" s="1"/>
      <c r="E247" s="1"/>
      <c r="F247" s="1"/>
      <c r="G247" s="1"/>
      <c r="H247" s="1"/>
      <c r="I247" s="4"/>
      <c r="J247" s="4"/>
      <c r="K247" s="4"/>
      <c r="L247" s="1"/>
      <c r="M247" s="1"/>
      <c r="N247" s="1"/>
      <c r="O247" s="1"/>
      <c r="P247" s="1"/>
      <c r="Q247" s="1"/>
      <c r="R247" s="1"/>
      <c r="S247" s="1"/>
      <c r="T247" s="1"/>
      <c r="U247" s="1"/>
      <c r="V247" s="1"/>
      <c r="W247" s="1"/>
      <c r="X247" s="1"/>
      <c r="Y247" s="1"/>
    </row>
    <row r="248" spans="1:25" ht="15.75" customHeight="1">
      <c r="A248" s="1"/>
      <c r="B248" s="1"/>
      <c r="C248" s="1"/>
      <c r="D248" s="1"/>
      <c r="E248" s="1"/>
      <c r="F248" s="1"/>
      <c r="G248" s="1"/>
      <c r="H248" s="1"/>
      <c r="I248" s="4"/>
      <c r="J248" s="4"/>
      <c r="K248" s="4"/>
      <c r="L248" s="1"/>
      <c r="M248" s="1"/>
      <c r="N248" s="1"/>
      <c r="O248" s="1"/>
      <c r="P248" s="1"/>
      <c r="Q248" s="1"/>
      <c r="R248" s="1"/>
      <c r="S248" s="1"/>
      <c r="T248" s="1"/>
      <c r="U248" s="1"/>
      <c r="V248" s="1"/>
      <c r="W248" s="1"/>
      <c r="X248" s="1"/>
      <c r="Y248" s="1"/>
    </row>
    <row r="249" spans="1:25" ht="15.75" customHeight="1">
      <c r="A249" s="1"/>
      <c r="B249" s="1"/>
      <c r="C249" s="1"/>
      <c r="D249" s="1"/>
      <c r="E249" s="1"/>
      <c r="F249" s="1"/>
      <c r="G249" s="1"/>
      <c r="H249" s="1"/>
      <c r="I249" s="4"/>
      <c r="J249" s="4"/>
      <c r="K249" s="4"/>
      <c r="L249" s="1"/>
      <c r="M249" s="1"/>
      <c r="N249" s="1"/>
      <c r="O249" s="1"/>
      <c r="P249" s="1"/>
      <c r="Q249" s="1"/>
      <c r="R249" s="1"/>
      <c r="S249" s="1"/>
      <c r="T249" s="1"/>
      <c r="U249" s="1"/>
      <c r="V249" s="1"/>
      <c r="W249" s="1"/>
      <c r="X249" s="1"/>
      <c r="Y249" s="1"/>
    </row>
    <row r="250" spans="1:25" ht="15.75" customHeight="1">
      <c r="A250" s="1"/>
      <c r="B250" s="1"/>
      <c r="C250" s="1"/>
      <c r="D250" s="1"/>
      <c r="E250" s="1"/>
      <c r="F250" s="1"/>
      <c r="G250" s="1"/>
      <c r="H250" s="1"/>
      <c r="I250" s="4"/>
      <c r="J250" s="4"/>
      <c r="K250" s="4"/>
      <c r="L250" s="1"/>
      <c r="M250" s="1"/>
      <c r="N250" s="1"/>
      <c r="O250" s="1"/>
      <c r="P250" s="1"/>
      <c r="Q250" s="1"/>
      <c r="R250" s="1"/>
      <c r="S250" s="1"/>
      <c r="T250" s="1"/>
      <c r="U250" s="1"/>
      <c r="V250" s="1"/>
      <c r="W250" s="1"/>
      <c r="X250" s="1"/>
      <c r="Y250" s="1"/>
    </row>
    <row r="251" spans="1:25" ht="15.75" customHeight="1">
      <c r="A251" s="1"/>
      <c r="B251" s="1"/>
      <c r="C251" s="1"/>
      <c r="D251" s="1"/>
      <c r="E251" s="1"/>
      <c r="F251" s="1"/>
      <c r="G251" s="1"/>
      <c r="H251" s="1"/>
      <c r="I251" s="4"/>
      <c r="J251" s="4"/>
      <c r="K251" s="4"/>
      <c r="L251" s="1"/>
      <c r="M251" s="1"/>
      <c r="N251" s="1"/>
      <c r="O251" s="1"/>
      <c r="P251" s="1"/>
      <c r="Q251" s="1"/>
      <c r="R251" s="1"/>
      <c r="S251" s="1"/>
      <c r="T251" s="1"/>
      <c r="U251" s="1"/>
      <c r="V251" s="1"/>
      <c r="W251" s="1"/>
      <c r="X251" s="1"/>
      <c r="Y251" s="1"/>
    </row>
    <row r="252" spans="1:25" ht="15.75" customHeight="1">
      <c r="A252" s="1"/>
      <c r="B252" s="1"/>
      <c r="C252" s="1"/>
      <c r="D252" s="1"/>
      <c r="E252" s="1"/>
      <c r="F252" s="1"/>
      <c r="G252" s="1"/>
      <c r="H252" s="1"/>
      <c r="I252" s="4"/>
      <c r="J252" s="4"/>
      <c r="K252" s="4"/>
      <c r="L252" s="1"/>
      <c r="M252" s="1"/>
      <c r="N252" s="1"/>
      <c r="O252" s="1"/>
      <c r="P252" s="1"/>
      <c r="Q252" s="1"/>
      <c r="R252" s="1"/>
      <c r="S252" s="1"/>
      <c r="T252" s="1"/>
      <c r="U252" s="1"/>
      <c r="V252" s="1"/>
      <c r="W252" s="1"/>
      <c r="X252" s="1"/>
      <c r="Y252" s="1"/>
    </row>
    <row r="253" spans="1:25" ht="15.75" customHeight="1">
      <c r="A253" s="1"/>
      <c r="B253" s="1"/>
      <c r="C253" s="1"/>
      <c r="D253" s="1"/>
      <c r="E253" s="1"/>
      <c r="F253" s="1"/>
      <c r="G253" s="1"/>
      <c r="H253" s="1"/>
      <c r="I253" s="4"/>
      <c r="J253" s="4"/>
      <c r="K253" s="4"/>
      <c r="L253" s="1"/>
      <c r="M253" s="1"/>
      <c r="N253" s="1"/>
      <c r="O253" s="1"/>
      <c r="P253" s="1"/>
      <c r="Q253" s="1"/>
      <c r="R253" s="1"/>
      <c r="S253" s="1"/>
      <c r="T253" s="1"/>
      <c r="U253" s="1"/>
      <c r="V253" s="1"/>
      <c r="W253" s="1"/>
      <c r="X253" s="1"/>
      <c r="Y253" s="1"/>
    </row>
    <row r="254" spans="1:25" ht="15.75" customHeight="1">
      <c r="A254" s="1"/>
      <c r="B254" s="1"/>
      <c r="C254" s="1"/>
      <c r="D254" s="1"/>
      <c r="E254" s="1"/>
      <c r="F254" s="1"/>
      <c r="G254" s="1"/>
      <c r="H254" s="1"/>
      <c r="I254" s="4"/>
      <c r="J254" s="4"/>
      <c r="K254" s="4"/>
      <c r="L254" s="1"/>
      <c r="M254" s="1"/>
      <c r="N254" s="1"/>
      <c r="O254" s="1"/>
      <c r="P254" s="1"/>
      <c r="Q254" s="1"/>
      <c r="R254" s="1"/>
      <c r="S254" s="1"/>
      <c r="T254" s="1"/>
      <c r="U254" s="1"/>
      <c r="V254" s="1"/>
      <c r="W254" s="1"/>
      <c r="X254" s="1"/>
      <c r="Y254" s="1"/>
    </row>
    <row r="255" spans="1:25" ht="15.75" customHeight="1">
      <c r="A255" s="1"/>
      <c r="B255" s="1"/>
      <c r="C255" s="1"/>
      <c r="D255" s="1"/>
      <c r="E255" s="1"/>
      <c r="F255" s="1"/>
      <c r="G255" s="1"/>
      <c r="H255" s="1"/>
      <c r="I255" s="4"/>
      <c r="J255" s="4"/>
      <c r="K255" s="4"/>
      <c r="L255" s="1"/>
      <c r="M255" s="1"/>
      <c r="N255" s="1"/>
      <c r="O255" s="1"/>
      <c r="P255" s="1"/>
      <c r="Q255" s="1"/>
      <c r="R255" s="1"/>
      <c r="S255" s="1"/>
      <c r="T255" s="1"/>
      <c r="U255" s="1"/>
      <c r="V255" s="1"/>
      <c r="W255" s="1"/>
      <c r="X255" s="1"/>
      <c r="Y255" s="1"/>
    </row>
    <row r="256" spans="1:25" ht="15.75" customHeight="1">
      <c r="A256" s="1"/>
      <c r="B256" s="1"/>
      <c r="C256" s="1"/>
      <c r="D256" s="1"/>
      <c r="E256" s="1"/>
      <c r="F256" s="1"/>
      <c r="G256" s="1"/>
      <c r="H256" s="1"/>
      <c r="I256" s="4"/>
      <c r="J256" s="4"/>
      <c r="K256" s="4"/>
      <c r="L256" s="1"/>
      <c r="M256" s="1"/>
      <c r="N256" s="1"/>
      <c r="O256" s="1"/>
      <c r="P256" s="1"/>
      <c r="Q256" s="1"/>
      <c r="R256" s="1"/>
      <c r="S256" s="1"/>
      <c r="T256" s="1"/>
      <c r="U256" s="1"/>
      <c r="V256" s="1"/>
      <c r="W256" s="1"/>
      <c r="X256" s="1"/>
      <c r="Y256" s="1"/>
    </row>
    <row r="257" spans="1:25" ht="15.75" customHeight="1">
      <c r="A257" s="1"/>
      <c r="B257" s="1"/>
      <c r="C257" s="1"/>
      <c r="D257" s="1"/>
      <c r="E257" s="1"/>
      <c r="F257" s="1"/>
      <c r="G257" s="1"/>
      <c r="H257" s="1"/>
      <c r="I257" s="4"/>
      <c r="J257" s="4"/>
      <c r="K257" s="4"/>
      <c r="L257" s="1"/>
      <c r="M257" s="1"/>
      <c r="N257" s="1"/>
      <c r="O257" s="1"/>
      <c r="P257" s="1"/>
      <c r="Q257" s="1"/>
      <c r="R257" s="1"/>
      <c r="S257" s="1"/>
      <c r="T257" s="1"/>
      <c r="U257" s="1"/>
      <c r="V257" s="1"/>
      <c r="W257" s="1"/>
      <c r="X257" s="1"/>
      <c r="Y257" s="1"/>
    </row>
    <row r="258" spans="1:25" ht="15.75" customHeight="1">
      <c r="A258" s="1"/>
      <c r="B258" s="1"/>
      <c r="C258" s="1"/>
      <c r="D258" s="1"/>
      <c r="E258" s="1"/>
      <c r="F258" s="1"/>
      <c r="G258" s="1"/>
      <c r="H258" s="1"/>
      <c r="I258" s="4"/>
      <c r="J258" s="4"/>
      <c r="K258" s="4"/>
      <c r="L258" s="1"/>
      <c r="M258" s="1"/>
      <c r="N258" s="1"/>
      <c r="O258" s="1"/>
      <c r="P258" s="1"/>
      <c r="Q258" s="1"/>
      <c r="R258" s="1"/>
      <c r="S258" s="1"/>
      <c r="T258" s="1"/>
      <c r="U258" s="1"/>
      <c r="V258" s="1"/>
      <c r="W258" s="1"/>
      <c r="X258" s="1"/>
      <c r="Y258" s="1"/>
    </row>
    <row r="259" spans="1:25" ht="15.75" customHeight="1">
      <c r="A259" s="1"/>
      <c r="B259" s="1"/>
      <c r="C259" s="1"/>
      <c r="D259" s="1"/>
      <c r="E259" s="1"/>
      <c r="F259" s="1"/>
      <c r="G259" s="1"/>
      <c r="H259" s="1"/>
      <c r="I259" s="4"/>
      <c r="J259" s="4"/>
      <c r="K259" s="4"/>
      <c r="L259" s="1"/>
      <c r="M259" s="1"/>
      <c r="N259" s="1"/>
      <c r="O259" s="1"/>
      <c r="P259" s="1"/>
      <c r="Q259" s="1"/>
      <c r="R259" s="1"/>
      <c r="S259" s="1"/>
      <c r="T259" s="1"/>
      <c r="U259" s="1"/>
      <c r="V259" s="1"/>
      <c r="W259" s="1"/>
      <c r="X259" s="1"/>
      <c r="Y259" s="1"/>
    </row>
    <row r="260" spans="1:25" ht="15.75" customHeight="1">
      <c r="A260" s="1"/>
      <c r="B260" s="1"/>
      <c r="C260" s="1"/>
      <c r="D260" s="1"/>
      <c r="E260" s="1"/>
      <c r="F260" s="1"/>
      <c r="G260" s="1"/>
      <c r="H260" s="1"/>
      <c r="I260" s="4"/>
      <c r="J260" s="4"/>
      <c r="K260" s="4"/>
      <c r="L260" s="1"/>
      <c r="M260" s="1"/>
      <c r="N260" s="1"/>
      <c r="O260" s="1"/>
      <c r="P260" s="1"/>
      <c r="Q260" s="1"/>
      <c r="R260" s="1"/>
      <c r="S260" s="1"/>
      <c r="T260" s="1"/>
      <c r="U260" s="1"/>
      <c r="V260" s="1"/>
      <c r="W260" s="1"/>
      <c r="X260" s="1"/>
      <c r="Y260" s="1"/>
    </row>
    <row r="261" spans="1:25" ht="15.75" customHeight="1">
      <c r="A261" s="1"/>
      <c r="B261" s="1"/>
      <c r="C261" s="1"/>
      <c r="D261" s="1"/>
      <c r="E261" s="1"/>
      <c r="F261" s="1"/>
      <c r="G261" s="1"/>
      <c r="H261" s="1"/>
      <c r="I261" s="4"/>
      <c r="J261" s="4"/>
      <c r="K261" s="4"/>
      <c r="L261" s="1"/>
      <c r="M261" s="1"/>
      <c r="N261" s="1"/>
      <c r="O261" s="1"/>
      <c r="P261" s="1"/>
      <c r="Q261" s="1"/>
      <c r="R261" s="1"/>
      <c r="S261" s="1"/>
      <c r="T261" s="1"/>
      <c r="U261" s="1"/>
      <c r="V261" s="1"/>
      <c r="W261" s="1"/>
      <c r="X261" s="1"/>
      <c r="Y261" s="1"/>
    </row>
    <row r="262" spans="1:25" ht="15.75" customHeight="1">
      <c r="A262" s="1"/>
      <c r="B262" s="1"/>
      <c r="C262" s="1"/>
      <c r="D262" s="1"/>
      <c r="E262" s="1"/>
      <c r="F262" s="1"/>
      <c r="G262" s="1"/>
      <c r="H262" s="1"/>
      <c r="I262" s="4"/>
      <c r="J262" s="4"/>
      <c r="K262" s="4"/>
      <c r="L262" s="1"/>
      <c r="M262" s="1"/>
      <c r="N262" s="1"/>
      <c r="O262" s="1"/>
      <c r="P262" s="1"/>
      <c r="Q262" s="1"/>
      <c r="R262" s="1"/>
      <c r="S262" s="1"/>
      <c r="T262" s="1"/>
      <c r="U262" s="1"/>
      <c r="V262" s="1"/>
      <c r="W262" s="1"/>
      <c r="X262" s="1"/>
      <c r="Y262" s="1"/>
    </row>
    <row r="263" spans="1:25" ht="15.75" customHeight="1">
      <c r="A263" s="1"/>
      <c r="B263" s="1"/>
      <c r="C263" s="1"/>
      <c r="D263" s="1"/>
      <c r="E263" s="1"/>
      <c r="F263" s="1"/>
      <c r="G263" s="1"/>
      <c r="H263" s="1"/>
      <c r="I263" s="4"/>
      <c r="J263" s="4"/>
      <c r="K263" s="4"/>
      <c r="L263" s="1"/>
      <c r="M263" s="1"/>
      <c r="N263" s="1"/>
      <c r="O263" s="1"/>
      <c r="P263" s="1"/>
      <c r="Q263" s="1"/>
      <c r="R263" s="1"/>
      <c r="S263" s="1"/>
      <c r="T263" s="1"/>
      <c r="U263" s="1"/>
      <c r="V263" s="1"/>
      <c r="W263" s="1"/>
      <c r="X263" s="1"/>
      <c r="Y263" s="1"/>
    </row>
    <row r="264" spans="1:25" ht="15.75" customHeight="1">
      <c r="A264" s="1"/>
      <c r="B264" s="1"/>
      <c r="C264" s="1"/>
      <c r="D264" s="1"/>
      <c r="E264" s="1"/>
      <c r="F264" s="1"/>
      <c r="G264" s="1"/>
      <c r="H264" s="1"/>
      <c r="I264" s="4"/>
      <c r="J264" s="4"/>
      <c r="K264" s="4"/>
      <c r="L264" s="1"/>
      <c r="M264" s="1"/>
      <c r="N264" s="1"/>
      <c r="O264" s="1"/>
      <c r="P264" s="1"/>
      <c r="Q264" s="1"/>
      <c r="R264" s="1"/>
      <c r="S264" s="1"/>
      <c r="T264" s="1"/>
      <c r="U264" s="1"/>
      <c r="V264" s="1"/>
      <c r="W264" s="1"/>
      <c r="X264" s="1"/>
      <c r="Y264" s="1"/>
    </row>
    <row r="265" spans="1:25" ht="15.75" customHeight="1">
      <c r="A265" s="1"/>
      <c r="B265" s="1"/>
      <c r="C265" s="1"/>
      <c r="D265" s="1"/>
      <c r="E265" s="1"/>
      <c r="F265" s="1"/>
      <c r="G265" s="1"/>
      <c r="H265" s="1"/>
      <c r="I265" s="4"/>
      <c r="J265" s="4"/>
      <c r="K265" s="4"/>
      <c r="L265" s="1"/>
      <c r="M265" s="1"/>
      <c r="N265" s="1"/>
      <c r="O265" s="1"/>
      <c r="P265" s="1"/>
      <c r="Q265" s="1"/>
      <c r="R265" s="1"/>
      <c r="S265" s="1"/>
      <c r="T265" s="1"/>
      <c r="U265" s="1"/>
      <c r="V265" s="1"/>
      <c r="W265" s="1"/>
      <c r="X265" s="1"/>
      <c r="Y265" s="1"/>
    </row>
    <row r="266" spans="1:25" ht="15.75" customHeight="1">
      <c r="A266" s="1"/>
      <c r="B266" s="1"/>
      <c r="C266" s="1"/>
      <c r="D266" s="1"/>
      <c r="E266" s="1"/>
      <c r="F266" s="1"/>
      <c r="G266" s="1"/>
      <c r="H266" s="1"/>
      <c r="I266" s="4"/>
      <c r="J266" s="4"/>
      <c r="K266" s="4"/>
      <c r="L266" s="1"/>
      <c r="M266" s="1"/>
      <c r="N266" s="1"/>
      <c r="O266" s="1"/>
      <c r="P266" s="1"/>
      <c r="Q266" s="1"/>
      <c r="R266" s="1"/>
      <c r="S266" s="1"/>
      <c r="T266" s="1"/>
      <c r="U266" s="1"/>
      <c r="V266" s="1"/>
      <c r="W266" s="1"/>
      <c r="X266" s="1"/>
      <c r="Y266" s="1"/>
    </row>
    <row r="267" spans="1:25" ht="15.75" customHeight="1">
      <c r="A267" s="1"/>
      <c r="B267" s="1"/>
      <c r="C267" s="1"/>
      <c r="D267" s="1"/>
      <c r="E267" s="1"/>
      <c r="F267" s="1"/>
      <c r="G267" s="1"/>
      <c r="H267" s="1"/>
      <c r="I267" s="4"/>
      <c r="J267" s="4"/>
      <c r="K267" s="4"/>
      <c r="L267" s="1"/>
      <c r="M267" s="1"/>
      <c r="N267" s="1"/>
      <c r="O267" s="1"/>
      <c r="P267" s="1"/>
      <c r="Q267" s="1"/>
      <c r="R267" s="1"/>
      <c r="S267" s="1"/>
      <c r="T267" s="1"/>
      <c r="U267" s="1"/>
      <c r="V267" s="1"/>
      <c r="W267" s="1"/>
      <c r="X267" s="1"/>
      <c r="Y267" s="1"/>
    </row>
    <row r="268" spans="1:25" ht="15.75" customHeight="1">
      <c r="A268" s="1"/>
      <c r="B268" s="1"/>
      <c r="C268" s="1"/>
      <c r="D268" s="1"/>
      <c r="E268" s="1"/>
      <c r="F268" s="1"/>
      <c r="G268" s="1"/>
      <c r="H268" s="1"/>
      <c r="I268" s="4"/>
      <c r="J268" s="4"/>
      <c r="K268" s="4"/>
      <c r="L268" s="1"/>
      <c r="M268" s="1"/>
      <c r="N268" s="1"/>
      <c r="O268" s="1"/>
      <c r="P268" s="1"/>
      <c r="Q268" s="1"/>
      <c r="R268" s="1"/>
      <c r="S268" s="1"/>
      <c r="T268" s="1"/>
      <c r="U268" s="1"/>
      <c r="V268" s="1"/>
      <c r="W268" s="1"/>
      <c r="X268" s="1"/>
      <c r="Y268" s="1"/>
    </row>
    <row r="269" spans="1:25" ht="15.75" customHeight="1">
      <c r="A269" s="1"/>
      <c r="B269" s="1"/>
      <c r="C269" s="1"/>
      <c r="D269" s="1"/>
      <c r="E269" s="1"/>
      <c r="F269" s="1"/>
      <c r="G269" s="1"/>
      <c r="H269" s="1"/>
      <c r="I269" s="4"/>
      <c r="J269" s="4"/>
      <c r="K269" s="4"/>
      <c r="L269" s="1"/>
      <c r="M269" s="1"/>
      <c r="N269" s="1"/>
      <c r="O269" s="1"/>
      <c r="P269" s="1"/>
      <c r="Q269" s="1"/>
      <c r="R269" s="1"/>
      <c r="S269" s="1"/>
      <c r="T269" s="1"/>
      <c r="U269" s="1"/>
      <c r="V269" s="1"/>
      <c r="W269" s="1"/>
      <c r="X269" s="1"/>
      <c r="Y269" s="1"/>
    </row>
    <row r="270" spans="1:25" ht="15.75" customHeight="1">
      <c r="A270" s="1"/>
      <c r="B270" s="1"/>
      <c r="C270" s="1"/>
      <c r="D270" s="1"/>
      <c r="E270" s="1"/>
      <c r="F270" s="1"/>
      <c r="G270" s="1"/>
      <c r="H270" s="1"/>
      <c r="I270" s="4"/>
      <c r="J270" s="4"/>
      <c r="K270" s="4"/>
      <c r="L270" s="1"/>
      <c r="M270" s="1"/>
      <c r="N270" s="1"/>
      <c r="O270" s="1"/>
      <c r="P270" s="1"/>
      <c r="Q270" s="1"/>
      <c r="R270" s="1"/>
      <c r="S270" s="1"/>
      <c r="T270" s="1"/>
      <c r="U270" s="1"/>
      <c r="V270" s="1"/>
      <c r="W270" s="1"/>
      <c r="X270" s="1"/>
      <c r="Y270" s="1"/>
    </row>
    <row r="271" spans="1:25" ht="15.75" customHeight="1">
      <c r="A271" s="1"/>
      <c r="B271" s="1"/>
      <c r="C271" s="1"/>
      <c r="D271" s="1"/>
      <c r="E271" s="1"/>
      <c r="F271" s="1"/>
      <c r="G271" s="1"/>
      <c r="H271" s="1"/>
      <c r="I271" s="4"/>
      <c r="J271" s="4"/>
      <c r="K271" s="4"/>
      <c r="L271" s="1"/>
      <c r="M271" s="1"/>
      <c r="N271" s="1"/>
      <c r="O271" s="1"/>
      <c r="P271" s="1"/>
      <c r="Q271" s="1"/>
      <c r="R271" s="1"/>
      <c r="S271" s="1"/>
      <c r="T271" s="1"/>
      <c r="U271" s="1"/>
      <c r="V271" s="1"/>
      <c r="W271" s="1"/>
      <c r="X271" s="1"/>
      <c r="Y271" s="1"/>
    </row>
    <row r="272" spans="1:25" ht="15.75" customHeight="1">
      <c r="A272" s="1"/>
      <c r="B272" s="1"/>
      <c r="C272" s="1"/>
      <c r="D272" s="1"/>
      <c r="E272" s="1"/>
      <c r="F272" s="1"/>
      <c r="G272" s="1"/>
      <c r="H272" s="1"/>
      <c r="I272" s="4"/>
      <c r="J272" s="4"/>
      <c r="K272" s="4"/>
      <c r="L272" s="1"/>
      <c r="M272" s="1"/>
      <c r="N272" s="1"/>
      <c r="O272" s="1"/>
      <c r="P272" s="1"/>
      <c r="Q272" s="1"/>
      <c r="R272" s="1"/>
      <c r="S272" s="1"/>
      <c r="T272" s="1"/>
      <c r="U272" s="1"/>
      <c r="V272" s="1"/>
      <c r="W272" s="1"/>
      <c r="X272" s="1"/>
      <c r="Y272" s="1"/>
    </row>
    <row r="273" spans="1:25" ht="15.75" customHeight="1">
      <c r="A273" s="1"/>
      <c r="B273" s="1"/>
      <c r="C273" s="1"/>
      <c r="D273" s="1"/>
      <c r="E273" s="1"/>
      <c r="F273" s="1"/>
      <c r="G273" s="1"/>
      <c r="H273" s="1"/>
      <c r="I273" s="4"/>
      <c r="J273" s="4"/>
      <c r="K273" s="4"/>
      <c r="L273" s="1"/>
      <c r="M273" s="1"/>
      <c r="N273" s="1"/>
      <c r="O273" s="1"/>
      <c r="P273" s="1"/>
      <c r="Q273" s="1"/>
      <c r="R273" s="1"/>
      <c r="S273" s="1"/>
      <c r="T273" s="1"/>
      <c r="U273" s="1"/>
      <c r="V273" s="1"/>
      <c r="W273" s="1"/>
      <c r="X273" s="1"/>
      <c r="Y273" s="1"/>
    </row>
    <row r="274" spans="1:25" ht="15.75" customHeight="1">
      <c r="A274" s="1"/>
      <c r="B274" s="1"/>
      <c r="C274" s="1"/>
      <c r="D274" s="1"/>
      <c r="E274" s="1"/>
      <c r="F274" s="1"/>
      <c r="G274" s="1"/>
      <c r="H274" s="1"/>
      <c r="I274" s="4"/>
      <c r="J274" s="4"/>
      <c r="K274" s="4"/>
      <c r="L274" s="1"/>
      <c r="M274" s="1"/>
      <c r="N274" s="1"/>
      <c r="O274" s="1"/>
      <c r="P274" s="1"/>
      <c r="Q274" s="1"/>
      <c r="R274" s="1"/>
      <c r="S274" s="1"/>
      <c r="T274" s="1"/>
      <c r="U274" s="1"/>
      <c r="V274" s="1"/>
      <c r="W274" s="1"/>
      <c r="X274" s="1"/>
      <c r="Y274" s="1"/>
    </row>
    <row r="275" spans="1:25" ht="15.75" customHeight="1">
      <c r="A275" s="1"/>
      <c r="B275" s="1"/>
      <c r="C275" s="1"/>
      <c r="D275" s="1"/>
      <c r="E275" s="1"/>
      <c r="F275" s="1"/>
      <c r="G275" s="1"/>
      <c r="H275" s="1"/>
      <c r="I275" s="4"/>
      <c r="J275" s="4"/>
      <c r="K275" s="4"/>
      <c r="L275" s="1"/>
      <c r="M275" s="1"/>
      <c r="N275" s="1"/>
      <c r="O275" s="1"/>
      <c r="P275" s="1"/>
      <c r="Q275" s="1"/>
      <c r="R275" s="1"/>
      <c r="S275" s="1"/>
      <c r="T275" s="1"/>
      <c r="U275" s="1"/>
      <c r="V275" s="1"/>
      <c r="W275" s="1"/>
      <c r="X275" s="1"/>
      <c r="Y275" s="1"/>
    </row>
    <row r="276" spans="1:25" ht="15.75" customHeight="1">
      <c r="A276" s="1"/>
      <c r="B276" s="1"/>
      <c r="C276" s="1"/>
      <c r="D276" s="1"/>
      <c r="E276" s="1"/>
      <c r="F276" s="1"/>
      <c r="G276" s="1"/>
      <c r="H276" s="1"/>
      <c r="I276" s="4"/>
      <c r="J276" s="4"/>
      <c r="K276" s="4"/>
      <c r="L276" s="1"/>
      <c r="M276" s="1"/>
      <c r="N276" s="1"/>
      <c r="O276" s="1"/>
      <c r="P276" s="1"/>
      <c r="Q276" s="1"/>
      <c r="R276" s="1"/>
      <c r="S276" s="1"/>
      <c r="T276" s="1"/>
      <c r="U276" s="1"/>
      <c r="V276" s="1"/>
      <c r="W276" s="1"/>
      <c r="X276" s="1"/>
      <c r="Y276" s="1"/>
    </row>
    <row r="277" spans="1:25" ht="15.75" customHeight="1">
      <c r="A277" s="1"/>
      <c r="B277" s="1"/>
      <c r="C277" s="1"/>
      <c r="D277" s="1"/>
      <c r="E277" s="1"/>
      <c r="F277" s="1"/>
      <c r="G277" s="1"/>
      <c r="H277" s="1"/>
      <c r="I277" s="4"/>
      <c r="J277" s="4"/>
      <c r="K277" s="4"/>
      <c r="L277" s="1"/>
      <c r="M277" s="1"/>
      <c r="N277" s="1"/>
      <c r="O277" s="1"/>
      <c r="P277" s="1"/>
      <c r="Q277" s="1"/>
      <c r="R277" s="1"/>
      <c r="S277" s="1"/>
      <c r="T277" s="1"/>
      <c r="U277" s="1"/>
      <c r="V277" s="1"/>
      <c r="W277" s="1"/>
      <c r="X277" s="1"/>
      <c r="Y277" s="1"/>
    </row>
    <row r="278" spans="1:25" ht="15.75" customHeight="1">
      <c r="A278" s="1"/>
      <c r="B278" s="1"/>
      <c r="C278" s="1"/>
      <c r="D278" s="1"/>
      <c r="E278" s="1"/>
      <c r="F278" s="1"/>
      <c r="G278" s="1"/>
      <c r="H278" s="1"/>
      <c r="I278" s="4"/>
      <c r="J278" s="4"/>
      <c r="K278" s="4"/>
      <c r="L278" s="1"/>
      <c r="M278" s="1"/>
      <c r="N278" s="1"/>
      <c r="O278" s="1"/>
      <c r="P278" s="1"/>
      <c r="Q278" s="1"/>
      <c r="R278" s="1"/>
      <c r="S278" s="1"/>
      <c r="T278" s="1"/>
      <c r="U278" s="1"/>
      <c r="V278" s="1"/>
      <c r="W278" s="1"/>
      <c r="X278" s="1"/>
      <c r="Y278" s="1"/>
    </row>
    <row r="279" spans="1:25" ht="15.75" customHeight="1">
      <c r="A279" s="1"/>
      <c r="B279" s="1"/>
      <c r="C279" s="1"/>
      <c r="D279" s="1"/>
      <c r="E279" s="1"/>
      <c r="F279" s="1"/>
      <c r="G279" s="1"/>
      <c r="H279" s="1"/>
      <c r="I279" s="4"/>
      <c r="J279" s="4"/>
      <c r="K279" s="4"/>
      <c r="L279" s="1"/>
      <c r="M279" s="1"/>
      <c r="N279" s="1"/>
      <c r="O279" s="1"/>
      <c r="P279" s="1"/>
      <c r="Q279" s="1"/>
      <c r="R279" s="1"/>
      <c r="S279" s="1"/>
      <c r="T279" s="1"/>
      <c r="U279" s="1"/>
      <c r="V279" s="1"/>
      <c r="W279" s="1"/>
      <c r="X279" s="1"/>
      <c r="Y279" s="1"/>
    </row>
    <row r="280" spans="1:25" ht="15.75" customHeight="1">
      <c r="A280" s="1"/>
      <c r="B280" s="1"/>
      <c r="C280" s="1"/>
      <c r="D280" s="1"/>
      <c r="E280" s="1"/>
      <c r="F280" s="1"/>
      <c r="G280" s="1"/>
      <c r="H280" s="1"/>
      <c r="I280" s="4"/>
      <c r="J280" s="4"/>
      <c r="K280" s="4"/>
      <c r="L280" s="1"/>
      <c r="M280" s="1"/>
      <c r="N280" s="1"/>
      <c r="O280" s="1"/>
      <c r="P280" s="1"/>
      <c r="Q280" s="1"/>
      <c r="R280" s="1"/>
      <c r="S280" s="1"/>
      <c r="T280" s="1"/>
      <c r="U280" s="1"/>
      <c r="V280" s="1"/>
      <c r="W280" s="1"/>
      <c r="X280" s="1"/>
      <c r="Y280" s="1"/>
    </row>
    <row r="281" spans="1:25" ht="15.75" customHeight="1">
      <c r="A281" s="1"/>
      <c r="B281" s="1"/>
      <c r="C281" s="1"/>
      <c r="D281" s="1"/>
      <c r="E281" s="1"/>
      <c r="F281" s="1"/>
      <c r="G281" s="1"/>
      <c r="H281" s="1"/>
      <c r="I281" s="4"/>
      <c r="J281" s="4"/>
      <c r="K281" s="4"/>
      <c r="L281" s="1"/>
      <c r="M281" s="1"/>
      <c r="N281" s="1"/>
      <c r="O281" s="1"/>
      <c r="P281" s="1"/>
      <c r="Q281" s="1"/>
      <c r="R281" s="1"/>
      <c r="S281" s="1"/>
      <c r="T281" s="1"/>
      <c r="U281" s="1"/>
      <c r="V281" s="1"/>
      <c r="W281" s="1"/>
      <c r="X281" s="1"/>
      <c r="Y281" s="1"/>
    </row>
    <row r="282" spans="1:25" ht="15.75" customHeight="1">
      <c r="A282" s="1"/>
      <c r="B282" s="1"/>
      <c r="C282" s="1"/>
      <c r="D282" s="1"/>
      <c r="E282" s="1"/>
      <c r="F282" s="1"/>
      <c r="G282" s="1"/>
      <c r="H282" s="1"/>
      <c r="I282" s="4"/>
      <c r="J282" s="4"/>
      <c r="K282" s="4"/>
      <c r="L282" s="1"/>
      <c r="M282" s="1"/>
      <c r="N282" s="1"/>
      <c r="O282" s="1"/>
      <c r="P282" s="1"/>
      <c r="Q282" s="1"/>
      <c r="R282" s="1"/>
      <c r="S282" s="1"/>
      <c r="T282" s="1"/>
      <c r="U282" s="1"/>
      <c r="V282" s="1"/>
      <c r="W282" s="1"/>
      <c r="X282" s="1"/>
      <c r="Y282" s="1"/>
    </row>
    <row r="283" spans="1:25" ht="15.75" customHeight="1">
      <c r="A283" s="1"/>
      <c r="B283" s="1"/>
      <c r="C283" s="1"/>
      <c r="D283" s="1"/>
      <c r="E283" s="1"/>
      <c r="F283" s="1"/>
      <c r="G283" s="1"/>
      <c r="H283" s="1"/>
      <c r="I283" s="4"/>
      <c r="J283" s="4"/>
      <c r="K283" s="4"/>
      <c r="L283" s="1"/>
      <c r="M283" s="1"/>
      <c r="N283" s="1"/>
      <c r="O283" s="1"/>
      <c r="P283" s="1"/>
      <c r="Q283" s="1"/>
      <c r="R283" s="1"/>
      <c r="S283" s="1"/>
      <c r="T283" s="1"/>
      <c r="U283" s="1"/>
      <c r="V283" s="1"/>
      <c r="W283" s="1"/>
      <c r="X283" s="1"/>
      <c r="Y283" s="1"/>
    </row>
    <row r="284" spans="1:25" ht="15.75" customHeight="1">
      <c r="A284" s="1"/>
      <c r="B284" s="1"/>
      <c r="C284" s="1"/>
      <c r="D284" s="1"/>
      <c r="E284" s="1"/>
      <c r="F284" s="1"/>
      <c r="G284" s="1"/>
      <c r="H284" s="1"/>
      <c r="I284" s="4"/>
      <c r="J284" s="4"/>
      <c r="K284" s="4"/>
      <c r="L284" s="1"/>
      <c r="M284" s="1"/>
      <c r="N284" s="1"/>
      <c r="O284" s="1"/>
      <c r="P284" s="1"/>
      <c r="Q284" s="1"/>
      <c r="R284" s="1"/>
      <c r="S284" s="1"/>
      <c r="T284" s="1"/>
      <c r="U284" s="1"/>
      <c r="V284" s="1"/>
      <c r="W284" s="1"/>
      <c r="X284" s="1"/>
      <c r="Y284" s="1"/>
    </row>
    <row r="285" spans="1:25" ht="15.75" customHeight="1">
      <c r="A285" s="1"/>
      <c r="B285" s="1"/>
      <c r="C285" s="1"/>
      <c r="D285" s="1"/>
      <c r="E285" s="1"/>
      <c r="F285" s="1"/>
      <c r="G285" s="1"/>
      <c r="H285" s="1"/>
      <c r="I285" s="4"/>
      <c r="J285" s="4"/>
      <c r="K285" s="4"/>
      <c r="L285" s="1"/>
      <c r="M285" s="1"/>
      <c r="N285" s="1"/>
      <c r="O285" s="1"/>
      <c r="P285" s="1"/>
      <c r="Q285" s="1"/>
      <c r="R285" s="1"/>
      <c r="S285" s="1"/>
      <c r="T285" s="1"/>
      <c r="U285" s="1"/>
      <c r="V285" s="1"/>
      <c r="W285" s="1"/>
      <c r="X285" s="1"/>
      <c r="Y285" s="1"/>
    </row>
    <row r="286" spans="1:25" ht="15.75" customHeight="1">
      <c r="A286" s="1"/>
      <c r="B286" s="1"/>
      <c r="C286" s="1"/>
      <c r="D286" s="1"/>
      <c r="E286" s="1"/>
      <c r="F286" s="1"/>
      <c r="G286" s="1"/>
      <c r="H286" s="1"/>
      <c r="I286" s="4"/>
      <c r="J286" s="4"/>
      <c r="K286" s="4"/>
      <c r="L286" s="1"/>
      <c r="M286" s="1"/>
      <c r="N286" s="1"/>
      <c r="O286" s="1"/>
      <c r="P286" s="1"/>
      <c r="Q286" s="1"/>
      <c r="R286" s="1"/>
      <c r="S286" s="1"/>
      <c r="T286" s="1"/>
      <c r="U286" s="1"/>
      <c r="V286" s="1"/>
      <c r="W286" s="1"/>
      <c r="X286" s="1"/>
      <c r="Y286" s="1"/>
    </row>
    <row r="287" spans="1:25" ht="15.75" customHeight="1">
      <c r="A287" s="1"/>
      <c r="B287" s="1"/>
      <c r="C287" s="1"/>
      <c r="D287" s="1"/>
      <c r="E287" s="1"/>
      <c r="F287" s="1"/>
      <c r="G287" s="1"/>
      <c r="H287" s="1"/>
      <c r="I287" s="4"/>
      <c r="J287" s="4"/>
      <c r="K287" s="4"/>
      <c r="L287" s="1"/>
      <c r="M287" s="1"/>
      <c r="N287" s="1"/>
      <c r="O287" s="1"/>
      <c r="P287" s="1"/>
      <c r="Q287" s="1"/>
      <c r="R287" s="1"/>
      <c r="S287" s="1"/>
      <c r="T287" s="1"/>
      <c r="U287" s="1"/>
      <c r="V287" s="1"/>
      <c r="W287" s="1"/>
      <c r="X287" s="1"/>
      <c r="Y287" s="1"/>
    </row>
    <row r="288" spans="1:25" ht="15.75" customHeight="1">
      <c r="A288" s="1"/>
      <c r="B288" s="1"/>
      <c r="C288" s="1"/>
      <c r="D288" s="1"/>
      <c r="E288" s="1"/>
      <c r="F288" s="1"/>
      <c r="G288" s="1"/>
      <c r="H288" s="1"/>
      <c r="I288" s="4"/>
      <c r="J288" s="4"/>
      <c r="K288" s="4"/>
      <c r="L288" s="1"/>
      <c r="M288" s="1"/>
      <c r="N288" s="1"/>
      <c r="O288" s="1"/>
      <c r="P288" s="1"/>
      <c r="Q288" s="1"/>
      <c r="R288" s="1"/>
      <c r="S288" s="1"/>
      <c r="T288" s="1"/>
      <c r="U288" s="1"/>
      <c r="V288" s="1"/>
      <c r="W288" s="1"/>
      <c r="X288" s="1"/>
      <c r="Y288" s="1"/>
    </row>
    <row r="289" spans="1:25" ht="15.75" customHeight="1">
      <c r="A289" s="1"/>
      <c r="B289" s="1"/>
      <c r="C289" s="1"/>
      <c r="D289" s="1"/>
      <c r="E289" s="1"/>
      <c r="F289" s="1"/>
      <c r="G289" s="1"/>
      <c r="H289" s="1"/>
      <c r="I289" s="4"/>
      <c r="J289" s="4"/>
      <c r="K289" s="4"/>
      <c r="L289" s="1"/>
      <c r="M289" s="1"/>
      <c r="N289" s="1"/>
      <c r="O289" s="1"/>
      <c r="P289" s="1"/>
      <c r="Q289" s="1"/>
      <c r="R289" s="1"/>
      <c r="S289" s="1"/>
      <c r="T289" s="1"/>
      <c r="U289" s="1"/>
      <c r="V289" s="1"/>
      <c r="W289" s="1"/>
      <c r="X289" s="1"/>
      <c r="Y289" s="1"/>
    </row>
    <row r="290" spans="1:25" ht="15.75" customHeight="1">
      <c r="A290" s="1"/>
      <c r="B290" s="1"/>
      <c r="C290" s="1"/>
      <c r="D290" s="1"/>
      <c r="E290" s="1"/>
      <c r="F290" s="1"/>
      <c r="G290" s="1"/>
      <c r="H290" s="1"/>
      <c r="I290" s="4"/>
      <c r="J290" s="4"/>
      <c r="K290" s="4"/>
      <c r="L290" s="1"/>
      <c r="M290" s="1"/>
      <c r="N290" s="1"/>
      <c r="O290" s="1"/>
      <c r="P290" s="1"/>
      <c r="Q290" s="1"/>
      <c r="R290" s="1"/>
      <c r="S290" s="1"/>
      <c r="T290" s="1"/>
      <c r="U290" s="1"/>
      <c r="V290" s="1"/>
      <c r="W290" s="1"/>
      <c r="X290" s="1"/>
      <c r="Y290" s="1"/>
    </row>
    <row r="291" spans="1:25" ht="15.75" customHeight="1">
      <c r="A291" s="1"/>
      <c r="B291" s="1"/>
      <c r="C291" s="1"/>
      <c r="D291" s="1"/>
      <c r="E291" s="1"/>
      <c r="F291" s="1"/>
      <c r="G291" s="1"/>
      <c r="H291" s="1"/>
      <c r="I291" s="4"/>
      <c r="J291" s="4"/>
      <c r="K291" s="4"/>
      <c r="L291" s="1"/>
      <c r="M291" s="1"/>
      <c r="N291" s="1"/>
      <c r="O291" s="1"/>
      <c r="P291" s="1"/>
      <c r="Q291" s="1"/>
      <c r="R291" s="1"/>
      <c r="S291" s="1"/>
      <c r="T291" s="1"/>
      <c r="U291" s="1"/>
      <c r="V291" s="1"/>
      <c r="W291" s="1"/>
      <c r="X291" s="1"/>
      <c r="Y291" s="1"/>
    </row>
    <row r="292" spans="1:25" ht="15.75" customHeight="1">
      <c r="A292" s="1"/>
      <c r="B292" s="1"/>
      <c r="C292" s="1"/>
      <c r="D292" s="1"/>
      <c r="E292" s="1"/>
      <c r="F292" s="1"/>
      <c r="G292" s="1"/>
      <c r="H292" s="1"/>
      <c r="I292" s="4"/>
      <c r="J292" s="4"/>
      <c r="K292" s="4"/>
      <c r="L292" s="1"/>
      <c r="M292" s="1"/>
      <c r="N292" s="1"/>
      <c r="O292" s="1"/>
      <c r="P292" s="1"/>
      <c r="Q292" s="1"/>
      <c r="R292" s="1"/>
      <c r="S292" s="1"/>
      <c r="T292" s="1"/>
      <c r="U292" s="1"/>
      <c r="V292" s="1"/>
      <c r="W292" s="1"/>
      <c r="X292" s="1"/>
      <c r="Y292" s="1"/>
    </row>
    <row r="293" spans="1:25" ht="15.75" customHeight="1">
      <c r="A293" s="1"/>
      <c r="B293" s="1"/>
      <c r="C293" s="1"/>
      <c r="D293" s="1"/>
      <c r="E293" s="1"/>
      <c r="F293" s="1"/>
      <c r="G293" s="1"/>
      <c r="H293" s="1"/>
      <c r="I293" s="4"/>
      <c r="J293" s="4"/>
      <c r="K293" s="4"/>
      <c r="L293" s="1"/>
      <c r="M293" s="1"/>
      <c r="N293" s="1"/>
      <c r="O293" s="1"/>
      <c r="P293" s="1"/>
      <c r="Q293" s="1"/>
      <c r="R293" s="1"/>
      <c r="S293" s="1"/>
      <c r="T293" s="1"/>
      <c r="U293" s="1"/>
      <c r="V293" s="1"/>
      <c r="W293" s="1"/>
      <c r="X293" s="1"/>
      <c r="Y293" s="1"/>
    </row>
    <row r="294" spans="1:25" ht="15.75" customHeight="1">
      <c r="A294" s="1"/>
      <c r="B294" s="1"/>
      <c r="C294" s="1"/>
      <c r="D294" s="1"/>
      <c r="E294" s="1"/>
      <c r="F294" s="1"/>
      <c r="G294" s="1"/>
      <c r="H294" s="1"/>
      <c r="I294" s="4"/>
      <c r="J294" s="4"/>
      <c r="K294" s="4"/>
      <c r="L294" s="1"/>
      <c r="M294" s="1"/>
      <c r="N294" s="1"/>
      <c r="O294" s="1"/>
      <c r="P294" s="1"/>
      <c r="Q294" s="1"/>
      <c r="R294" s="1"/>
      <c r="S294" s="1"/>
      <c r="T294" s="1"/>
      <c r="U294" s="1"/>
      <c r="V294" s="1"/>
      <c r="W294" s="1"/>
      <c r="X294" s="1"/>
      <c r="Y294" s="1"/>
    </row>
    <row r="295" spans="1:25" ht="15.75" customHeight="1">
      <c r="A295" s="1"/>
      <c r="B295" s="1"/>
      <c r="C295" s="1"/>
      <c r="D295" s="1"/>
      <c r="E295" s="1"/>
      <c r="F295" s="1"/>
      <c r="G295" s="1"/>
      <c r="H295" s="1"/>
      <c r="I295" s="4"/>
      <c r="J295" s="4"/>
      <c r="K295" s="4"/>
      <c r="L295" s="1"/>
      <c r="M295" s="1"/>
      <c r="N295" s="1"/>
      <c r="O295" s="1"/>
      <c r="P295" s="1"/>
      <c r="Q295" s="1"/>
      <c r="R295" s="1"/>
      <c r="S295" s="1"/>
      <c r="T295" s="1"/>
      <c r="U295" s="1"/>
      <c r="V295" s="1"/>
      <c r="W295" s="1"/>
      <c r="X295" s="1"/>
      <c r="Y295" s="1"/>
    </row>
    <row r="296" spans="1:25" ht="15.75" customHeight="1">
      <c r="A296" s="1"/>
      <c r="B296" s="1"/>
      <c r="C296" s="1"/>
      <c r="D296" s="1"/>
      <c r="E296" s="1"/>
      <c r="F296" s="1"/>
      <c r="G296" s="1"/>
      <c r="H296" s="1"/>
      <c r="I296" s="4"/>
      <c r="J296" s="4"/>
      <c r="K296" s="4"/>
      <c r="L296" s="1"/>
      <c r="M296" s="1"/>
      <c r="N296" s="1"/>
      <c r="O296" s="1"/>
      <c r="P296" s="1"/>
      <c r="Q296" s="1"/>
      <c r="R296" s="1"/>
      <c r="S296" s="1"/>
      <c r="T296" s="1"/>
      <c r="U296" s="1"/>
      <c r="V296" s="1"/>
      <c r="W296" s="1"/>
      <c r="X296" s="1"/>
      <c r="Y296" s="1"/>
    </row>
    <row r="297" spans="1:25" ht="15.75" customHeight="1">
      <c r="A297" s="1"/>
      <c r="B297" s="1"/>
      <c r="C297" s="1"/>
      <c r="D297" s="1"/>
      <c r="E297" s="1"/>
      <c r="F297" s="1"/>
      <c r="G297" s="1"/>
      <c r="H297" s="1"/>
      <c r="I297" s="4"/>
      <c r="J297" s="4"/>
      <c r="K297" s="4"/>
      <c r="L297" s="1"/>
      <c r="M297" s="1"/>
      <c r="N297" s="1"/>
      <c r="O297" s="1"/>
      <c r="P297" s="1"/>
      <c r="Q297" s="1"/>
      <c r="R297" s="1"/>
      <c r="S297" s="1"/>
      <c r="T297" s="1"/>
      <c r="U297" s="1"/>
      <c r="V297" s="1"/>
      <c r="W297" s="1"/>
      <c r="X297" s="1"/>
      <c r="Y297" s="1"/>
    </row>
    <row r="298" spans="1:25" ht="15.75" customHeight="1">
      <c r="A298" s="1"/>
      <c r="B298" s="1"/>
      <c r="C298" s="1"/>
      <c r="D298" s="1"/>
      <c r="E298" s="1"/>
      <c r="F298" s="1"/>
      <c r="G298" s="1"/>
      <c r="H298" s="1"/>
      <c r="I298" s="4"/>
      <c r="J298" s="4"/>
      <c r="K298" s="4"/>
      <c r="L298" s="1"/>
      <c r="M298" s="1"/>
      <c r="N298" s="1"/>
      <c r="O298" s="1"/>
      <c r="P298" s="1"/>
      <c r="Q298" s="1"/>
      <c r="R298" s="1"/>
      <c r="S298" s="1"/>
      <c r="T298" s="1"/>
      <c r="U298" s="1"/>
      <c r="V298" s="1"/>
      <c r="W298" s="1"/>
      <c r="X298" s="1"/>
      <c r="Y298" s="1"/>
    </row>
    <row r="299" spans="1:25" ht="15.75" customHeight="1">
      <c r="A299" s="1"/>
      <c r="B299" s="1"/>
      <c r="C299" s="1"/>
      <c r="D299" s="1"/>
      <c r="E299" s="1"/>
      <c r="F299" s="1"/>
      <c r="G299" s="1"/>
      <c r="H299" s="1"/>
      <c r="I299" s="4"/>
      <c r="J299" s="4"/>
      <c r="K299" s="4"/>
      <c r="L299" s="1"/>
      <c r="M299" s="1"/>
      <c r="N299" s="1"/>
      <c r="O299" s="1"/>
      <c r="P299" s="1"/>
      <c r="Q299" s="1"/>
      <c r="R299" s="1"/>
      <c r="S299" s="1"/>
      <c r="T299" s="1"/>
      <c r="U299" s="1"/>
      <c r="V299" s="1"/>
      <c r="W299" s="1"/>
      <c r="X299" s="1"/>
      <c r="Y299" s="1"/>
    </row>
    <row r="300" spans="1:25" ht="15.75" customHeight="1">
      <c r="A300" s="1"/>
      <c r="B300" s="1"/>
      <c r="C300" s="1"/>
      <c r="D300" s="1"/>
      <c r="E300" s="1"/>
      <c r="F300" s="1"/>
      <c r="G300" s="1"/>
      <c r="H300" s="1"/>
      <c r="I300" s="4"/>
      <c r="J300" s="4"/>
      <c r="K300" s="4"/>
      <c r="L300" s="1"/>
      <c r="M300" s="1"/>
      <c r="N300" s="1"/>
      <c r="O300" s="1"/>
      <c r="P300" s="1"/>
      <c r="Q300" s="1"/>
      <c r="R300" s="1"/>
      <c r="S300" s="1"/>
      <c r="T300" s="1"/>
      <c r="U300" s="1"/>
      <c r="V300" s="1"/>
      <c r="W300" s="1"/>
      <c r="X300" s="1"/>
      <c r="Y300" s="1"/>
    </row>
    <row r="301" spans="1:25" ht="15.75" customHeight="1">
      <c r="A301" s="1"/>
      <c r="B301" s="1"/>
      <c r="C301" s="1"/>
      <c r="D301" s="1"/>
      <c r="E301" s="1"/>
      <c r="F301" s="1"/>
      <c r="G301" s="1"/>
      <c r="H301" s="1"/>
      <c r="I301" s="4"/>
      <c r="J301" s="4"/>
      <c r="K301" s="4"/>
      <c r="L301" s="1"/>
      <c r="M301" s="1"/>
      <c r="N301" s="1"/>
      <c r="O301" s="1"/>
      <c r="P301" s="1"/>
      <c r="Q301" s="1"/>
      <c r="R301" s="1"/>
      <c r="S301" s="1"/>
      <c r="T301" s="1"/>
      <c r="U301" s="1"/>
      <c r="V301" s="1"/>
      <c r="W301" s="1"/>
      <c r="X301" s="1"/>
      <c r="Y301" s="1"/>
    </row>
    <row r="302" spans="1:25" ht="15.75" customHeight="1">
      <c r="A302" s="1"/>
      <c r="B302" s="1"/>
      <c r="C302" s="1"/>
      <c r="D302" s="1"/>
      <c r="E302" s="1"/>
      <c r="F302" s="1"/>
      <c r="G302" s="1"/>
      <c r="H302" s="1"/>
      <c r="I302" s="4"/>
      <c r="J302" s="4"/>
      <c r="K302" s="4"/>
      <c r="L302" s="1"/>
      <c r="M302" s="1"/>
      <c r="N302" s="1"/>
      <c r="O302" s="1"/>
      <c r="P302" s="1"/>
      <c r="Q302" s="1"/>
      <c r="R302" s="1"/>
      <c r="S302" s="1"/>
      <c r="T302" s="1"/>
      <c r="U302" s="1"/>
      <c r="V302" s="1"/>
      <c r="W302" s="1"/>
      <c r="X302" s="1"/>
      <c r="Y302" s="1"/>
    </row>
    <row r="303" spans="1:25" ht="15.75" customHeight="1">
      <c r="A303" s="1"/>
      <c r="B303" s="1"/>
      <c r="C303" s="1"/>
      <c r="D303" s="1"/>
      <c r="E303" s="1"/>
      <c r="F303" s="1"/>
      <c r="G303" s="1"/>
      <c r="H303" s="1"/>
      <c r="I303" s="4"/>
      <c r="J303" s="4"/>
      <c r="K303" s="4"/>
      <c r="L303" s="1"/>
      <c r="M303" s="1"/>
      <c r="N303" s="1"/>
      <c r="O303" s="1"/>
      <c r="P303" s="1"/>
      <c r="Q303" s="1"/>
      <c r="R303" s="1"/>
      <c r="S303" s="1"/>
      <c r="T303" s="1"/>
      <c r="U303" s="1"/>
      <c r="V303" s="1"/>
      <c r="W303" s="1"/>
      <c r="X303" s="1"/>
      <c r="Y303" s="1"/>
    </row>
    <row r="304" spans="1:25" ht="15.75" customHeight="1">
      <c r="A304" s="1"/>
      <c r="B304" s="1"/>
      <c r="C304" s="1"/>
      <c r="D304" s="1"/>
      <c r="E304" s="1"/>
      <c r="F304" s="1"/>
      <c r="G304" s="1"/>
      <c r="H304" s="1"/>
      <c r="I304" s="4"/>
      <c r="J304" s="4"/>
      <c r="K304" s="4"/>
      <c r="L304" s="1"/>
      <c r="M304" s="1"/>
      <c r="N304" s="1"/>
      <c r="O304" s="1"/>
      <c r="P304" s="1"/>
      <c r="Q304" s="1"/>
      <c r="R304" s="1"/>
      <c r="S304" s="1"/>
      <c r="T304" s="1"/>
      <c r="U304" s="1"/>
      <c r="V304" s="1"/>
      <c r="W304" s="1"/>
      <c r="X304" s="1"/>
      <c r="Y304" s="1"/>
    </row>
    <row r="305" spans="1:25" ht="15.75" customHeight="1">
      <c r="A305" s="1"/>
      <c r="B305" s="1"/>
      <c r="C305" s="1"/>
      <c r="D305" s="1"/>
      <c r="E305" s="1"/>
      <c r="F305" s="1"/>
      <c r="G305" s="1"/>
      <c r="H305" s="1"/>
      <c r="I305" s="4"/>
      <c r="J305" s="4"/>
      <c r="K305" s="4"/>
      <c r="L305" s="1"/>
      <c r="M305" s="1"/>
      <c r="N305" s="1"/>
      <c r="O305" s="1"/>
      <c r="P305" s="1"/>
      <c r="Q305" s="1"/>
      <c r="R305" s="1"/>
      <c r="S305" s="1"/>
      <c r="T305" s="1"/>
      <c r="U305" s="1"/>
      <c r="V305" s="1"/>
      <c r="W305" s="1"/>
      <c r="X305" s="1"/>
      <c r="Y305" s="1"/>
    </row>
    <row r="306" spans="1:25" ht="15.75" customHeight="1">
      <c r="A306" s="1"/>
      <c r="B306" s="1"/>
      <c r="C306" s="1"/>
      <c r="D306" s="1"/>
      <c r="E306" s="1"/>
      <c r="F306" s="1"/>
      <c r="G306" s="1"/>
      <c r="H306" s="1"/>
      <c r="I306" s="4"/>
      <c r="J306" s="4"/>
      <c r="K306" s="4"/>
      <c r="L306" s="1"/>
      <c r="M306" s="1"/>
      <c r="N306" s="1"/>
      <c r="O306" s="1"/>
      <c r="P306" s="1"/>
      <c r="Q306" s="1"/>
      <c r="R306" s="1"/>
      <c r="S306" s="1"/>
      <c r="T306" s="1"/>
      <c r="U306" s="1"/>
      <c r="V306" s="1"/>
      <c r="W306" s="1"/>
      <c r="X306" s="1"/>
      <c r="Y306" s="1"/>
    </row>
    <row r="307" spans="1:25" ht="15.75" customHeight="1">
      <c r="A307" s="1"/>
      <c r="B307" s="1"/>
      <c r="C307" s="1"/>
      <c r="D307" s="1"/>
      <c r="E307" s="1"/>
      <c r="F307" s="1"/>
      <c r="G307" s="1"/>
      <c r="H307" s="1"/>
      <c r="I307" s="4"/>
      <c r="J307" s="4"/>
      <c r="K307" s="4"/>
      <c r="L307" s="1"/>
      <c r="M307" s="1"/>
      <c r="N307" s="1"/>
      <c r="O307" s="1"/>
      <c r="P307" s="1"/>
      <c r="Q307" s="1"/>
      <c r="R307" s="1"/>
      <c r="S307" s="1"/>
      <c r="T307" s="1"/>
      <c r="U307" s="1"/>
      <c r="V307" s="1"/>
      <c r="W307" s="1"/>
      <c r="X307" s="1"/>
      <c r="Y307" s="1"/>
    </row>
    <row r="308" spans="1:25" ht="15.75" customHeight="1">
      <c r="A308" s="1"/>
      <c r="B308" s="1"/>
      <c r="C308" s="1"/>
      <c r="D308" s="1"/>
      <c r="E308" s="1"/>
      <c r="F308" s="1"/>
      <c r="G308" s="1"/>
      <c r="H308" s="1"/>
      <c r="I308" s="4"/>
      <c r="J308" s="4"/>
      <c r="K308" s="4"/>
      <c r="L308" s="1"/>
      <c r="M308" s="1"/>
      <c r="N308" s="1"/>
      <c r="O308" s="1"/>
      <c r="P308" s="1"/>
      <c r="Q308" s="1"/>
      <c r="R308" s="1"/>
      <c r="S308" s="1"/>
      <c r="T308" s="1"/>
      <c r="U308" s="1"/>
      <c r="V308" s="1"/>
      <c r="W308" s="1"/>
      <c r="X308" s="1"/>
      <c r="Y308" s="1"/>
    </row>
    <row r="309" spans="1:25" ht="15.75" customHeight="1">
      <c r="A309" s="1"/>
      <c r="B309" s="1"/>
      <c r="C309" s="1"/>
      <c r="D309" s="1"/>
      <c r="E309" s="1"/>
      <c r="F309" s="1"/>
      <c r="G309" s="1"/>
      <c r="H309" s="1"/>
      <c r="I309" s="4"/>
      <c r="J309" s="4"/>
      <c r="K309" s="4"/>
      <c r="L309" s="1"/>
      <c r="M309" s="1"/>
      <c r="N309" s="1"/>
      <c r="O309" s="1"/>
      <c r="P309" s="1"/>
      <c r="Q309" s="1"/>
      <c r="R309" s="1"/>
      <c r="S309" s="1"/>
      <c r="T309" s="1"/>
      <c r="U309" s="1"/>
      <c r="V309" s="1"/>
      <c r="W309" s="1"/>
      <c r="X309" s="1"/>
      <c r="Y309" s="1"/>
    </row>
    <row r="310" spans="1:25" ht="15.75" customHeight="1">
      <c r="A310" s="1"/>
      <c r="B310" s="1"/>
      <c r="C310" s="1"/>
      <c r="D310" s="1"/>
      <c r="E310" s="1"/>
      <c r="F310" s="1"/>
      <c r="G310" s="1"/>
      <c r="H310" s="1"/>
      <c r="I310" s="4"/>
      <c r="J310" s="4"/>
      <c r="K310" s="4"/>
      <c r="L310" s="1"/>
      <c r="M310" s="1"/>
      <c r="N310" s="1"/>
      <c r="O310" s="1"/>
      <c r="P310" s="1"/>
      <c r="Q310" s="1"/>
      <c r="R310" s="1"/>
      <c r="S310" s="1"/>
      <c r="T310" s="1"/>
      <c r="U310" s="1"/>
      <c r="V310" s="1"/>
      <c r="W310" s="1"/>
      <c r="X310" s="1"/>
      <c r="Y310" s="1"/>
    </row>
    <row r="311" spans="1:25" ht="15.75" customHeight="1">
      <c r="A311" s="1"/>
      <c r="B311" s="1"/>
      <c r="C311" s="1"/>
      <c r="D311" s="1"/>
      <c r="E311" s="1"/>
      <c r="F311" s="1"/>
      <c r="G311" s="1"/>
      <c r="H311" s="1"/>
      <c r="I311" s="4"/>
      <c r="J311" s="4"/>
      <c r="K311" s="4"/>
      <c r="L311" s="1"/>
      <c r="M311" s="1"/>
      <c r="N311" s="1"/>
      <c r="O311" s="1"/>
      <c r="P311" s="1"/>
      <c r="Q311" s="1"/>
      <c r="R311" s="1"/>
      <c r="S311" s="1"/>
      <c r="T311" s="1"/>
      <c r="U311" s="1"/>
      <c r="V311" s="1"/>
      <c r="W311" s="1"/>
      <c r="X311" s="1"/>
      <c r="Y311" s="1"/>
    </row>
    <row r="312" spans="1:25" ht="15.75" customHeight="1">
      <c r="A312" s="1"/>
      <c r="B312" s="1"/>
      <c r="C312" s="1"/>
      <c r="D312" s="1"/>
      <c r="E312" s="1"/>
      <c r="F312" s="1"/>
      <c r="G312" s="1"/>
      <c r="H312" s="1"/>
      <c r="I312" s="4"/>
      <c r="J312" s="4"/>
      <c r="K312" s="4"/>
      <c r="L312" s="1"/>
      <c r="M312" s="1"/>
      <c r="N312" s="1"/>
      <c r="O312" s="1"/>
      <c r="P312" s="1"/>
      <c r="Q312" s="1"/>
      <c r="R312" s="1"/>
      <c r="S312" s="1"/>
      <c r="T312" s="1"/>
      <c r="U312" s="1"/>
      <c r="V312" s="1"/>
      <c r="W312" s="1"/>
      <c r="X312" s="1"/>
      <c r="Y312" s="1"/>
    </row>
    <row r="313" spans="1:25" ht="15.75" customHeight="1">
      <c r="A313" s="1"/>
      <c r="B313" s="1"/>
      <c r="C313" s="1"/>
      <c r="D313" s="1"/>
      <c r="E313" s="1"/>
      <c r="F313" s="1"/>
      <c r="G313" s="1"/>
      <c r="H313" s="1"/>
      <c r="I313" s="4"/>
      <c r="J313" s="4"/>
      <c r="K313" s="4"/>
      <c r="L313" s="1"/>
      <c r="M313" s="1"/>
      <c r="N313" s="1"/>
      <c r="O313" s="1"/>
      <c r="P313" s="1"/>
      <c r="Q313" s="1"/>
      <c r="R313" s="1"/>
      <c r="S313" s="1"/>
      <c r="T313" s="1"/>
      <c r="U313" s="1"/>
      <c r="V313" s="1"/>
      <c r="W313" s="1"/>
      <c r="X313" s="1"/>
      <c r="Y313" s="1"/>
    </row>
    <row r="314" spans="1:25" ht="15.75" customHeight="1">
      <c r="A314" s="1"/>
      <c r="B314" s="1"/>
      <c r="C314" s="1"/>
      <c r="D314" s="1"/>
      <c r="E314" s="1"/>
      <c r="F314" s="1"/>
      <c r="G314" s="1"/>
      <c r="H314" s="1"/>
      <c r="I314" s="4"/>
      <c r="J314" s="4"/>
      <c r="K314" s="4"/>
      <c r="L314" s="1"/>
      <c r="M314" s="1"/>
      <c r="N314" s="1"/>
      <c r="O314" s="1"/>
      <c r="P314" s="1"/>
      <c r="Q314" s="1"/>
      <c r="R314" s="1"/>
      <c r="S314" s="1"/>
      <c r="T314" s="1"/>
      <c r="U314" s="1"/>
      <c r="V314" s="1"/>
      <c r="W314" s="1"/>
      <c r="X314" s="1"/>
      <c r="Y314" s="1"/>
    </row>
    <row r="315" spans="1:25" ht="15.75" customHeight="1">
      <c r="A315" s="1"/>
      <c r="B315" s="1"/>
      <c r="C315" s="1"/>
      <c r="D315" s="1"/>
      <c r="E315" s="1"/>
      <c r="F315" s="1"/>
      <c r="G315" s="1"/>
      <c r="H315" s="1"/>
      <c r="I315" s="4"/>
      <c r="J315" s="4"/>
      <c r="K315" s="4"/>
      <c r="L315" s="1"/>
      <c r="M315" s="1"/>
      <c r="N315" s="1"/>
      <c r="O315" s="1"/>
      <c r="P315" s="1"/>
      <c r="Q315" s="1"/>
      <c r="R315" s="1"/>
      <c r="S315" s="1"/>
      <c r="T315" s="1"/>
      <c r="U315" s="1"/>
      <c r="V315" s="1"/>
      <c r="W315" s="1"/>
      <c r="X315" s="1"/>
      <c r="Y315" s="1"/>
    </row>
    <row r="316" spans="1:25" ht="15.75" customHeight="1">
      <c r="A316" s="1"/>
      <c r="B316" s="1"/>
      <c r="C316" s="1"/>
      <c r="D316" s="1"/>
      <c r="E316" s="1"/>
      <c r="F316" s="1"/>
      <c r="G316" s="1"/>
      <c r="H316" s="1"/>
      <c r="I316" s="4"/>
      <c r="J316" s="4"/>
      <c r="K316" s="4"/>
      <c r="L316" s="1"/>
      <c r="M316" s="1"/>
      <c r="N316" s="1"/>
      <c r="O316" s="1"/>
      <c r="P316" s="1"/>
      <c r="Q316" s="1"/>
      <c r="R316" s="1"/>
      <c r="S316" s="1"/>
      <c r="T316" s="1"/>
      <c r="U316" s="1"/>
      <c r="V316" s="1"/>
      <c r="W316" s="1"/>
      <c r="X316" s="1"/>
      <c r="Y316" s="1"/>
    </row>
    <row r="317" spans="1:25" ht="15.75" customHeight="1">
      <c r="A317" s="1"/>
      <c r="B317" s="1"/>
      <c r="C317" s="1"/>
      <c r="D317" s="1"/>
      <c r="E317" s="1"/>
      <c r="F317" s="1"/>
      <c r="G317" s="1"/>
      <c r="H317" s="1"/>
      <c r="I317" s="4"/>
      <c r="J317" s="4"/>
      <c r="K317" s="4"/>
      <c r="L317" s="1"/>
      <c r="M317" s="1"/>
      <c r="N317" s="1"/>
      <c r="O317" s="1"/>
      <c r="P317" s="1"/>
      <c r="Q317" s="1"/>
      <c r="R317" s="1"/>
      <c r="S317" s="1"/>
      <c r="T317" s="1"/>
      <c r="U317" s="1"/>
      <c r="V317" s="1"/>
      <c r="W317" s="1"/>
      <c r="X317" s="1"/>
      <c r="Y317" s="1"/>
    </row>
    <row r="318" spans="1:25" ht="15.75" customHeight="1">
      <c r="A318" s="1"/>
      <c r="B318" s="1"/>
      <c r="C318" s="1"/>
      <c r="D318" s="1"/>
      <c r="E318" s="1"/>
      <c r="F318" s="1"/>
      <c r="G318" s="1"/>
      <c r="H318" s="1"/>
      <c r="I318" s="4"/>
      <c r="J318" s="4"/>
      <c r="K318" s="4"/>
      <c r="L318" s="1"/>
      <c r="M318" s="1"/>
      <c r="N318" s="1"/>
      <c r="O318" s="1"/>
      <c r="P318" s="1"/>
      <c r="Q318" s="1"/>
      <c r="R318" s="1"/>
      <c r="S318" s="1"/>
      <c r="T318" s="1"/>
      <c r="U318" s="1"/>
      <c r="V318" s="1"/>
      <c r="W318" s="1"/>
      <c r="X318" s="1"/>
      <c r="Y318" s="1"/>
    </row>
    <row r="319" spans="1:25" ht="15.75" customHeight="1">
      <c r="A319" s="1"/>
      <c r="B319" s="1"/>
      <c r="C319" s="1"/>
      <c r="D319" s="1"/>
      <c r="E319" s="1"/>
      <c r="F319" s="1"/>
      <c r="G319" s="1"/>
      <c r="H319" s="1"/>
      <c r="I319" s="4"/>
      <c r="J319" s="4"/>
      <c r="K319" s="4"/>
      <c r="L319" s="1"/>
      <c r="M319" s="1"/>
      <c r="N319" s="1"/>
      <c r="O319" s="1"/>
      <c r="P319" s="1"/>
      <c r="Q319" s="1"/>
      <c r="R319" s="1"/>
      <c r="S319" s="1"/>
      <c r="T319" s="1"/>
      <c r="U319" s="1"/>
      <c r="V319" s="1"/>
      <c r="W319" s="1"/>
      <c r="X319" s="1"/>
      <c r="Y319" s="1"/>
    </row>
    <row r="320" spans="1:25" ht="15.75" customHeight="1">
      <c r="A320" s="1"/>
      <c r="B320" s="1"/>
      <c r="C320" s="1"/>
      <c r="D320" s="1"/>
      <c r="E320" s="1"/>
      <c r="F320" s="1"/>
      <c r="G320" s="1"/>
      <c r="H320" s="1"/>
      <c r="I320" s="4"/>
      <c r="J320" s="4"/>
      <c r="K320" s="4"/>
      <c r="L320" s="1"/>
      <c r="M320" s="1"/>
      <c r="N320" s="1"/>
      <c r="O320" s="1"/>
      <c r="P320" s="1"/>
      <c r="Q320" s="1"/>
      <c r="R320" s="1"/>
      <c r="S320" s="1"/>
      <c r="T320" s="1"/>
      <c r="U320" s="1"/>
      <c r="V320" s="1"/>
      <c r="W320" s="1"/>
      <c r="X320" s="1"/>
      <c r="Y320" s="1"/>
    </row>
    <row r="321" spans="1:25" ht="15.75" customHeight="1">
      <c r="A321" s="1"/>
      <c r="B321" s="1"/>
      <c r="C321" s="1"/>
      <c r="D321" s="1"/>
      <c r="E321" s="1"/>
      <c r="F321" s="1"/>
      <c r="G321" s="1"/>
      <c r="H321" s="1"/>
      <c r="I321" s="4"/>
      <c r="J321" s="4"/>
      <c r="K321" s="4"/>
      <c r="L321" s="1"/>
      <c r="M321" s="1"/>
      <c r="N321" s="1"/>
      <c r="O321" s="1"/>
      <c r="P321" s="1"/>
      <c r="Q321" s="1"/>
      <c r="R321" s="1"/>
      <c r="S321" s="1"/>
      <c r="T321" s="1"/>
      <c r="U321" s="1"/>
      <c r="V321" s="1"/>
      <c r="W321" s="1"/>
      <c r="X321" s="1"/>
      <c r="Y321" s="1"/>
    </row>
    <row r="322" spans="1:25" ht="15.75" customHeight="1">
      <c r="A322" s="1"/>
      <c r="B322" s="1"/>
      <c r="C322" s="1"/>
      <c r="D322" s="1"/>
      <c r="E322" s="1"/>
      <c r="F322" s="1"/>
      <c r="G322" s="1"/>
      <c r="H322" s="1"/>
      <c r="I322" s="4"/>
      <c r="J322" s="4"/>
      <c r="K322" s="4"/>
      <c r="L322" s="1"/>
      <c r="M322" s="1"/>
      <c r="N322" s="1"/>
      <c r="O322" s="1"/>
      <c r="P322" s="1"/>
      <c r="Q322" s="1"/>
      <c r="R322" s="1"/>
      <c r="S322" s="1"/>
      <c r="T322" s="1"/>
      <c r="U322" s="1"/>
      <c r="V322" s="1"/>
      <c r="W322" s="1"/>
      <c r="X322" s="1"/>
      <c r="Y322" s="1"/>
    </row>
    <row r="323" spans="1:25" ht="15.75" customHeight="1">
      <c r="A323" s="1"/>
      <c r="B323" s="1"/>
      <c r="C323" s="1"/>
      <c r="D323" s="1"/>
      <c r="E323" s="1"/>
      <c r="F323" s="1"/>
      <c r="G323" s="1"/>
      <c r="H323" s="1"/>
      <c r="I323" s="4"/>
      <c r="J323" s="4"/>
      <c r="K323" s="4"/>
      <c r="L323" s="1"/>
      <c r="M323" s="1"/>
      <c r="N323" s="1"/>
      <c r="O323" s="1"/>
      <c r="P323" s="1"/>
      <c r="Q323" s="1"/>
      <c r="R323" s="1"/>
      <c r="S323" s="1"/>
      <c r="T323" s="1"/>
      <c r="U323" s="1"/>
      <c r="V323" s="1"/>
      <c r="W323" s="1"/>
      <c r="X323" s="1"/>
      <c r="Y323" s="1"/>
    </row>
    <row r="324" spans="1:25" ht="15.75" customHeight="1">
      <c r="A324" s="1"/>
      <c r="B324" s="1"/>
      <c r="C324" s="1"/>
      <c r="D324" s="1"/>
      <c r="E324" s="1"/>
      <c r="F324" s="1"/>
      <c r="G324" s="1"/>
      <c r="H324" s="1"/>
      <c r="I324" s="4"/>
      <c r="J324" s="4"/>
      <c r="K324" s="4"/>
      <c r="L324" s="1"/>
      <c r="M324" s="1"/>
      <c r="N324" s="1"/>
      <c r="O324" s="1"/>
      <c r="P324" s="1"/>
      <c r="Q324" s="1"/>
      <c r="R324" s="1"/>
      <c r="S324" s="1"/>
      <c r="T324" s="1"/>
      <c r="U324" s="1"/>
      <c r="V324" s="1"/>
      <c r="W324" s="1"/>
      <c r="X324" s="1"/>
      <c r="Y324" s="1"/>
    </row>
    <row r="325" spans="1:25" ht="15.75" customHeight="1">
      <c r="A325" s="1"/>
      <c r="B325" s="1"/>
      <c r="C325" s="1"/>
      <c r="D325" s="1"/>
      <c r="E325" s="1"/>
      <c r="F325" s="1"/>
      <c r="G325" s="1"/>
      <c r="H325" s="1"/>
      <c r="I325" s="4"/>
      <c r="J325" s="4"/>
      <c r="K325" s="4"/>
      <c r="L325" s="1"/>
      <c r="M325" s="1"/>
      <c r="N325" s="1"/>
      <c r="O325" s="1"/>
      <c r="P325" s="1"/>
      <c r="Q325" s="1"/>
      <c r="R325" s="1"/>
      <c r="S325" s="1"/>
      <c r="T325" s="1"/>
      <c r="U325" s="1"/>
      <c r="V325" s="1"/>
      <c r="W325" s="1"/>
      <c r="X325" s="1"/>
      <c r="Y325" s="1"/>
    </row>
    <row r="326" spans="1:25" ht="15.75" customHeight="1">
      <c r="A326" s="1"/>
      <c r="B326" s="1"/>
      <c r="C326" s="1"/>
      <c r="D326" s="1"/>
      <c r="E326" s="1"/>
      <c r="F326" s="1"/>
      <c r="G326" s="1"/>
      <c r="H326" s="1"/>
      <c r="I326" s="4"/>
      <c r="J326" s="4"/>
      <c r="K326" s="4"/>
      <c r="L326" s="1"/>
      <c r="M326" s="1"/>
      <c r="N326" s="1"/>
      <c r="O326" s="1"/>
      <c r="P326" s="1"/>
      <c r="Q326" s="1"/>
      <c r="R326" s="1"/>
      <c r="S326" s="1"/>
      <c r="T326" s="1"/>
      <c r="U326" s="1"/>
      <c r="V326" s="1"/>
      <c r="W326" s="1"/>
      <c r="X326" s="1"/>
      <c r="Y326" s="1"/>
    </row>
    <row r="327" spans="1:25" ht="15.75" customHeight="1">
      <c r="A327" s="1"/>
      <c r="B327" s="1"/>
      <c r="C327" s="1"/>
      <c r="D327" s="1"/>
      <c r="E327" s="1"/>
      <c r="F327" s="1"/>
      <c r="G327" s="1"/>
      <c r="H327" s="1"/>
      <c r="I327" s="4"/>
      <c r="J327" s="4"/>
      <c r="K327" s="4"/>
      <c r="L327" s="1"/>
      <c r="M327" s="1"/>
      <c r="N327" s="1"/>
      <c r="O327" s="1"/>
      <c r="P327" s="1"/>
      <c r="Q327" s="1"/>
      <c r="R327" s="1"/>
      <c r="S327" s="1"/>
      <c r="T327" s="1"/>
      <c r="U327" s="1"/>
      <c r="V327" s="1"/>
      <c r="W327" s="1"/>
      <c r="X327" s="1"/>
      <c r="Y327" s="1"/>
    </row>
    <row r="328" spans="1:25" ht="15.75" customHeight="1">
      <c r="A328" s="1"/>
      <c r="B328" s="1"/>
      <c r="C328" s="1"/>
      <c r="D328" s="1"/>
      <c r="E328" s="1"/>
      <c r="F328" s="1"/>
      <c r="G328" s="1"/>
      <c r="H328" s="1"/>
      <c r="I328" s="4"/>
      <c r="J328" s="4"/>
      <c r="K328" s="4"/>
      <c r="L328" s="1"/>
      <c r="M328" s="1"/>
      <c r="N328" s="1"/>
      <c r="O328" s="1"/>
      <c r="P328" s="1"/>
      <c r="Q328" s="1"/>
      <c r="R328" s="1"/>
      <c r="S328" s="1"/>
      <c r="T328" s="1"/>
      <c r="U328" s="1"/>
      <c r="V328" s="1"/>
      <c r="W328" s="1"/>
      <c r="X328" s="1"/>
      <c r="Y328" s="1"/>
    </row>
    <row r="329" spans="1:25" ht="15.75" customHeight="1">
      <c r="A329" s="1"/>
      <c r="B329" s="1"/>
      <c r="C329" s="1"/>
      <c r="D329" s="1"/>
      <c r="E329" s="1"/>
      <c r="F329" s="1"/>
      <c r="G329" s="1"/>
      <c r="H329" s="1"/>
      <c r="I329" s="4"/>
      <c r="J329" s="4"/>
      <c r="K329" s="4"/>
      <c r="L329" s="1"/>
      <c r="M329" s="1"/>
      <c r="N329" s="1"/>
      <c r="O329" s="1"/>
      <c r="P329" s="1"/>
      <c r="Q329" s="1"/>
      <c r="R329" s="1"/>
      <c r="S329" s="1"/>
      <c r="T329" s="1"/>
      <c r="U329" s="1"/>
      <c r="V329" s="1"/>
      <c r="W329" s="1"/>
      <c r="X329" s="1"/>
      <c r="Y329" s="1"/>
    </row>
    <row r="330" spans="1:25" ht="15.75" customHeight="1">
      <c r="A330" s="1"/>
      <c r="B330" s="1"/>
      <c r="C330" s="1"/>
      <c r="D330" s="1"/>
      <c r="E330" s="1"/>
      <c r="F330" s="1"/>
      <c r="G330" s="1"/>
      <c r="H330" s="1"/>
      <c r="I330" s="4"/>
      <c r="J330" s="4"/>
      <c r="K330" s="4"/>
      <c r="L330" s="1"/>
      <c r="M330" s="1"/>
      <c r="N330" s="1"/>
      <c r="O330" s="1"/>
      <c r="P330" s="1"/>
      <c r="Q330" s="1"/>
      <c r="R330" s="1"/>
      <c r="S330" s="1"/>
      <c r="T330" s="1"/>
      <c r="U330" s="1"/>
      <c r="V330" s="1"/>
      <c r="W330" s="1"/>
      <c r="X330" s="1"/>
      <c r="Y330" s="1"/>
    </row>
    <row r="331" spans="1:25" ht="15.75" customHeight="1">
      <c r="A331" s="1"/>
      <c r="B331" s="1"/>
      <c r="C331" s="1"/>
      <c r="D331" s="1"/>
      <c r="E331" s="1"/>
      <c r="F331" s="1"/>
      <c r="G331" s="1"/>
      <c r="H331" s="1"/>
      <c r="I331" s="4"/>
      <c r="J331" s="4"/>
      <c r="K331" s="4"/>
      <c r="L331" s="1"/>
      <c r="M331" s="1"/>
      <c r="N331" s="1"/>
      <c r="O331" s="1"/>
      <c r="P331" s="1"/>
      <c r="Q331" s="1"/>
      <c r="R331" s="1"/>
      <c r="S331" s="1"/>
      <c r="T331" s="1"/>
      <c r="U331" s="1"/>
      <c r="V331" s="1"/>
      <c r="W331" s="1"/>
      <c r="X331" s="1"/>
      <c r="Y331" s="1"/>
    </row>
    <row r="332" spans="1:25" ht="15.75" customHeight="1">
      <c r="A332" s="1"/>
      <c r="B332" s="1"/>
      <c r="C332" s="1"/>
      <c r="D332" s="1"/>
      <c r="E332" s="1"/>
      <c r="F332" s="1"/>
      <c r="G332" s="1"/>
      <c r="H332" s="1"/>
      <c r="I332" s="4"/>
      <c r="J332" s="4"/>
      <c r="K332" s="4"/>
      <c r="L332" s="1"/>
      <c r="M332" s="1"/>
      <c r="N332" s="1"/>
      <c r="O332" s="1"/>
      <c r="P332" s="1"/>
      <c r="Q332" s="1"/>
      <c r="R332" s="1"/>
      <c r="S332" s="1"/>
      <c r="T332" s="1"/>
      <c r="U332" s="1"/>
      <c r="V332" s="1"/>
      <c r="W332" s="1"/>
      <c r="X332" s="1"/>
      <c r="Y332" s="1"/>
    </row>
    <row r="333" spans="1:25" ht="15.75" customHeight="1">
      <c r="A333" s="1"/>
      <c r="B333" s="1"/>
      <c r="C333" s="1"/>
      <c r="D333" s="1"/>
      <c r="E333" s="1"/>
      <c r="F333" s="1"/>
      <c r="G333" s="1"/>
      <c r="H333" s="1"/>
      <c r="I333" s="4"/>
      <c r="J333" s="4"/>
      <c r="K333" s="4"/>
      <c r="L333" s="1"/>
      <c r="M333" s="1"/>
      <c r="N333" s="1"/>
      <c r="O333" s="1"/>
      <c r="P333" s="1"/>
      <c r="Q333" s="1"/>
      <c r="R333" s="1"/>
      <c r="S333" s="1"/>
      <c r="T333" s="1"/>
      <c r="U333" s="1"/>
      <c r="V333" s="1"/>
      <c r="W333" s="1"/>
      <c r="X333" s="1"/>
      <c r="Y333" s="1"/>
    </row>
    <row r="334" spans="1:25" ht="15.75" customHeight="1">
      <c r="A334" s="1"/>
      <c r="B334" s="1"/>
      <c r="C334" s="1"/>
      <c r="D334" s="1"/>
      <c r="E334" s="1"/>
      <c r="F334" s="1"/>
      <c r="G334" s="1"/>
      <c r="H334" s="1"/>
      <c r="I334" s="4"/>
      <c r="J334" s="4"/>
      <c r="K334" s="4"/>
      <c r="L334" s="1"/>
      <c r="M334" s="1"/>
      <c r="N334" s="1"/>
      <c r="O334" s="1"/>
      <c r="P334" s="1"/>
      <c r="Q334" s="1"/>
      <c r="R334" s="1"/>
      <c r="S334" s="1"/>
      <c r="T334" s="1"/>
      <c r="U334" s="1"/>
      <c r="V334" s="1"/>
      <c r="W334" s="1"/>
      <c r="X334" s="1"/>
      <c r="Y334" s="1"/>
    </row>
    <row r="335" spans="1:25" ht="15.75" customHeight="1">
      <c r="A335" s="1"/>
      <c r="B335" s="1"/>
      <c r="C335" s="1"/>
      <c r="D335" s="1"/>
      <c r="E335" s="1"/>
      <c r="F335" s="1"/>
      <c r="G335" s="1"/>
      <c r="H335" s="1"/>
      <c r="I335" s="4"/>
      <c r="J335" s="4"/>
      <c r="K335" s="4"/>
      <c r="L335" s="1"/>
      <c r="M335" s="1"/>
      <c r="N335" s="1"/>
      <c r="O335" s="1"/>
      <c r="P335" s="1"/>
      <c r="Q335" s="1"/>
      <c r="R335" s="1"/>
      <c r="S335" s="1"/>
      <c r="T335" s="1"/>
      <c r="U335" s="1"/>
      <c r="V335" s="1"/>
      <c r="W335" s="1"/>
      <c r="X335" s="1"/>
      <c r="Y335" s="1"/>
    </row>
    <row r="336" spans="1:25" ht="15.75" customHeight="1">
      <c r="A336" s="1"/>
      <c r="B336" s="1"/>
      <c r="C336" s="1"/>
      <c r="D336" s="1"/>
      <c r="E336" s="1"/>
      <c r="F336" s="1"/>
      <c r="G336" s="1"/>
      <c r="H336" s="1"/>
      <c r="I336" s="4"/>
      <c r="J336" s="4"/>
      <c r="K336" s="4"/>
      <c r="L336" s="1"/>
      <c r="M336" s="1"/>
      <c r="N336" s="1"/>
      <c r="O336" s="1"/>
      <c r="P336" s="1"/>
      <c r="Q336" s="1"/>
      <c r="R336" s="1"/>
      <c r="S336" s="1"/>
      <c r="T336" s="1"/>
      <c r="U336" s="1"/>
      <c r="V336" s="1"/>
      <c r="W336" s="1"/>
      <c r="X336" s="1"/>
      <c r="Y336" s="1"/>
    </row>
    <row r="337" spans="1:25" ht="15.75" customHeight="1">
      <c r="A337" s="1"/>
      <c r="B337" s="1"/>
      <c r="C337" s="1"/>
      <c r="D337" s="1"/>
      <c r="E337" s="1"/>
      <c r="F337" s="1"/>
      <c r="G337" s="1"/>
      <c r="H337" s="1"/>
      <c r="I337" s="4"/>
      <c r="J337" s="4"/>
      <c r="K337" s="4"/>
      <c r="L337" s="1"/>
      <c r="M337" s="1"/>
      <c r="N337" s="1"/>
      <c r="O337" s="1"/>
      <c r="P337" s="1"/>
      <c r="Q337" s="1"/>
      <c r="R337" s="1"/>
      <c r="S337" s="1"/>
      <c r="T337" s="1"/>
      <c r="U337" s="1"/>
      <c r="V337" s="1"/>
      <c r="W337" s="1"/>
      <c r="X337" s="1"/>
      <c r="Y337" s="1"/>
    </row>
    <row r="338" spans="1:25" ht="15.75" customHeight="1">
      <c r="A338" s="1"/>
      <c r="B338" s="1"/>
      <c r="C338" s="1"/>
      <c r="D338" s="1"/>
      <c r="E338" s="1"/>
      <c r="F338" s="1"/>
      <c r="G338" s="1"/>
      <c r="H338" s="1"/>
      <c r="I338" s="4"/>
      <c r="J338" s="4"/>
      <c r="K338" s="4"/>
      <c r="L338" s="1"/>
      <c r="M338" s="1"/>
      <c r="N338" s="1"/>
      <c r="O338" s="1"/>
      <c r="P338" s="1"/>
      <c r="Q338" s="1"/>
      <c r="R338" s="1"/>
      <c r="S338" s="1"/>
      <c r="T338" s="1"/>
      <c r="U338" s="1"/>
      <c r="V338" s="1"/>
      <c r="W338" s="1"/>
      <c r="X338" s="1"/>
      <c r="Y338" s="1"/>
    </row>
    <row r="339" spans="1:25" ht="15.75" customHeight="1">
      <c r="A339" s="1"/>
      <c r="B339" s="1"/>
      <c r="C339" s="1"/>
      <c r="D339" s="1"/>
      <c r="E339" s="1"/>
      <c r="F339" s="1"/>
      <c r="G339" s="1"/>
      <c r="H339" s="1"/>
      <c r="I339" s="4"/>
      <c r="J339" s="4"/>
      <c r="K339" s="4"/>
      <c r="L339" s="1"/>
      <c r="M339" s="1"/>
      <c r="N339" s="1"/>
      <c r="O339" s="1"/>
      <c r="P339" s="1"/>
      <c r="Q339" s="1"/>
      <c r="R339" s="1"/>
      <c r="S339" s="1"/>
      <c r="T339" s="1"/>
      <c r="U339" s="1"/>
      <c r="V339" s="1"/>
      <c r="W339" s="1"/>
      <c r="X339" s="1"/>
      <c r="Y339" s="1"/>
    </row>
    <row r="340" spans="1:25" ht="15.75" customHeight="1">
      <c r="A340" s="1"/>
      <c r="B340" s="1"/>
      <c r="C340" s="1"/>
      <c r="D340" s="1"/>
      <c r="E340" s="1"/>
      <c r="F340" s="1"/>
      <c r="G340" s="1"/>
      <c r="H340" s="1"/>
      <c r="I340" s="4"/>
      <c r="J340" s="4"/>
      <c r="K340" s="4"/>
      <c r="L340" s="1"/>
      <c r="M340" s="1"/>
      <c r="N340" s="1"/>
      <c r="O340" s="1"/>
      <c r="P340" s="1"/>
      <c r="Q340" s="1"/>
      <c r="R340" s="1"/>
      <c r="S340" s="1"/>
      <c r="T340" s="1"/>
      <c r="U340" s="1"/>
      <c r="V340" s="1"/>
      <c r="W340" s="1"/>
      <c r="X340" s="1"/>
      <c r="Y340" s="1"/>
    </row>
    <row r="341" spans="1:25" ht="15.75" customHeight="1">
      <c r="A341" s="1"/>
      <c r="B341" s="1"/>
      <c r="C341" s="1"/>
      <c r="D341" s="1"/>
      <c r="E341" s="1"/>
      <c r="F341" s="1"/>
      <c r="G341" s="1"/>
      <c r="H341" s="1"/>
      <c r="I341" s="4"/>
      <c r="J341" s="4"/>
      <c r="K341" s="4"/>
      <c r="L341" s="1"/>
      <c r="M341" s="1"/>
      <c r="N341" s="1"/>
      <c r="O341" s="1"/>
      <c r="P341" s="1"/>
      <c r="Q341" s="1"/>
      <c r="R341" s="1"/>
      <c r="S341" s="1"/>
      <c r="T341" s="1"/>
      <c r="U341" s="1"/>
      <c r="V341" s="1"/>
      <c r="W341" s="1"/>
      <c r="X341" s="1"/>
      <c r="Y341" s="1"/>
    </row>
    <row r="342" spans="1:25" ht="15.75" customHeight="1">
      <c r="A342" s="1"/>
      <c r="B342" s="1"/>
      <c r="C342" s="1"/>
      <c r="D342" s="1"/>
      <c r="E342" s="1"/>
      <c r="F342" s="1"/>
      <c r="G342" s="1"/>
      <c r="H342" s="1"/>
      <c r="I342" s="4"/>
      <c r="J342" s="4"/>
      <c r="K342" s="4"/>
      <c r="L342" s="1"/>
      <c r="M342" s="1"/>
      <c r="N342" s="1"/>
      <c r="O342" s="1"/>
      <c r="P342" s="1"/>
      <c r="Q342" s="1"/>
      <c r="R342" s="1"/>
      <c r="S342" s="1"/>
      <c r="T342" s="1"/>
      <c r="U342" s="1"/>
      <c r="V342" s="1"/>
      <c r="W342" s="1"/>
      <c r="X342" s="1"/>
      <c r="Y342" s="1"/>
    </row>
    <row r="343" spans="1:25" ht="15.75" customHeight="1">
      <c r="A343" s="1"/>
      <c r="B343" s="1"/>
      <c r="C343" s="1"/>
      <c r="D343" s="1"/>
      <c r="E343" s="1"/>
      <c r="F343" s="1"/>
      <c r="G343" s="1"/>
      <c r="H343" s="1"/>
      <c r="I343" s="4"/>
      <c r="J343" s="4"/>
      <c r="K343" s="4"/>
      <c r="L343" s="1"/>
      <c r="M343" s="1"/>
      <c r="N343" s="1"/>
      <c r="O343" s="1"/>
      <c r="P343" s="1"/>
      <c r="Q343" s="1"/>
      <c r="R343" s="1"/>
      <c r="S343" s="1"/>
      <c r="T343" s="1"/>
      <c r="U343" s="1"/>
      <c r="V343" s="1"/>
      <c r="W343" s="1"/>
      <c r="X343" s="1"/>
      <c r="Y343" s="1"/>
    </row>
    <row r="344" spans="1:25" ht="15.75" customHeight="1">
      <c r="A344" s="1"/>
      <c r="B344" s="1"/>
      <c r="C344" s="1"/>
      <c r="D344" s="1"/>
      <c r="E344" s="1"/>
      <c r="F344" s="1"/>
      <c r="G344" s="1"/>
      <c r="H344" s="1"/>
      <c r="I344" s="4"/>
      <c r="J344" s="4"/>
      <c r="K344" s="4"/>
      <c r="L344" s="1"/>
      <c r="M344" s="1"/>
      <c r="N344" s="1"/>
      <c r="O344" s="1"/>
      <c r="P344" s="1"/>
      <c r="Q344" s="1"/>
      <c r="R344" s="1"/>
      <c r="S344" s="1"/>
      <c r="T344" s="1"/>
      <c r="U344" s="1"/>
      <c r="V344" s="1"/>
      <c r="W344" s="1"/>
      <c r="X344" s="1"/>
      <c r="Y344" s="1"/>
    </row>
    <row r="345" spans="1:25" ht="15.75" customHeight="1">
      <c r="A345" s="1"/>
      <c r="B345" s="1"/>
      <c r="C345" s="1"/>
      <c r="D345" s="1"/>
      <c r="E345" s="1"/>
      <c r="F345" s="1"/>
      <c r="G345" s="1"/>
      <c r="H345" s="1"/>
      <c r="I345" s="4"/>
      <c r="J345" s="4"/>
      <c r="K345" s="4"/>
      <c r="L345" s="1"/>
      <c r="M345" s="1"/>
      <c r="N345" s="1"/>
      <c r="O345" s="1"/>
      <c r="P345" s="1"/>
      <c r="Q345" s="1"/>
      <c r="R345" s="1"/>
      <c r="S345" s="1"/>
      <c r="T345" s="1"/>
      <c r="U345" s="1"/>
      <c r="V345" s="1"/>
      <c r="W345" s="1"/>
      <c r="X345" s="1"/>
      <c r="Y345" s="1"/>
    </row>
    <row r="346" spans="1:25" ht="15.75" customHeight="1">
      <c r="A346" s="1"/>
      <c r="B346" s="1"/>
      <c r="C346" s="1"/>
      <c r="D346" s="1"/>
      <c r="E346" s="1"/>
      <c r="F346" s="1"/>
      <c r="G346" s="1"/>
      <c r="H346" s="1"/>
      <c r="I346" s="4"/>
      <c r="J346" s="4"/>
      <c r="K346" s="4"/>
      <c r="L346" s="1"/>
      <c r="M346" s="1"/>
      <c r="N346" s="1"/>
      <c r="O346" s="1"/>
      <c r="P346" s="1"/>
      <c r="Q346" s="1"/>
      <c r="R346" s="1"/>
      <c r="S346" s="1"/>
      <c r="T346" s="1"/>
      <c r="U346" s="1"/>
      <c r="V346" s="1"/>
      <c r="W346" s="1"/>
      <c r="X346" s="1"/>
      <c r="Y346" s="1"/>
    </row>
    <row r="347" spans="1:25" ht="15.75" customHeight="1">
      <c r="A347" s="1"/>
      <c r="B347" s="1"/>
      <c r="C347" s="1"/>
      <c r="D347" s="1"/>
      <c r="E347" s="1"/>
      <c r="F347" s="1"/>
      <c r="G347" s="1"/>
      <c r="H347" s="1"/>
      <c r="I347" s="4"/>
      <c r="J347" s="4"/>
      <c r="K347" s="4"/>
      <c r="L347" s="1"/>
      <c r="M347" s="1"/>
      <c r="N347" s="1"/>
      <c r="O347" s="1"/>
      <c r="P347" s="1"/>
      <c r="Q347" s="1"/>
      <c r="R347" s="1"/>
      <c r="S347" s="1"/>
      <c r="T347" s="1"/>
      <c r="U347" s="1"/>
      <c r="V347" s="1"/>
      <c r="W347" s="1"/>
      <c r="X347" s="1"/>
      <c r="Y347" s="1"/>
    </row>
    <row r="348" spans="1:25" ht="15.75" customHeight="1">
      <c r="A348" s="1"/>
      <c r="B348" s="1"/>
      <c r="C348" s="1"/>
      <c r="D348" s="1"/>
      <c r="E348" s="1"/>
      <c r="F348" s="1"/>
      <c r="G348" s="1"/>
      <c r="H348" s="1"/>
      <c r="I348" s="4"/>
      <c r="J348" s="4"/>
      <c r="K348" s="4"/>
      <c r="L348" s="1"/>
      <c r="M348" s="1"/>
      <c r="N348" s="1"/>
      <c r="O348" s="1"/>
      <c r="P348" s="1"/>
      <c r="Q348" s="1"/>
      <c r="R348" s="1"/>
      <c r="S348" s="1"/>
      <c r="T348" s="1"/>
      <c r="U348" s="1"/>
      <c r="V348" s="1"/>
      <c r="W348" s="1"/>
      <c r="X348" s="1"/>
      <c r="Y348" s="1"/>
    </row>
    <row r="349" spans="1:25" ht="15.75" customHeight="1">
      <c r="A349" s="1"/>
      <c r="B349" s="1"/>
      <c r="C349" s="1"/>
      <c r="D349" s="1"/>
      <c r="E349" s="1"/>
      <c r="F349" s="1"/>
      <c r="G349" s="1"/>
      <c r="H349" s="1"/>
      <c r="I349" s="4"/>
      <c r="J349" s="4"/>
      <c r="K349" s="4"/>
      <c r="L349" s="1"/>
      <c r="M349" s="1"/>
      <c r="N349" s="1"/>
      <c r="O349" s="1"/>
      <c r="P349" s="1"/>
      <c r="Q349" s="1"/>
      <c r="R349" s="1"/>
      <c r="S349" s="1"/>
      <c r="T349" s="1"/>
      <c r="U349" s="1"/>
      <c r="V349" s="1"/>
      <c r="W349" s="1"/>
      <c r="X349" s="1"/>
      <c r="Y349" s="1"/>
    </row>
    <row r="350" spans="1:25" ht="15.75" customHeight="1">
      <c r="A350" s="1"/>
      <c r="B350" s="1"/>
      <c r="C350" s="1"/>
      <c r="D350" s="1"/>
      <c r="E350" s="1"/>
      <c r="F350" s="1"/>
      <c r="G350" s="1"/>
      <c r="H350" s="1"/>
      <c r="I350" s="4"/>
      <c r="J350" s="4"/>
      <c r="K350" s="4"/>
      <c r="L350" s="1"/>
      <c r="M350" s="1"/>
      <c r="N350" s="1"/>
      <c r="O350" s="1"/>
      <c r="P350" s="1"/>
      <c r="Q350" s="1"/>
      <c r="R350" s="1"/>
      <c r="S350" s="1"/>
      <c r="T350" s="1"/>
      <c r="U350" s="1"/>
      <c r="V350" s="1"/>
      <c r="W350" s="1"/>
      <c r="X350" s="1"/>
      <c r="Y350" s="1"/>
    </row>
    <row r="351" spans="1:25" ht="15.75" customHeight="1">
      <c r="A351" s="1"/>
      <c r="B351" s="1"/>
      <c r="C351" s="1"/>
      <c r="D351" s="1"/>
      <c r="E351" s="1"/>
      <c r="F351" s="1"/>
      <c r="G351" s="1"/>
      <c r="H351" s="1"/>
      <c r="I351" s="4"/>
      <c r="J351" s="4"/>
      <c r="K351" s="4"/>
      <c r="L351" s="1"/>
      <c r="M351" s="1"/>
      <c r="N351" s="1"/>
      <c r="O351" s="1"/>
      <c r="P351" s="1"/>
      <c r="Q351" s="1"/>
      <c r="R351" s="1"/>
      <c r="S351" s="1"/>
      <c r="T351" s="1"/>
      <c r="U351" s="1"/>
      <c r="V351" s="1"/>
      <c r="W351" s="1"/>
      <c r="X351" s="1"/>
      <c r="Y351" s="1"/>
    </row>
    <row r="352" spans="1:25" ht="15.75" customHeight="1">
      <c r="A352" s="1"/>
      <c r="B352" s="1"/>
      <c r="C352" s="1"/>
      <c r="D352" s="1"/>
      <c r="E352" s="1"/>
      <c r="F352" s="1"/>
      <c r="G352" s="1"/>
      <c r="H352" s="1"/>
      <c r="I352" s="4"/>
      <c r="J352" s="4"/>
      <c r="K352" s="4"/>
      <c r="L352" s="1"/>
      <c r="M352" s="1"/>
      <c r="N352" s="1"/>
      <c r="O352" s="1"/>
      <c r="P352" s="1"/>
      <c r="Q352" s="1"/>
      <c r="R352" s="1"/>
      <c r="S352" s="1"/>
      <c r="T352" s="1"/>
      <c r="U352" s="1"/>
      <c r="V352" s="1"/>
      <c r="W352" s="1"/>
      <c r="X352" s="1"/>
      <c r="Y352" s="1"/>
    </row>
    <row r="353" spans="1:25" ht="15.75" customHeight="1">
      <c r="A353" s="1"/>
      <c r="B353" s="1"/>
      <c r="C353" s="1"/>
      <c r="D353" s="1"/>
      <c r="E353" s="1"/>
      <c r="F353" s="1"/>
      <c r="G353" s="1"/>
      <c r="H353" s="1"/>
      <c r="I353" s="4"/>
      <c r="J353" s="4"/>
      <c r="K353" s="4"/>
      <c r="L353" s="1"/>
      <c r="M353" s="1"/>
      <c r="N353" s="1"/>
      <c r="O353" s="1"/>
      <c r="P353" s="1"/>
      <c r="Q353" s="1"/>
      <c r="R353" s="1"/>
      <c r="S353" s="1"/>
      <c r="T353" s="1"/>
      <c r="U353" s="1"/>
      <c r="V353" s="1"/>
      <c r="W353" s="1"/>
      <c r="X353" s="1"/>
      <c r="Y353" s="1"/>
    </row>
    <row r="354" spans="1:25" ht="15.75" customHeight="1">
      <c r="A354" s="1"/>
      <c r="B354" s="1"/>
      <c r="C354" s="1"/>
      <c r="D354" s="1"/>
      <c r="E354" s="1"/>
      <c r="F354" s="1"/>
      <c r="G354" s="1"/>
      <c r="H354" s="1"/>
      <c r="I354" s="4"/>
      <c r="J354" s="4"/>
      <c r="K354" s="4"/>
      <c r="L354" s="1"/>
      <c r="M354" s="1"/>
      <c r="N354" s="1"/>
      <c r="O354" s="1"/>
      <c r="P354" s="1"/>
      <c r="Q354" s="1"/>
      <c r="R354" s="1"/>
      <c r="S354" s="1"/>
      <c r="T354" s="1"/>
      <c r="U354" s="1"/>
      <c r="V354" s="1"/>
      <c r="W354" s="1"/>
      <c r="X354" s="1"/>
      <c r="Y354" s="1"/>
    </row>
    <row r="355" spans="1:25" ht="15.75" customHeight="1">
      <c r="A355" s="1"/>
      <c r="B355" s="1"/>
      <c r="C355" s="1"/>
      <c r="D355" s="1"/>
      <c r="E355" s="1"/>
      <c r="F355" s="1"/>
      <c r="G355" s="1"/>
      <c r="H355" s="1"/>
      <c r="I355" s="4"/>
      <c r="J355" s="4"/>
      <c r="K355" s="4"/>
      <c r="L355" s="1"/>
      <c r="M355" s="1"/>
      <c r="N355" s="1"/>
      <c r="O355" s="1"/>
      <c r="P355" s="1"/>
      <c r="Q355" s="1"/>
      <c r="R355" s="1"/>
      <c r="S355" s="1"/>
      <c r="T355" s="1"/>
      <c r="U355" s="1"/>
      <c r="V355" s="1"/>
      <c r="W355" s="1"/>
      <c r="X355" s="1"/>
      <c r="Y355" s="1"/>
    </row>
    <row r="356" spans="1:25" ht="15.75" customHeight="1">
      <c r="A356" s="1"/>
      <c r="B356" s="1"/>
      <c r="C356" s="1"/>
      <c r="D356" s="1"/>
      <c r="E356" s="1"/>
      <c r="F356" s="1"/>
      <c r="G356" s="1"/>
      <c r="H356" s="1"/>
      <c r="I356" s="4"/>
      <c r="J356" s="4"/>
      <c r="K356" s="4"/>
      <c r="L356" s="1"/>
      <c r="M356" s="1"/>
      <c r="N356" s="1"/>
      <c r="O356" s="1"/>
      <c r="P356" s="1"/>
      <c r="Q356" s="1"/>
      <c r="R356" s="1"/>
      <c r="S356" s="1"/>
      <c r="T356" s="1"/>
      <c r="U356" s="1"/>
      <c r="V356" s="1"/>
      <c r="W356" s="1"/>
      <c r="X356" s="1"/>
      <c r="Y356" s="1"/>
    </row>
    <row r="357" spans="1:25" ht="15.75" customHeight="1">
      <c r="A357" s="1"/>
      <c r="B357" s="1"/>
      <c r="C357" s="1"/>
      <c r="D357" s="1"/>
      <c r="E357" s="1"/>
      <c r="F357" s="1"/>
      <c r="G357" s="1"/>
      <c r="H357" s="1"/>
      <c r="I357" s="4"/>
      <c r="J357" s="4"/>
      <c r="K357" s="4"/>
      <c r="L357" s="1"/>
      <c r="M357" s="1"/>
      <c r="N357" s="1"/>
      <c r="O357" s="1"/>
      <c r="P357" s="1"/>
      <c r="Q357" s="1"/>
      <c r="R357" s="1"/>
      <c r="S357" s="1"/>
      <c r="T357" s="1"/>
      <c r="U357" s="1"/>
      <c r="V357" s="1"/>
      <c r="W357" s="1"/>
      <c r="X357" s="1"/>
      <c r="Y357" s="1"/>
    </row>
    <row r="358" spans="1:25" ht="15.75" customHeight="1">
      <c r="A358" s="1"/>
      <c r="B358" s="1"/>
      <c r="C358" s="1"/>
      <c r="D358" s="1"/>
      <c r="E358" s="1"/>
      <c r="F358" s="1"/>
      <c r="G358" s="1"/>
      <c r="H358" s="1"/>
      <c r="I358" s="4"/>
      <c r="J358" s="4"/>
      <c r="K358" s="4"/>
      <c r="L358" s="1"/>
      <c r="M358" s="1"/>
      <c r="N358" s="1"/>
      <c r="O358" s="1"/>
      <c r="P358" s="1"/>
      <c r="Q358" s="1"/>
      <c r="R358" s="1"/>
      <c r="S358" s="1"/>
      <c r="T358" s="1"/>
      <c r="U358" s="1"/>
      <c r="V358" s="1"/>
      <c r="W358" s="1"/>
      <c r="X358" s="1"/>
      <c r="Y358" s="1"/>
    </row>
    <row r="359" spans="1:25" ht="15.75" customHeight="1">
      <c r="A359" s="1"/>
      <c r="B359" s="1"/>
      <c r="C359" s="1"/>
      <c r="D359" s="1"/>
      <c r="E359" s="1"/>
      <c r="F359" s="1"/>
      <c r="G359" s="1"/>
      <c r="H359" s="1"/>
      <c r="I359" s="4"/>
      <c r="J359" s="4"/>
      <c r="K359" s="4"/>
      <c r="L359" s="1"/>
      <c r="M359" s="1"/>
      <c r="N359" s="1"/>
      <c r="O359" s="1"/>
      <c r="P359" s="1"/>
      <c r="Q359" s="1"/>
      <c r="R359" s="1"/>
      <c r="S359" s="1"/>
      <c r="T359" s="1"/>
      <c r="U359" s="1"/>
      <c r="V359" s="1"/>
      <c r="W359" s="1"/>
      <c r="X359" s="1"/>
      <c r="Y359" s="1"/>
    </row>
    <row r="360" spans="1:25" ht="15.75" customHeight="1">
      <c r="A360" s="1"/>
      <c r="B360" s="1"/>
      <c r="C360" s="1"/>
      <c r="D360" s="1"/>
      <c r="E360" s="1"/>
      <c r="F360" s="1"/>
      <c r="G360" s="1"/>
      <c r="H360" s="1"/>
      <c r="I360" s="4"/>
      <c r="J360" s="4"/>
      <c r="K360" s="4"/>
      <c r="L360" s="1"/>
      <c r="M360" s="1"/>
      <c r="N360" s="1"/>
      <c r="O360" s="1"/>
      <c r="P360" s="1"/>
      <c r="Q360" s="1"/>
      <c r="R360" s="1"/>
      <c r="S360" s="1"/>
      <c r="T360" s="1"/>
      <c r="U360" s="1"/>
      <c r="V360" s="1"/>
      <c r="W360" s="1"/>
      <c r="X360" s="1"/>
      <c r="Y360" s="1"/>
    </row>
    <row r="361" spans="1:25" ht="15.75" customHeight="1">
      <c r="A361" s="1"/>
      <c r="B361" s="1"/>
      <c r="C361" s="1"/>
      <c r="D361" s="1"/>
      <c r="E361" s="1"/>
      <c r="F361" s="1"/>
      <c r="G361" s="1"/>
      <c r="H361" s="1"/>
      <c r="I361" s="4"/>
      <c r="J361" s="4"/>
      <c r="K361" s="4"/>
      <c r="L361" s="1"/>
      <c r="M361" s="1"/>
      <c r="N361" s="1"/>
      <c r="O361" s="1"/>
      <c r="P361" s="1"/>
      <c r="Q361" s="1"/>
      <c r="R361" s="1"/>
      <c r="S361" s="1"/>
      <c r="T361" s="1"/>
      <c r="U361" s="1"/>
      <c r="V361" s="1"/>
      <c r="W361" s="1"/>
      <c r="X361" s="1"/>
      <c r="Y361" s="1"/>
    </row>
    <row r="362" spans="1:25" ht="15.75" customHeight="1">
      <c r="A362" s="1"/>
      <c r="B362" s="1"/>
      <c r="C362" s="1"/>
      <c r="D362" s="1"/>
      <c r="E362" s="1"/>
      <c r="F362" s="1"/>
      <c r="G362" s="1"/>
      <c r="H362" s="1"/>
      <c r="I362" s="4"/>
      <c r="J362" s="4"/>
      <c r="K362" s="4"/>
      <c r="L362" s="1"/>
      <c r="M362" s="1"/>
      <c r="N362" s="1"/>
      <c r="O362" s="1"/>
      <c r="P362" s="1"/>
      <c r="Q362" s="1"/>
      <c r="R362" s="1"/>
      <c r="S362" s="1"/>
      <c r="T362" s="1"/>
      <c r="U362" s="1"/>
      <c r="V362" s="1"/>
      <c r="W362" s="1"/>
      <c r="X362" s="1"/>
      <c r="Y362" s="1"/>
    </row>
    <row r="363" spans="1:25" ht="15.75" customHeight="1">
      <c r="A363" s="1"/>
      <c r="B363" s="1"/>
      <c r="C363" s="1"/>
      <c r="D363" s="1"/>
      <c r="E363" s="1"/>
      <c r="F363" s="1"/>
      <c r="G363" s="1"/>
      <c r="H363" s="1"/>
      <c r="I363" s="4"/>
      <c r="J363" s="4"/>
      <c r="K363" s="4"/>
      <c r="L363" s="1"/>
      <c r="M363" s="1"/>
      <c r="N363" s="1"/>
      <c r="O363" s="1"/>
      <c r="P363" s="1"/>
      <c r="Q363" s="1"/>
      <c r="R363" s="1"/>
      <c r="S363" s="1"/>
      <c r="T363" s="1"/>
      <c r="U363" s="1"/>
      <c r="V363" s="1"/>
      <c r="W363" s="1"/>
      <c r="X363" s="1"/>
      <c r="Y363" s="1"/>
    </row>
    <row r="364" spans="1:25" ht="15.75" customHeight="1">
      <c r="A364" s="1"/>
      <c r="B364" s="1"/>
      <c r="C364" s="1"/>
      <c r="D364" s="1"/>
      <c r="E364" s="1"/>
      <c r="F364" s="1"/>
      <c r="G364" s="1"/>
      <c r="H364" s="1"/>
      <c r="I364" s="4"/>
      <c r="J364" s="4"/>
      <c r="K364" s="4"/>
      <c r="L364" s="1"/>
      <c r="M364" s="1"/>
      <c r="N364" s="1"/>
      <c r="O364" s="1"/>
      <c r="P364" s="1"/>
      <c r="Q364" s="1"/>
      <c r="R364" s="1"/>
      <c r="S364" s="1"/>
      <c r="T364" s="1"/>
      <c r="U364" s="1"/>
      <c r="V364" s="1"/>
      <c r="W364" s="1"/>
      <c r="X364" s="1"/>
      <c r="Y364" s="1"/>
    </row>
    <row r="365" spans="1:25" ht="15.75" customHeight="1">
      <c r="A365" s="1"/>
      <c r="B365" s="1"/>
      <c r="C365" s="1"/>
      <c r="D365" s="1"/>
      <c r="E365" s="1"/>
      <c r="F365" s="1"/>
      <c r="G365" s="1"/>
      <c r="H365" s="1"/>
      <c r="I365" s="4"/>
      <c r="J365" s="4"/>
      <c r="K365" s="4"/>
      <c r="L365" s="1"/>
      <c r="M365" s="1"/>
      <c r="N365" s="1"/>
      <c r="O365" s="1"/>
      <c r="P365" s="1"/>
      <c r="Q365" s="1"/>
      <c r="R365" s="1"/>
      <c r="S365" s="1"/>
      <c r="T365" s="1"/>
      <c r="U365" s="1"/>
      <c r="V365" s="1"/>
      <c r="W365" s="1"/>
      <c r="X365" s="1"/>
      <c r="Y365" s="1"/>
    </row>
    <row r="366" spans="1:25" ht="15.75" customHeight="1">
      <c r="A366" s="1"/>
      <c r="B366" s="1"/>
      <c r="C366" s="1"/>
      <c r="D366" s="1"/>
      <c r="E366" s="1"/>
      <c r="F366" s="1"/>
      <c r="G366" s="1"/>
      <c r="H366" s="1"/>
      <c r="I366" s="4"/>
      <c r="J366" s="4"/>
      <c r="K366" s="4"/>
      <c r="L366" s="1"/>
      <c r="M366" s="1"/>
      <c r="N366" s="1"/>
      <c r="O366" s="1"/>
      <c r="P366" s="1"/>
      <c r="Q366" s="1"/>
      <c r="R366" s="1"/>
      <c r="S366" s="1"/>
      <c r="T366" s="1"/>
      <c r="U366" s="1"/>
      <c r="V366" s="1"/>
      <c r="W366" s="1"/>
      <c r="X366" s="1"/>
      <c r="Y366" s="1"/>
    </row>
    <row r="367" spans="1:25" ht="15.75" customHeight="1">
      <c r="A367" s="1"/>
      <c r="B367" s="1"/>
      <c r="C367" s="1"/>
      <c r="D367" s="1"/>
      <c r="E367" s="1"/>
      <c r="F367" s="1"/>
      <c r="G367" s="1"/>
      <c r="H367" s="1"/>
      <c r="I367" s="4"/>
      <c r="J367" s="4"/>
      <c r="K367" s="4"/>
      <c r="L367" s="1"/>
      <c r="M367" s="1"/>
      <c r="N367" s="1"/>
      <c r="O367" s="1"/>
      <c r="P367" s="1"/>
      <c r="Q367" s="1"/>
      <c r="R367" s="1"/>
      <c r="S367" s="1"/>
      <c r="T367" s="1"/>
      <c r="U367" s="1"/>
      <c r="V367" s="1"/>
      <c r="W367" s="1"/>
      <c r="X367" s="1"/>
      <c r="Y367" s="1"/>
    </row>
    <row r="368" spans="1:25" ht="15.75" customHeight="1">
      <c r="A368" s="1"/>
      <c r="B368" s="1"/>
      <c r="C368" s="1"/>
      <c r="D368" s="1"/>
      <c r="E368" s="1"/>
      <c r="F368" s="1"/>
      <c r="G368" s="1"/>
      <c r="H368" s="1"/>
      <c r="I368" s="4"/>
      <c r="J368" s="4"/>
      <c r="K368" s="4"/>
      <c r="L368" s="1"/>
      <c r="M368" s="1"/>
      <c r="N368" s="1"/>
      <c r="O368" s="1"/>
      <c r="P368" s="1"/>
      <c r="Q368" s="1"/>
      <c r="R368" s="1"/>
      <c r="S368" s="1"/>
      <c r="T368" s="1"/>
      <c r="U368" s="1"/>
      <c r="V368" s="1"/>
      <c r="W368" s="1"/>
      <c r="X368" s="1"/>
      <c r="Y368" s="1"/>
    </row>
    <row r="369" spans="1:25" ht="15.75" customHeight="1">
      <c r="A369" s="1"/>
      <c r="B369" s="1"/>
      <c r="C369" s="1"/>
      <c r="D369" s="1"/>
      <c r="E369" s="1"/>
      <c r="F369" s="1"/>
      <c r="G369" s="1"/>
      <c r="H369" s="1"/>
      <c r="I369" s="4"/>
      <c r="J369" s="4"/>
      <c r="K369" s="4"/>
      <c r="L369" s="1"/>
      <c r="M369" s="1"/>
      <c r="N369" s="1"/>
      <c r="O369" s="1"/>
      <c r="P369" s="1"/>
      <c r="Q369" s="1"/>
      <c r="R369" s="1"/>
      <c r="S369" s="1"/>
      <c r="T369" s="1"/>
      <c r="U369" s="1"/>
      <c r="V369" s="1"/>
      <c r="W369" s="1"/>
      <c r="X369" s="1"/>
      <c r="Y369" s="1"/>
    </row>
    <row r="370" spans="1:25" ht="15.75" customHeight="1">
      <c r="A370" s="1"/>
      <c r="B370" s="1"/>
      <c r="C370" s="1"/>
      <c r="D370" s="1"/>
      <c r="E370" s="1"/>
      <c r="F370" s="1"/>
      <c r="G370" s="1"/>
      <c r="H370" s="1"/>
      <c r="I370" s="4"/>
      <c r="J370" s="4"/>
      <c r="K370" s="4"/>
      <c r="L370" s="1"/>
      <c r="M370" s="1"/>
      <c r="N370" s="1"/>
      <c r="O370" s="1"/>
      <c r="P370" s="1"/>
      <c r="Q370" s="1"/>
      <c r="R370" s="1"/>
      <c r="S370" s="1"/>
      <c r="T370" s="1"/>
      <c r="U370" s="1"/>
      <c r="V370" s="1"/>
      <c r="W370" s="1"/>
      <c r="X370" s="1"/>
      <c r="Y370" s="1"/>
    </row>
    <row r="371" spans="1:25" ht="15.75" customHeight="1">
      <c r="A371" s="1"/>
      <c r="B371" s="1"/>
      <c r="C371" s="1"/>
      <c r="D371" s="1"/>
      <c r="E371" s="1"/>
      <c r="F371" s="1"/>
      <c r="G371" s="1"/>
      <c r="H371" s="1"/>
      <c r="I371" s="4"/>
      <c r="J371" s="4"/>
      <c r="K371" s="4"/>
      <c r="L371" s="1"/>
      <c r="M371" s="1"/>
      <c r="N371" s="1"/>
      <c r="O371" s="1"/>
      <c r="P371" s="1"/>
      <c r="Q371" s="1"/>
      <c r="R371" s="1"/>
      <c r="S371" s="1"/>
      <c r="T371" s="1"/>
      <c r="U371" s="1"/>
      <c r="V371" s="1"/>
      <c r="W371" s="1"/>
      <c r="X371" s="1"/>
      <c r="Y371" s="1"/>
    </row>
    <row r="372" spans="1:25" ht="15.75" customHeight="1">
      <c r="A372" s="1"/>
      <c r="B372" s="1"/>
      <c r="C372" s="1"/>
      <c r="D372" s="1"/>
      <c r="E372" s="1"/>
      <c r="F372" s="1"/>
      <c r="G372" s="1"/>
      <c r="H372" s="1"/>
      <c r="I372" s="4"/>
      <c r="J372" s="4"/>
      <c r="K372" s="4"/>
      <c r="L372" s="1"/>
      <c r="M372" s="1"/>
      <c r="N372" s="1"/>
      <c r="O372" s="1"/>
      <c r="P372" s="1"/>
      <c r="Q372" s="1"/>
      <c r="R372" s="1"/>
      <c r="S372" s="1"/>
      <c r="T372" s="1"/>
      <c r="U372" s="1"/>
      <c r="V372" s="1"/>
      <c r="W372" s="1"/>
      <c r="X372" s="1"/>
      <c r="Y372" s="1"/>
    </row>
    <row r="373" spans="1:25" ht="15.75" customHeight="1">
      <c r="A373" s="1"/>
      <c r="B373" s="1"/>
      <c r="C373" s="1"/>
      <c r="D373" s="1"/>
      <c r="E373" s="1"/>
      <c r="F373" s="1"/>
      <c r="G373" s="1"/>
      <c r="H373" s="1"/>
      <c r="I373" s="4"/>
      <c r="J373" s="4"/>
      <c r="K373" s="4"/>
      <c r="L373" s="1"/>
      <c r="M373" s="1"/>
      <c r="N373" s="1"/>
      <c r="O373" s="1"/>
      <c r="P373" s="1"/>
      <c r="Q373" s="1"/>
      <c r="R373" s="1"/>
      <c r="S373" s="1"/>
      <c r="T373" s="1"/>
      <c r="U373" s="1"/>
      <c r="V373" s="1"/>
      <c r="W373" s="1"/>
      <c r="X373" s="1"/>
      <c r="Y373" s="1"/>
    </row>
    <row r="374" spans="1:25" ht="15.75" customHeight="1">
      <c r="A374" s="1"/>
      <c r="B374" s="1"/>
      <c r="C374" s="1"/>
      <c r="D374" s="1"/>
      <c r="E374" s="1"/>
      <c r="F374" s="1"/>
      <c r="G374" s="1"/>
      <c r="H374" s="1"/>
      <c r="I374" s="4"/>
      <c r="J374" s="4"/>
      <c r="K374" s="4"/>
      <c r="L374" s="1"/>
      <c r="M374" s="1"/>
      <c r="N374" s="1"/>
      <c r="O374" s="1"/>
      <c r="P374" s="1"/>
      <c r="Q374" s="1"/>
      <c r="R374" s="1"/>
      <c r="S374" s="1"/>
      <c r="T374" s="1"/>
      <c r="U374" s="1"/>
      <c r="V374" s="1"/>
      <c r="W374" s="1"/>
      <c r="X374" s="1"/>
      <c r="Y374" s="1"/>
    </row>
    <row r="375" spans="1:25" ht="15.75" customHeight="1">
      <c r="A375" s="1"/>
      <c r="B375" s="1"/>
      <c r="C375" s="1"/>
      <c r="D375" s="1"/>
      <c r="E375" s="1"/>
      <c r="F375" s="1"/>
      <c r="G375" s="1"/>
      <c r="H375" s="1"/>
      <c r="I375" s="4"/>
      <c r="J375" s="4"/>
      <c r="K375" s="4"/>
      <c r="L375" s="1"/>
      <c r="M375" s="1"/>
      <c r="N375" s="1"/>
      <c r="O375" s="1"/>
      <c r="P375" s="1"/>
      <c r="Q375" s="1"/>
      <c r="R375" s="1"/>
      <c r="S375" s="1"/>
      <c r="T375" s="1"/>
      <c r="U375" s="1"/>
      <c r="V375" s="1"/>
      <c r="W375" s="1"/>
      <c r="X375" s="1"/>
      <c r="Y375" s="1"/>
    </row>
    <row r="376" spans="1:25" ht="15.75" customHeight="1">
      <c r="A376" s="1"/>
      <c r="B376" s="1"/>
      <c r="C376" s="1"/>
      <c r="D376" s="1"/>
      <c r="E376" s="1"/>
      <c r="F376" s="1"/>
      <c r="G376" s="1"/>
      <c r="H376" s="1"/>
      <c r="I376" s="4"/>
      <c r="J376" s="4"/>
      <c r="K376" s="4"/>
      <c r="L376" s="1"/>
      <c r="M376" s="1"/>
      <c r="N376" s="1"/>
      <c r="O376" s="1"/>
      <c r="P376" s="1"/>
      <c r="Q376" s="1"/>
      <c r="R376" s="1"/>
      <c r="S376" s="1"/>
      <c r="T376" s="1"/>
      <c r="U376" s="1"/>
      <c r="V376" s="1"/>
      <c r="W376" s="1"/>
      <c r="X376" s="1"/>
      <c r="Y376" s="1"/>
    </row>
    <row r="377" spans="1:25" ht="15.75" customHeight="1">
      <c r="A377" s="1"/>
      <c r="B377" s="1"/>
      <c r="C377" s="1"/>
      <c r="D377" s="1"/>
      <c r="E377" s="1"/>
      <c r="F377" s="1"/>
      <c r="G377" s="1"/>
      <c r="H377" s="1"/>
      <c r="I377" s="4"/>
      <c r="J377" s="4"/>
      <c r="K377" s="4"/>
      <c r="L377" s="1"/>
      <c r="M377" s="1"/>
      <c r="N377" s="1"/>
      <c r="O377" s="1"/>
      <c r="P377" s="1"/>
      <c r="Q377" s="1"/>
      <c r="R377" s="1"/>
      <c r="S377" s="1"/>
      <c r="T377" s="1"/>
      <c r="U377" s="1"/>
      <c r="V377" s="1"/>
      <c r="W377" s="1"/>
      <c r="X377" s="1"/>
      <c r="Y377" s="1"/>
    </row>
    <row r="378" spans="1:25" ht="15.75" customHeight="1">
      <c r="A378" s="1"/>
      <c r="B378" s="1"/>
      <c r="C378" s="1"/>
      <c r="D378" s="1"/>
      <c r="E378" s="1"/>
      <c r="F378" s="1"/>
      <c r="G378" s="1"/>
      <c r="H378" s="1"/>
      <c r="I378" s="4"/>
      <c r="J378" s="4"/>
      <c r="K378" s="4"/>
      <c r="L378" s="1"/>
      <c r="M378" s="1"/>
      <c r="N378" s="1"/>
      <c r="O378" s="1"/>
      <c r="P378" s="1"/>
      <c r="Q378" s="1"/>
      <c r="R378" s="1"/>
      <c r="S378" s="1"/>
      <c r="T378" s="1"/>
      <c r="U378" s="1"/>
      <c r="V378" s="1"/>
      <c r="W378" s="1"/>
      <c r="X378" s="1"/>
      <c r="Y378" s="1"/>
    </row>
    <row r="379" spans="1:25" ht="15.75" customHeight="1">
      <c r="A379" s="1"/>
      <c r="B379" s="1"/>
      <c r="C379" s="1"/>
      <c r="D379" s="1"/>
      <c r="E379" s="1"/>
      <c r="F379" s="1"/>
      <c r="G379" s="1"/>
      <c r="H379" s="1"/>
      <c r="I379" s="4"/>
      <c r="J379" s="4"/>
      <c r="K379" s="4"/>
      <c r="L379" s="1"/>
      <c r="M379" s="1"/>
      <c r="N379" s="1"/>
      <c r="O379" s="1"/>
      <c r="P379" s="1"/>
      <c r="Q379" s="1"/>
      <c r="R379" s="1"/>
      <c r="S379" s="1"/>
      <c r="T379" s="1"/>
      <c r="U379" s="1"/>
      <c r="V379" s="1"/>
      <c r="W379" s="1"/>
      <c r="X379" s="1"/>
      <c r="Y379" s="1"/>
    </row>
    <row r="380" spans="1:25" ht="15.75" customHeight="1">
      <c r="A380" s="1"/>
      <c r="B380" s="1"/>
      <c r="C380" s="1"/>
      <c r="D380" s="1"/>
      <c r="E380" s="1"/>
      <c r="F380" s="1"/>
      <c r="G380" s="1"/>
      <c r="H380" s="1"/>
      <c r="I380" s="4"/>
      <c r="J380" s="4"/>
      <c r="K380" s="4"/>
      <c r="L380" s="1"/>
      <c r="M380" s="1"/>
      <c r="N380" s="1"/>
      <c r="O380" s="1"/>
      <c r="P380" s="1"/>
      <c r="Q380" s="1"/>
      <c r="R380" s="1"/>
      <c r="S380" s="1"/>
      <c r="T380" s="1"/>
      <c r="U380" s="1"/>
      <c r="V380" s="1"/>
      <c r="W380" s="1"/>
      <c r="X380" s="1"/>
      <c r="Y380" s="1"/>
    </row>
    <row r="381" spans="1:25" ht="15.75" customHeight="1">
      <c r="A381" s="1"/>
      <c r="B381" s="1"/>
      <c r="C381" s="1"/>
      <c r="D381" s="1"/>
      <c r="E381" s="1"/>
      <c r="F381" s="1"/>
      <c r="G381" s="1"/>
      <c r="H381" s="1"/>
      <c r="I381" s="4"/>
      <c r="J381" s="4"/>
      <c r="K381" s="4"/>
      <c r="L381" s="1"/>
      <c r="M381" s="1"/>
      <c r="N381" s="1"/>
      <c r="O381" s="1"/>
      <c r="P381" s="1"/>
      <c r="Q381" s="1"/>
      <c r="R381" s="1"/>
      <c r="S381" s="1"/>
      <c r="T381" s="1"/>
      <c r="U381" s="1"/>
      <c r="V381" s="1"/>
      <c r="W381" s="1"/>
      <c r="X381" s="1"/>
      <c r="Y381" s="1"/>
    </row>
    <row r="382" spans="1:25" ht="15.75" customHeight="1">
      <c r="A382" s="1"/>
      <c r="B382" s="1"/>
      <c r="C382" s="1"/>
      <c r="D382" s="1"/>
      <c r="E382" s="1"/>
      <c r="F382" s="1"/>
      <c r="G382" s="1"/>
      <c r="H382" s="1"/>
      <c r="I382" s="4"/>
      <c r="J382" s="4"/>
      <c r="K382" s="4"/>
      <c r="L382" s="1"/>
      <c r="M382" s="1"/>
      <c r="N382" s="1"/>
      <c r="O382" s="1"/>
      <c r="P382" s="1"/>
      <c r="Q382" s="1"/>
      <c r="R382" s="1"/>
      <c r="S382" s="1"/>
      <c r="T382" s="1"/>
      <c r="U382" s="1"/>
      <c r="V382" s="1"/>
      <c r="W382" s="1"/>
      <c r="X382" s="1"/>
      <c r="Y382" s="1"/>
    </row>
    <row r="383" spans="1:25" ht="15.75" customHeight="1">
      <c r="A383" s="1"/>
      <c r="B383" s="1"/>
      <c r="C383" s="1"/>
      <c r="D383" s="1"/>
      <c r="E383" s="1"/>
      <c r="F383" s="1"/>
      <c r="G383" s="1"/>
      <c r="H383" s="1"/>
      <c r="I383" s="4"/>
      <c r="J383" s="4"/>
      <c r="K383" s="4"/>
      <c r="L383" s="1"/>
      <c r="M383" s="1"/>
      <c r="N383" s="1"/>
      <c r="O383" s="1"/>
      <c r="P383" s="1"/>
      <c r="Q383" s="1"/>
      <c r="R383" s="1"/>
      <c r="S383" s="1"/>
      <c r="T383" s="1"/>
      <c r="U383" s="1"/>
      <c r="V383" s="1"/>
      <c r="W383" s="1"/>
      <c r="X383" s="1"/>
      <c r="Y383" s="1"/>
    </row>
    <row r="384" spans="1:25" ht="15.75" customHeight="1">
      <c r="A384" s="1"/>
      <c r="B384" s="1"/>
      <c r="C384" s="1"/>
      <c r="D384" s="1"/>
      <c r="E384" s="1"/>
      <c r="F384" s="1"/>
      <c r="G384" s="1"/>
      <c r="H384" s="1"/>
      <c r="I384" s="4"/>
      <c r="J384" s="4"/>
      <c r="K384" s="4"/>
      <c r="L384" s="1"/>
      <c r="M384" s="1"/>
      <c r="N384" s="1"/>
      <c r="O384" s="1"/>
      <c r="P384" s="1"/>
      <c r="Q384" s="1"/>
      <c r="R384" s="1"/>
      <c r="S384" s="1"/>
      <c r="T384" s="1"/>
      <c r="U384" s="1"/>
      <c r="V384" s="1"/>
      <c r="W384" s="1"/>
      <c r="X384" s="1"/>
      <c r="Y384" s="1"/>
    </row>
    <row r="385" spans="1:25" ht="15.75" customHeight="1">
      <c r="A385" s="1"/>
      <c r="B385" s="1"/>
      <c r="C385" s="1"/>
      <c r="D385" s="1"/>
      <c r="E385" s="1"/>
      <c r="F385" s="1"/>
      <c r="G385" s="1"/>
      <c r="H385" s="1"/>
      <c r="I385" s="4"/>
      <c r="J385" s="4"/>
      <c r="K385" s="4"/>
      <c r="L385" s="1"/>
      <c r="M385" s="1"/>
      <c r="N385" s="1"/>
      <c r="O385" s="1"/>
      <c r="P385" s="1"/>
      <c r="Q385" s="1"/>
      <c r="R385" s="1"/>
      <c r="S385" s="1"/>
      <c r="T385" s="1"/>
      <c r="U385" s="1"/>
      <c r="V385" s="1"/>
      <c r="W385" s="1"/>
      <c r="X385" s="1"/>
      <c r="Y385" s="1"/>
    </row>
    <row r="386" spans="1:25" ht="15.75" customHeight="1">
      <c r="A386" s="1"/>
      <c r="B386" s="1"/>
      <c r="C386" s="1"/>
      <c r="D386" s="1"/>
      <c r="E386" s="1"/>
      <c r="F386" s="1"/>
      <c r="G386" s="1"/>
      <c r="H386" s="1"/>
      <c r="I386" s="4"/>
      <c r="J386" s="4"/>
      <c r="K386" s="4"/>
      <c r="L386" s="1"/>
      <c r="M386" s="1"/>
      <c r="N386" s="1"/>
      <c r="O386" s="1"/>
      <c r="P386" s="1"/>
      <c r="Q386" s="1"/>
      <c r="R386" s="1"/>
      <c r="S386" s="1"/>
      <c r="T386" s="1"/>
      <c r="U386" s="1"/>
      <c r="V386" s="1"/>
      <c r="W386" s="1"/>
      <c r="X386" s="1"/>
      <c r="Y386" s="1"/>
    </row>
    <row r="387" spans="1:25" ht="15.75" customHeight="1">
      <c r="A387" s="1"/>
      <c r="B387" s="1"/>
      <c r="C387" s="1"/>
      <c r="D387" s="1"/>
      <c r="E387" s="1"/>
      <c r="F387" s="1"/>
      <c r="G387" s="1"/>
      <c r="H387" s="1"/>
      <c r="I387" s="4"/>
      <c r="J387" s="4"/>
      <c r="K387" s="4"/>
      <c r="L387" s="1"/>
      <c r="M387" s="1"/>
      <c r="N387" s="1"/>
      <c r="O387" s="1"/>
      <c r="P387" s="1"/>
      <c r="Q387" s="1"/>
      <c r="R387" s="1"/>
      <c r="S387" s="1"/>
      <c r="T387" s="1"/>
      <c r="U387" s="1"/>
      <c r="V387" s="1"/>
      <c r="W387" s="1"/>
      <c r="X387" s="1"/>
      <c r="Y387" s="1"/>
    </row>
    <row r="388" spans="1:25" ht="15.75" customHeight="1">
      <c r="A388" s="1"/>
      <c r="B388" s="1"/>
      <c r="C388" s="1"/>
      <c r="D388" s="1"/>
      <c r="E388" s="1"/>
      <c r="F388" s="1"/>
      <c r="G388" s="1"/>
      <c r="H388" s="1"/>
      <c r="I388" s="4"/>
      <c r="J388" s="4"/>
      <c r="K388" s="4"/>
      <c r="L388" s="1"/>
      <c r="M388" s="1"/>
      <c r="N388" s="1"/>
      <c r="O388" s="1"/>
      <c r="P388" s="1"/>
      <c r="Q388" s="1"/>
      <c r="R388" s="1"/>
      <c r="S388" s="1"/>
      <c r="T388" s="1"/>
      <c r="U388" s="1"/>
      <c r="V388" s="1"/>
      <c r="W388" s="1"/>
      <c r="X388" s="1"/>
      <c r="Y388" s="1"/>
    </row>
    <row r="389" spans="1:25" ht="15.75" customHeight="1">
      <c r="A389" s="1"/>
      <c r="B389" s="1"/>
      <c r="C389" s="1"/>
      <c r="D389" s="1"/>
      <c r="E389" s="1"/>
      <c r="F389" s="1"/>
      <c r="G389" s="1"/>
      <c r="H389" s="1"/>
      <c r="I389" s="4"/>
      <c r="J389" s="4"/>
      <c r="K389" s="4"/>
      <c r="L389" s="1"/>
      <c r="M389" s="1"/>
      <c r="N389" s="1"/>
      <c r="O389" s="1"/>
      <c r="P389" s="1"/>
      <c r="Q389" s="1"/>
      <c r="R389" s="1"/>
      <c r="S389" s="1"/>
      <c r="T389" s="1"/>
      <c r="U389" s="1"/>
      <c r="V389" s="1"/>
      <c r="W389" s="1"/>
      <c r="X389" s="1"/>
      <c r="Y389" s="1"/>
    </row>
    <row r="390" spans="1:25" ht="15.75" customHeight="1">
      <c r="A390" s="1"/>
      <c r="B390" s="1"/>
      <c r="C390" s="1"/>
      <c r="D390" s="1"/>
      <c r="E390" s="1"/>
      <c r="F390" s="1"/>
      <c r="G390" s="1"/>
      <c r="H390" s="1"/>
      <c r="I390" s="4"/>
      <c r="J390" s="4"/>
      <c r="K390" s="4"/>
      <c r="L390" s="1"/>
      <c r="M390" s="1"/>
      <c r="N390" s="1"/>
      <c r="O390" s="1"/>
      <c r="P390" s="1"/>
      <c r="Q390" s="1"/>
      <c r="R390" s="1"/>
      <c r="S390" s="1"/>
      <c r="T390" s="1"/>
      <c r="U390" s="1"/>
      <c r="V390" s="1"/>
      <c r="W390" s="1"/>
      <c r="X390" s="1"/>
      <c r="Y390" s="1"/>
    </row>
    <row r="391" spans="1:25" ht="15.75" customHeight="1">
      <c r="A391" s="1"/>
      <c r="B391" s="1"/>
      <c r="C391" s="1"/>
      <c r="D391" s="1"/>
      <c r="E391" s="1"/>
      <c r="F391" s="1"/>
      <c r="G391" s="1"/>
      <c r="H391" s="1"/>
      <c r="I391" s="4"/>
      <c r="J391" s="4"/>
      <c r="K391" s="4"/>
      <c r="L391" s="1"/>
      <c r="M391" s="1"/>
      <c r="N391" s="1"/>
      <c r="O391" s="1"/>
      <c r="P391" s="1"/>
      <c r="Q391" s="1"/>
      <c r="R391" s="1"/>
      <c r="S391" s="1"/>
      <c r="T391" s="1"/>
      <c r="U391" s="1"/>
      <c r="V391" s="1"/>
      <c r="W391" s="1"/>
      <c r="X391" s="1"/>
      <c r="Y391" s="1"/>
    </row>
    <row r="392" spans="1:25" ht="15.75" customHeight="1">
      <c r="A392" s="1"/>
      <c r="B392" s="1"/>
      <c r="C392" s="1"/>
      <c r="D392" s="1"/>
      <c r="E392" s="1"/>
      <c r="F392" s="1"/>
      <c r="G392" s="1"/>
      <c r="H392" s="1"/>
      <c r="I392" s="4"/>
      <c r="J392" s="4"/>
      <c r="K392" s="4"/>
      <c r="L392" s="1"/>
      <c r="M392" s="1"/>
      <c r="N392" s="1"/>
      <c r="O392" s="1"/>
      <c r="P392" s="1"/>
      <c r="Q392" s="1"/>
      <c r="R392" s="1"/>
      <c r="S392" s="1"/>
      <c r="T392" s="1"/>
      <c r="U392" s="1"/>
      <c r="V392" s="1"/>
      <c r="W392" s="1"/>
      <c r="X392" s="1"/>
      <c r="Y392" s="1"/>
    </row>
    <row r="393" spans="1:25" ht="15.75" customHeight="1">
      <c r="A393" s="1"/>
      <c r="B393" s="1"/>
      <c r="C393" s="1"/>
      <c r="D393" s="1"/>
      <c r="E393" s="1"/>
      <c r="F393" s="1"/>
      <c r="G393" s="1"/>
      <c r="H393" s="1"/>
      <c r="I393" s="4"/>
      <c r="J393" s="4"/>
      <c r="K393" s="4"/>
      <c r="L393" s="1"/>
      <c r="M393" s="1"/>
      <c r="N393" s="1"/>
      <c r="O393" s="1"/>
      <c r="P393" s="1"/>
      <c r="Q393" s="1"/>
      <c r="R393" s="1"/>
      <c r="S393" s="1"/>
      <c r="T393" s="1"/>
      <c r="U393" s="1"/>
      <c r="V393" s="1"/>
      <c r="W393" s="1"/>
      <c r="X393" s="1"/>
      <c r="Y393" s="1"/>
    </row>
    <row r="394" spans="1:25" ht="15.75" customHeight="1">
      <c r="A394" s="1"/>
      <c r="B394" s="1"/>
      <c r="C394" s="1"/>
      <c r="D394" s="1"/>
      <c r="E394" s="1"/>
      <c r="F394" s="1"/>
      <c r="G394" s="1"/>
      <c r="H394" s="1"/>
      <c r="I394" s="4"/>
      <c r="J394" s="4"/>
      <c r="K394" s="4"/>
      <c r="L394" s="1"/>
      <c r="M394" s="1"/>
      <c r="N394" s="1"/>
      <c r="O394" s="1"/>
      <c r="P394" s="1"/>
      <c r="Q394" s="1"/>
      <c r="R394" s="1"/>
      <c r="S394" s="1"/>
      <c r="T394" s="1"/>
      <c r="U394" s="1"/>
      <c r="V394" s="1"/>
      <c r="W394" s="1"/>
      <c r="X394" s="1"/>
      <c r="Y394" s="1"/>
    </row>
    <row r="395" spans="1:25" ht="15.75" customHeight="1">
      <c r="A395" s="1"/>
      <c r="B395" s="1"/>
      <c r="C395" s="1"/>
      <c r="D395" s="1"/>
      <c r="E395" s="1"/>
      <c r="F395" s="1"/>
      <c r="G395" s="1"/>
      <c r="H395" s="1"/>
      <c r="I395" s="4"/>
      <c r="J395" s="4"/>
      <c r="K395" s="4"/>
      <c r="L395" s="1"/>
      <c r="M395" s="1"/>
      <c r="N395" s="1"/>
      <c r="O395" s="1"/>
      <c r="P395" s="1"/>
      <c r="Q395" s="1"/>
      <c r="R395" s="1"/>
      <c r="S395" s="1"/>
      <c r="T395" s="1"/>
      <c r="U395" s="1"/>
      <c r="V395" s="1"/>
      <c r="W395" s="1"/>
      <c r="X395" s="1"/>
      <c r="Y395" s="1"/>
    </row>
    <row r="396" spans="1:25" ht="15.75" customHeight="1">
      <c r="A396" s="1"/>
      <c r="B396" s="1"/>
      <c r="C396" s="1"/>
      <c r="D396" s="1"/>
      <c r="E396" s="1"/>
      <c r="F396" s="1"/>
      <c r="G396" s="1"/>
      <c r="H396" s="1"/>
      <c r="I396" s="4"/>
      <c r="J396" s="4"/>
      <c r="K396" s="4"/>
      <c r="L396" s="1"/>
      <c r="M396" s="1"/>
      <c r="N396" s="1"/>
      <c r="O396" s="1"/>
      <c r="P396" s="1"/>
      <c r="Q396" s="1"/>
      <c r="R396" s="1"/>
      <c r="S396" s="1"/>
      <c r="T396" s="1"/>
      <c r="U396" s="1"/>
      <c r="V396" s="1"/>
      <c r="W396" s="1"/>
      <c r="X396" s="1"/>
      <c r="Y396" s="1"/>
    </row>
    <row r="397" spans="1:25" ht="15.75" customHeight="1">
      <c r="A397" s="1"/>
      <c r="B397" s="1"/>
      <c r="C397" s="1"/>
      <c r="D397" s="1"/>
      <c r="E397" s="1"/>
      <c r="F397" s="1"/>
      <c r="G397" s="1"/>
      <c r="H397" s="1"/>
      <c r="I397" s="4"/>
      <c r="J397" s="4"/>
      <c r="K397" s="4"/>
      <c r="L397" s="1"/>
      <c r="M397" s="1"/>
      <c r="N397" s="1"/>
      <c r="O397" s="1"/>
      <c r="P397" s="1"/>
      <c r="Q397" s="1"/>
      <c r="R397" s="1"/>
      <c r="S397" s="1"/>
      <c r="T397" s="1"/>
      <c r="U397" s="1"/>
      <c r="V397" s="1"/>
      <c r="W397" s="1"/>
      <c r="X397" s="1"/>
      <c r="Y397" s="1"/>
    </row>
    <row r="398" spans="1:25" ht="15.75" customHeight="1">
      <c r="A398" s="1"/>
      <c r="B398" s="1"/>
      <c r="C398" s="1"/>
      <c r="D398" s="1"/>
      <c r="E398" s="1"/>
      <c r="F398" s="1"/>
      <c r="G398" s="1"/>
      <c r="H398" s="1"/>
      <c r="I398" s="4"/>
      <c r="J398" s="4"/>
      <c r="K398" s="4"/>
      <c r="L398" s="1"/>
      <c r="M398" s="1"/>
      <c r="N398" s="1"/>
      <c r="O398" s="1"/>
      <c r="P398" s="1"/>
      <c r="Q398" s="1"/>
      <c r="R398" s="1"/>
      <c r="S398" s="1"/>
      <c r="T398" s="1"/>
      <c r="U398" s="1"/>
      <c r="V398" s="1"/>
      <c r="W398" s="1"/>
      <c r="X398" s="1"/>
      <c r="Y398" s="1"/>
    </row>
    <row r="399" spans="1:25" ht="15.75" customHeight="1">
      <c r="A399" s="1"/>
      <c r="B399" s="1"/>
      <c r="C399" s="1"/>
      <c r="D399" s="1"/>
      <c r="E399" s="1"/>
      <c r="F399" s="1"/>
      <c r="G399" s="1"/>
      <c r="H399" s="1"/>
      <c r="I399" s="4"/>
      <c r="J399" s="4"/>
      <c r="K399" s="4"/>
      <c r="L399" s="1"/>
      <c r="M399" s="1"/>
      <c r="N399" s="1"/>
      <c r="O399" s="1"/>
      <c r="P399" s="1"/>
      <c r="Q399" s="1"/>
      <c r="R399" s="1"/>
      <c r="S399" s="1"/>
      <c r="T399" s="1"/>
      <c r="U399" s="1"/>
      <c r="V399" s="1"/>
      <c r="W399" s="1"/>
      <c r="X399" s="1"/>
      <c r="Y399" s="1"/>
    </row>
    <row r="400" spans="1:25" ht="15.75" customHeight="1">
      <c r="A400" s="1"/>
      <c r="B400" s="1"/>
      <c r="C400" s="1"/>
      <c r="D400" s="1"/>
      <c r="E400" s="1"/>
      <c r="F400" s="1"/>
      <c r="G400" s="1"/>
      <c r="H400" s="1"/>
      <c r="I400" s="4"/>
      <c r="J400" s="4"/>
      <c r="K400" s="4"/>
      <c r="L400" s="1"/>
      <c r="M400" s="1"/>
      <c r="N400" s="1"/>
      <c r="O400" s="1"/>
      <c r="P400" s="1"/>
      <c r="Q400" s="1"/>
      <c r="R400" s="1"/>
      <c r="S400" s="1"/>
      <c r="T400" s="1"/>
      <c r="U400" s="1"/>
      <c r="V400" s="1"/>
      <c r="W400" s="1"/>
      <c r="X400" s="1"/>
      <c r="Y400" s="1"/>
    </row>
    <row r="401" spans="1:25" ht="15.75" customHeight="1">
      <c r="A401" s="1"/>
      <c r="B401" s="1"/>
      <c r="C401" s="1"/>
      <c r="D401" s="1"/>
      <c r="E401" s="1"/>
      <c r="F401" s="1"/>
      <c r="G401" s="1"/>
      <c r="H401" s="1"/>
      <c r="I401" s="4"/>
      <c r="J401" s="4"/>
      <c r="K401" s="4"/>
      <c r="L401" s="1"/>
      <c r="M401" s="1"/>
      <c r="N401" s="1"/>
      <c r="O401" s="1"/>
      <c r="P401" s="1"/>
      <c r="Q401" s="1"/>
      <c r="R401" s="1"/>
      <c r="S401" s="1"/>
      <c r="T401" s="1"/>
      <c r="U401" s="1"/>
      <c r="V401" s="1"/>
      <c r="W401" s="1"/>
      <c r="X401" s="1"/>
      <c r="Y401" s="1"/>
    </row>
    <row r="402" spans="1:25" ht="15.75" customHeight="1">
      <c r="A402" s="1"/>
      <c r="B402" s="1"/>
      <c r="C402" s="1"/>
      <c r="D402" s="1"/>
      <c r="E402" s="1"/>
      <c r="F402" s="1"/>
      <c r="G402" s="1"/>
      <c r="H402" s="1"/>
      <c r="I402" s="4"/>
      <c r="J402" s="4"/>
      <c r="K402" s="4"/>
      <c r="L402" s="1"/>
      <c r="M402" s="1"/>
      <c r="N402" s="1"/>
      <c r="O402" s="1"/>
      <c r="P402" s="1"/>
      <c r="Q402" s="1"/>
      <c r="R402" s="1"/>
      <c r="S402" s="1"/>
      <c r="T402" s="1"/>
      <c r="U402" s="1"/>
      <c r="V402" s="1"/>
      <c r="W402" s="1"/>
      <c r="X402" s="1"/>
      <c r="Y402" s="1"/>
    </row>
    <row r="403" spans="1:25" ht="15.75" customHeight="1">
      <c r="A403" s="1"/>
      <c r="B403" s="1"/>
      <c r="C403" s="1"/>
      <c r="D403" s="1"/>
      <c r="E403" s="1"/>
      <c r="F403" s="1"/>
      <c r="G403" s="1"/>
      <c r="H403" s="1"/>
      <c r="I403" s="4"/>
      <c r="J403" s="4"/>
      <c r="K403" s="4"/>
      <c r="L403" s="1"/>
      <c r="M403" s="1"/>
      <c r="N403" s="1"/>
      <c r="O403" s="1"/>
      <c r="P403" s="1"/>
      <c r="Q403" s="1"/>
      <c r="R403" s="1"/>
      <c r="S403" s="1"/>
      <c r="T403" s="1"/>
      <c r="U403" s="1"/>
      <c r="V403" s="1"/>
      <c r="W403" s="1"/>
      <c r="X403" s="1"/>
      <c r="Y403" s="1"/>
    </row>
    <row r="404" spans="1:25" ht="15.75" customHeight="1">
      <c r="A404" s="1"/>
      <c r="B404" s="1"/>
      <c r="C404" s="1"/>
      <c r="D404" s="1"/>
      <c r="E404" s="1"/>
      <c r="F404" s="1"/>
      <c r="G404" s="1"/>
      <c r="H404" s="1"/>
      <c r="I404" s="4"/>
      <c r="J404" s="4"/>
      <c r="K404" s="4"/>
      <c r="L404" s="1"/>
      <c r="M404" s="1"/>
      <c r="N404" s="1"/>
      <c r="O404" s="1"/>
      <c r="P404" s="1"/>
      <c r="Q404" s="1"/>
      <c r="R404" s="1"/>
      <c r="S404" s="1"/>
      <c r="T404" s="1"/>
      <c r="U404" s="1"/>
      <c r="V404" s="1"/>
      <c r="W404" s="1"/>
      <c r="X404" s="1"/>
      <c r="Y404" s="1"/>
    </row>
    <row r="405" spans="1:25" ht="15.75" customHeight="1">
      <c r="A405" s="1"/>
      <c r="B405" s="1"/>
      <c r="C405" s="1"/>
      <c r="D405" s="1"/>
      <c r="E405" s="1"/>
      <c r="F405" s="1"/>
      <c r="G405" s="1"/>
      <c r="H405" s="1"/>
      <c r="I405" s="4"/>
      <c r="J405" s="4"/>
      <c r="K405" s="4"/>
      <c r="L405" s="1"/>
      <c r="M405" s="1"/>
      <c r="N405" s="1"/>
      <c r="O405" s="1"/>
      <c r="P405" s="1"/>
      <c r="Q405" s="1"/>
      <c r="R405" s="1"/>
      <c r="S405" s="1"/>
      <c r="T405" s="1"/>
      <c r="U405" s="1"/>
      <c r="V405" s="1"/>
      <c r="W405" s="1"/>
      <c r="X405" s="1"/>
      <c r="Y405" s="1"/>
    </row>
    <row r="406" spans="1:25" ht="15.75" customHeight="1">
      <c r="A406" s="1"/>
      <c r="B406" s="1"/>
      <c r="C406" s="1"/>
      <c r="D406" s="1"/>
      <c r="E406" s="1"/>
      <c r="F406" s="1"/>
      <c r="G406" s="1"/>
      <c r="H406" s="1"/>
      <c r="I406" s="4"/>
      <c r="J406" s="4"/>
      <c r="K406" s="4"/>
      <c r="L406" s="1"/>
      <c r="M406" s="1"/>
      <c r="N406" s="1"/>
      <c r="O406" s="1"/>
      <c r="P406" s="1"/>
      <c r="Q406" s="1"/>
      <c r="R406" s="1"/>
      <c r="S406" s="1"/>
      <c r="T406" s="1"/>
      <c r="U406" s="1"/>
      <c r="V406" s="1"/>
      <c r="W406" s="1"/>
      <c r="X406" s="1"/>
      <c r="Y406" s="1"/>
    </row>
    <row r="407" spans="1:25" ht="15.75" customHeight="1">
      <c r="A407" s="1"/>
      <c r="B407" s="1"/>
      <c r="C407" s="1"/>
      <c r="D407" s="1"/>
      <c r="E407" s="1"/>
      <c r="F407" s="1"/>
      <c r="G407" s="1"/>
      <c r="H407" s="1"/>
      <c r="I407" s="4"/>
      <c r="J407" s="4"/>
      <c r="K407" s="4"/>
      <c r="L407" s="1"/>
      <c r="M407" s="1"/>
      <c r="N407" s="1"/>
      <c r="O407" s="1"/>
      <c r="P407" s="1"/>
      <c r="Q407" s="1"/>
      <c r="R407" s="1"/>
      <c r="S407" s="1"/>
      <c r="T407" s="1"/>
      <c r="U407" s="1"/>
      <c r="V407" s="1"/>
      <c r="W407" s="1"/>
      <c r="X407" s="1"/>
      <c r="Y407" s="1"/>
    </row>
    <row r="408" spans="1:25" ht="15.75" customHeight="1">
      <c r="A408" s="1"/>
      <c r="B408" s="1"/>
      <c r="C408" s="1"/>
      <c r="D408" s="1"/>
      <c r="E408" s="1"/>
      <c r="F408" s="1"/>
      <c r="G408" s="1"/>
      <c r="H408" s="1"/>
      <c r="I408" s="4"/>
      <c r="J408" s="4"/>
      <c r="K408" s="4"/>
      <c r="L408" s="1"/>
      <c r="M408" s="1"/>
      <c r="N408" s="1"/>
      <c r="O408" s="1"/>
      <c r="P408" s="1"/>
      <c r="Q408" s="1"/>
      <c r="R408" s="1"/>
      <c r="S408" s="1"/>
      <c r="T408" s="1"/>
      <c r="U408" s="1"/>
      <c r="V408" s="1"/>
      <c r="W408" s="1"/>
      <c r="X408" s="1"/>
      <c r="Y408" s="1"/>
    </row>
    <row r="409" spans="1:25" ht="15.75" customHeight="1">
      <c r="A409" s="1"/>
      <c r="B409" s="1"/>
      <c r="C409" s="1"/>
      <c r="D409" s="1"/>
      <c r="E409" s="1"/>
      <c r="F409" s="1"/>
      <c r="G409" s="1"/>
      <c r="H409" s="1"/>
      <c r="I409" s="4"/>
      <c r="J409" s="4"/>
      <c r="K409" s="4"/>
      <c r="L409" s="1"/>
      <c r="M409" s="1"/>
      <c r="N409" s="1"/>
      <c r="O409" s="1"/>
      <c r="P409" s="1"/>
      <c r="Q409" s="1"/>
      <c r="R409" s="1"/>
      <c r="S409" s="1"/>
      <c r="T409" s="1"/>
      <c r="U409" s="1"/>
      <c r="V409" s="1"/>
      <c r="W409" s="1"/>
      <c r="X409" s="1"/>
      <c r="Y409" s="1"/>
    </row>
    <row r="410" spans="1:25" ht="15.75" customHeight="1">
      <c r="A410" s="1"/>
      <c r="B410" s="1"/>
      <c r="C410" s="1"/>
      <c r="D410" s="1"/>
      <c r="E410" s="1"/>
      <c r="F410" s="1"/>
      <c r="G410" s="1"/>
      <c r="H410" s="1"/>
      <c r="I410" s="4"/>
      <c r="J410" s="4"/>
      <c r="K410" s="4"/>
      <c r="L410" s="1"/>
      <c r="M410" s="1"/>
      <c r="N410" s="1"/>
      <c r="O410" s="1"/>
      <c r="P410" s="1"/>
      <c r="Q410" s="1"/>
      <c r="R410" s="1"/>
      <c r="S410" s="1"/>
      <c r="T410" s="1"/>
      <c r="U410" s="1"/>
      <c r="V410" s="1"/>
      <c r="W410" s="1"/>
      <c r="X410" s="1"/>
      <c r="Y410" s="1"/>
    </row>
    <row r="411" spans="1:25" ht="15.75" customHeight="1">
      <c r="A411" s="1"/>
      <c r="B411" s="1"/>
      <c r="C411" s="1"/>
      <c r="D411" s="1"/>
      <c r="E411" s="1"/>
      <c r="F411" s="1"/>
      <c r="G411" s="1"/>
      <c r="H411" s="1"/>
      <c r="I411" s="4"/>
      <c r="J411" s="4"/>
      <c r="K411" s="4"/>
      <c r="L411" s="1"/>
      <c r="M411" s="1"/>
      <c r="N411" s="1"/>
      <c r="O411" s="1"/>
      <c r="P411" s="1"/>
      <c r="Q411" s="1"/>
      <c r="R411" s="1"/>
      <c r="S411" s="1"/>
      <c r="T411" s="1"/>
      <c r="U411" s="1"/>
      <c r="V411" s="1"/>
      <c r="W411" s="1"/>
      <c r="X411" s="1"/>
      <c r="Y411" s="1"/>
    </row>
    <row r="412" spans="1:25" ht="15.75" customHeight="1">
      <c r="A412" s="1"/>
      <c r="B412" s="1"/>
      <c r="C412" s="1"/>
      <c r="D412" s="1"/>
      <c r="E412" s="1"/>
      <c r="F412" s="1"/>
      <c r="G412" s="1"/>
      <c r="H412" s="1"/>
      <c r="I412" s="4"/>
      <c r="J412" s="4"/>
      <c r="K412" s="4"/>
      <c r="L412" s="1"/>
      <c r="M412" s="1"/>
      <c r="N412" s="1"/>
      <c r="O412" s="1"/>
      <c r="P412" s="1"/>
      <c r="Q412" s="1"/>
      <c r="R412" s="1"/>
      <c r="S412" s="1"/>
      <c r="T412" s="1"/>
      <c r="U412" s="1"/>
      <c r="V412" s="1"/>
      <c r="W412" s="1"/>
      <c r="X412" s="1"/>
      <c r="Y412" s="1"/>
    </row>
    <row r="413" spans="1:25" ht="15.75" customHeight="1">
      <c r="A413" s="1"/>
      <c r="B413" s="1"/>
      <c r="C413" s="1"/>
      <c r="D413" s="1"/>
      <c r="E413" s="1"/>
      <c r="F413" s="1"/>
      <c r="G413" s="1"/>
      <c r="H413" s="1"/>
      <c r="I413" s="4"/>
      <c r="J413" s="4"/>
      <c r="K413" s="4"/>
      <c r="L413" s="1"/>
      <c r="M413" s="1"/>
      <c r="N413" s="1"/>
      <c r="O413" s="1"/>
      <c r="P413" s="1"/>
      <c r="Q413" s="1"/>
      <c r="R413" s="1"/>
      <c r="S413" s="1"/>
      <c r="T413" s="1"/>
      <c r="U413" s="1"/>
      <c r="V413" s="1"/>
      <c r="W413" s="1"/>
      <c r="X413" s="1"/>
      <c r="Y413" s="1"/>
    </row>
    <row r="414" spans="1:25" ht="15.75" customHeight="1">
      <c r="A414" s="1"/>
      <c r="B414" s="1"/>
      <c r="C414" s="1"/>
      <c r="D414" s="1"/>
      <c r="E414" s="1"/>
      <c r="F414" s="1"/>
      <c r="G414" s="1"/>
      <c r="H414" s="1"/>
      <c r="I414" s="4"/>
      <c r="J414" s="4"/>
      <c r="K414" s="4"/>
      <c r="L414" s="1"/>
      <c r="M414" s="1"/>
      <c r="N414" s="1"/>
      <c r="O414" s="1"/>
      <c r="P414" s="1"/>
      <c r="Q414" s="1"/>
      <c r="R414" s="1"/>
      <c r="S414" s="1"/>
      <c r="T414" s="1"/>
      <c r="U414" s="1"/>
      <c r="V414" s="1"/>
      <c r="W414" s="1"/>
      <c r="X414" s="1"/>
      <c r="Y414" s="1"/>
    </row>
    <row r="415" spans="1:25" ht="15.75" customHeight="1">
      <c r="A415" s="1"/>
      <c r="B415" s="1"/>
      <c r="C415" s="1"/>
      <c r="D415" s="1"/>
      <c r="E415" s="1"/>
      <c r="F415" s="1"/>
      <c r="G415" s="1"/>
      <c r="H415" s="1"/>
      <c r="I415" s="4"/>
      <c r="J415" s="4"/>
      <c r="K415" s="4"/>
      <c r="L415" s="1"/>
      <c r="M415" s="1"/>
      <c r="N415" s="1"/>
      <c r="O415" s="1"/>
      <c r="P415" s="1"/>
      <c r="Q415" s="1"/>
      <c r="R415" s="1"/>
      <c r="S415" s="1"/>
      <c r="T415" s="1"/>
      <c r="U415" s="1"/>
      <c r="V415" s="1"/>
      <c r="W415" s="1"/>
      <c r="X415" s="1"/>
      <c r="Y415" s="1"/>
    </row>
    <row r="416" spans="1:25" ht="15.75" customHeight="1">
      <c r="A416" s="1"/>
      <c r="B416" s="1"/>
      <c r="C416" s="1"/>
      <c r="D416" s="1"/>
      <c r="E416" s="1"/>
      <c r="F416" s="1"/>
      <c r="G416" s="1"/>
      <c r="H416" s="1"/>
      <c r="I416" s="4"/>
      <c r="J416" s="4"/>
      <c r="K416" s="4"/>
      <c r="L416" s="1"/>
      <c r="M416" s="1"/>
      <c r="N416" s="1"/>
      <c r="O416" s="1"/>
      <c r="P416" s="1"/>
      <c r="Q416" s="1"/>
      <c r="R416" s="1"/>
      <c r="S416" s="1"/>
      <c r="T416" s="1"/>
      <c r="U416" s="1"/>
      <c r="V416" s="1"/>
      <c r="W416" s="1"/>
      <c r="X416" s="1"/>
      <c r="Y416" s="1"/>
    </row>
    <row r="417" spans="1:25" ht="15.75" customHeight="1">
      <c r="A417" s="1"/>
      <c r="B417" s="1"/>
      <c r="C417" s="1"/>
      <c r="D417" s="1"/>
      <c r="E417" s="1"/>
      <c r="F417" s="1"/>
      <c r="G417" s="1"/>
      <c r="H417" s="1"/>
      <c r="I417" s="4"/>
      <c r="J417" s="4"/>
      <c r="K417" s="4"/>
      <c r="L417" s="1"/>
      <c r="M417" s="1"/>
      <c r="N417" s="1"/>
      <c r="O417" s="1"/>
      <c r="P417" s="1"/>
      <c r="Q417" s="1"/>
      <c r="R417" s="1"/>
      <c r="S417" s="1"/>
      <c r="T417" s="1"/>
      <c r="U417" s="1"/>
      <c r="V417" s="1"/>
      <c r="W417" s="1"/>
      <c r="X417" s="1"/>
      <c r="Y417" s="1"/>
    </row>
    <row r="418" spans="1:25" ht="15.75" customHeight="1">
      <c r="A418" s="1"/>
      <c r="B418" s="1"/>
      <c r="C418" s="1"/>
      <c r="D418" s="1"/>
      <c r="E418" s="1"/>
      <c r="F418" s="1"/>
      <c r="G418" s="1"/>
      <c r="H418" s="1"/>
      <c r="I418" s="4"/>
      <c r="J418" s="4"/>
      <c r="K418" s="4"/>
      <c r="L418" s="1"/>
      <c r="M418" s="1"/>
      <c r="N418" s="1"/>
      <c r="O418" s="1"/>
      <c r="P418" s="1"/>
      <c r="Q418" s="1"/>
      <c r="R418" s="1"/>
      <c r="S418" s="1"/>
      <c r="T418" s="1"/>
      <c r="U418" s="1"/>
      <c r="V418" s="1"/>
      <c r="W418" s="1"/>
      <c r="X418" s="1"/>
      <c r="Y418" s="1"/>
    </row>
    <row r="419" spans="1:25" ht="15.75" customHeight="1">
      <c r="A419" s="1"/>
      <c r="B419" s="1"/>
      <c r="C419" s="1"/>
      <c r="D419" s="1"/>
      <c r="E419" s="1"/>
      <c r="F419" s="1"/>
      <c r="G419" s="1"/>
      <c r="H419" s="1"/>
      <c r="I419" s="4"/>
      <c r="J419" s="4"/>
      <c r="K419" s="4"/>
      <c r="L419" s="1"/>
      <c r="M419" s="1"/>
      <c r="N419" s="1"/>
      <c r="O419" s="1"/>
      <c r="P419" s="1"/>
      <c r="Q419" s="1"/>
      <c r="R419" s="1"/>
      <c r="S419" s="1"/>
      <c r="T419" s="1"/>
      <c r="U419" s="1"/>
      <c r="V419" s="1"/>
      <c r="W419" s="1"/>
      <c r="X419" s="1"/>
      <c r="Y419" s="1"/>
    </row>
    <row r="420" spans="1:25" ht="15.75" customHeight="1">
      <c r="A420" s="1"/>
      <c r="B420" s="1"/>
      <c r="C420" s="1"/>
      <c r="D420" s="1"/>
      <c r="E420" s="1"/>
      <c r="F420" s="1"/>
      <c r="G420" s="1"/>
      <c r="H420" s="1"/>
      <c r="I420" s="4"/>
      <c r="J420" s="4"/>
      <c r="K420" s="4"/>
      <c r="L420" s="1"/>
      <c r="M420" s="1"/>
      <c r="N420" s="1"/>
      <c r="O420" s="1"/>
      <c r="P420" s="1"/>
      <c r="Q420" s="1"/>
      <c r="R420" s="1"/>
      <c r="S420" s="1"/>
      <c r="T420" s="1"/>
      <c r="U420" s="1"/>
      <c r="V420" s="1"/>
      <c r="W420" s="1"/>
      <c r="X420" s="1"/>
      <c r="Y420" s="1"/>
    </row>
    <row r="421" spans="1:25" ht="15.75" customHeight="1">
      <c r="A421" s="1"/>
      <c r="B421" s="1"/>
      <c r="C421" s="1"/>
      <c r="D421" s="1"/>
      <c r="E421" s="1"/>
      <c r="F421" s="1"/>
      <c r="G421" s="1"/>
      <c r="H421" s="1"/>
      <c r="I421" s="4"/>
      <c r="J421" s="4"/>
      <c r="K421" s="4"/>
      <c r="L421" s="1"/>
      <c r="M421" s="1"/>
      <c r="N421" s="1"/>
      <c r="O421" s="1"/>
      <c r="P421" s="1"/>
      <c r="Q421" s="1"/>
      <c r="R421" s="1"/>
      <c r="S421" s="1"/>
      <c r="T421" s="1"/>
      <c r="U421" s="1"/>
      <c r="V421" s="1"/>
      <c r="W421" s="1"/>
      <c r="X421" s="1"/>
      <c r="Y421" s="1"/>
    </row>
    <row r="422" spans="1:25" ht="15.75" customHeight="1">
      <c r="A422" s="1"/>
      <c r="B422" s="1"/>
      <c r="C422" s="1"/>
      <c r="D422" s="1"/>
      <c r="E422" s="1"/>
      <c r="F422" s="1"/>
      <c r="G422" s="1"/>
      <c r="H422" s="1"/>
      <c r="I422" s="4"/>
      <c r="J422" s="4"/>
      <c r="K422" s="4"/>
      <c r="L422" s="1"/>
      <c r="M422" s="1"/>
      <c r="N422" s="1"/>
      <c r="O422" s="1"/>
      <c r="P422" s="1"/>
      <c r="Q422" s="1"/>
      <c r="R422" s="1"/>
      <c r="S422" s="1"/>
      <c r="T422" s="1"/>
      <c r="U422" s="1"/>
      <c r="V422" s="1"/>
      <c r="W422" s="1"/>
      <c r="X422" s="1"/>
      <c r="Y422" s="1"/>
    </row>
    <row r="423" spans="1:25" ht="15.75" customHeight="1">
      <c r="A423" s="1"/>
      <c r="B423" s="1"/>
      <c r="C423" s="1"/>
      <c r="D423" s="1"/>
      <c r="E423" s="1"/>
      <c r="F423" s="1"/>
      <c r="G423" s="1"/>
      <c r="H423" s="1"/>
      <c r="I423" s="4"/>
      <c r="J423" s="4"/>
      <c r="K423" s="4"/>
      <c r="L423" s="1"/>
      <c r="M423" s="1"/>
      <c r="N423" s="1"/>
      <c r="O423" s="1"/>
      <c r="P423" s="1"/>
      <c r="Q423" s="1"/>
      <c r="R423" s="1"/>
      <c r="S423" s="1"/>
      <c r="T423" s="1"/>
      <c r="U423" s="1"/>
      <c r="V423" s="1"/>
      <c r="W423" s="1"/>
      <c r="X423" s="1"/>
      <c r="Y423" s="1"/>
    </row>
    <row r="424" spans="1:25" ht="15.75" customHeight="1">
      <c r="A424" s="1"/>
      <c r="B424" s="1"/>
      <c r="C424" s="1"/>
      <c r="D424" s="1"/>
      <c r="E424" s="1"/>
      <c r="F424" s="1"/>
      <c r="G424" s="1"/>
      <c r="H424" s="1"/>
      <c r="I424" s="4"/>
      <c r="J424" s="4"/>
      <c r="K424" s="4"/>
      <c r="L424" s="1"/>
      <c r="M424" s="1"/>
      <c r="N424" s="1"/>
      <c r="O424" s="1"/>
      <c r="P424" s="1"/>
      <c r="Q424" s="1"/>
      <c r="R424" s="1"/>
      <c r="S424" s="1"/>
      <c r="T424" s="1"/>
      <c r="U424" s="1"/>
      <c r="V424" s="1"/>
      <c r="W424" s="1"/>
      <c r="X424" s="1"/>
      <c r="Y424" s="1"/>
    </row>
    <row r="425" spans="1:25" ht="15.75" customHeight="1">
      <c r="A425" s="1"/>
      <c r="B425" s="1"/>
      <c r="C425" s="1"/>
      <c r="D425" s="1"/>
      <c r="E425" s="1"/>
      <c r="F425" s="1"/>
      <c r="G425" s="1"/>
      <c r="H425" s="1"/>
      <c r="I425" s="4"/>
      <c r="J425" s="4"/>
      <c r="K425" s="4"/>
      <c r="L425" s="1"/>
      <c r="M425" s="1"/>
      <c r="N425" s="1"/>
      <c r="O425" s="1"/>
      <c r="P425" s="1"/>
      <c r="Q425" s="1"/>
      <c r="R425" s="1"/>
      <c r="S425" s="1"/>
      <c r="T425" s="1"/>
      <c r="U425" s="1"/>
      <c r="V425" s="1"/>
      <c r="W425" s="1"/>
      <c r="X425" s="1"/>
      <c r="Y425" s="1"/>
    </row>
    <row r="426" spans="1:25" ht="15.75" customHeight="1">
      <c r="A426" s="1"/>
      <c r="B426" s="1"/>
      <c r="C426" s="1"/>
      <c r="D426" s="1"/>
      <c r="E426" s="1"/>
      <c r="F426" s="1"/>
      <c r="G426" s="1"/>
      <c r="H426" s="1"/>
      <c r="I426" s="4"/>
      <c r="J426" s="4"/>
      <c r="K426" s="4"/>
      <c r="L426" s="1"/>
      <c r="M426" s="1"/>
      <c r="N426" s="1"/>
      <c r="O426" s="1"/>
      <c r="P426" s="1"/>
      <c r="Q426" s="1"/>
      <c r="R426" s="1"/>
      <c r="S426" s="1"/>
      <c r="T426" s="1"/>
      <c r="U426" s="1"/>
      <c r="V426" s="1"/>
      <c r="W426" s="1"/>
      <c r="X426" s="1"/>
      <c r="Y426" s="1"/>
    </row>
    <row r="427" spans="1:25" ht="15.75" customHeight="1">
      <c r="A427" s="1"/>
      <c r="B427" s="1"/>
      <c r="C427" s="1"/>
      <c r="D427" s="1"/>
      <c r="E427" s="1"/>
      <c r="F427" s="1"/>
      <c r="G427" s="1"/>
      <c r="H427" s="1"/>
      <c r="I427" s="4"/>
      <c r="J427" s="4"/>
      <c r="K427" s="4"/>
      <c r="L427" s="1"/>
      <c r="M427" s="1"/>
      <c r="N427" s="1"/>
      <c r="O427" s="1"/>
      <c r="P427" s="1"/>
      <c r="Q427" s="1"/>
      <c r="R427" s="1"/>
      <c r="S427" s="1"/>
      <c r="T427" s="1"/>
      <c r="U427" s="1"/>
      <c r="V427" s="1"/>
      <c r="W427" s="1"/>
      <c r="X427" s="1"/>
      <c r="Y427" s="1"/>
    </row>
    <row r="428" spans="1:25" ht="15.75" customHeight="1">
      <c r="A428" s="1"/>
      <c r="B428" s="1"/>
      <c r="C428" s="1"/>
      <c r="D428" s="1"/>
      <c r="E428" s="1"/>
      <c r="F428" s="1"/>
      <c r="G428" s="1"/>
      <c r="H428" s="1"/>
      <c r="I428" s="4"/>
      <c r="J428" s="4"/>
      <c r="K428" s="4"/>
      <c r="L428" s="1"/>
      <c r="M428" s="1"/>
      <c r="N428" s="1"/>
      <c r="O428" s="1"/>
      <c r="P428" s="1"/>
      <c r="Q428" s="1"/>
      <c r="R428" s="1"/>
      <c r="S428" s="1"/>
      <c r="T428" s="1"/>
      <c r="U428" s="1"/>
      <c r="V428" s="1"/>
      <c r="W428" s="1"/>
      <c r="X428" s="1"/>
      <c r="Y428" s="1"/>
    </row>
    <row r="429" spans="1:25" ht="15.75" customHeight="1">
      <c r="A429" s="1"/>
      <c r="B429" s="1"/>
      <c r="C429" s="1"/>
      <c r="D429" s="1"/>
      <c r="E429" s="1"/>
      <c r="F429" s="1"/>
      <c r="G429" s="1"/>
      <c r="H429" s="1"/>
      <c r="I429" s="4"/>
      <c r="J429" s="4"/>
      <c r="K429" s="4"/>
      <c r="L429" s="1"/>
      <c r="M429" s="1"/>
      <c r="N429" s="1"/>
      <c r="O429" s="1"/>
      <c r="P429" s="1"/>
      <c r="Q429" s="1"/>
      <c r="R429" s="1"/>
      <c r="S429" s="1"/>
      <c r="T429" s="1"/>
      <c r="U429" s="1"/>
      <c r="V429" s="1"/>
      <c r="W429" s="1"/>
      <c r="X429" s="1"/>
      <c r="Y429" s="1"/>
    </row>
    <row r="430" spans="1:25" ht="15.75" customHeight="1">
      <c r="A430" s="1"/>
      <c r="B430" s="1"/>
      <c r="C430" s="1"/>
      <c r="D430" s="1"/>
      <c r="E430" s="1"/>
      <c r="F430" s="1"/>
      <c r="G430" s="1"/>
      <c r="H430" s="1"/>
      <c r="I430" s="4"/>
      <c r="J430" s="4"/>
      <c r="K430" s="4"/>
      <c r="L430" s="1"/>
      <c r="M430" s="1"/>
      <c r="N430" s="1"/>
      <c r="O430" s="1"/>
      <c r="P430" s="1"/>
      <c r="Q430" s="1"/>
      <c r="R430" s="1"/>
      <c r="S430" s="1"/>
      <c r="T430" s="1"/>
      <c r="U430" s="1"/>
      <c r="V430" s="1"/>
      <c r="W430" s="1"/>
      <c r="X430" s="1"/>
      <c r="Y430" s="1"/>
    </row>
    <row r="431" spans="1:25" ht="15.75" customHeight="1">
      <c r="A431" s="1"/>
      <c r="B431" s="1"/>
      <c r="C431" s="1"/>
      <c r="D431" s="1"/>
      <c r="E431" s="1"/>
      <c r="F431" s="1"/>
      <c r="G431" s="1"/>
      <c r="H431" s="1"/>
      <c r="I431" s="4"/>
      <c r="J431" s="4"/>
      <c r="K431" s="4"/>
      <c r="L431" s="1"/>
      <c r="M431" s="1"/>
      <c r="N431" s="1"/>
      <c r="O431" s="1"/>
      <c r="P431" s="1"/>
      <c r="Q431" s="1"/>
      <c r="R431" s="1"/>
      <c r="S431" s="1"/>
      <c r="T431" s="1"/>
      <c r="U431" s="1"/>
      <c r="V431" s="1"/>
      <c r="W431" s="1"/>
      <c r="X431" s="1"/>
      <c r="Y431" s="1"/>
    </row>
    <row r="432" spans="1:25" ht="15.75" customHeight="1">
      <c r="A432" s="1"/>
      <c r="B432" s="1"/>
      <c r="C432" s="1"/>
      <c r="D432" s="1"/>
      <c r="E432" s="1"/>
      <c r="F432" s="1"/>
      <c r="G432" s="1"/>
      <c r="H432" s="1"/>
      <c r="I432" s="4"/>
      <c r="J432" s="4"/>
      <c r="K432" s="4"/>
      <c r="L432" s="1"/>
      <c r="M432" s="1"/>
      <c r="N432" s="1"/>
      <c r="O432" s="1"/>
      <c r="P432" s="1"/>
      <c r="Q432" s="1"/>
      <c r="R432" s="1"/>
      <c r="S432" s="1"/>
      <c r="T432" s="1"/>
      <c r="U432" s="1"/>
      <c r="V432" s="1"/>
      <c r="W432" s="1"/>
      <c r="X432" s="1"/>
      <c r="Y432" s="1"/>
    </row>
    <row r="433" spans="1:25" ht="15.75" customHeight="1">
      <c r="A433" s="1"/>
      <c r="B433" s="1"/>
      <c r="C433" s="1"/>
      <c r="D433" s="1"/>
      <c r="E433" s="1"/>
      <c r="F433" s="1"/>
      <c r="G433" s="1"/>
      <c r="H433" s="1"/>
      <c r="I433" s="4"/>
      <c r="J433" s="4"/>
      <c r="K433" s="4"/>
      <c r="L433" s="1"/>
      <c r="M433" s="1"/>
      <c r="N433" s="1"/>
      <c r="O433" s="1"/>
      <c r="P433" s="1"/>
      <c r="Q433" s="1"/>
      <c r="R433" s="1"/>
      <c r="S433" s="1"/>
      <c r="T433" s="1"/>
      <c r="U433" s="1"/>
      <c r="V433" s="1"/>
      <c r="W433" s="1"/>
      <c r="X433" s="1"/>
      <c r="Y433" s="1"/>
    </row>
    <row r="434" spans="1:25" ht="15.75" customHeight="1">
      <c r="A434" s="1"/>
      <c r="B434" s="1"/>
      <c r="C434" s="1"/>
      <c r="D434" s="1"/>
      <c r="E434" s="1"/>
      <c r="F434" s="1"/>
      <c r="G434" s="1"/>
      <c r="H434" s="1"/>
      <c r="I434" s="4"/>
      <c r="J434" s="4"/>
      <c r="K434" s="4"/>
      <c r="L434" s="1"/>
      <c r="M434" s="1"/>
      <c r="N434" s="1"/>
      <c r="O434" s="1"/>
      <c r="P434" s="1"/>
      <c r="Q434" s="1"/>
      <c r="R434" s="1"/>
      <c r="S434" s="1"/>
      <c r="T434" s="1"/>
      <c r="U434" s="1"/>
      <c r="V434" s="1"/>
      <c r="W434" s="1"/>
      <c r="X434" s="1"/>
      <c r="Y434" s="1"/>
    </row>
    <row r="435" spans="1:25" ht="15.75" customHeight="1">
      <c r="A435" s="1"/>
      <c r="B435" s="1"/>
      <c r="C435" s="1"/>
      <c r="D435" s="1"/>
      <c r="E435" s="1"/>
      <c r="F435" s="1"/>
      <c r="G435" s="1"/>
      <c r="H435" s="1"/>
      <c r="I435" s="4"/>
      <c r="J435" s="4"/>
      <c r="K435" s="4"/>
      <c r="L435" s="1"/>
      <c r="M435" s="1"/>
      <c r="N435" s="1"/>
      <c r="O435" s="1"/>
      <c r="P435" s="1"/>
      <c r="Q435" s="1"/>
      <c r="R435" s="1"/>
      <c r="S435" s="1"/>
      <c r="T435" s="1"/>
      <c r="U435" s="1"/>
      <c r="V435" s="1"/>
      <c r="W435" s="1"/>
      <c r="X435" s="1"/>
      <c r="Y435" s="1"/>
    </row>
    <row r="436" spans="1:25" ht="15.75" customHeight="1">
      <c r="A436" s="1"/>
      <c r="B436" s="1"/>
      <c r="C436" s="1"/>
      <c r="D436" s="1"/>
      <c r="E436" s="1"/>
      <c r="F436" s="1"/>
      <c r="G436" s="1"/>
      <c r="H436" s="1"/>
      <c r="I436" s="4"/>
      <c r="J436" s="4"/>
      <c r="K436" s="4"/>
      <c r="L436" s="1"/>
      <c r="M436" s="1"/>
      <c r="N436" s="1"/>
      <c r="O436" s="1"/>
      <c r="P436" s="1"/>
      <c r="Q436" s="1"/>
      <c r="R436" s="1"/>
      <c r="S436" s="1"/>
      <c r="T436" s="1"/>
      <c r="U436" s="1"/>
      <c r="V436" s="1"/>
      <c r="W436" s="1"/>
      <c r="X436" s="1"/>
      <c r="Y436" s="1"/>
    </row>
    <row r="437" spans="1:25" ht="15.75" customHeight="1">
      <c r="A437" s="1"/>
      <c r="B437" s="1"/>
      <c r="C437" s="1"/>
      <c r="D437" s="1"/>
      <c r="E437" s="1"/>
      <c r="F437" s="1"/>
      <c r="G437" s="1"/>
      <c r="H437" s="1"/>
      <c r="I437" s="4"/>
      <c r="J437" s="4"/>
      <c r="K437" s="4"/>
      <c r="L437" s="1"/>
      <c r="M437" s="1"/>
      <c r="N437" s="1"/>
      <c r="O437" s="1"/>
      <c r="P437" s="1"/>
      <c r="Q437" s="1"/>
      <c r="R437" s="1"/>
      <c r="S437" s="1"/>
      <c r="T437" s="1"/>
      <c r="U437" s="1"/>
      <c r="V437" s="1"/>
      <c r="W437" s="1"/>
      <c r="X437" s="1"/>
      <c r="Y437" s="1"/>
    </row>
    <row r="438" spans="1:25" ht="15.75" customHeight="1">
      <c r="A438" s="1"/>
      <c r="B438" s="1"/>
      <c r="C438" s="1"/>
      <c r="D438" s="1"/>
      <c r="E438" s="1"/>
      <c r="F438" s="1"/>
      <c r="G438" s="1"/>
      <c r="H438" s="1"/>
      <c r="I438" s="4"/>
      <c r="J438" s="4"/>
      <c r="K438" s="4"/>
      <c r="L438" s="1"/>
      <c r="M438" s="1"/>
      <c r="N438" s="1"/>
      <c r="O438" s="1"/>
      <c r="P438" s="1"/>
      <c r="Q438" s="1"/>
      <c r="R438" s="1"/>
      <c r="S438" s="1"/>
      <c r="T438" s="1"/>
      <c r="U438" s="1"/>
      <c r="V438" s="1"/>
      <c r="W438" s="1"/>
      <c r="X438" s="1"/>
      <c r="Y438" s="1"/>
    </row>
    <row r="439" spans="1:25" ht="15.75" customHeight="1">
      <c r="A439" s="1"/>
      <c r="B439" s="1"/>
      <c r="C439" s="1"/>
      <c r="D439" s="1"/>
      <c r="E439" s="1"/>
      <c r="F439" s="1"/>
      <c r="G439" s="1"/>
      <c r="H439" s="1"/>
      <c r="I439" s="4"/>
      <c r="J439" s="4"/>
      <c r="K439" s="4"/>
      <c r="L439" s="1"/>
      <c r="M439" s="1"/>
      <c r="N439" s="1"/>
      <c r="O439" s="1"/>
      <c r="P439" s="1"/>
      <c r="Q439" s="1"/>
      <c r="R439" s="1"/>
      <c r="S439" s="1"/>
      <c r="T439" s="1"/>
      <c r="U439" s="1"/>
      <c r="V439" s="1"/>
      <c r="W439" s="1"/>
      <c r="X439" s="1"/>
      <c r="Y439" s="1"/>
    </row>
    <row r="440" spans="1:25" ht="15.75" customHeight="1">
      <c r="A440" s="1"/>
      <c r="B440" s="1"/>
      <c r="C440" s="1"/>
      <c r="D440" s="1"/>
      <c r="E440" s="1"/>
      <c r="F440" s="1"/>
      <c r="G440" s="1"/>
      <c r="H440" s="1"/>
      <c r="I440" s="4"/>
      <c r="J440" s="4"/>
      <c r="K440" s="4"/>
      <c r="L440" s="1"/>
      <c r="M440" s="1"/>
      <c r="N440" s="1"/>
      <c r="O440" s="1"/>
      <c r="P440" s="1"/>
      <c r="Q440" s="1"/>
      <c r="R440" s="1"/>
      <c r="S440" s="1"/>
      <c r="T440" s="1"/>
      <c r="U440" s="1"/>
      <c r="V440" s="1"/>
      <c r="W440" s="1"/>
      <c r="X440" s="1"/>
      <c r="Y440" s="1"/>
    </row>
    <row r="441" spans="1:25" ht="15.75" customHeight="1">
      <c r="A441" s="1"/>
      <c r="B441" s="1"/>
      <c r="C441" s="1"/>
      <c r="D441" s="1"/>
      <c r="E441" s="1"/>
      <c r="F441" s="1"/>
      <c r="G441" s="1"/>
      <c r="H441" s="1"/>
      <c r="I441" s="4"/>
      <c r="J441" s="4"/>
      <c r="K441" s="4"/>
      <c r="L441" s="1"/>
      <c r="M441" s="1"/>
      <c r="N441" s="1"/>
      <c r="O441" s="1"/>
      <c r="P441" s="1"/>
      <c r="Q441" s="1"/>
      <c r="R441" s="1"/>
      <c r="S441" s="1"/>
      <c r="T441" s="1"/>
      <c r="U441" s="1"/>
      <c r="V441" s="1"/>
      <c r="W441" s="1"/>
      <c r="X441" s="1"/>
      <c r="Y441" s="1"/>
    </row>
    <row r="442" spans="1:25" ht="15.75" customHeight="1">
      <c r="A442" s="1"/>
      <c r="B442" s="1"/>
      <c r="C442" s="1"/>
      <c r="D442" s="1"/>
      <c r="E442" s="1"/>
      <c r="F442" s="1"/>
      <c r="G442" s="1"/>
      <c r="H442" s="1"/>
      <c r="I442" s="4"/>
      <c r="J442" s="4"/>
      <c r="K442" s="4"/>
      <c r="L442" s="1"/>
      <c r="M442" s="1"/>
      <c r="N442" s="1"/>
      <c r="O442" s="1"/>
      <c r="P442" s="1"/>
      <c r="Q442" s="1"/>
      <c r="R442" s="1"/>
      <c r="S442" s="1"/>
      <c r="T442" s="1"/>
      <c r="U442" s="1"/>
      <c r="V442" s="1"/>
      <c r="W442" s="1"/>
      <c r="X442" s="1"/>
      <c r="Y442" s="1"/>
    </row>
    <row r="443" spans="1:25" ht="15.75" customHeight="1">
      <c r="A443" s="1"/>
      <c r="B443" s="1"/>
      <c r="C443" s="1"/>
      <c r="D443" s="1"/>
      <c r="E443" s="1"/>
      <c r="F443" s="1"/>
      <c r="G443" s="1"/>
      <c r="H443" s="1"/>
      <c r="I443" s="4"/>
      <c r="J443" s="4"/>
      <c r="K443" s="4"/>
      <c r="L443" s="1"/>
      <c r="M443" s="1"/>
      <c r="N443" s="1"/>
      <c r="O443" s="1"/>
      <c r="P443" s="1"/>
      <c r="Q443" s="1"/>
      <c r="R443" s="1"/>
      <c r="S443" s="1"/>
      <c r="T443" s="1"/>
      <c r="U443" s="1"/>
      <c r="V443" s="1"/>
      <c r="W443" s="1"/>
      <c r="X443" s="1"/>
      <c r="Y443" s="1"/>
    </row>
    <row r="444" spans="1:25" ht="15.75" customHeight="1">
      <c r="A444" s="1"/>
      <c r="B444" s="1"/>
      <c r="C444" s="1"/>
      <c r="D444" s="1"/>
      <c r="E444" s="1"/>
      <c r="F444" s="1"/>
      <c r="G444" s="1"/>
      <c r="H444" s="1"/>
      <c r="I444" s="4"/>
      <c r="J444" s="4"/>
      <c r="K444" s="4"/>
      <c r="L444" s="1"/>
      <c r="M444" s="1"/>
      <c r="N444" s="1"/>
      <c r="O444" s="1"/>
      <c r="P444" s="1"/>
      <c r="Q444" s="1"/>
      <c r="R444" s="1"/>
      <c r="S444" s="1"/>
      <c r="T444" s="1"/>
      <c r="U444" s="1"/>
      <c r="V444" s="1"/>
      <c r="W444" s="1"/>
      <c r="X444" s="1"/>
      <c r="Y444" s="1"/>
    </row>
    <row r="445" spans="1:25" ht="15.75" customHeight="1">
      <c r="A445" s="1"/>
      <c r="B445" s="1"/>
      <c r="C445" s="1"/>
      <c r="D445" s="1"/>
      <c r="E445" s="1"/>
      <c r="F445" s="1"/>
      <c r="G445" s="1"/>
      <c r="H445" s="1"/>
      <c r="I445" s="4"/>
      <c r="J445" s="4"/>
      <c r="K445" s="4"/>
      <c r="L445" s="1"/>
      <c r="M445" s="1"/>
      <c r="N445" s="1"/>
      <c r="O445" s="1"/>
      <c r="P445" s="1"/>
      <c r="Q445" s="1"/>
      <c r="R445" s="1"/>
      <c r="S445" s="1"/>
      <c r="T445" s="1"/>
      <c r="U445" s="1"/>
      <c r="V445" s="1"/>
      <c r="W445" s="1"/>
      <c r="X445" s="1"/>
      <c r="Y445" s="1"/>
    </row>
    <row r="446" spans="1:25" ht="15.75" customHeight="1">
      <c r="A446" s="1"/>
      <c r="B446" s="1"/>
      <c r="C446" s="1"/>
      <c r="D446" s="1"/>
      <c r="E446" s="1"/>
      <c r="F446" s="1"/>
      <c r="G446" s="1"/>
      <c r="H446" s="1"/>
      <c r="I446" s="4"/>
      <c r="J446" s="4"/>
      <c r="K446" s="4"/>
      <c r="L446" s="1"/>
      <c r="M446" s="1"/>
      <c r="N446" s="1"/>
      <c r="O446" s="1"/>
      <c r="P446" s="1"/>
      <c r="Q446" s="1"/>
      <c r="R446" s="1"/>
      <c r="S446" s="1"/>
      <c r="T446" s="1"/>
      <c r="U446" s="1"/>
      <c r="V446" s="1"/>
      <c r="W446" s="1"/>
      <c r="X446" s="1"/>
      <c r="Y446" s="1"/>
    </row>
    <row r="447" spans="1:25" ht="15.75" customHeight="1">
      <c r="A447" s="1"/>
      <c r="B447" s="1"/>
      <c r="C447" s="1"/>
      <c r="D447" s="1"/>
      <c r="E447" s="1"/>
      <c r="F447" s="1"/>
      <c r="G447" s="1"/>
      <c r="H447" s="1"/>
      <c r="I447" s="4"/>
      <c r="J447" s="4"/>
      <c r="K447" s="4"/>
      <c r="L447" s="1"/>
      <c r="M447" s="1"/>
      <c r="N447" s="1"/>
      <c r="O447" s="1"/>
      <c r="P447" s="1"/>
      <c r="Q447" s="1"/>
      <c r="R447" s="1"/>
      <c r="S447" s="1"/>
      <c r="T447" s="1"/>
      <c r="U447" s="1"/>
      <c r="V447" s="1"/>
      <c r="W447" s="1"/>
      <c r="X447" s="1"/>
      <c r="Y447" s="1"/>
    </row>
    <row r="448" spans="1:25" ht="15.75" customHeight="1">
      <c r="A448" s="1"/>
      <c r="B448" s="1"/>
      <c r="C448" s="1"/>
      <c r="D448" s="1"/>
      <c r="E448" s="1"/>
      <c r="F448" s="1"/>
      <c r="G448" s="1"/>
      <c r="H448" s="1"/>
      <c r="I448" s="4"/>
      <c r="J448" s="4"/>
      <c r="K448" s="4"/>
      <c r="L448" s="1"/>
      <c r="M448" s="1"/>
      <c r="N448" s="1"/>
      <c r="O448" s="1"/>
      <c r="P448" s="1"/>
      <c r="Q448" s="1"/>
      <c r="R448" s="1"/>
      <c r="S448" s="1"/>
      <c r="T448" s="1"/>
      <c r="U448" s="1"/>
      <c r="V448" s="1"/>
      <c r="W448" s="1"/>
      <c r="X448" s="1"/>
      <c r="Y448" s="1"/>
    </row>
    <row r="449" spans="1:25" ht="15.75" customHeight="1">
      <c r="A449" s="1"/>
      <c r="B449" s="1"/>
      <c r="C449" s="1"/>
      <c r="D449" s="1"/>
      <c r="E449" s="1"/>
      <c r="F449" s="1"/>
      <c r="G449" s="1"/>
      <c r="H449" s="1"/>
      <c r="I449" s="4"/>
      <c r="J449" s="4"/>
      <c r="K449" s="4"/>
      <c r="L449" s="1"/>
      <c r="M449" s="1"/>
      <c r="N449" s="1"/>
      <c r="O449" s="1"/>
      <c r="P449" s="1"/>
      <c r="Q449" s="1"/>
      <c r="R449" s="1"/>
      <c r="S449" s="1"/>
      <c r="T449" s="1"/>
      <c r="U449" s="1"/>
      <c r="V449" s="1"/>
      <c r="W449" s="1"/>
      <c r="X449" s="1"/>
      <c r="Y449" s="1"/>
    </row>
    <row r="450" spans="1:25" ht="15.75" customHeight="1">
      <c r="A450" s="1"/>
      <c r="B450" s="1"/>
      <c r="C450" s="1"/>
      <c r="D450" s="1"/>
      <c r="E450" s="1"/>
      <c r="F450" s="1"/>
      <c r="G450" s="1"/>
      <c r="H450" s="1"/>
      <c r="I450" s="4"/>
      <c r="J450" s="4"/>
      <c r="K450" s="4"/>
      <c r="L450" s="1"/>
      <c r="M450" s="1"/>
      <c r="N450" s="1"/>
      <c r="O450" s="1"/>
      <c r="P450" s="1"/>
      <c r="Q450" s="1"/>
      <c r="R450" s="1"/>
      <c r="S450" s="1"/>
      <c r="T450" s="1"/>
      <c r="U450" s="1"/>
      <c r="V450" s="1"/>
      <c r="W450" s="1"/>
      <c r="X450" s="1"/>
      <c r="Y450" s="1"/>
    </row>
    <row r="451" spans="1:25" ht="15.75" customHeight="1">
      <c r="A451" s="1"/>
      <c r="B451" s="1"/>
      <c r="C451" s="1"/>
      <c r="D451" s="1"/>
      <c r="E451" s="1"/>
      <c r="F451" s="1"/>
      <c r="G451" s="1"/>
      <c r="H451" s="1"/>
      <c r="I451" s="4"/>
      <c r="J451" s="4"/>
      <c r="K451" s="4"/>
      <c r="L451" s="1"/>
      <c r="M451" s="1"/>
      <c r="N451" s="1"/>
      <c r="O451" s="1"/>
      <c r="P451" s="1"/>
      <c r="Q451" s="1"/>
      <c r="R451" s="1"/>
      <c r="S451" s="1"/>
      <c r="T451" s="1"/>
      <c r="U451" s="1"/>
      <c r="V451" s="1"/>
      <c r="W451" s="1"/>
      <c r="X451" s="1"/>
      <c r="Y451" s="1"/>
    </row>
    <row r="452" spans="1:25" ht="15.75" customHeight="1">
      <c r="A452" s="1"/>
      <c r="B452" s="1"/>
      <c r="C452" s="1"/>
      <c r="D452" s="1"/>
      <c r="E452" s="1"/>
      <c r="F452" s="1"/>
      <c r="G452" s="1"/>
      <c r="H452" s="1"/>
      <c r="I452" s="4"/>
      <c r="J452" s="4"/>
      <c r="K452" s="4"/>
      <c r="L452" s="1"/>
      <c r="M452" s="1"/>
      <c r="N452" s="1"/>
      <c r="O452" s="1"/>
      <c r="P452" s="1"/>
      <c r="Q452" s="1"/>
      <c r="R452" s="1"/>
      <c r="S452" s="1"/>
      <c r="T452" s="1"/>
      <c r="U452" s="1"/>
      <c r="V452" s="1"/>
      <c r="W452" s="1"/>
      <c r="X452" s="1"/>
      <c r="Y452" s="1"/>
    </row>
    <row r="453" spans="1:25" ht="15.75" customHeight="1">
      <c r="A453" s="1"/>
      <c r="B453" s="1"/>
      <c r="C453" s="1"/>
      <c r="D453" s="1"/>
      <c r="E453" s="1"/>
      <c r="F453" s="1"/>
      <c r="G453" s="1"/>
      <c r="H453" s="1"/>
      <c r="I453" s="4"/>
      <c r="J453" s="4"/>
      <c r="K453" s="4"/>
      <c r="L453" s="1"/>
      <c r="M453" s="1"/>
      <c r="N453" s="1"/>
      <c r="O453" s="1"/>
      <c r="P453" s="1"/>
      <c r="Q453" s="1"/>
      <c r="R453" s="1"/>
      <c r="S453" s="1"/>
      <c r="T453" s="1"/>
      <c r="U453" s="1"/>
      <c r="V453" s="1"/>
      <c r="W453" s="1"/>
      <c r="X453" s="1"/>
      <c r="Y453" s="1"/>
    </row>
    <row r="454" spans="1:25" ht="15.75" customHeight="1">
      <c r="A454" s="1"/>
      <c r="B454" s="1"/>
      <c r="C454" s="1"/>
      <c r="D454" s="1"/>
      <c r="E454" s="1"/>
      <c r="F454" s="1"/>
      <c r="G454" s="1"/>
      <c r="H454" s="1"/>
      <c r="I454" s="4"/>
      <c r="J454" s="4"/>
      <c r="K454" s="4"/>
      <c r="L454" s="1"/>
      <c r="M454" s="1"/>
      <c r="N454" s="1"/>
      <c r="O454" s="1"/>
      <c r="P454" s="1"/>
      <c r="Q454" s="1"/>
      <c r="R454" s="1"/>
      <c r="S454" s="1"/>
      <c r="T454" s="1"/>
      <c r="U454" s="1"/>
      <c r="V454" s="1"/>
      <c r="W454" s="1"/>
      <c r="X454" s="1"/>
      <c r="Y454" s="1"/>
    </row>
    <row r="455" spans="1:25" ht="15.75" customHeight="1">
      <c r="A455" s="1"/>
      <c r="B455" s="1"/>
      <c r="C455" s="1"/>
      <c r="D455" s="1"/>
      <c r="E455" s="1"/>
      <c r="F455" s="1"/>
      <c r="G455" s="1"/>
      <c r="H455" s="1"/>
      <c r="I455" s="4"/>
      <c r="J455" s="4"/>
      <c r="K455" s="4"/>
      <c r="L455" s="1"/>
      <c r="M455" s="1"/>
      <c r="N455" s="1"/>
      <c r="O455" s="1"/>
      <c r="P455" s="1"/>
      <c r="Q455" s="1"/>
      <c r="R455" s="1"/>
      <c r="S455" s="1"/>
      <c r="T455" s="1"/>
      <c r="U455" s="1"/>
      <c r="V455" s="1"/>
      <c r="W455" s="1"/>
      <c r="X455" s="1"/>
      <c r="Y455" s="1"/>
    </row>
    <row r="456" spans="1:25" ht="15.75" customHeight="1">
      <c r="A456" s="1"/>
      <c r="B456" s="1"/>
      <c r="C456" s="1"/>
      <c r="D456" s="1"/>
      <c r="E456" s="1"/>
      <c r="F456" s="1"/>
      <c r="G456" s="1"/>
      <c r="H456" s="1"/>
      <c r="I456" s="4"/>
      <c r="J456" s="4"/>
      <c r="K456" s="4"/>
      <c r="L456" s="1"/>
      <c r="M456" s="1"/>
      <c r="N456" s="1"/>
      <c r="O456" s="1"/>
      <c r="P456" s="1"/>
      <c r="Q456" s="1"/>
      <c r="R456" s="1"/>
      <c r="S456" s="1"/>
      <c r="T456" s="1"/>
      <c r="U456" s="1"/>
      <c r="V456" s="1"/>
      <c r="W456" s="1"/>
      <c r="X456" s="1"/>
      <c r="Y456" s="1"/>
    </row>
    <row r="457" spans="1:25" ht="15.75" customHeight="1">
      <c r="A457" s="1"/>
      <c r="B457" s="1"/>
      <c r="C457" s="1"/>
      <c r="D457" s="1"/>
      <c r="E457" s="1"/>
      <c r="F457" s="1"/>
      <c r="G457" s="1"/>
      <c r="H457" s="1"/>
      <c r="I457" s="4"/>
      <c r="J457" s="4"/>
      <c r="K457" s="4"/>
      <c r="L457" s="1"/>
      <c r="M457" s="1"/>
      <c r="N457" s="1"/>
      <c r="O457" s="1"/>
      <c r="P457" s="1"/>
      <c r="Q457" s="1"/>
      <c r="R457" s="1"/>
      <c r="S457" s="1"/>
      <c r="T457" s="1"/>
      <c r="U457" s="1"/>
      <c r="V457" s="1"/>
      <c r="W457" s="1"/>
      <c r="X457" s="1"/>
      <c r="Y457" s="1"/>
    </row>
    <row r="458" spans="1:25" ht="15.75" customHeight="1">
      <c r="A458" s="1"/>
      <c r="B458" s="1"/>
      <c r="C458" s="1"/>
      <c r="D458" s="1"/>
      <c r="E458" s="1"/>
      <c r="F458" s="1"/>
      <c r="G458" s="1"/>
      <c r="H458" s="1"/>
      <c r="I458" s="4"/>
      <c r="J458" s="4"/>
      <c r="K458" s="4"/>
      <c r="L458" s="1"/>
      <c r="M458" s="1"/>
      <c r="N458" s="1"/>
      <c r="O458" s="1"/>
      <c r="P458" s="1"/>
      <c r="Q458" s="1"/>
      <c r="R458" s="1"/>
      <c r="S458" s="1"/>
      <c r="T458" s="1"/>
      <c r="U458" s="1"/>
      <c r="V458" s="1"/>
      <c r="W458" s="1"/>
      <c r="X458" s="1"/>
      <c r="Y458" s="1"/>
    </row>
    <row r="459" spans="1:25" ht="15.75" customHeight="1">
      <c r="A459" s="1"/>
      <c r="B459" s="1"/>
      <c r="C459" s="1"/>
      <c r="D459" s="1"/>
      <c r="E459" s="1"/>
      <c r="F459" s="1"/>
      <c r="G459" s="1"/>
      <c r="H459" s="1"/>
      <c r="I459" s="4"/>
      <c r="J459" s="4"/>
      <c r="K459" s="4"/>
      <c r="L459" s="1"/>
      <c r="M459" s="1"/>
      <c r="N459" s="1"/>
      <c r="O459" s="1"/>
      <c r="P459" s="1"/>
      <c r="Q459" s="1"/>
      <c r="R459" s="1"/>
      <c r="S459" s="1"/>
      <c r="T459" s="1"/>
      <c r="U459" s="1"/>
      <c r="V459" s="1"/>
      <c r="W459" s="1"/>
      <c r="X459" s="1"/>
      <c r="Y459" s="1"/>
    </row>
    <row r="460" spans="1:25" ht="15.75" customHeight="1">
      <c r="A460" s="1"/>
      <c r="B460" s="1"/>
      <c r="C460" s="1"/>
      <c r="D460" s="1"/>
      <c r="E460" s="1"/>
      <c r="F460" s="1"/>
      <c r="G460" s="1"/>
      <c r="H460" s="1"/>
      <c r="I460" s="4"/>
      <c r="J460" s="4"/>
      <c r="K460" s="4"/>
      <c r="L460" s="1"/>
      <c r="M460" s="1"/>
      <c r="N460" s="1"/>
      <c r="O460" s="1"/>
      <c r="P460" s="1"/>
      <c r="Q460" s="1"/>
      <c r="R460" s="1"/>
      <c r="S460" s="1"/>
      <c r="T460" s="1"/>
      <c r="U460" s="1"/>
      <c r="V460" s="1"/>
      <c r="W460" s="1"/>
      <c r="X460" s="1"/>
      <c r="Y460" s="1"/>
    </row>
    <row r="461" spans="1:25" ht="15.75" customHeight="1">
      <c r="A461" s="1"/>
      <c r="B461" s="1"/>
      <c r="C461" s="1"/>
      <c r="D461" s="1"/>
      <c r="E461" s="1"/>
      <c r="F461" s="1"/>
      <c r="G461" s="1"/>
      <c r="H461" s="1"/>
      <c r="I461" s="4"/>
      <c r="J461" s="4"/>
      <c r="K461" s="4"/>
      <c r="L461" s="1"/>
      <c r="M461" s="1"/>
      <c r="N461" s="1"/>
      <c r="O461" s="1"/>
      <c r="P461" s="1"/>
      <c r="Q461" s="1"/>
      <c r="R461" s="1"/>
      <c r="S461" s="1"/>
      <c r="T461" s="1"/>
      <c r="U461" s="1"/>
      <c r="V461" s="1"/>
      <c r="W461" s="1"/>
      <c r="X461" s="1"/>
      <c r="Y461" s="1"/>
    </row>
    <row r="462" spans="1:25" ht="15.75" customHeight="1">
      <c r="A462" s="1"/>
      <c r="B462" s="1"/>
      <c r="C462" s="1"/>
      <c r="D462" s="1"/>
      <c r="E462" s="1"/>
      <c r="F462" s="1"/>
      <c r="G462" s="1"/>
      <c r="H462" s="1"/>
      <c r="I462" s="4"/>
      <c r="J462" s="4"/>
      <c r="K462" s="4"/>
      <c r="L462" s="1"/>
      <c r="M462" s="1"/>
      <c r="N462" s="1"/>
      <c r="O462" s="1"/>
      <c r="P462" s="1"/>
      <c r="Q462" s="1"/>
      <c r="R462" s="1"/>
      <c r="S462" s="1"/>
      <c r="T462" s="1"/>
      <c r="U462" s="1"/>
      <c r="V462" s="1"/>
      <c r="W462" s="1"/>
      <c r="X462" s="1"/>
      <c r="Y462" s="1"/>
    </row>
    <row r="463" spans="1:25" ht="15.75" customHeight="1">
      <c r="A463" s="1"/>
      <c r="B463" s="1"/>
      <c r="C463" s="1"/>
      <c r="D463" s="1"/>
      <c r="E463" s="1"/>
      <c r="F463" s="1"/>
      <c r="G463" s="1"/>
      <c r="H463" s="1"/>
      <c r="I463" s="4"/>
      <c r="J463" s="4"/>
      <c r="K463" s="4"/>
      <c r="L463" s="1"/>
      <c r="M463" s="1"/>
      <c r="N463" s="1"/>
      <c r="O463" s="1"/>
      <c r="P463" s="1"/>
      <c r="Q463" s="1"/>
      <c r="R463" s="1"/>
      <c r="S463" s="1"/>
      <c r="T463" s="1"/>
      <c r="U463" s="1"/>
      <c r="V463" s="1"/>
      <c r="W463" s="1"/>
      <c r="X463" s="1"/>
      <c r="Y463" s="1"/>
    </row>
    <row r="464" spans="1:25" ht="15.75" customHeight="1">
      <c r="A464" s="1"/>
      <c r="B464" s="1"/>
      <c r="C464" s="1"/>
      <c r="D464" s="1"/>
      <c r="E464" s="1"/>
      <c r="F464" s="1"/>
      <c r="G464" s="1"/>
      <c r="H464" s="1"/>
      <c r="I464" s="4"/>
      <c r="J464" s="4"/>
      <c r="K464" s="4"/>
      <c r="L464" s="1"/>
      <c r="M464" s="1"/>
      <c r="N464" s="1"/>
      <c r="O464" s="1"/>
      <c r="P464" s="1"/>
      <c r="Q464" s="1"/>
      <c r="R464" s="1"/>
      <c r="S464" s="1"/>
      <c r="T464" s="1"/>
      <c r="U464" s="1"/>
      <c r="V464" s="1"/>
      <c r="W464" s="1"/>
      <c r="X464" s="1"/>
      <c r="Y464" s="1"/>
    </row>
    <row r="465" spans="1:25" ht="15.75" customHeight="1">
      <c r="A465" s="1"/>
      <c r="B465" s="1"/>
      <c r="C465" s="1"/>
      <c r="D465" s="1"/>
      <c r="E465" s="1"/>
      <c r="F465" s="1"/>
      <c r="G465" s="1"/>
      <c r="H465" s="1"/>
      <c r="I465" s="4"/>
      <c r="J465" s="4"/>
      <c r="K465" s="4"/>
      <c r="L465" s="1"/>
      <c r="M465" s="1"/>
      <c r="N465" s="1"/>
      <c r="O465" s="1"/>
      <c r="P465" s="1"/>
      <c r="Q465" s="1"/>
      <c r="R465" s="1"/>
      <c r="S465" s="1"/>
      <c r="T465" s="1"/>
      <c r="U465" s="1"/>
      <c r="V465" s="1"/>
      <c r="W465" s="1"/>
      <c r="X465" s="1"/>
      <c r="Y465" s="1"/>
    </row>
    <row r="466" spans="1:25" ht="15.75" customHeight="1">
      <c r="A466" s="1"/>
      <c r="B466" s="1"/>
      <c r="C466" s="1"/>
      <c r="D466" s="1"/>
      <c r="E466" s="1"/>
      <c r="F466" s="1"/>
      <c r="G466" s="1"/>
      <c r="H466" s="1"/>
      <c r="I466" s="4"/>
      <c r="J466" s="4"/>
      <c r="K466" s="4"/>
      <c r="L466" s="1"/>
      <c r="M466" s="1"/>
      <c r="N466" s="1"/>
      <c r="O466" s="1"/>
      <c r="P466" s="1"/>
      <c r="Q466" s="1"/>
      <c r="R466" s="1"/>
      <c r="S466" s="1"/>
      <c r="T466" s="1"/>
      <c r="U466" s="1"/>
      <c r="V466" s="1"/>
      <c r="W466" s="1"/>
      <c r="X466" s="1"/>
      <c r="Y466" s="1"/>
    </row>
    <row r="467" spans="1:25" ht="15.75" customHeight="1">
      <c r="A467" s="1"/>
      <c r="B467" s="1"/>
      <c r="C467" s="1"/>
      <c r="D467" s="1"/>
      <c r="E467" s="1"/>
      <c r="F467" s="1"/>
      <c r="G467" s="1"/>
      <c r="H467" s="1"/>
      <c r="I467" s="4"/>
      <c r="J467" s="4"/>
      <c r="K467" s="4"/>
      <c r="L467" s="1"/>
      <c r="M467" s="1"/>
      <c r="N467" s="1"/>
      <c r="O467" s="1"/>
      <c r="P467" s="1"/>
      <c r="Q467" s="1"/>
      <c r="R467" s="1"/>
      <c r="S467" s="1"/>
      <c r="T467" s="1"/>
      <c r="U467" s="1"/>
      <c r="V467" s="1"/>
      <c r="W467" s="1"/>
      <c r="X467" s="1"/>
      <c r="Y467" s="1"/>
    </row>
    <row r="468" spans="1:25" ht="15.75" customHeight="1">
      <c r="A468" s="1"/>
      <c r="B468" s="1"/>
      <c r="C468" s="1"/>
      <c r="D468" s="1"/>
      <c r="E468" s="1"/>
      <c r="F468" s="1"/>
      <c r="G468" s="1"/>
      <c r="H468" s="1"/>
      <c r="I468" s="4"/>
      <c r="J468" s="4"/>
      <c r="K468" s="4"/>
      <c r="L468" s="1"/>
      <c r="M468" s="1"/>
      <c r="N468" s="1"/>
      <c r="O468" s="1"/>
      <c r="P468" s="1"/>
      <c r="Q468" s="1"/>
      <c r="R468" s="1"/>
      <c r="S468" s="1"/>
      <c r="T468" s="1"/>
      <c r="U468" s="1"/>
      <c r="V468" s="1"/>
      <c r="W468" s="1"/>
      <c r="X468" s="1"/>
      <c r="Y468" s="1"/>
    </row>
    <row r="469" spans="1:25" ht="15.75" customHeight="1">
      <c r="A469" s="1"/>
      <c r="B469" s="1"/>
      <c r="C469" s="1"/>
      <c r="D469" s="1"/>
      <c r="E469" s="1"/>
      <c r="F469" s="1"/>
      <c r="G469" s="1"/>
      <c r="H469" s="1"/>
      <c r="I469" s="4"/>
      <c r="J469" s="4"/>
      <c r="K469" s="4"/>
      <c r="L469" s="1"/>
      <c r="M469" s="1"/>
      <c r="N469" s="1"/>
      <c r="O469" s="1"/>
      <c r="P469" s="1"/>
      <c r="Q469" s="1"/>
      <c r="R469" s="1"/>
      <c r="S469" s="1"/>
      <c r="T469" s="1"/>
      <c r="U469" s="1"/>
      <c r="V469" s="1"/>
      <c r="W469" s="1"/>
      <c r="X469" s="1"/>
      <c r="Y469" s="1"/>
    </row>
    <row r="470" spans="1:25" ht="15.75" customHeight="1">
      <c r="A470" s="1"/>
      <c r="B470" s="1"/>
      <c r="C470" s="1"/>
      <c r="D470" s="1"/>
      <c r="E470" s="1"/>
      <c r="F470" s="1"/>
      <c r="G470" s="1"/>
      <c r="H470" s="1"/>
      <c r="I470" s="4"/>
      <c r="J470" s="4"/>
      <c r="K470" s="4"/>
      <c r="L470" s="1"/>
      <c r="M470" s="1"/>
      <c r="N470" s="1"/>
      <c r="O470" s="1"/>
      <c r="P470" s="1"/>
      <c r="Q470" s="1"/>
      <c r="R470" s="1"/>
      <c r="S470" s="1"/>
      <c r="T470" s="1"/>
      <c r="U470" s="1"/>
      <c r="V470" s="1"/>
      <c r="W470" s="1"/>
      <c r="X470" s="1"/>
      <c r="Y470" s="1"/>
    </row>
    <row r="471" spans="1:25" ht="15.75" customHeight="1">
      <c r="A471" s="1"/>
      <c r="B471" s="1"/>
      <c r="C471" s="1"/>
      <c r="D471" s="1"/>
      <c r="E471" s="1"/>
      <c r="F471" s="1"/>
      <c r="G471" s="1"/>
      <c r="H471" s="1"/>
      <c r="I471" s="4"/>
      <c r="J471" s="4"/>
      <c r="K471" s="4"/>
      <c r="L471" s="1"/>
      <c r="M471" s="1"/>
      <c r="N471" s="1"/>
      <c r="O471" s="1"/>
      <c r="P471" s="1"/>
      <c r="Q471" s="1"/>
      <c r="R471" s="1"/>
      <c r="S471" s="1"/>
      <c r="T471" s="1"/>
      <c r="U471" s="1"/>
      <c r="V471" s="1"/>
      <c r="W471" s="1"/>
      <c r="X471" s="1"/>
      <c r="Y471" s="1"/>
    </row>
    <row r="472" spans="1:25" ht="15.75" customHeight="1">
      <c r="A472" s="1"/>
      <c r="B472" s="1"/>
      <c r="C472" s="1"/>
      <c r="D472" s="1"/>
      <c r="E472" s="1"/>
      <c r="F472" s="1"/>
      <c r="G472" s="1"/>
      <c r="H472" s="1"/>
      <c r="I472" s="4"/>
      <c r="J472" s="4"/>
      <c r="K472" s="4"/>
      <c r="L472" s="1"/>
      <c r="M472" s="1"/>
      <c r="N472" s="1"/>
      <c r="O472" s="1"/>
      <c r="P472" s="1"/>
      <c r="Q472" s="1"/>
      <c r="R472" s="1"/>
      <c r="S472" s="1"/>
      <c r="T472" s="1"/>
      <c r="U472" s="1"/>
      <c r="V472" s="1"/>
      <c r="W472" s="1"/>
      <c r="X472" s="1"/>
      <c r="Y472" s="1"/>
    </row>
    <row r="473" spans="1:25" ht="15.75" customHeight="1">
      <c r="A473" s="1"/>
      <c r="B473" s="1"/>
      <c r="C473" s="1"/>
      <c r="D473" s="1"/>
      <c r="E473" s="1"/>
      <c r="F473" s="1"/>
      <c r="G473" s="1"/>
      <c r="H473" s="1"/>
      <c r="I473" s="4"/>
      <c r="J473" s="4"/>
      <c r="K473" s="4"/>
      <c r="L473" s="1"/>
      <c r="M473" s="1"/>
      <c r="N473" s="1"/>
      <c r="O473" s="1"/>
      <c r="P473" s="1"/>
      <c r="Q473" s="1"/>
      <c r="R473" s="1"/>
      <c r="S473" s="1"/>
      <c r="T473" s="1"/>
      <c r="U473" s="1"/>
      <c r="V473" s="1"/>
      <c r="W473" s="1"/>
      <c r="X473" s="1"/>
      <c r="Y473" s="1"/>
    </row>
    <row r="474" spans="1:25" ht="15.75" customHeight="1">
      <c r="A474" s="1"/>
      <c r="B474" s="1"/>
      <c r="C474" s="1"/>
      <c r="D474" s="1"/>
      <c r="E474" s="1"/>
      <c r="F474" s="1"/>
      <c r="G474" s="1"/>
      <c r="H474" s="1"/>
      <c r="I474" s="4"/>
      <c r="J474" s="4"/>
      <c r="K474" s="4"/>
      <c r="L474" s="1"/>
      <c r="M474" s="1"/>
      <c r="N474" s="1"/>
      <c r="O474" s="1"/>
      <c r="P474" s="1"/>
      <c r="Q474" s="1"/>
      <c r="R474" s="1"/>
      <c r="S474" s="1"/>
      <c r="T474" s="1"/>
      <c r="U474" s="1"/>
      <c r="V474" s="1"/>
      <c r="W474" s="1"/>
      <c r="X474" s="1"/>
      <c r="Y474" s="1"/>
    </row>
    <row r="475" spans="1:25" ht="15.75" customHeight="1">
      <c r="A475" s="1"/>
      <c r="B475" s="1"/>
      <c r="C475" s="1"/>
      <c r="D475" s="1"/>
      <c r="E475" s="1"/>
      <c r="F475" s="1"/>
      <c r="G475" s="1"/>
      <c r="H475" s="1"/>
      <c r="I475" s="4"/>
      <c r="J475" s="4"/>
      <c r="K475" s="4"/>
      <c r="L475" s="1"/>
      <c r="M475" s="1"/>
      <c r="N475" s="1"/>
      <c r="O475" s="1"/>
      <c r="P475" s="1"/>
      <c r="Q475" s="1"/>
      <c r="R475" s="1"/>
      <c r="S475" s="1"/>
      <c r="T475" s="1"/>
      <c r="U475" s="1"/>
      <c r="V475" s="1"/>
      <c r="W475" s="1"/>
      <c r="X475" s="1"/>
      <c r="Y475" s="1"/>
    </row>
    <row r="476" spans="1:25" ht="15.75" customHeight="1">
      <c r="A476" s="1"/>
      <c r="B476" s="1"/>
      <c r="C476" s="1"/>
      <c r="D476" s="1"/>
      <c r="E476" s="1"/>
      <c r="F476" s="1"/>
      <c r="G476" s="1"/>
      <c r="H476" s="1"/>
      <c r="I476" s="4"/>
      <c r="J476" s="4"/>
      <c r="K476" s="4"/>
      <c r="L476" s="1"/>
      <c r="M476" s="1"/>
      <c r="N476" s="1"/>
      <c r="O476" s="1"/>
      <c r="P476" s="1"/>
      <c r="Q476" s="1"/>
      <c r="R476" s="1"/>
      <c r="S476" s="1"/>
      <c r="T476" s="1"/>
      <c r="U476" s="1"/>
      <c r="V476" s="1"/>
      <c r="W476" s="1"/>
      <c r="X476" s="1"/>
      <c r="Y476" s="1"/>
    </row>
    <row r="477" spans="1:25" ht="15.75" customHeight="1">
      <c r="A477" s="1"/>
      <c r="B477" s="1"/>
      <c r="C477" s="1"/>
      <c r="D477" s="1"/>
      <c r="E477" s="1"/>
      <c r="F477" s="1"/>
      <c r="G477" s="1"/>
      <c r="H477" s="1"/>
      <c r="I477" s="4"/>
      <c r="J477" s="4"/>
      <c r="K477" s="4"/>
      <c r="L477" s="1"/>
      <c r="M477" s="1"/>
      <c r="N477" s="1"/>
      <c r="O477" s="1"/>
      <c r="P477" s="1"/>
      <c r="Q477" s="1"/>
      <c r="R477" s="1"/>
      <c r="S477" s="1"/>
      <c r="T477" s="1"/>
      <c r="U477" s="1"/>
      <c r="V477" s="1"/>
      <c r="W477" s="1"/>
      <c r="X477" s="1"/>
      <c r="Y477" s="1"/>
    </row>
    <row r="478" spans="1:25" ht="15.75" customHeight="1">
      <c r="A478" s="1"/>
      <c r="B478" s="1"/>
      <c r="C478" s="1"/>
      <c r="D478" s="1"/>
      <c r="E478" s="1"/>
      <c r="F478" s="1"/>
      <c r="G478" s="1"/>
      <c r="H478" s="1"/>
      <c r="I478" s="4"/>
      <c r="J478" s="4"/>
      <c r="K478" s="4"/>
      <c r="L478" s="1"/>
      <c r="M478" s="1"/>
      <c r="N478" s="1"/>
      <c r="O478" s="1"/>
      <c r="P478" s="1"/>
      <c r="Q478" s="1"/>
      <c r="R478" s="1"/>
      <c r="S478" s="1"/>
      <c r="T478" s="1"/>
      <c r="U478" s="1"/>
      <c r="V478" s="1"/>
      <c r="W478" s="1"/>
      <c r="X478" s="1"/>
      <c r="Y478" s="1"/>
    </row>
    <row r="479" spans="1:25" ht="15.75" customHeight="1">
      <c r="A479" s="1"/>
      <c r="B479" s="1"/>
      <c r="C479" s="1"/>
      <c r="D479" s="1"/>
      <c r="E479" s="1"/>
      <c r="F479" s="1"/>
      <c r="G479" s="1"/>
      <c r="H479" s="1"/>
      <c r="I479" s="4"/>
      <c r="J479" s="4"/>
      <c r="K479" s="4"/>
      <c r="L479" s="1"/>
      <c r="M479" s="1"/>
      <c r="N479" s="1"/>
      <c r="O479" s="1"/>
      <c r="P479" s="1"/>
      <c r="Q479" s="1"/>
      <c r="R479" s="1"/>
      <c r="S479" s="1"/>
      <c r="T479" s="1"/>
      <c r="U479" s="1"/>
      <c r="V479" s="1"/>
      <c r="W479" s="1"/>
      <c r="X479" s="1"/>
      <c r="Y479" s="1"/>
    </row>
    <row r="480" spans="1:25" ht="15.75" customHeight="1">
      <c r="A480" s="1"/>
      <c r="B480" s="1"/>
      <c r="C480" s="1"/>
      <c r="D480" s="1"/>
      <c r="E480" s="1"/>
      <c r="F480" s="1"/>
      <c r="G480" s="1"/>
      <c r="H480" s="1"/>
      <c r="I480" s="4"/>
      <c r="J480" s="4"/>
      <c r="K480" s="4"/>
      <c r="L480" s="1"/>
      <c r="M480" s="1"/>
      <c r="N480" s="1"/>
      <c r="O480" s="1"/>
      <c r="P480" s="1"/>
      <c r="Q480" s="1"/>
      <c r="R480" s="1"/>
      <c r="S480" s="1"/>
      <c r="T480" s="1"/>
      <c r="U480" s="1"/>
      <c r="V480" s="1"/>
      <c r="W480" s="1"/>
      <c r="X480" s="1"/>
      <c r="Y480" s="1"/>
    </row>
    <row r="481" spans="1:25" ht="15.75" customHeight="1">
      <c r="A481" s="1"/>
      <c r="B481" s="1"/>
      <c r="C481" s="1"/>
      <c r="D481" s="1"/>
      <c r="E481" s="1"/>
      <c r="F481" s="1"/>
      <c r="G481" s="1"/>
      <c r="H481" s="1"/>
      <c r="I481" s="4"/>
      <c r="J481" s="4"/>
      <c r="K481" s="4"/>
      <c r="L481" s="1"/>
      <c r="M481" s="1"/>
      <c r="N481" s="1"/>
      <c r="O481" s="1"/>
      <c r="P481" s="1"/>
      <c r="Q481" s="1"/>
      <c r="R481" s="1"/>
      <c r="S481" s="1"/>
      <c r="T481" s="1"/>
      <c r="U481" s="1"/>
      <c r="V481" s="1"/>
      <c r="W481" s="1"/>
      <c r="X481" s="1"/>
      <c r="Y481" s="1"/>
    </row>
    <row r="482" spans="1:25" ht="15.75" customHeight="1">
      <c r="A482" s="1"/>
      <c r="B482" s="1"/>
      <c r="C482" s="1"/>
      <c r="D482" s="1"/>
      <c r="E482" s="1"/>
      <c r="F482" s="1"/>
      <c r="G482" s="1"/>
      <c r="H482" s="1"/>
      <c r="I482" s="4"/>
      <c r="J482" s="4"/>
      <c r="K482" s="4"/>
      <c r="L482" s="1"/>
      <c r="M482" s="1"/>
      <c r="N482" s="1"/>
      <c r="O482" s="1"/>
      <c r="P482" s="1"/>
      <c r="Q482" s="1"/>
      <c r="R482" s="1"/>
      <c r="S482" s="1"/>
      <c r="T482" s="1"/>
      <c r="U482" s="1"/>
      <c r="V482" s="1"/>
      <c r="W482" s="1"/>
      <c r="X482" s="1"/>
      <c r="Y482" s="1"/>
    </row>
    <row r="483" spans="1:25" ht="15.75" customHeight="1">
      <c r="A483" s="1"/>
      <c r="B483" s="1"/>
      <c r="C483" s="1"/>
      <c r="D483" s="1"/>
      <c r="E483" s="1"/>
      <c r="F483" s="1"/>
      <c r="G483" s="1"/>
      <c r="H483" s="1"/>
      <c r="I483" s="4"/>
      <c r="J483" s="4"/>
      <c r="K483" s="4"/>
      <c r="L483" s="1"/>
      <c r="M483" s="1"/>
      <c r="N483" s="1"/>
      <c r="O483" s="1"/>
      <c r="P483" s="1"/>
      <c r="Q483" s="1"/>
      <c r="R483" s="1"/>
      <c r="S483" s="1"/>
      <c r="T483" s="1"/>
      <c r="U483" s="1"/>
      <c r="V483" s="1"/>
      <c r="W483" s="1"/>
      <c r="X483" s="1"/>
      <c r="Y483" s="1"/>
    </row>
    <row r="484" spans="1:25" ht="15.75" customHeight="1">
      <c r="A484" s="1"/>
      <c r="B484" s="1"/>
      <c r="C484" s="1"/>
      <c r="D484" s="1"/>
      <c r="E484" s="1"/>
      <c r="F484" s="1"/>
      <c r="G484" s="1"/>
      <c r="H484" s="1"/>
      <c r="I484" s="4"/>
      <c r="J484" s="4"/>
      <c r="K484" s="4"/>
      <c r="L484" s="1"/>
      <c r="M484" s="1"/>
      <c r="N484" s="1"/>
      <c r="O484" s="1"/>
      <c r="P484" s="1"/>
      <c r="Q484" s="1"/>
      <c r="R484" s="1"/>
      <c r="S484" s="1"/>
      <c r="T484" s="1"/>
      <c r="U484" s="1"/>
      <c r="V484" s="1"/>
      <c r="W484" s="1"/>
      <c r="X484" s="1"/>
      <c r="Y484" s="1"/>
    </row>
    <row r="485" spans="1:25" ht="15.75" customHeight="1">
      <c r="A485" s="1"/>
      <c r="B485" s="1"/>
      <c r="C485" s="1"/>
      <c r="D485" s="1"/>
      <c r="E485" s="1"/>
      <c r="F485" s="1"/>
      <c r="G485" s="1"/>
      <c r="H485" s="1"/>
      <c r="I485" s="4"/>
      <c r="J485" s="4"/>
      <c r="K485" s="4"/>
      <c r="L485" s="1"/>
      <c r="M485" s="1"/>
      <c r="N485" s="1"/>
      <c r="O485" s="1"/>
      <c r="P485" s="1"/>
      <c r="Q485" s="1"/>
      <c r="R485" s="1"/>
      <c r="S485" s="1"/>
      <c r="T485" s="1"/>
      <c r="U485" s="1"/>
      <c r="V485" s="1"/>
      <c r="W485" s="1"/>
      <c r="X485" s="1"/>
      <c r="Y485" s="1"/>
    </row>
    <row r="486" spans="1:25" ht="15.75" customHeight="1">
      <c r="A486" s="1"/>
      <c r="B486" s="1"/>
      <c r="C486" s="1"/>
      <c r="D486" s="1"/>
      <c r="E486" s="1"/>
      <c r="F486" s="1"/>
      <c r="G486" s="1"/>
      <c r="H486" s="1"/>
      <c r="I486" s="4"/>
      <c r="J486" s="4"/>
      <c r="K486" s="4"/>
      <c r="L486" s="1"/>
      <c r="M486" s="1"/>
      <c r="N486" s="1"/>
      <c r="O486" s="1"/>
      <c r="P486" s="1"/>
      <c r="Q486" s="1"/>
      <c r="R486" s="1"/>
      <c r="S486" s="1"/>
      <c r="T486" s="1"/>
      <c r="U486" s="1"/>
      <c r="V486" s="1"/>
      <c r="W486" s="1"/>
      <c r="X486" s="1"/>
      <c r="Y486" s="1"/>
    </row>
    <row r="487" spans="1:25" ht="15.75" customHeight="1">
      <c r="A487" s="1"/>
      <c r="B487" s="1"/>
      <c r="C487" s="1"/>
      <c r="D487" s="1"/>
      <c r="E487" s="1"/>
      <c r="F487" s="1"/>
      <c r="G487" s="1"/>
      <c r="H487" s="1"/>
      <c r="I487" s="4"/>
      <c r="J487" s="4"/>
      <c r="K487" s="4"/>
      <c r="L487" s="1"/>
      <c r="M487" s="1"/>
      <c r="N487" s="1"/>
      <c r="O487" s="1"/>
      <c r="P487" s="1"/>
      <c r="Q487" s="1"/>
      <c r="R487" s="1"/>
      <c r="S487" s="1"/>
      <c r="T487" s="1"/>
      <c r="U487" s="1"/>
      <c r="V487" s="1"/>
      <c r="W487" s="1"/>
      <c r="X487" s="1"/>
      <c r="Y487" s="1"/>
    </row>
    <row r="488" spans="1:25" ht="15.75" customHeight="1">
      <c r="A488" s="1"/>
      <c r="B488" s="1"/>
      <c r="C488" s="1"/>
      <c r="D488" s="1"/>
      <c r="E488" s="1"/>
      <c r="F488" s="1"/>
      <c r="G488" s="1"/>
      <c r="H488" s="1"/>
      <c r="I488" s="4"/>
      <c r="J488" s="4"/>
      <c r="K488" s="4"/>
      <c r="L488" s="1"/>
      <c r="M488" s="1"/>
      <c r="N488" s="1"/>
      <c r="O488" s="1"/>
      <c r="P488" s="1"/>
      <c r="Q488" s="1"/>
      <c r="R488" s="1"/>
      <c r="S488" s="1"/>
      <c r="T488" s="1"/>
      <c r="U488" s="1"/>
      <c r="V488" s="1"/>
      <c r="W488" s="1"/>
      <c r="X488" s="1"/>
      <c r="Y488" s="1"/>
    </row>
    <row r="489" spans="1:25" ht="15.75" customHeight="1">
      <c r="A489" s="1"/>
      <c r="B489" s="1"/>
      <c r="C489" s="1"/>
      <c r="D489" s="1"/>
      <c r="E489" s="1"/>
      <c r="F489" s="1"/>
      <c r="G489" s="1"/>
      <c r="H489" s="1"/>
      <c r="I489" s="4"/>
      <c r="J489" s="4"/>
      <c r="K489" s="4"/>
      <c r="L489" s="1"/>
      <c r="M489" s="1"/>
      <c r="N489" s="1"/>
      <c r="O489" s="1"/>
      <c r="P489" s="1"/>
      <c r="Q489" s="1"/>
      <c r="R489" s="1"/>
      <c r="S489" s="1"/>
      <c r="T489" s="1"/>
      <c r="U489" s="1"/>
      <c r="V489" s="1"/>
      <c r="W489" s="1"/>
      <c r="X489" s="1"/>
      <c r="Y489" s="1"/>
    </row>
    <row r="490" spans="1:25" ht="15.75" customHeight="1">
      <c r="A490" s="1"/>
      <c r="B490" s="1"/>
      <c r="C490" s="1"/>
      <c r="D490" s="1"/>
      <c r="E490" s="1"/>
      <c r="F490" s="1"/>
      <c r="G490" s="1"/>
      <c r="H490" s="1"/>
      <c r="I490" s="4"/>
      <c r="J490" s="4"/>
      <c r="K490" s="4"/>
      <c r="L490" s="1"/>
      <c r="M490" s="1"/>
      <c r="N490" s="1"/>
      <c r="O490" s="1"/>
      <c r="P490" s="1"/>
      <c r="Q490" s="1"/>
      <c r="R490" s="1"/>
      <c r="S490" s="1"/>
      <c r="T490" s="1"/>
      <c r="U490" s="1"/>
      <c r="V490" s="1"/>
      <c r="W490" s="1"/>
      <c r="X490" s="1"/>
      <c r="Y490" s="1"/>
    </row>
    <row r="491" spans="1:25" ht="15.75" customHeight="1">
      <c r="A491" s="1"/>
      <c r="B491" s="1"/>
      <c r="C491" s="1"/>
      <c r="D491" s="1"/>
      <c r="E491" s="1"/>
      <c r="F491" s="1"/>
      <c r="G491" s="1"/>
      <c r="H491" s="1"/>
      <c r="I491" s="4"/>
      <c r="J491" s="4"/>
      <c r="K491" s="4"/>
      <c r="L491" s="1"/>
      <c r="M491" s="1"/>
      <c r="N491" s="1"/>
      <c r="O491" s="1"/>
      <c r="P491" s="1"/>
      <c r="Q491" s="1"/>
      <c r="R491" s="1"/>
      <c r="S491" s="1"/>
      <c r="T491" s="1"/>
      <c r="U491" s="1"/>
      <c r="V491" s="1"/>
      <c r="W491" s="1"/>
      <c r="X491" s="1"/>
      <c r="Y491" s="1"/>
    </row>
    <row r="492" spans="1:25" ht="15.75" customHeight="1">
      <c r="A492" s="1"/>
      <c r="B492" s="1"/>
      <c r="C492" s="1"/>
      <c r="D492" s="1"/>
      <c r="E492" s="1"/>
      <c r="F492" s="1"/>
      <c r="G492" s="1"/>
      <c r="H492" s="1"/>
      <c r="I492" s="4"/>
      <c r="J492" s="4"/>
      <c r="K492" s="4"/>
      <c r="L492" s="1"/>
      <c r="M492" s="1"/>
      <c r="N492" s="1"/>
      <c r="O492" s="1"/>
      <c r="P492" s="1"/>
      <c r="Q492" s="1"/>
      <c r="R492" s="1"/>
      <c r="S492" s="1"/>
      <c r="T492" s="1"/>
      <c r="U492" s="1"/>
      <c r="V492" s="1"/>
      <c r="W492" s="1"/>
      <c r="X492" s="1"/>
      <c r="Y492" s="1"/>
    </row>
    <row r="493" spans="1:25" ht="15.75" customHeight="1">
      <c r="A493" s="1"/>
      <c r="B493" s="1"/>
      <c r="C493" s="1"/>
      <c r="D493" s="1"/>
      <c r="E493" s="1"/>
      <c r="F493" s="1"/>
      <c r="G493" s="1"/>
      <c r="H493" s="1"/>
      <c r="I493" s="4"/>
      <c r="J493" s="4"/>
      <c r="K493" s="4"/>
      <c r="L493" s="1"/>
      <c r="M493" s="1"/>
      <c r="N493" s="1"/>
      <c r="O493" s="1"/>
      <c r="P493" s="1"/>
      <c r="Q493" s="1"/>
      <c r="R493" s="1"/>
      <c r="S493" s="1"/>
      <c r="T493" s="1"/>
      <c r="U493" s="1"/>
      <c r="V493" s="1"/>
      <c r="W493" s="1"/>
      <c r="X493" s="1"/>
      <c r="Y493" s="1"/>
    </row>
    <row r="494" spans="1:25" ht="15.75" customHeight="1">
      <c r="A494" s="1"/>
      <c r="B494" s="1"/>
      <c r="C494" s="1"/>
      <c r="D494" s="1"/>
      <c r="E494" s="1"/>
      <c r="F494" s="1"/>
      <c r="G494" s="1"/>
      <c r="H494" s="1"/>
      <c r="I494" s="4"/>
      <c r="J494" s="4"/>
      <c r="K494" s="4"/>
      <c r="L494" s="1"/>
      <c r="M494" s="1"/>
      <c r="N494" s="1"/>
      <c r="O494" s="1"/>
      <c r="P494" s="1"/>
      <c r="Q494" s="1"/>
      <c r="R494" s="1"/>
      <c r="S494" s="1"/>
      <c r="T494" s="1"/>
      <c r="U494" s="1"/>
      <c r="V494" s="1"/>
      <c r="W494" s="1"/>
      <c r="X494" s="1"/>
      <c r="Y494" s="1"/>
    </row>
    <row r="495" spans="1:25" ht="15.75" customHeight="1">
      <c r="A495" s="1"/>
      <c r="B495" s="1"/>
      <c r="C495" s="1"/>
      <c r="D495" s="1"/>
      <c r="E495" s="1"/>
      <c r="F495" s="1"/>
      <c r="G495" s="1"/>
      <c r="H495" s="1"/>
      <c r="I495" s="4"/>
      <c r="J495" s="4"/>
      <c r="K495" s="4"/>
      <c r="L495" s="1"/>
      <c r="M495" s="1"/>
      <c r="N495" s="1"/>
      <c r="O495" s="1"/>
      <c r="P495" s="1"/>
      <c r="Q495" s="1"/>
      <c r="R495" s="1"/>
      <c r="S495" s="1"/>
      <c r="T495" s="1"/>
      <c r="U495" s="1"/>
      <c r="V495" s="1"/>
      <c r="W495" s="1"/>
      <c r="X495" s="1"/>
      <c r="Y495" s="1"/>
    </row>
    <row r="496" spans="1:25" ht="15.75" customHeight="1">
      <c r="A496" s="1"/>
      <c r="B496" s="1"/>
      <c r="C496" s="1"/>
      <c r="D496" s="1"/>
      <c r="E496" s="1"/>
      <c r="F496" s="1"/>
      <c r="G496" s="1"/>
      <c r="H496" s="1"/>
      <c r="I496" s="4"/>
      <c r="J496" s="4"/>
      <c r="K496" s="4"/>
      <c r="L496" s="1"/>
      <c r="M496" s="1"/>
      <c r="N496" s="1"/>
      <c r="O496" s="1"/>
      <c r="P496" s="1"/>
      <c r="Q496" s="1"/>
      <c r="R496" s="1"/>
      <c r="S496" s="1"/>
      <c r="T496" s="1"/>
      <c r="U496" s="1"/>
      <c r="V496" s="1"/>
      <c r="W496" s="1"/>
      <c r="X496" s="1"/>
      <c r="Y496" s="1"/>
    </row>
    <row r="497" spans="1:25" ht="15.75" customHeight="1">
      <c r="A497" s="1"/>
      <c r="B497" s="1"/>
      <c r="C497" s="1"/>
      <c r="D497" s="1"/>
      <c r="E497" s="1"/>
      <c r="F497" s="1"/>
      <c r="G497" s="1"/>
      <c r="H497" s="1"/>
      <c r="I497" s="4"/>
      <c r="J497" s="4"/>
      <c r="K497" s="4"/>
      <c r="L497" s="1"/>
      <c r="M497" s="1"/>
      <c r="N497" s="1"/>
      <c r="O497" s="1"/>
      <c r="P497" s="1"/>
      <c r="Q497" s="1"/>
      <c r="R497" s="1"/>
      <c r="S497" s="1"/>
      <c r="T497" s="1"/>
      <c r="U497" s="1"/>
      <c r="V497" s="1"/>
      <c r="W497" s="1"/>
      <c r="X497" s="1"/>
      <c r="Y497" s="1"/>
    </row>
    <row r="498" spans="1:25" ht="15.75" customHeight="1">
      <c r="A498" s="1"/>
      <c r="B498" s="1"/>
      <c r="C498" s="1"/>
      <c r="D498" s="1"/>
      <c r="E498" s="1"/>
      <c r="F498" s="1"/>
      <c r="G498" s="1"/>
      <c r="H498" s="1"/>
      <c r="I498" s="4"/>
      <c r="J498" s="4"/>
      <c r="K498" s="4"/>
      <c r="L498" s="1"/>
      <c r="M498" s="1"/>
      <c r="N498" s="1"/>
      <c r="O498" s="1"/>
      <c r="P498" s="1"/>
      <c r="Q498" s="1"/>
      <c r="R498" s="1"/>
      <c r="S498" s="1"/>
      <c r="T498" s="1"/>
      <c r="U498" s="1"/>
      <c r="V498" s="1"/>
      <c r="W498" s="1"/>
      <c r="X498" s="1"/>
      <c r="Y498" s="1"/>
    </row>
    <row r="499" spans="1:25" ht="15.75" customHeight="1">
      <c r="A499" s="1"/>
      <c r="B499" s="1"/>
      <c r="C499" s="1"/>
      <c r="D499" s="1"/>
      <c r="E499" s="1"/>
      <c r="F499" s="1"/>
      <c r="G499" s="1"/>
      <c r="H499" s="1"/>
      <c r="I499" s="4"/>
      <c r="J499" s="4"/>
      <c r="K499" s="4"/>
      <c r="L499" s="1"/>
      <c r="M499" s="1"/>
      <c r="N499" s="1"/>
      <c r="O499" s="1"/>
      <c r="P499" s="1"/>
      <c r="Q499" s="1"/>
      <c r="R499" s="1"/>
      <c r="S499" s="1"/>
      <c r="T499" s="1"/>
      <c r="U499" s="1"/>
      <c r="V499" s="1"/>
      <c r="W499" s="1"/>
      <c r="X499" s="1"/>
      <c r="Y499" s="1"/>
    </row>
    <row r="500" spans="1:25" ht="15.75" customHeight="1">
      <c r="A500" s="1"/>
      <c r="B500" s="1"/>
      <c r="C500" s="1"/>
      <c r="D500" s="1"/>
      <c r="E500" s="1"/>
      <c r="F500" s="1"/>
      <c r="G500" s="1"/>
      <c r="H500" s="1"/>
      <c r="I500" s="4"/>
      <c r="J500" s="4"/>
      <c r="K500" s="4"/>
      <c r="L500" s="1"/>
      <c r="M500" s="1"/>
      <c r="N500" s="1"/>
      <c r="O500" s="1"/>
      <c r="P500" s="1"/>
      <c r="Q500" s="1"/>
      <c r="R500" s="1"/>
      <c r="S500" s="1"/>
      <c r="T500" s="1"/>
      <c r="U500" s="1"/>
      <c r="V500" s="1"/>
      <c r="W500" s="1"/>
      <c r="X500" s="1"/>
      <c r="Y500" s="1"/>
    </row>
    <row r="501" spans="1:25" ht="15.75" customHeight="1">
      <c r="A501" s="1"/>
      <c r="B501" s="1"/>
      <c r="C501" s="1"/>
      <c r="D501" s="1"/>
      <c r="E501" s="1"/>
      <c r="F501" s="1"/>
      <c r="G501" s="1"/>
      <c r="H501" s="1"/>
      <c r="I501" s="4"/>
      <c r="J501" s="4"/>
      <c r="K501" s="4"/>
      <c r="L501" s="1"/>
      <c r="M501" s="1"/>
      <c r="N501" s="1"/>
      <c r="O501" s="1"/>
      <c r="P501" s="1"/>
      <c r="Q501" s="1"/>
      <c r="R501" s="1"/>
      <c r="S501" s="1"/>
      <c r="T501" s="1"/>
      <c r="U501" s="1"/>
      <c r="V501" s="1"/>
      <c r="W501" s="1"/>
      <c r="X501" s="1"/>
      <c r="Y501" s="1"/>
    </row>
    <row r="502" spans="1:25" ht="15.75" customHeight="1">
      <c r="A502" s="1"/>
      <c r="B502" s="1"/>
      <c r="C502" s="1"/>
      <c r="D502" s="1"/>
      <c r="E502" s="1"/>
      <c r="F502" s="1"/>
      <c r="G502" s="1"/>
      <c r="H502" s="1"/>
      <c r="I502" s="4"/>
      <c r="J502" s="4"/>
      <c r="K502" s="4"/>
      <c r="L502" s="1"/>
      <c r="M502" s="1"/>
      <c r="N502" s="1"/>
      <c r="O502" s="1"/>
      <c r="P502" s="1"/>
      <c r="Q502" s="1"/>
      <c r="R502" s="1"/>
      <c r="S502" s="1"/>
      <c r="T502" s="1"/>
      <c r="U502" s="1"/>
      <c r="V502" s="1"/>
      <c r="W502" s="1"/>
      <c r="X502" s="1"/>
      <c r="Y502" s="1"/>
    </row>
    <row r="503" spans="1:25" ht="15.75" customHeight="1">
      <c r="A503" s="1"/>
      <c r="B503" s="1"/>
      <c r="C503" s="1"/>
      <c r="D503" s="1"/>
      <c r="E503" s="1"/>
      <c r="F503" s="1"/>
      <c r="G503" s="1"/>
      <c r="H503" s="1"/>
      <c r="I503" s="4"/>
      <c r="J503" s="4"/>
      <c r="K503" s="4"/>
      <c r="L503" s="1"/>
      <c r="M503" s="1"/>
      <c r="N503" s="1"/>
      <c r="O503" s="1"/>
      <c r="P503" s="1"/>
      <c r="Q503" s="1"/>
      <c r="R503" s="1"/>
      <c r="S503" s="1"/>
      <c r="T503" s="1"/>
      <c r="U503" s="1"/>
      <c r="V503" s="1"/>
      <c r="W503" s="1"/>
      <c r="X503" s="1"/>
      <c r="Y503" s="1"/>
    </row>
    <row r="504" spans="1:25" ht="15.75" customHeight="1">
      <c r="A504" s="1"/>
      <c r="B504" s="1"/>
      <c r="C504" s="1"/>
      <c r="D504" s="1"/>
      <c r="E504" s="1"/>
      <c r="F504" s="1"/>
      <c r="G504" s="1"/>
      <c r="H504" s="1"/>
      <c r="I504" s="4"/>
      <c r="J504" s="4"/>
      <c r="K504" s="4"/>
      <c r="L504" s="1"/>
      <c r="M504" s="1"/>
      <c r="N504" s="1"/>
      <c r="O504" s="1"/>
      <c r="P504" s="1"/>
      <c r="Q504" s="1"/>
      <c r="R504" s="1"/>
      <c r="S504" s="1"/>
      <c r="T504" s="1"/>
      <c r="U504" s="1"/>
      <c r="V504" s="1"/>
      <c r="W504" s="1"/>
      <c r="X504" s="1"/>
      <c r="Y504" s="1"/>
    </row>
    <row r="505" spans="1:25" ht="15.75" customHeight="1">
      <c r="A505" s="1"/>
      <c r="B505" s="1"/>
      <c r="C505" s="1"/>
      <c r="D505" s="1"/>
      <c r="E505" s="1"/>
      <c r="F505" s="1"/>
      <c r="G505" s="1"/>
      <c r="H505" s="1"/>
      <c r="I505" s="4"/>
      <c r="J505" s="4"/>
      <c r="K505" s="4"/>
      <c r="L505" s="1"/>
      <c r="M505" s="1"/>
      <c r="N505" s="1"/>
      <c r="O505" s="1"/>
      <c r="P505" s="1"/>
      <c r="Q505" s="1"/>
      <c r="R505" s="1"/>
      <c r="S505" s="1"/>
      <c r="T505" s="1"/>
      <c r="U505" s="1"/>
      <c r="V505" s="1"/>
      <c r="W505" s="1"/>
      <c r="X505" s="1"/>
      <c r="Y505" s="1"/>
    </row>
    <row r="506" spans="1:25" ht="15.75" customHeight="1">
      <c r="A506" s="1"/>
      <c r="B506" s="1"/>
      <c r="C506" s="1"/>
      <c r="D506" s="1"/>
      <c r="E506" s="1"/>
      <c r="F506" s="1"/>
      <c r="G506" s="1"/>
      <c r="H506" s="1"/>
      <c r="I506" s="4"/>
      <c r="J506" s="4"/>
      <c r="K506" s="4"/>
      <c r="L506" s="1"/>
      <c r="M506" s="1"/>
      <c r="N506" s="1"/>
      <c r="O506" s="1"/>
      <c r="P506" s="1"/>
      <c r="Q506" s="1"/>
      <c r="R506" s="1"/>
      <c r="S506" s="1"/>
      <c r="T506" s="1"/>
      <c r="U506" s="1"/>
      <c r="V506" s="1"/>
      <c r="W506" s="1"/>
      <c r="X506" s="1"/>
      <c r="Y506" s="1"/>
    </row>
    <row r="507" spans="1:25" ht="15.75" customHeight="1">
      <c r="A507" s="1"/>
      <c r="B507" s="1"/>
      <c r="C507" s="1"/>
      <c r="D507" s="1"/>
      <c r="E507" s="1"/>
      <c r="F507" s="1"/>
      <c r="G507" s="1"/>
      <c r="H507" s="1"/>
      <c r="I507" s="4"/>
      <c r="J507" s="4"/>
      <c r="K507" s="4"/>
      <c r="L507" s="1"/>
      <c r="M507" s="1"/>
      <c r="N507" s="1"/>
      <c r="O507" s="1"/>
      <c r="P507" s="1"/>
      <c r="Q507" s="1"/>
      <c r="R507" s="1"/>
      <c r="S507" s="1"/>
      <c r="T507" s="1"/>
      <c r="U507" s="1"/>
      <c r="V507" s="1"/>
      <c r="W507" s="1"/>
      <c r="X507" s="1"/>
      <c r="Y507" s="1"/>
    </row>
    <row r="508" spans="1:25" ht="15.75" customHeight="1">
      <c r="A508" s="1"/>
      <c r="B508" s="1"/>
      <c r="C508" s="1"/>
      <c r="D508" s="1"/>
      <c r="E508" s="1"/>
      <c r="F508" s="1"/>
      <c r="G508" s="1"/>
      <c r="H508" s="1"/>
      <c r="I508" s="4"/>
      <c r="J508" s="4"/>
      <c r="K508" s="4"/>
      <c r="L508" s="1"/>
      <c r="M508" s="1"/>
      <c r="N508" s="1"/>
      <c r="O508" s="1"/>
      <c r="P508" s="1"/>
      <c r="Q508" s="1"/>
      <c r="R508" s="1"/>
      <c r="S508" s="1"/>
      <c r="T508" s="1"/>
      <c r="U508" s="1"/>
      <c r="V508" s="1"/>
      <c r="W508" s="1"/>
      <c r="X508" s="1"/>
      <c r="Y508" s="1"/>
    </row>
    <row r="509" spans="1:25" ht="15.75" customHeight="1">
      <c r="A509" s="1"/>
      <c r="B509" s="1"/>
      <c r="C509" s="1"/>
      <c r="D509" s="1"/>
      <c r="E509" s="1"/>
      <c r="F509" s="1"/>
      <c r="G509" s="1"/>
      <c r="H509" s="1"/>
      <c r="I509" s="4"/>
      <c r="J509" s="4"/>
      <c r="K509" s="4"/>
      <c r="L509" s="1"/>
      <c r="M509" s="1"/>
      <c r="N509" s="1"/>
      <c r="O509" s="1"/>
      <c r="P509" s="1"/>
      <c r="Q509" s="1"/>
      <c r="R509" s="1"/>
      <c r="S509" s="1"/>
      <c r="T509" s="1"/>
      <c r="U509" s="1"/>
      <c r="V509" s="1"/>
      <c r="W509" s="1"/>
      <c r="X509" s="1"/>
      <c r="Y509" s="1"/>
    </row>
    <row r="510" spans="1:25" ht="15.75" customHeight="1">
      <c r="A510" s="1"/>
      <c r="B510" s="1"/>
      <c r="C510" s="1"/>
      <c r="D510" s="1"/>
      <c r="E510" s="1"/>
      <c r="F510" s="1"/>
      <c r="G510" s="1"/>
      <c r="H510" s="1"/>
      <c r="I510" s="4"/>
      <c r="J510" s="4"/>
      <c r="K510" s="4"/>
      <c r="L510" s="1"/>
      <c r="M510" s="1"/>
      <c r="N510" s="1"/>
      <c r="O510" s="1"/>
      <c r="P510" s="1"/>
      <c r="Q510" s="1"/>
      <c r="R510" s="1"/>
      <c r="S510" s="1"/>
      <c r="T510" s="1"/>
      <c r="U510" s="1"/>
      <c r="V510" s="1"/>
      <c r="W510" s="1"/>
      <c r="X510" s="1"/>
      <c r="Y510" s="1"/>
    </row>
    <row r="511" spans="1:25" ht="15.75" customHeight="1">
      <c r="A511" s="1"/>
      <c r="B511" s="1"/>
      <c r="C511" s="1"/>
      <c r="D511" s="1"/>
      <c r="E511" s="1"/>
      <c r="F511" s="1"/>
      <c r="G511" s="1"/>
      <c r="H511" s="1"/>
      <c r="I511" s="4"/>
      <c r="J511" s="4"/>
      <c r="K511" s="4"/>
      <c r="L511" s="1"/>
      <c r="M511" s="1"/>
      <c r="N511" s="1"/>
      <c r="O511" s="1"/>
      <c r="P511" s="1"/>
      <c r="Q511" s="1"/>
      <c r="R511" s="1"/>
      <c r="S511" s="1"/>
      <c r="T511" s="1"/>
      <c r="U511" s="1"/>
      <c r="V511" s="1"/>
      <c r="W511" s="1"/>
      <c r="X511" s="1"/>
      <c r="Y511" s="1"/>
    </row>
    <row r="512" spans="1:25" ht="15.75" customHeight="1">
      <c r="A512" s="1"/>
      <c r="B512" s="1"/>
      <c r="C512" s="1"/>
      <c r="D512" s="1"/>
      <c r="E512" s="1"/>
      <c r="F512" s="1"/>
      <c r="G512" s="1"/>
      <c r="H512" s="1"/>
      <c r="I512" s="4"/>
      <c r="J512" s="4"/>
      <c r="K512" s="4"/>
      <c r="L512" s="1"/>
      <c r="M512" s="1"/>
      <c r="N512" s="1"/>
      <c r="O512" s="1"/>
      <c r="P512" s="1"/>
      <c r="Q512" s="1"/>
      <c r="R512" s="1"/>
      <c r="S512" s="1"/>
      <c r="T512" s="1"/>
      <c r="U512" s="1"/>
      <c r="V512" s="1"/>
      <c r="W512" s="1"/>
      <c r="X512" s="1"/>
      <c r="Y512" s="1"/>
    </row>
    <row r="513" spans="1:25" ht="15.75" customHeight="1">
      <c r="A513" s="1"/>
      <c r="B513" s="1"/>
      <c r="C513" s="1"/>
      <c r="D513" s="1"/>
      <c r="E513" s="1"/>
      <c r="F513" s="1"/>
      <c r="G513" s="1"/>
      <c r="H513" s="1"/>
      <c r="I513" s="4"/>
      <c r="J513" s="4"/>
      <c r="K513" s="4"/>
      <c r="L513" s="1"/>
      <c r="M513" s="1"/>
      <c r="N513" s="1"/>
      <c r="O513" s="1"/>
      <c r="P513" s="1"/>
      <c r="Q513" s="1"/>
      <c r="R513" s="1"/>
      <c r="S513" s="1"/>
      <c r="T513" s="1"/>
      <c r="U513" s="1"/>
      <c r="V513" s="1"/>
      <c r="W513" s="1"/>
      <c r="X513" s="1"/>
      <c r="Y513" s="1"/>
    </row>
    <row r="514" spans="1:25" ht="15.75" customHeight="1">
      <c r="A514" s="1"/>
      <c r="B514" s="1"/>
      <c r="C514" s="1"/>
      <c r="D514" s="1"/>
      <c r="E514" s="1"/>
      <c r="F514" s="1"/>
      <c r="G514" s="1"/>
      <c r="H514" s="1"/>
      <c r="I514" s="4"/>
      <c r="J514" s="4"/>
      <c r="K514" s="4"/>
      <c r="L514" s="1"/>
      <c r="M514" s="1"/>
      <c r="N514" s="1"/>
      <c r="O514" s="1"/>
      <c r="P514" s="1"/>
      <c r="Q514" s="1"/>
      <c r="R514" s="1"/>
      <c r="S514" s="1"/>
      <c r="T514" s="1"/>
      <c r="U514" s="1"/>
      <c r="V514" s="1"/>
      <c r="W514" s="1"/>
      <c r="X514" s="1"/>
      <c r="Y514" s="1"/>
    </row>
    <row r="515" spans="1:25" ht="15.75" customHeight="1">
      <c r="A515" s="1"/>
      <c r="B515" s="1"/>
      <c r="C515" s="1"/>
      <c r="D515" s="1"/>
      <c r="E515" s="1"/>
      <c r="F515" s="1"/>
      <c r="G515" s="1"/>
      <c r="H515" s="1"/>
      <c r="I515" s="4"/>
      <c r="J515" s="4"/>
      <c r="K515" s="4"/>
      <c r="L515" s="1"/>
      <c r="M515" s="1"/>
      <c r="N515" s="1"/>
      <c r="O515" s="1"/>
      <c r="P515" s="1"/>
      <c r="Q515" s="1"/>
      <c r="R515" s="1"/>
      <c r="S515" s="1"/>
      <c r="T515" s="1"/>
      <c r="U515" s="1"/>
      <c r="V515" s="1"/>
      <c r="W515" s="1"/>
      <c r="X515" s="1"/>
      <c r="Y515" s="1"/>
    </row>
    <row r="516" spans="1:25" ht="15.75" customHeight="1">
      <c r="A516" s="1"/>
      <c r="B516" s="1"/>
      <c r="C516" s="1"/>
      <c r="D516" s="1"/>
      <c r="E516" s="1"/>
      <c r="F516" s="1"/>
      <c r="G516" s="1"/>
      <c r="H516" s="1"/>
      <c r="I516" s="4"/>
      <c r="J516" s="4"/>
      <c r="K516" s="4"/>
      <c r="L516" s="1"/>
      <c r="M516" s="1"/>
      <c r="N516" s="1"/>
      <c r="O516" s="1"/>
      <c r="P516" s="1"/>
      <c r="Q516" s="1"/>
      <c r="R516" s="1"/>
      <c r="S516" s="1"/>
      <c r="T516" s="1"/>
      <c r="U516" s="1"/>
      <c r="V516" s="1"/>
      <c r="W516" s="1"/>
      <c r="X516" s="1"/>
      <c r="Y516" s="1"/>
    </row>
    <row r="517" spans="1:25" ht="15.75" customHeight="1">
      <c r="A517" s="1"/>
      <c r="B517" s="1"/>
      <c r="C517" s="1"/>
      <c r="D517" s="1"/>
      <c r="E517" s="1"/>
      <c r="F517" s="1"/>
      <c r="G517" s="1"/>
      <c r="H517" s="1"/>
      <c r="I517" s="4"/>
      <c r="J517" s="4"/>
      <c r="K517" s="4"/>
      <c r="L517" s="1"/>
      <c r="M517" s="1"/>
      <c r="N517" s="1"/>
      <c r="O517" s="1"/>
      <c r="P517" s="1"/>
      <c r="Q517" s="1"/>
      <c r="R517" s="1"/>
      <c r="S517" s="1"/>
      <c r="T517" s="1"/>
      <c r="U517" s="1"/>
      <c r="V517" s="1"/>
      <c r="W517" s="1"/>
      <c r="X517" s="1"/>
      <c r="Y517" s="1"/>
    </row>
    <row r="518" spans="1:25" ht="15.75" customHeight="1">
      <c r="A518" s="1"/>
      <c r="B518" s="1"/>
      <c r="C518" s="1"/>
      <c r="D518" s="1"/>
      <c r="E518" s="1"/>
      <c r="F518" s="1"/>
      <c r="G518" s="1"/>
      <c r="H518" s="1"/>
      <c r="I518" s="4"/>
      <c r="J518" s="4"/>
      <c r="K518" s="4"/>
      <c r="L518" s="1"/>
      <c r="M518" s="1"/>
      <c r="N518" s="1"/>
      <c r="O518" s="1"/>
      <c r="P518" s="1"/>
      <c r="Q518" s="1"/>
      <c r="R518" s="1"/>
      <c r="S518" s="1"/>
      <c r="T518" s="1"/>
      <c r="U518" s="1"/>
      <c r="V518" s="1"/>
      <c r="W518" s="1"/>
      <c r="X518" s="1"/>
      <c r="Y518" s="1"/>
    </row>
    <row r="519" spans="1:25" ht="15.75" customHeight="1">
      <c r="A519" s="1"/>
      <c r="B519" s="1"/>
      <c r="C519" s="1"/>
      <c r="D519" s="1"/>
      <c r="E519" s="1"/>
      <c r="F519" s="1"/>
      <c r="G519" s="1"/>
      <c r="H519" s="1"/>
      <c r="I519" s="4"/>
      <c r="J519" s="4"/>
      <c r="K519" s="4"/>
      <c r="L519" s="1"/>
      <c r="M519" s="1"/>
      <c r="N519" s="1"/>
      <c r="O519" s="1"/>
      <c r="P519" s="1"/>
      <c r="Q519" s="1"/>
      <c r="R519" s="1"/>
      <c r="S519" s="1"/>
      <c r="T519" s="1"/>
      <c r="U519" s="1"/>
      <c r="V519" s="1"/>
      <c r="W519" s="1"/>
      <c r="X519" s="1"/>
      <c r="Y519" s="1"/>
    </row>
    <row r="520" spans="1:25" ht="15.75" customHeight="1">
      <c r="A520" s="1"/>
      <c r="B520" s="1"/>
      <c r="C520" s="1"/>
      <c r="D520" s="1"/>
      <c r="E520" s="1"/>
      <c r="F520" s="1"/>
      <c r="G520" s="1"/>
      <c r="H520" s="1"/>
      <c r="I520" s="4"/>
      <c r="J520" s="4"/>
      <c r="K520" s="4"/>
      <c r="L520" s="1"/>
      <c r="M520" s="1"/>
      <c r="N520" s="1"/>
      <c r="O520" s="1"/>
      <c r="P520" s="1"/>
      <c r="Q520" s="1"/>
      <c r="R520" s="1"/>
      <c r="S520" s="1"/>
      <c r="T520" s="1"/>
      <c r="U520" s="1"/>
      <c r="V520" s="1"/>
      <c r="W520" s="1"/>
      <c r="X520" s="1"/>
      <c r="Y520" s="1"/>
    </row>
    <row r="521" spans="1:25" ht="15.75" customHeight="1">
      <c r="A521" s="1"/>
      <c r="B521" s="1"/>
      <c r="C521" s="1"/>
      <c r="D521" s="1"/>
      <c r="E521" s="1"/>
      <c r="F521" s="1"/>
      <c r="G521" s="1"/>
      <c r="H521" s="1"/>
      <c r="I521" s="4"/>
      <c r="J521" s="4"/>
      <c r="K521" s="4"/>
      <c r="L521" s="1"/>
      <c r="M521" s="1"/>
      <c r="N521" s="1"/>
      <c r="O521" s="1"/>
      <c r="P521" s="1"/>
      <c r="Q521" s="1"/>
      <c r="R521" s="1"/>
      <c r="S521" s="1"/>
      <c r="T521" s="1"/>
      <c r="U521" s="1"/>
      <c r="V521" s="1"/>
      <c r="W521" s="1"/>
      <c r="X521" s="1"/>
      <c r="Y521" s="1"/>
    </row>
    <row r="522" spans="1:25" ht="15.75" customHeight="1">
      <c r="A522" s="1"/>
      <c r="B522" s="1"/>
      <c r="C522" s="1"/>
      <c r="D522" s="1"/>
      <c r="E522" s="1"/>
      <c r="F522" s="1"/>
      <c r="G522" s="1"/>
      <c r="H522" s="1"/>
      <c r="I522" s="4"/>
      <c r="J522" s="4"/>
      <c r="K522" s="4"/>
      <c r="L522" s="1"/>
      <c r="M522" s="1"/>
      <c r="N522" s="1"/>
      <c r="O522" s="1"/>
      <c r="P522" s="1"/>
      <c r="Q522" s="1"/>
      <c r="R522" s="1"/>
      <c r="S522" s="1"/>
      <c r="T522" s="1"/>
      <c r="U522" s="1"/>
      <c r="V522" s="1"/>
      <c r="W522" s="1"/>
      <c r="X522" s="1"/>
      <c r="Y522" s="1"/>
    </row>
    <row r="523" spans="1:25" ht="15.75" customHeight="1">
      <c r="A523" s="1"/>
      <c r="B523" s="1"/>
      <c r="C523" s="1"/>
      <c r="D523" s="1"/>
      <c r="E523" s="1"/>
      <c r="F523" s="1"/>
      <c r="G523" s="1"/>
      <c r="H523" s="1"/>
      <c r="I523" s="4"/>
      <c r="J523" s="4"/>
      <c r="K523" s="4"/>
      <c r="L523" s="1"/>
      <c r="M523" s="1"/>
      <c r="N523" s="1"/>
      <c r="O523" s="1"/>
      <c r="P523" s="1"/>
      <c r="Q523" s="1"/>
      <c r="R523" s="1"/>
      <c r="S523" s="1"/>
      <c r="T523" s="1"/>
      <c r="U523" s="1"/>
      <c r="V523" s="1"/>
      <c r="W523" s="1"/>
      <c r="X523" s="1"/>
      <c r="Y523" s="1"/>
    </row>
    <row r="524" spans="1:25" ht="15.75" customHeight="1">
      <c r="A524" s="1"/>
      <c r="B524" s="1"/>
      <c r="C524" s="1"/>
      <c r="D524" s="1"/>
      <c r="E524" s="1"/>
      <c r="F524" s="1"/>
      <c r="G524" s="1"/>
      <c r="H524" s="1"/>
      <c r="I524" s="4"/>
      <c r="J524" s="4"/>
      <c r="K524" s="4"/>
      <c r="L524" s="1"/>
      <c r="M524" s="1"/>
      <c r="N524" s="1"/>
      <c r="O524" s="1"/>
      <c r="P524" s="1"/>
      <c r="Q524" s="1"/>
      <c r="R524" s="1"/>
      <c r="S524" s="1"/>
      <c r="T524" s="1"/>
      <c r="U524" s="1"/>
      <c r="V524" s="1"/>
      <c r="W524" s="1"/>
      <c r="X524" s="1"/>
      <c r="Y524" s="1"/>
    </row>
    <row r="525" spans="1:25" ht="15.75" customHeight="1">
      <c r="A525" s="1"/>
      <c r="B525" s="1"/>
      <c r="C525" s="1"/>
      <c r="D525" s="1"/>
      <c r="E525" s="1"/>
      <c r="F525" s="1"/>
      <c r="G525" s="1"/>
      <c r="H525" s="1"/>
      <c r="I525" s="4"/>
      <c r="J525" s="4"/>
      <c r="K525" s="4"/>
      <c r="L525" s="1"/>
      <c r="M525" s="1"/>
      <c r="N525" s="1"/>
      <c r="O525" s="1"/>
      <c r="P525" s="1"/>
      <c r="Q525" s="1"/>
      <c r="R525" s="1"/>
      <c r="S525" s="1"/>
      <c r="T525" s="1"/>
      <c r="U525" s="1"/>
      <c r="V525" s="1"/>
      <c r="W525" s="1"/>
      <c r="X525" s="1"/>
      <c r="Y525" s="1"/>
    </row>
    <row r="526" spans="1:25" ht="15.75" customHeight="1">
      <c r="A526" s="1"/>
      <c r="B526" s="1"/>
      <c r="C526" s="1"/>
      <c r="D526" s="1"/>
      <c r="E526" s="1"/>
      <c r="F526" s="1"/>
      <c r="G526" s="1"/>
      <c r="H526" s="1"/>
      <c r="I526" s="4"/>
      <c r="J526" s="4"/>
      <c r="K526" s="4"/>
      <c r="L526" s="1"/>
      <c r="M526" s="1"/>
      <c r="N526" s="1"/>
      <c r="O526" s="1"/>
      <c r="P526" s="1"/>
      <c r="Q526" s="1"/>
      <c r="R526" s="1"/>
      <c r="S526" s="1"/>
      <c r="T526" s="1"/>
      <c r="U526" s="1"/>
      <c r="V526" s="1"/>
      <c r="W526" s="1"/>
      <c r="X526" s="1"/>
      <c r="Y526" s="1"/>
    </row>
    <row r="527" spans="1:25" ht="15.75" customHeight="1">
      <c r="A527" s="1"/>
      <c r="B527" s="1"/>
      <c r="C527" s="1"/>
      <c r="D527" s="1"/>
      <c r="E527" s="1"/>
      <c r="F527" s="1"/>
      <c r="G527" s="1"/>
      <c r="H527" s="1"/>
      <c r="I527" s="4"/>
      <c r="J527" s="4"/>
      <c r="K527" s="4"/>
      <c r="L527" s="1"/>
      <c r="M527" s="1"/>
      <c r="N527" s="1"/>
      <c r="O527" s="1"/>
      <c r="P527" s="1"/>
      <c r="Q527" s="1"/>
      <c r="R527" s="1"/>
      <c r="S527" s="1"/>
      <c r="T527" s="1"/>
      <c r="U527" s="1"/>
      <c r="V527" s="1"/>
      <c r="W527" s="1"/>
      <c r="X527" s="1"/>
      <c r="Y527" s="1"/>
    </row>
    <row r="528" spans="1:25" ht="15.75" customHeight="1">
      <c r="A528" s="1"/>
      <c r="B528" s="1"/>
      <c r="C528" s="1"/>
      <c r="D528" s="1"/>
      <c r="E528" s="1"/>
      <c r="F528" s="1"/>
      <c r="G528" s="1"/>
      <c r="H528" s="1"/>
      <c r="I528" s="4"/>
      <c r="J528" s="4"/>
      <c r="K528" s="4"/>
      <c r="L528" s="1"/>
      <c r="M528" s="1"/>
      <c r="N528" s="1"/>
      <c r="O528" s="1"/>
      <c r="P528" s="1"/>
      <c r="Q528" s="1"/>
      <c r="R528" s="1"/>
      <c r="S528" s="1"/>
      <c r="T528" s="1"/>
      <c r="U528" s="1"/>
      <c r="V528" s="1"/>
      <c r="W528" s="1"/>
      <c r="X528" s="1"/>
      <c r="Y528" s="1"/>
    </row>
    <row r="529" spans="1:25" ht="15.75" customHeight="1">
      <c r="A529" s="1"/>
      <c r="B529" s="1"/>
      <c r="C529" s="1"/>
      <c r="D529" s="1"/>
      <c r="E529" s="1"/>
      <c r="F529" s="1"/>
      <c r="G529" s="1"/>
      <c r="H529" s="1"/>
      <c r="I529" s="4"/>
      <c r="J529" s="4"/>
      <c r="K529" s="4"/>
      <c r="L529" s="1"/>
      <c r="M529" s="1"/>
      <c r="N529" s="1"/>
      <c r="O529" s="1"/>
      <c r="P529" s="1"/>
      <c r="Q529" s="1"/>
      <c r="R529" s="1"/>
      <c r="S529" s="1"/>
      <c r="T529" s="1"/>
      <c r="U529" s="1"/>
      <c r="V529" s="1"/>
      <c r="W529" s="1"/>
      <c r="X529" s="1"/>
      <c r="Y529" s="1"/>
    </row>
    <row r="530" spans="1:25" ht="15.75" customHeight="1">
      <c r="A530" s="1"/>
      <c r="B530" s="1"/>
      <c r="C530" s="1"/>
      <c r="D530" s="1"/>
      <c r="E530" s="1"/>
      <c r="F530" s="1"/>
      <c r="G530" s="1"/>
      <c r="H530" s="1"/>
      <c r="I530" s="4"/>
      <c r="J530" s="4"/>
      <c r="K530" s="4"/>
      <c r="L530" s="1"/>
      <c r="M530" s="1"/>
      <c r="N530" s="1"/>
      <c r="O530" s="1"/>
      <c r="P530" s="1"/>
      <c r="Q530" s="1"/>
      <c r="R530" s="1"/>
      <c r="S530" s="1"/>
      <c r="T530" s="1"/>
      <c r="U530" s="1"/>
      <c r="V530" s="1"/>
      <c r="W530" s="1"/>
      <c r="X530" s="1"/>
      <c r="Y530" s="1"/>
    </row>
    <row r="531" spans="1:25" ht="15.75" customHeight="1">
      <c r="A531" s="1"/>
      <c r="B531" s="1"/>
      <c r="C531" s="1"/>
      <c r="D531" s="1"/>
      <c r="E531" s="1"/>
      <c r="F531" s="1"/>
      <c r="G531" s="1"/>
      <c r="H531" s="1"/>
      <c r="I531" s="4"/>
      <c r="J531" s="4"/>
      <c r="K531" s="4"/>
      <c r="L531" s="1"/>
      <c r="M531" s="1"/>
      <c r="N531" s="1"/>
      <c r="O531" s="1"/>
      <c r="P531" s="1"/>
      <c r="Q531" s="1"/>
      <c r="R531" s="1"/>
      <c r="S531" s="1"/>
      <c r="T531" s="1"/>
      <c r="U531" s="1"/>
      <c r="V531" s="1"/>
      <c r="W531" s="1"/>
      <c r="X531" s="1"/>
      <c r="Y531" s="1"/>
    </row>
    <row r="532" spans="1:25" ht="15.75" customHeight="1">
      <c r="A532" s="1"/>
      <c r="B532" s="1"/>
      <c r="C532" s="1"/>
      <c r="D532" s="1"/>
      <c r="E532" s="1"/>
      <c r="F532" s="1"/>
      <c r="G532" s="1"/>
      <c r="H532" s="1"/>
      <c r="I532" s="4"/>
      <c r="J532" s="4"/>
      <c r="K532" s="4"/>
      <c r="L532" s="1"/>
      <c r="M532" s="1"/>
      <c r="N532" s="1"/>
      <c r="O532" s="1"/>
      <c r="P532" s="1"/>
      <c r="Q532" s="1"/>
      <c r="R532" s="1"/>
      <c r="S532" s="1"/>
      <c r="T532" s="1"/>
      <c r="U532" s="1"/>
      <c r="V532" s="1"/>
      <c r="W532" s="1"/>
      <c r="X532" s="1"/>
      <c r="Y532" s="1"/>
    </row>
    <row r="533" spans="1:25" ht="15.75" customHeight="1">
      <c r="A533" s="1"/>
      <c r="B533" s="1"/>
      <c r="C533" s="1"/>
      <c r="D533" s="1"/>
      <c r="E533" s="1"/>
      <c r="F533" s="1"/>
      <c r="G533" s="1"/>
      <c r="H533" s="1"/>
      <c r="I533" s="4"/>
      <c r="J533" s="4"/>
      <c r="K533" s="4"/>
      <c r="L533" s="1"/>
      <c r="M533" s="1"/>
      <c r="N533" s="1"/>
      <c r="O533" s="1"/>
      <c r="P533" s="1"/>
      <c r="Q533" s="1"/>
      <c r="R533" s="1"/>
      <c r="S533" s="1"/>
      <c r="T533" s="1"/>
      <c r="U533" s="1"/>
      <c r="V533" s="1"/>
      <c r="W533" s="1"/>
      <c r="X533" s="1"/>
      <c r="Y533" s="1"/>
    </row>
    <row r="534" spans="1:25" ht="15.75" customHeight="1">
      <c r="A534" s="1"/>
      <c r="B534" s="1"/>
      <c r="C534" s="1"/>
      <c r="D534" s="1"/>
      <c r="E534" s="1"/>
      <c r="F534" s="1"/>
      <c r="G534" s="1"/>
      <c r="H534" s="1"/>
      <c r="I534" s="4"/>
      <c r="J534" s="4"/>
      <c r="K534" s="4"/>
      <c r="L534" s="1"/>
      <c r="M534" s="1"/>
      <c r="N534" s="1"/>
      <c r="O534" s="1"/>
      <c r="P534" s="1"/>
      <c r="Q534" s="1"/>
      <c r="R534" s="1"/>
      <c r="S534" s="1"/>
      <c r="T534" s="1"/>
      <c r="U534" s="1"/>
      <c r="V534" s="1"/>
      <c r="W534" s="1"/>
      <c r="X534" s="1"/>
      <c r="Y534" s="1"/>
    </row>
    <row r="535" spans="1:25" ht="15.75" customHeight="1">
      <c r="A535" s="1"/>
      <c r="B535" s="1"/>
      <c r="C535" s="1"/>
      <c r="D535" s="1"/>
      <c r="E535" s="1"/>
      <c r="F535" s="1"/>
      <c r="G535" s="1"/>
      <c r="H535" s="1"/>
      <c r="I535" s="4"/>
      <c r="J535" s="4"/>
      <c r="K535" s="4"/>
      <c r="L535" s="1"/>
      <c r="M535" s="1"/>
      <c r="N535" s="1"/>
      <c r="O535" s="1"/>
      <c r="P535" s="1"/>
      <c r="Q535" s="1"/>
      <c r="R535" s="1"/>
      <c r="S535" s="1"/>
      <c r="T535" s="1"/>
      <c r="U535" s="1"/>
      <c r="V535" s="1"/>
      <c r="W535" s="1"/>
      <c r="X535" s="1"/>
      <c r="Y535" s="1"/>
    </row>
    <row r="536" spans="1:25" ht="15.75" customHeight="1">
      <c r="A536" s="1"/>
      <c r="B536" s="1"/>
      <c r="C536" s="1"/>
      <c r="D536" s="1"/>
      <c r="E536" s="1"/>
      <c r="F536" s="1"/>
      <c r="G536" s="1"/>
      <c r="H536" s="1"/>
      <c r="I536" s="4"/>
      <c r="J536" s="4"/>
      <c r="K536" s="4"/>
      <c r="L536" s="1"/>
      <c r="M536" s="1"/>
      <c r="N536" s="1"/>
      <c r="O536" s="1"/>
      <c r="P536" s="1"/>
      <c r="Q536" s="1"/>
      <c r="R536" s="1"/>
      <c r="S536" s="1"/>
      <c r="T536" s="1"/>
      <c r="U536" s="1"/>
      <c r="V536" s="1"/>
      <c r="W536" s="1"/>
      <c r="X536" s="1"/>
      <c r="Y536" s="1"/>
    </row>
    <row r="537" spans="1:25" ht="15.75" customHeight="1">
      <c r="A537" s="1"/>
      <c r="B537" s="1"/>
      <c r="C537" s="1"/>
      <c r="D537" s="1"/>
      <c r="E537" s="1"/>
      <c r="F537" s="1"/>
      <c r="G537" s="1"/>
      <c r="H537" s="1"/>
      <c r="I537" s="4"/>
      <c r="J537" s="4"/>
      <c r="K537" s="4"/>
      <c r="L537" s="1"/>
      <c r="M537" s="1"/>
      <c r="N537" s="1"/>
      <c r="O537" s="1"/>
      <c r="P537" s="1"/>
      <c r="Q537" s="1"/>
      <c r="R537" s="1"/>
      <c r="S537" s="1"/>
      <c r="T537" s="1"/>
      <c r="U537" s="1"/>
      <c r="V537" s="1"/>
      <c r="W537" s="1"/>
      <c r="X537" s="1"/>
      <c r="Y537" s="1"/>
    </row>
    <row r="538" spans="1:25" ht="15.75" customHeight="1">
      <c r="A538" s="1"/>
      <c r="B538" s="1"/>
      <c r="C538" s="1"/>
      <c r="D538" s="1"/>
      <c r="E538" s="1"/>
      <c r="F538" s="1"/>
      <c r="G538" s="1"/>
      <c r="H538" s="1"/>
      <c r="I538" s="4"/>
      <c r="J538" s="4"/>
      <c r="K538" s="4"/>
      <c r="L538" s="1"/>
      <c r="M538" s="1"/>
      <c r="N538" s="1"/>
      <c r="O538" s="1"/>
      <c r="P538" s="1"/>
      <c r="Q538" s="1"/>
      <c r="R538" s="1"/>
      <c r="S538" s="1"/>
      <c r="T538" s="1"/>
      <c r="U538" s="1"/>
      <c r="V538" s="1"/>
      <c r="W538" s="1"/>
      <c r="X538" s="1"/>
      <c r="Y538" s="1"/>
    </row>
    <row r="539" spans="1:25" ht="15.75" customHeight="1">
      <c r="A539" s="1"/>
      <c r="B539" s="1"/>
      <c r="C539" s="1"/>
      <c r="D539" s="1"/>
      <c r="E539" s="1"/>
      <c r="F539" s="1"/>
      <c r="G539" s="1"/>
      <c r="H539" s="1"/>
      <c r="I539" s="4"/>
      <c r="J539" s="4"/>
      <c r="K539" s="4"/>
      <c r="L539" s="1"/>
      <c r="M539" s="1"/>
      <c r="N539" s="1"/>
      <c r="O539" s="1"/>
      <c r="P539" s="1"/>
      <c r="Q539" s="1"/>
      <c r="R539" s="1"/>
      <c r="S539" s="1"/>
      <c r="T539" s="1"/>
      <c r="U539" s="1"/>
      <c r="V539" s="1"/>
      <c r="W539" s="1"/>
      <c r="X539" s="1"/>
      <c r="Y539" s="1"/>
    </row>
    <row r="540" spans="1:25" ht="15.75" customHeight="1">
      <c r="A540" s="1"/>
      <c r="B540" s="1"/>
      <c r="C540" s="1"/>
      <c r="D540" s="1"/>
      <c r="E540" s="1"/>
      <c r="F540" s="1"/>
      <c r="G540" s="1"/>
      <c r="H540" s="1"/>
      <c r="I540" s="4"/>
      <c r="J540" s="4"/>
      <c r="K540" s="4"/>
      <c r="L540" s="1"/>
      <c r="M540" s="1"/>
      <c r="N540" s="1"/>
      <c r="O540" s="1"/>
      <c r="P540" s="1"/>
      <c r="Q540" s="1"/>
      <c r="R540" s="1"/>
      <c r="S540" s="1"/>
      <c r="T540" s="1"/>
      <c r="U540" s="1"/>
      <c r="V540" s="1"/>
      <c r="W540" s="1"/>
      <c r="X540" s="1"/>
      <c r="Y540" s="1"/>
    </row>
    <row r="541" spans="1:25" ht="15.75" customHeight="1">
      <c r="A541" s="1"/>
      <c r="B541" s="1"/>
      <c r="C541" s="1"/>
      <c r="D541" s="1"/>
      <c r="E541" s="1"/>
      <c r="F541" s="1"/>
      <c r="G541" s="1"/>
      <c r="H541" s="1"/>
      <c r="I541" s="4"/>
      <c r="J541" s="4"/>
      <c r="K541" s="4"/>
      <c r="L541" s="1"/>
      <c r="M541" s="1"/>
      <c r="N541" s="1"/>
      <c r="O541" s="1"/>
      <c r="P541" s="1"/>
      <c r="Q541" s="1"/>
      <c r="R541" s="1"/>
      <c r="S541" s="1"/>
      <c r="T541" s="1"/>
      <c r="U541" s="1"/>
      <c r="V541" s="1"/>
      <c r="W541" s="1"/>
      <c r="X541" s="1"/>
      <c r="Y541" s="1"/>
    </row>
    <row r="542" spans="1:25" ht="15.75" customHeight="1">
      <c r="A542" s="1"/>
      <c r="B542" s="1"/>
      <c r="C542" s="1"/>
      <c r="D542" s="1"/>
      <c r="E542" s="1"/>
      <c r="F542" s="1"/>
      <c r="G542" s="1"/>
      <c r="H542" s="1"/>
      <c r="I542" s="4"/>
      <c r="J542" s="4"/>
      <c r="K542" s="4"/>
      <c r="L542" s="1"/>
      <c r="M542" s="1"/>
      <c r="N542" s="1"/>
      <c r="O542" s="1"/>
      <c r="P542" s="1"/>
      <c r="Q542" s="1"/>
      <c r="R542" s="1"/>
      <c r="S542" s="1"/>
      <c r="T542" s="1"/>
      <c r="U542" s="1"/>
      <c r="V542" s="1"/>
      <c r="W542" s="1"/>
      <c r="X542" s="1"/>
      <c r="Y542" s="1"/>
    </row>
    <row r="543" spans="1:25" ht="15.75" customHeight="1">
      <c r="A543" s="1"/>
      <c r="B543" s="1"/>
      <c r="C543" s="1"/>
      <c r="D543" s="1"/>
      <c r="E543" s="1"/>
      <c r="F543" s="1"/>
      <c r="G543" s="1"/>
      <c r="H543" s="1"/>
      <c r="I543" s="4"/>
      <c r="J543" s="4"/>
      <c r="K543" s="4"/>
      <c r="L543" s="1"/>
      <c r="M543" s="1"/>
      <c r="N543" s="1"/>
      <c r="O543" s="1"/>
      <c r="P543" s="1"/>
      <c r="Q543" s="1"/>
      <c r="R543" s="1"/>
      <c r="S543" s="1"/>
      <c r="T543" s="1"/>
      <c r="U543" s="1"/>
      <c r="V543" s="1"/>
      <c r="W543" s="1"/>
      <c r="X543" s="1"/>
      <c r="Y543" s="1"/>
    </row>
    <row r="544" spans="1:25" ht="15.75" customHeight="1">
      <c r="A544" s="1"/>
      <c r="B544" s="1"/>
      <c r="C544" s="1"/>
      <c r="D544" s="1"/>
      <c r="E544" s="1"/>
      <c r="F544" s="1"/>
      <c r="G544" s="1"/>
      <c r="H544" s="1"/>
      <c r="I544" s="4"/>
      <c r="J544" s="4"/>
      <c r="K544" s="4"/>
      <c r="L544" s="1"/>
      <c r="M544" s="1"/>
      <c r="N544" s="1"/>
      <c r="O544" s="1"/>
      <c r="P544" s="1"/>
      <c r="Q544" s="1"/>
      <c r="R544" s="1"/>
      <c r="S544" s="1"/>
      <c r="T544" s="1"/>
      <c r="U544" s="1"/>
      <c r="V544" s="1"/>
      <c r="W544" s="1"/>
      <c r="X544" s="1"/>
      <c r="Y544" s="1"/>
    </row>
    <row r="545" spans="1:25" ht="15.75" customHeight="1">
      <c r="A545" s="1"/>
      <c r="B545" s="1"/>
      <c r="C545" s="1"/>
      <c r="D545" s="1"/>
      <c r="E545" s="1"/>
      <c r="F545" s="1"/>
      <c r="G545" s="1"/>
      <c r="H545" s="1"/>
      <c r="I545" s="4"/>
      <c r="J545" s="4"/>
      <c r="K545" s="4"/>
      <c r="L545" s="1"/>
      <c r="M545" s="1"/>
      <c r="N545" s="1"/>
      <c r="O545" s="1"/>
      <c r="P545" s="1"/>
      <c r="Q545" s="1"/>
      <c r="R545" s="1"/>
      <c r="S545" s="1"/>
      <c r="T545" s="1"/>
      <c r="U545" s="1"/>
      <c r="V545" s="1"/>
      <c r="W545" s="1"/>
      <c r="X545" s="1"/>
      <c r="Y545" s="1"/>
    </row>
    <row r="546" spans="1:25" ht="15.75" customHeight="1">
      <c r="A546" s="1"/>
      <c r="B546" s="1"/>
      <c r="C546" s="1"/>
      <c r="D546" s="1"/>
      <c r="E546" s="1"/>
      <c r="F546" s="1"/>
      <c r="G546" s="1"/>
      <c r="H546" s="1"/>
      <c r="I546" s="4"/>
      <c r="J546" s="4"/>
      <c r="K546" s="4"/>
      <c r="L546" s="1"/>
      <c r="M546" s="1"/>
      <c r="N546" s="1"/>
      <c r="O546" s="1"/>
      <c r="P546" s="1"/>
      <c r="Q546" s="1"/>
      <c r="R546" s="1"/>
      <c r="S546" s="1"/>
      <c r="T546" s="1"/>
      <c r="U546" s="1"/>
      <c r="V546" s="1"/>
      <c r="W546" s="1"/>
      <c r="X546" s="1"/>
      <c r="Y546" s="1"/>
    </row>
    <row r="547" spans="1:25" ht="15.75" customHeight="1">
      <c r="A547" s="1"/>
      <c r="B547" s="1"/>
      <c r="C547" s="1"/>
      <c r="D547" s="1"/>
      <c r="E547" s="1"/>
      <c r="F547" s="1"/>
      <c r="G547" s="1"/>
      <c r="H547" s="1"/>
      <c r="I547" s="4"/>
      <c r="J547" s="4"/>
      <c r="K547" s="4"/>
      <c r="L547" s="1"/>
      <c r="M547" s="1"/>
      <c r="N547" s="1"/>
      <c r="O547" s="1"/>
      <c r="P547" s="1"/>
      <c r="Q547" s="1"/>
      <c r="R547" s="1"/>
      <c r="S547" s="1"/>
      <c r="T547" s="1"/>
      <c r="U547" s="1"/>
      <c r="V547" s="1"/>
      <c r="W547" s="1"/>
      <c r="X547" s="1"/>
      <c r="Y547" s="1"/>
    </row>
    <row r="548" spans="1:25" ht="15.75" customHeight="1">
      <c r="A548" s="1"/>
      <c r="B548" s="1"/>
      <c r="C548" s="1"/>
      <c r="D548" s="1"/>
      <c r="E548" s="1"/>
      <c r="F548" s="1"/>
      <c r="G548" s="1"/>
      <c r="H548" s="1"/>
      <c r="I548" s="4"/>
      <c r="J548" s="4"/>
      <c r="K548" s="4"/>
      <c r="L548" s="1"/>
      <c r="M548" s="1"/>
      <c r="N548" s="1"/>
      <c r="O548" s="1"/>
      <c r="P548" s="1"/>
      <c r="Q548" s="1"/>
      <c r="R548" s="1"/>
      <c r="S548" s="1"/>
      <c r="T548" s="1"/>
      <c r="U548" s="1"/>
      <c r="V548" s="1"/>
      <c r="W548" s="1"/>
      <c r="X548" s="1"/>
      <c r="Y548" s="1"/>
    </row>
    <row r="549" spans="1:25" ht="15.75" customHeight="1">
      <c r="A549" s="1"/>
      <c r="B549" s="1"/>
      <c r="C549" s="1"/>
      <c r="D549" s="1"/>
      <c r="E549" s="1"/>
      <c r="F549" s="1"/>
      <c r="G549" s="1"/>
      <c r="H549" s="1"/>
      <c r="I549" s="4"/>
      <c r="J549" s="4"/>
      <c r="K549" s="4"/>
      <c r="L549" s="1"/>
      <c r="M549" s="1"/>
      <c r="N549" s="1"/>
      <c r="O549" s="1"/>
      <c r="P549" s="1"/>
      <c r="Q549" s="1"/>
      <c r="R549" s="1"/>
      <c r="S549" s="1"/>
      <c r="T549" s="1"/>
      <c r="U549" s="1"/>
      <c r="V549" s="1"/>
      <c r="W549" s="1"/>
      <c r="X549" s="1"/>
      <c r="Y549" s="1"/>
    </row>
    <row r="550" spans="1:25" ht="15.75" customHeight="1">
      <c r="A550" s="1"/>
      <c r="B550" s="1"/>
      <c r="C550" s="1"/>
      <c r="D550" s="1"/>
      <c r="E550" s="1"/>
      <c r="F550" s="1"/>
      <c r="G550" s="1"/>
      <c r="H550" s="1"/>
      <c r="I550" s="4"/>
      <c r="J550" s="4"/>
      <c r="K550" s="4"/>
      <c r="L550" s="1"/>
      <c r="M550" s="1"/>
      <c r="N550" s="1"/>
      <c r="O550" s="1"/>
      <c r="P550" s="1"/>
      <c r="Q550" s="1"/>
      <c r="R550" s="1"/>
      <c r="S550" s="1"/>
      <c r="T550" s="1"/>
      <c r="U550" s="1"/>
      <c r="V550" s="1"/>
      <c r="W550" s="1"/>
      <c r="X550" s="1"/>
      <c r="Y550" s="1"/>
    </row>
    <row r="551" spans="1:25" ht="15.75" customHeight="1">
      <c r="A551" s="1"/>
      <c r="B551" s="1"/>
      <c r="C551" s="1"/>
      <c r="D551" s="1"/>
      <c r="E551" s="1"/>
      <c r="F551" s="1"/>
      <c r="G551" s="1"/>
      <c r="H551" s="1"/>
      <c r="I551" s="4"/>
      <c r="J551" s="4"/>
      <c r="K551" s="4"/>
      <c r="L551" s="1"/>
      <c r="M551" s="1"/>
      <c r="N551" s="1"/>
      <c r="O551" s="1"/>
      <c r="P551" s="1"/>
      <c r="Q551" s="1"/>
      <c r="R551" s="1"/>
      <c r="S551" s="1"/>
      <c r="T551" s="1"/>
      <c r="U551" s="1"/>
      <c r="V551" s="1"/>
      <c r="W551" s="1"/>
      <c r="X551" s="1"/>
      <c r="Y551" s="1"/>
    </row>
    <row r="552" spans="1:25" ht="15.75" customHeight="1">
      <c r="A552" s="1"/>
      <c r="B552" s="1"/>
      <c r="C552" s="1"/>
      <c r="D552" s="1"/>
      <c r="E552" s="1"/>
      <c r="F552" s="1"/>
      <c r="G552" s="1"/>
      <c r="H552" s="1"/>
      <c r="I552" s="4"/>
      <c r="J552" s="4"/>
      <c r="K552" s="4"/>
      <c r="L552" s="1"/>
      <c r="M552" s="1"/>
      <c r="N552" s="1"/>
      <c r="O552" s="1"/>
      <c r="P552" s="1"/>
      <c r="Q552" s="1"/>
      <c r="R552" s="1"/>
      <c r="S552" s="1"/>
      <c r="T552" s="1"/>
      <c r="U552" s="1"/>
      <c r="V552" s="1"/>
      <c r="W552" s="1"/>
      <c r="X552" s="1"/>
      <c r="Y552" s="1"/>
    </row>
    <row r="553" spans="1:25" ht="15.75" customHeight="1">
      <c r="A553" s="1"/>
      <c r="B553" s="1"/>
      <c r="C553" s="1"/>
      <c r="D553" s="1"/>
      <c r="E553" s="1"/>
      <c r="F553" s="1"/>
      <c r="G553" s="1"/>
      <c r="H553" s="1"/>
      <c r="I553" s="4"/>
      <c r="J553" s="4"/>
      <c r="K553" s="4"/>
      <c r="L553" s="1"/>
      <c r="M553" s="1"/>
      <c r="N553" s="1"/>
      <c r="O553" s="1"/>
      <c r="P553" s="1"/>
      <c r="Q553" s="1"/>
      <c r="R553" s="1"/>
      <c r="S553" s="1"/>
      <c r="T553" s="1"/>
      <c r="U553" s="1"/>
      <c r="V553" s="1"/>
      <c r="W553" s="1"/>
      <c r="X553" s="1"/>
      <c r="Y553" s="1"/>
    </row>
    <row r="554" spans="1:25" ht="15.75" customHeight="1">
      <c r="A554" s="1"/>
      <c r="B554" s="1"/>
      <c r="C554" s="1"/>
      <c r="D554" s="1"/>
      <c r="E554" s="1"/>
      <c r="F554" s="1"/>
      <c r="G554" s="1"/>
      <c r="H554" s="1"/>
      <c r="I554" s="4"/>
      <c r="J554" s="4"/>
      <c r="K554" s="4"/>
      <c r="L554" s="1"/>
      <c r="M554" s="1"/>
      <c r="N554" s="1"/>
      <c r="O554" s="1"/>
      <c r="P554" s="1"/>
      <c r="Q554" s="1"/>
      <c r="R554" s="1"/>
      <c r="S554" s="1"/>
      <c r="T554" s="1"/>
      <c r="U554" s="1"/>
      <c r="V554" s="1"/>
      <c r="W554" s="1"/>
      <c r="X554" s="1"/>
      <c r="Y554" s="1"/>
    </row>
    <row r="555" spans="1:25" ht="15.75" customHeight="1">
      <c r="A555" s="1"/>
      <c r="B555" s="1"/>
      <c r="C555" s="1"/>
      <c r="D555" s="1"/>
      <c r="E555" s="1"/>
      <c r="F555" s="1"/>
      <c r="G555" s="1"/>
      <c r="H555" s="1"/>
      <c r="I555" s="4"/>
      <c r="J555" s="4"/>
      <c r="K555" s="4"/>
      <c r="L555" s="1"/>
      <c r="M555" s="1"/>
      <c r="N555" s="1"/>
      <c r="O555" s="1"/>
      <c r="P555" s="1"/>
      <c r="Q555" s="1"/>
      <c r="R555" s="1"/>
      <c r="S555" s="1"/>
      <c r="T555" s="1"/>
      <c r="U555" s="1"/>
      <c r="V555" s="1"/>
      <c r="W555" s="1"/>
      <c r="X555" s="1"/>
      <c r="Y555" s="1"/>
    </row>
    <row r="556" spans="1:25" ht="15.75" customHeight="1">
      <c r="A556" s="1"/>
      <c r="B556" s="1"/>
      <c r="C556" s="1"/>
      <c r="D556" s="1"/>
      <c r="E556" s="1"/>
      <c r="F556" s="1"/>
      <c r="G556" s="1"/>
      <c r="H556" s="1"/>
      <c r="I556" s="4"/>
      <c r="J556" s="4"/>
      <c r="K556" s="4"/>
      <c r="L556" s="1"/>
      <c r="M556" s="1"/>
      <c r="N556" s="1"/>
      <c r="O556" s="1"/>
      <c r="P556" s="1"/>
      <c r="Q556" s="1"/>
      <c r="R556" s="1"/>
      <c r="S556" s="1"/>
      <c r="T556" s="1"/>
      <c r="U556" s="1"/>
      <c r="V556" s="1"/>
      <c r="W556" s="1"/>
      <c r="X556" s="1"/>
      <c r="Y556" s="1"/>
    </row>
    <row r="557" spans="1:25" ht="15.75" customHeight="1">
      <c r="A557" s="1"/>
      <c r="B557" s="1"/>
      <c r="C557" s="1"/>
      <c r="D557" s="1"/>
      <c r="E557" s="1"/>
      <c r="F557" s="1"/>
      <c r="G557" s="1"/>
      <c r="H557" s="1"/>
      <c r="I557" s="4"/>
      <c r="J557" s="4"/>
      <c r="K557" s="4"/>
      <c r="L557" s="1"/>
      <c r="M557" s="1"/>
      <c r="N557" s="1"/>
      <c r="O557" s="1"/>
      <c r="P557" s="1"/>
      <c r="Q557" s="1"/>
      <c r="R557" s="1"/>
      <c r="S557" s="1"/>
      <c r="T557" s="1"/>
      <c r="U557" s="1"/>
      <c r="V557" s="1"/>
      <c r="W557" s="1"/>
      <c r="X557" s="1"/>
      <c r="Y557" s="1"/>
    </row>
    <row r="558" spans="1:25" ht="15.75" customHeight="1">
      <c r="A558" s="1"/>
      <c r="B558" s="1"/>
      <c r="C558" s="1"/>
      <c r="D558" s="1"/>
      <c r="E558" s="1"/>
      <c r="F558" s="1"/>
      <c r="G558" s="1"/>
      <c r="H558" s="1"/>
      <c r="I558" s="4"/>
      <c r="J558" s="4"/>
      <c r="K558" s="4"/>
      <c r="L558" s="1"/>
      <c r="M558" s="1"/>
      <c r="N558" s="1"/>
      <c r="O558" s="1"/>
      <c r="P558" s="1"/>
      <c r="Q558" s="1"/>
      <c r="R558" s="1"/>
      <c r="S558" s="1"/>
      <c r="T558" s="1"/>
      <c r="U558" s="1"/>
      <c r="V558" s="1"/>
      <c r="W558" s="1"/>
      <c r="X558" s="1"/>
      <c r="Y558" s="1"/>
    </row>
    <row r="559" spans="1:25" ht="15.75" customHeight="1">
      <c r="A559" s="1"/>
      <c r="B559" s="1"/>
      <c r="C559" s="1"/>
      <c r="D559" s="1"/>
      <c r="E559" s="1"/>
      <c r="F559" s="1"/>
      <c r="G559" s="1"/>
      <c r="H559" s="1"/>
      <c r="I559" s="4"/>
      <c r="J559" s="4"/>
      <c r="K559" s="4"/>
      <c r="L559" s="1"/>
      <c r="M559" s="1"/>
      <c r="N559" s="1"/>
      <c r="O559" s="1"/>
      <c r="P559" s="1"/>
      <c r="Q559" s="1"/>
      <c r="R559" s="1"/>
      <c r="S559" s="1"/>
      <c r="T559" s="1"/>
      <c r="U559" s="1"/>
      <c r="V559" s="1"/>
      <c r="W559" s="1"/>
      <c r="X559" s="1"/>
      <c r="Y559" s="1"/>
    </row>
    <row r="560" spans="1:25" ht="15.75" customHeight="1">
      <c r="A560" s="1"/>
      <c r="B560" s="1"/>
      <c r="C560" s="1"/>
      <c r="D560" s="1"/>
      <c r="E560" s="1"/>
      <c r="F560" s="1"/>
      <c r="G560" s="1"/>
      <c r="H560" s="1"/>
      <c r="I560" s="4"/>
      <c r="J560" s="4"/>
      <c r="K560" s="4"/>
      <c r="L560" s="1"/>
      <c r="M560" s="1"/>
      <c r="N560" s="1"/>
      <c r="O560" s="1"/>
      <c r="P560" s="1"/>
      <c r="Q560" s="1"/>
      <c r="R560" s="1"/>
      <c r="S560" s="1"/>
      <c r="T560" s="1"/>
      <c r="U560" s="1"/>
      <c r="V560" s="1"/>
      <c r="W560" s="1"/>
      <c r="X560" s="1"/>
      <c r="Y560" s="1"/>
    </row>
    <row r="561" spans="1:25" ht="15.75" customHeight="1">
      <c r="A561" s="1"/>
      <c r="B561" s="1"/>
      <c r="C561" s="1"/>
      <c r="D561" s="1"/>
      <c r="E561" s="1"/>
      <c r="F561" s="1"/>
      <c r="G561" s="1"/>
      <c r="H561" s="1"/>
      <c r="I561" s="4"/>
      <c r="J561" s="4"/>
      <c r="K561" s="4"/>
      <c r="L561" s="1"/>
      <c r="M561" s="1"/>
      <c r="N561" s="1"/>
      <c r="O561" s="1"/>
      <c r="P561" s="1"/>
      <c r="Q561" s="1"/>
      <c r="R561" s="1"/>
      <c r="S561" s="1"/>
      <c r="T561" s="1"/>
      <c r="U561" s="1"/>
      <c r="V561" s="1"/>
      <c r="W561" s="1"/>
      <c r="X561" s="1"/>
      <c r="Y561" s="1"/>
    </row>
    <row r="562" spans="1:25" ht="15.75" customHeight="1">
      <c r="A562" s="1"/>
      <c r="B562" s="1"/>
      <c r="C562" s="1"/>
      <c r="D562" s="1"/>
      <c r="E562" s="1"/>
      <c r="F562" s="1"/>
      <c r="G562" s="1"/>
      <c r="H562" s="1"/>
      <c r="I562" s="4"/>
      <c r="J562" s="4"/>
      <c r="K562" s="4"/>
      <c r="L562" s="1"/>
      <c r="M562" s="1"/>
      <c r="N562" s="1"/>
      <c r="O562" s="1"/>
      <c r="P562" s="1"/>
      <c r="Q562" s="1"/>
      <c r="R562" s="1"/>
      <c r="S562" s="1"/>
      <c r="T562" s="1"/>
      <c r="U562" s="1"/>
      <c r="V562" s="1"/>
      <c r="W562" s="1"/>
      <c r="X562" s="1"/>
      <c r="Y562" s="1"/>
    </row>
    <row r="563" spans="1:25" ht="15.75" customHeight="1">
      <c r="A563" s="1"/>
      <c r="B563" s="1"/>
      <c r="C563" s="1"/>
      <c r="D563" s="1"/>
      <c r="E563" s="1"/>
      <c r="F563" s="1"/>
      <c r="G563" s="1"/>
      <c r="H563" s="1"/>
      <c r="I563" s="4"/>
      <c r="J563" s="4"/>
      <c r="K563" s="4"/>
      <c r="L563" s="1"/>
      <c r="M563" s="1"/>
      <c r="N563" s="1"/>
      <c r="O563" s="1"/>
      <c r="P563" s="1"/>
      <c r="Q563" s="1"/>
      <c r="R563" s="1"/>
      <c r="S563" s="1"/>
      <c r="T563" s="1"/>
      <c r="U563" s="1"/>
      <c r="V563" s="1"/>
      <c r="W563" s="1"/>
      <c r="X563" s="1"/>
      <c r="Y563" s="1"/>
    </row>
    <row r="564" spans="1:25" ht="15.75" customHeight="1">
      <c r="A564" s="1"/>
      <c r="B564" s="1"/>
      <c r="C564" s="1"/>
      <c r="D564" s="1"/>
      <c r="E564" s="1"/>
      <c r="F564" s="1"/>
      <c r="G564" s="1"/>
      <c r="H564" s="1"/>
      <c r="I564" s="4"/>
      <c r="J564" s="4"/>
      <c r="K564" s="4"/>
      <c r="L564" s="1"/>
      <c r="M564" s="1"/>
      <c r="N564" s="1"/>
      <c r="O564" s="1"/>
      <c r="P564" s="1"/>
      <c r="Q564" s="1"/>
      <c r="R564" s="1"/>
      <c r="S564" s="1"/>
      <c r="T564" s="1"/>
      <c r="U564" s="1"/>
      <c r="V564" s="1"/>
      <c r="W564" s="1"/>
      <c r="X564" s="1"/>
      <c r="Y564" s="1"/>
    </row>
    <row r="565" spans="1:25" ht="15.75" customHeight="1">
      <c r="A565" s="1"/>
      <c r="B565" s="1"/>
      <c r="C565" s="1"/>
      <c r="D565" s="1"/>
      <c r="E565" s="1"/>
      <c r="F565" s="1"/>
      <c r="G565" s="1"/>
      <c r="H565" s="1"/>
      <c r="I565" s="4"/>
      <c r="J565" s="4"/>
      <c r="K565" s="4"/>
      <c r="L565" s="1"/>
      <c r="M565" s="1"/>
      <c r="N565" s="1"/>
      <c r="O565" s="1"/>
      <c r="P565" s="1"/>
      <c r="Q565" s="1"/>
      <c r="R565" s="1"/>
      <c r="S565" s="1"/>
      <c r="T565" s="1"/>
      <c r="U565" s="1"/>
      <c r="V565" s="1"/>
      <c r="W565" s="1"/>
      <c r="X565" s="1"/>
      <c r="Y565" s="1"/>
    </row>
    <row r="566" spans="1:25" ht="15.75" customHeight="1">
      <c r="A566" s="1"/>
      <c r="B566" s="1"/>
      <c r="C566" s="1"/>
      <c r="D566" s="1"/>
      <c r="E566" s="1"/>
      <c r="F566" s="1"/>
      <c r="G566" s="1"/>
      <c r="H566" s="1"/>
      <c r="I566" s="4"/>
      <c r="J566" s="4"/>
      <c r="K566" s="4"/>
      <c r="L566" s="1"/>
      <c r="M566" s="1"/>
      <c r="N566" s="1"/>
      <c r="O566" s="1"/>
      <c r="P566" s="1"/>
      <c r="Q566" s="1"/>
      <c r="R566" s="1"/>
      <c r="S566" s="1"/>
      <c r="T566" s="1"/>
      <c r="U566" s="1"/>
      <c r="V566" s="1"/>
      <c r="W566" s="1"/>
      <c r="X566" s="1"/>
      <c r="Y566" s="1"/>
    </row>
    <row r="567" spans="1:25" ht="15.75" customHeight="1">
      <c r="A567" s="1"/>
      <c r="B567" s="1"/>
      <c r="C567" s="1"/>
      <c r="D567" s="1"/>
      <c r="E567" s="1"/>
      <c r="F567" s="1"/>
      <c r="G567" s="1"/>
      <c r="H567" s="1"/>
      <c r="I567" s="4"/>
      <c r="J567" s="4"/>
      <c r="K567" s="4"/>
      <c r="L567" s="1"/>
      <c r="M567" s="1"/>
      <c r="N567" s="1"/>
      <c r="O567" s="1"/>
      <c r="P567" s="1"/>
      <c r="Q567" s="1"/>
      <c r="R567" s="1"/>
      <c r="S567" s="1"/>
      <c r="T567" s="1"/>
      <c r="U567" s="1"/>
      <c r="V567" s="1"/>
      <c r="W567" s="1"/>
      <c r="X567" s="1"/>
      <c r="Y567" s="1"/>
    </row>
    <row r="568" spans="1:25" ht="15.75" customHeight="1">
      <c r="A568" s="1"/>
      <c r="B568" s="1"/>
      <c r="C568" s="1"/>
      <c r="D568" s="1"/>
      <c r="E568" s="1"/>
      <c r="F568" s="1"/>
      <c r="G568" s="1"/>
      <c r="H568" s="1"/>
      <c r="I568" s="4"/>
      <c r="J568" s="4"/>
      <c r="K568" s="4"/>
      <c r="L568" s="1"/>
      <c r="M568" s="1"/>
      <c r="N568" s="1"/>
      <c r="O568" s="1"/>
      <c r="P568" s="1"/>
      <c r="Q568" s="1"/>
      <c r="R568" s="1"/>
      <c r="S568" s="1"/>
      <c r="T568" s="1"/>
      <c r="U568" s="1"/>
      <c r="V568" s="1"/>
      <c r="W568" s="1"/>
      <c r="X568" s="1"/>
      <c r="Y568" s="1"/>
    </row>
    <row r="569" spans="1:25" ht="15.75" customHeight="1">
      <c r="A569" s="1"/>
      <c r="B569" s="1"/>
      <c r="C569" s="1"/>
      <c r="D569" s="1"/>
      <c r="E569" s="1"/>
      <c r="F569" s="1"/>
      <c r="G569" s="1"/>
      <c r="H569" s="1"/>
      <c r="I569" s="4"/>
      <c r="J569" s="4"/>
      <c r="K569" s="4"/>
      <c r="L569" s="1"/>
      <c r="M569" s="1"/>
      <c r="N569" s="1"/>
      <c r="O569" s="1"/>
      <c r="P569" s="1"/>
      <c r="Q569" s="1"/>
      <c r="R569" s="1"/>
      <c r="S569" s="1"/>
      <c r="T569" s="1"/>
      <c r="U569" s="1"/>
      <c r="V569" s="1"/>
      <c r="W569" s="1"/>
      <c r="X569" s="1"/>
      <c r="Y569" s="1"/>
    </row>
    <row r="570" spans="1:25" ht="15.75" customHeight="1">
      <c r="A570" s="1"/>
      <c r="B570" s="1"/>
      <c r="C570" s="1"/>
      <c r="D570" s="1"/>
      <c r="E570" s="1"/>
      <c r="F570" s="1"/>
      <c r="G570" s="1"/>
      <c r="H570" s="1"/>
      <c r="I570" s="4"/>
      <c r="J570" s="4"/>
      <c r="K570" s="4"/>
      <c r="L570" s="1"/>
      <c r="M570" s="1"/>
      <c r="N570" s="1"/>
      <c r="O570" s="1"/>
      <c r="P570" s="1"/>
      <c r="Q570" s="1"/>
      <c r="R570" s="1"/>
      <c r="S570" s="1"/>
      <c r="T570" s="1"/>
      <c r="U570" s="1"/>
      <c r="V570" s="1"/>
      <c r="W570" s="1"/>
      <c r="X570" s="1"/>
      <c r="Y570" s="1"/>
    </row>
    <row r="571" spans="1:25" ht="15.75" customHeight="1">
      <c r="A571" s="1"/>
      <c r="B571" s="1"/>
      <c r="C571" s="1"/>
      <c r="D571" s="1"/>
      <c r="E571" s="1"/>
      <c r="F571" s="1"/>
      <c r="G571" s="1"/>
      <c r="H571" s="1"/>
      <c r="I571" s="4"/>
      <c r="J571" s="4"/>
      <c r="K571" s="4"/>
      <c r="L571" s="1"/>
      <c r="M571" s="1"/>
      <c r="N571" s="1"/>
      <c r="O571" s="1"/>
      <c r="P571" s="1"/>
      <c r="Q571" s="1"/>
      <c r="R571" s="1"/>
      <c r="S571" s="1"/>
      <c r="T571" s="1"/>
      <c r="U571" s="1"/>
      <c r="V571" s="1"/>
      <c r="W571" s="1"/>
      <c r="X571" s="1"/>
      <c r="Y571" s="1"/>
    </row>
    <row r="572" spans="1:25" ht="15.75" customHeight="1">
      <c r="A572" s="1"/>
      <c r="B572" s="1"/>
      <c r="C572" s="1"/>
      <c r="D572" s="1"/>
      <c r="E572" s="1"/>
      <c r="F572" s="1"/>
      <c r="G572" s="1"/>
      <c r="H572" s="1"/>
      <c r="I572" s="4"/>
      <c r="J572" s="4"/>
      <c r="K572" s="4"/>
      <c r="L572" s="1"/>
      <c r="M572" s="1"/>
      <c r="N572" s="1"/>
      <c r="O572" s="1"/>
      <c r="P572" s="1"/>
      <c r="Q572" s="1"/>
      <c r="R572" s="1"/>
      <c r="S572" s="1"/>
      <c r="T572" s="1"/>
      <c r="U572" s="1"/>
      <c r="V572" s="1"/>
      <c r="W572" s="1"/>
      <c r="X572" s="1"/>
      <c r="Y572" s="1"/>
    </row>
    <row r="573" spans="1:25" ht="15.75" customHeight="1">
      <c r="A573" s="1"/>
      <c r="B573" s="1"/>
      <c r="C573" s="1"/>
      <c r="D573" s="1"/>
      <c r="E573" s="1"/>
      <c r="F573" s="1"/>
      <c r="G573" s="1"/>
      <c r="H573" s="1"/>
      <c r="I573" s="4"/>
      <c r="J573" s="4"/>
      <c r="K573" s="4"/>
      <c r="L573" s="1"/>
      <c r="M573" s="1"/>
      <c r="N573" s="1"/>
      <c r="O573" s="1"/>
      <c r="P573" s="1"/>
      <c r="Q573" s="1"/>
      <c r="R573" s="1"/>
      <c r="S573" s="1"/>
      <c r="T573" s="1"/>
      <c r="U573" s="1"/>
      <c r="V573" s="1"/>
      <c r="W573" s="1"/>
      <c r="X573" s="1"/>
      <c r="Y573" s="1"/>
    </row>
    <row r="574" spans="1:25" ht="15.75" customHeight="1">
      <c r="A574" s="1"/>
      <c r="B574" s="1"/>
      <c r="C574" s="1"/>
      <c r="D574" s="1"/>
      <c r="E574" s="1"/>
      <c r="F574" s="1"/>
      <c r="G574" s="1"/>
      <c r="H574" s="1"/>
      <c r="I574" s="4"/>
      <c r="J574" s="4"/>
      <c r="K574" s="4"/>
      <c r="L574" s="1"/>
      <c r="M574" s="1"/>
      <c r="N574" s="1"/>
      <c r="O574" s="1"/>
      <c r="P574" s="1"/>
      <c r="Q574" s="1"/>
      <c r="R574" s="1"/>
      <c r="S574" s="1"/>
      <c r="T574" s="1"/>
      <c r="U574" s="1"/>
      <c r="V574" s="1"/>
      <c r="W574" s="1"/>
      <c r="X574" s="1"/>
      <c r="Y574" s="1"/>
    </row>
    <row r="575" spans="1:25" ht="15.75" customHeight="1">
      <c r="A575" s="1"/>
      <c r="B575" s="1"/>
      <c r="C575" s="1"/>
      <c r="D575" s="1"/>
      <c r="E575" s="1"/>
      <c r="F575" s="1"/>
      <c r="G575" s="1"/>
      <c r="H575" s="1"/>
      <c r="I575" s="4"/>
      <c r="J575" s="4"/>
      <c r="K575" s="4"/>
      <c r="L575" s="1"/>
      <c r="M575" s="1"/>
      <c r="N575" s="1"/>
      <c r="O575" s="1"/>
      <c r="P575" s="1"/>
      <c r="Q575" s="1"/>
      <c r="R575" s="1"/>
      <c r="S575" s="1"/>
      <c r="T575" s="1"/>
      <c r="U575" s="1"/>
      <c r="V575" s="1"/>
      <c r="W575" s="1"/>
      <c r="X575" s="1"/>
      <c r="Y575" s="1"/>
    </row>
    <row r="576" spans="1:25" ht="15.75" customHeight="1">
      <c r="A576" s="1"/>
      <c r="B576" s="1"/>
      <c r="C576" s="1"/>
      <c r="D576" s="1"/>
      <c r="E576" s="1"/>
      <c r="F576" s="1"/>
      <c r="G576" s="1"/>
      <c r="H576" s="1"/>
      <c r="I576" s="4"/>
      <c r="J576" s="4"/>
      <c r="K576" s="4"/>
      <c r="L576" s="1"/>
      <c r="M576" s="1"/>
      <c r="N576" s="1"/>
      <c r="O576" s="1"/>
      <c r="P576" s="1"/>
      <c r="Q576" s="1"/>
      <c r="R576" s="1"/>
      <c r="S576" s="1"/>
      <c r="T576" s="1"/>
      <c r="U576" s="1"/>
      <c r="V576" s="1"/>
      <c r="W576" s="1"/>
      <c r="X576" s="1"/>
      <c r="Y576" s="1"/>
    </row>
    <row r="577" spans="1:25" ht="15.75" customHeight="1">
      <c r="A577" s="1"/>
      <c r="B577" s="1"/>
      <c r="C577" s="1"/>
      <c r="D577" s="1"/>
      <c r="E577" s="1"/>
      <c r="F577" s="1"/>
      <c r="G577" s="1"/>
      <c r="H577" s="1"/>
      <c r="I577" s="4"/>
      <c r="J577" s="4"/>
      <c r="K577" s="4"/>
      <c r="L577" s="1"/>
      <c r="M577" s="1"/>
      <c r="N577" s="1"/>
      <c r="O577" s="1"/>
      <c r="P577" s="1"/>
      <c r="Q577" s="1"/>
      <c r="R577" s="1"/>
      <c r="S577" s="1"/>
      <c r="T577" s="1"/>
      <c r="U577" s="1"/>
      <c r="V577" s="1"/>
      <c r="W577" s="1"/>
      <c r="X577" s="1"/>
      <c r="Y577" s="1"/>
    </row>
    <row r="578" spans="1:25" ht="15.75" customHeight="1">
      <c r="A578" s="1"/>
      <c r="B578" s="1"/>
      <c r="C578" s="1"/>
      <c r="D578" s="1"/>
      <c r="E578" s="1"/>
      <c r="F578" s="1"/>
      <c r="G578" s="1"/>
      <c r="H578" s="1"/>
      <c r="I578" s="4"/>
      <c r="J578" s="4"/>
      <c r="K578" s="4"/>
      <c r="L578" s="1"/>
      <c r="M578" s="1"/>
      <c r="N578" s="1"/>
      <c r="O578" s="1"/>
      <c r="P578" s="1"/>
      <c r="Q578" s="1"/>
      <c r="R578" s="1"/>
      <c r="S578" s="1"/>
      <c r="T578" s="1"/>
      <c r="U578" s="1"/>
      <c r="V578" s="1"/>
      <c r="W578" s="1"/>
      <c r="X578" s="1"/>
      <c r="Y578" s="1"/>
    </row>
    <row r="579" spans="1:25" ht="15.75" customHeight="1">
      <c r="A579" s="1"/>
      <c r="B579" s="1"/>
      <c r="C579" s="1"/>
      <c r="D579" s="1"/>
      <c r="E579" s="1"/>
      <c r="F579" s="1"/>
      <c r="G579" s="1"/>
      <c r="H579" s="1"/>
      <c r="I579" s="4"/>
      <c r="J579" s="4"/>
      <c r="K579" s="4"/>
      <c r="L579" s="1"/>
      <c r="M579" s="1"/>
      <c r="N579" s="1"/>
      <c r="O579" s="1"/>
      <c r="P579" s="1"/>
      <c r="Q579" s="1"/>
      <c r="R579" s="1"/>
      <c r="S579" s="1"/>
      <c r="T579" s="1"/>
      <c r="U579" s="1"/>
      <c r="V579" s="1"/>
      <c r="W579" s="1"/>
      <c r="X579" s="1"/>
      <c r="Y579" s="1"/>
    </row>
    <row r="580" spans="1:25" ht="15.75" customHeight="1">
      <c r="A580" s="1"/>
      <c r="B580" s="1"/>
      <c r="C580" s="1"/>
      <c r="D580" s="1"/>
      <c r="E580" s="1"/>
      <c r="F580" s="1"/>
      <c r="G580" s="1"/>
      <c r="H580" s="1"/>
      <c r="I580" s="4"/>
      <c r="J580" s="4"/>
      <c r="K580" s="4"/>
      <c r="L580" s="1"/>
      <c r="M580" s="1"/>
      <c r="N580" s="1"/>
      <c r="O580" s="1"/>
      <c r="P580" s="1"/>
      <c r="Q580" s="1"/>
      <c r="R580" s="1"/>
      <c r="S580" s="1"/>
      <c r="T580" s="1"/>
      <c r="U580" s="1"/>
      <c r="V580" s="1"/>
      <c r="W580" s="1"/>
      <c r="X580" s="1"/>
      <c r="Y580" s="1"/>
    </row>
    <row r="581" spans="1:25" ht="15.75" customHeight="1">
      <c r="A581" s="1"/>
      <c r="B581" s="1"/>
      <c r="C581" s="1"/>
      <c r="D581" s="1"/>
      <c r="E581" s="1"/>
      <c r="F581" s="1"/>
      <c r="G581" s="1"/>
      <c r="H581" s="1"/>
      <c r="I581" s="4"/>
      <c r="J581" s="4"/>
      <c r="K581" s="4"/>
      <c r="L581" s="1"/>
      <c r="M581" s="1"/>
      <c r="N581" s="1"/>
      <c r="O581" s="1"/>
      <c r="P581" s="1"/>
      <c r="Q581" s="1"/>
      <c r="R581" s="1"/>
      <c r="S581" s="1"/>
      <c r="T581" s="1"/>
      <c r="U581" s="1"/>
      <c r="V581" s="1"/>
      <c r="W581" s="1"/>
      <c r="X581" s="1"/>
      <c r="Y581" s="1"/>
    </row>
    <row r="582" spans="1:25" ht="15.75" customHeight="1">
      <c r="A582" s="1"/>
      <c r="B582" s="1"/>
      <c r="C582" s="1"/>
      <c r="D582" s="1"/>
      <c r="E582" s="1"/>
      <c r="F582" s="1"/>
      <c r="G582" s="1"/>
      <c r="H582" s="1"/>
      <c r="I582" s="4"/>
      <c r="J582" s="4"/>
      <c r="K582" s="4"/>
      <c r="L582" s="1"/>
      <c r="M582" s="1"/>
      <c r="N582" s="1"/>
      <c r="O582" s="1"/>
      <c r="P582" s="1"/>
      <c r="Q582" s="1"/>
      <c r="R582" s="1"/>
      <c r="S582" s="1"/>
      <c r="T582" s="1"/>
      <c r="U582" s="1"/>
      <c r="V582" s="1"/>
      <c r="W582" s="1"/>
      <c r="X582" s="1"/>
      <c r="Y582" s="1"/>
    </row>
    <row r="583" spans="1:25" ht="15.75" customHeight="1">
      <c r="A583" s="1"/>
      <c r="B583" s="1"/>
      <c r="C583" s="1"/>
      <c r="D583" s="1"/>
      <c r="E583" s="1"/>
      <c r="F583" s="1"/>
      <c r="G583" s="1"/>
      <c r="H583" s="1"/>
      <c r="I583" s="4"/>
      <c r="J583" s="4"/>
      <c r="K583" s="4"/>
      <c r="L583" s="1"/>
      <c r="M583" s="1"/>
      <c r="N583" s="1"/>
      <c r="O583" s="1"/>
      <c r="P583" s="1"/>
      <c r="Q583" s="1"/>
      <c r="R583" s="1"/>
      <c r="S583" s="1"/>
      <c r="T583" s="1"/>
      <c r="U583" s="1"/>
      <c r="V583" s="1"/>
      <c r="W583" s="1"/>
      <c r="X583" s="1"/>
      <c r="Y583" s="1"/>
    </row>
    <row r="584" spans="1:25" ht="15.75" customHeight="1">
      <c r="A584" s="1"/>
      <c r="B584" s="1"/>
      <c r="C584" s="1"/>
      <c r="D584" s="1"/>
      <c r="E584" s="1"/>
      <c r="F584" s="1"/>
      <c r="G584" s="1"/>
      <c r="H584" s="1"/>
      <c r="I584" s="4"/>
      <c r="J584" s="4"/>
      <c r="K584" s="4"/>
      <c r="L584" s="1"/>
      <c r="M584" s="1"/>
      <c r="N584" s="1"/>
      <c r="O584" s="1"/>
      <c r="P584" s="1"/>
      <c r="Q584" s="1"/>
      <c r="R584" s="1"/>
      <c r="S584" s="1"/>
      <c r="T584" s="1"/>
      <c r="U584" s="1"/>
      <c r="V584" s="1"/>
      <c r="W584" s="1"/>
      <c r="X584" s="1"/>
      <c r="Y584" s="1"/>
    </row>
    <row r="585" spans="1:25" ht="15.75" customHeight="1">
      <c r="A585" s="1"/>
      <c r="B585" s="1"/>
      <c r="C585" s="1"/>
      <c r="D585" s="1"/>
      <c r="E585" s="1"/>
      <c r="F585" s="1"/>
      <c r="G585" s="1"/>
      <c r="H585" s="1"/>
      <c r="I585" s="4"/>
      <c r="J585" s="4"/>
      <c r="K585" s="4"/>
      <c r="L585" s="1"/>
      <c r="M585" s="1"/>
      <c r="N585" s="1"/>
      <c r="O585" s="1"/>
      <c r="P585" s="1"/>
      <c r="Q585" s="1"/>
      <c r="R585" s="1"/>
      <c r="S585" s="1"/>
      <c r="T585" s="1"/>
      <c r="U585" s="1"/>
      <c r="V585" s="1"/>
      <c r="W585" s="1"/>
      <c r="X585" s="1"/>
      <c r="Y585" s="1"/>
    </row>
    <row r="586" spans="1:25" ht="15.75" customHeight="1">
      <c r="A586" s="1"/>
      <c r="B586" s="1"/>
      <c r="C586" s="1"/>
      <c r="D586" s="1"/>
      <c r="E586" s="1"/>
      <c r="F586" s="1"/>
      <c r="G586" s="1"/>
      <c r="H586" s="1"/>
      <c r="I586" s="4"/>
      <c r="J586" s="4"/>
      <c r="K586" s="4"/>
      <c r="L586" s="1"/>
      <c r="M586" s="1"/>
      <c r="N586" s="1"/>
      <c r="O586" s="1"/>
      <c r="P586" s="1"/>
      <c r="Q586" s="1"/>
      <c r="R586" s="1"/>
      <c r="S586" s="1"/>
      <c r="T586" s="1"/>
      <c r="U586" s="1"/>
      <c r="V586" s="1"/>
      <c r="W586" s="1"/>
      <c r="X586" s="1"/>
      <c r="Y586" s="1"/>
    </row>
    <row r="587" spans="1:25" ht="15.75" customHeight="1">
      <c r="A587" s="1"/>
      <c r="B587" s="1"/>
      <c r="C587" s="1"/>
      <c r="D587" s="1"/>
      <c r="E587" s="1"/>
      <c r="F587" s="1"/>
      <c r="G587" s="1"/>
      <c r="H587" s="1"/>
      <c r="I587" s="4"/>
      <c r="J587" s="4"/>
      <c r="K587" s="4"/>
      <c r="L587" s="1"/>
      <c r="M587" s="1"/>
      <c r="N587" s="1"/>
      <c r="O587" s="1"/>
      <c r="P587" s="1"/>
      <c r="Q587" s="1"/>
      <c r="R587" s="1"/>
      <c r="S587" s="1"/>
      <c r="T587" s="1"/>
      <c r="U587" s="1"/>
      <c r="V587" s="1"/>
      <c r="W587" s="1"/>
      <c r="X587" s="1"/>
      <c r="Y587" s="1"/>
    </row>
    <row r="588" spans="1:25" ht="15.75" customHeight="1">
      <c r="A588" s="1"/>
      <c r="B588" s="1"/>
      <c r="C588" s="1"/>
      <c r="D588" s="1"/>
      <c r="E588" s="1"/>
      <c r="F588" s="1"/>
      <c r="G588" s="1"/>
      <c r="H588" s="1"/>
      <c r="I588" s="4"/>
      <c r="J588" s="4"/>
      <c r="K588" s="4"/>
      <c r="L588" s="1"/>
      <c r="M588" s="1"/>
      <c r="N588" s="1"/>
      <c r="O588" s="1"/>
      <c r="P588" s="1"/>
      <c r="Q588" s="1"/>
      <c r="R588" s="1"/>
      <c r="S588" s="1"/>
      <c r="T588" s="1"/>
      <c r="U588" s="1"/>
      <c r="V588" s="1"/>
      <c r="W588" s="1"/>
      <c r="X588" s="1"/>
      <c r="Y588" s="1"/>
    </row>
    <row r="589" spans="1:25" ht="15.75" customHeight="1">
      <c r="A589" s="1"/>
      <c r="B589" s="1"/>
      <c r="C589" s="1"/>
      <c r="D589" s="1"/>
      <c r="E589" s="1"/>
      <c r="F589" s="1"/>
      <c r="G589" s="1"/>
      <c r="H589" s="1"/>
      <c r="I589" s="4"/>
      <c r="J589" s="4"/>
      <c r="K589" s="4"/>
      <c r="L589" s="1"/>
      <c r="M589" s="1"/>
      <c r="N589" s="1"/>
      <c r="O589" s="1"/>
      <c r="P589" s="1"/>
      <c r="Q589" s="1"/>
      <c r="R589" s="1"/>
      <c r="S589" s="1"/>
      <c r="T589" s="1"/>
      <c r="U589" s="1"/>
      <c r="V589" s="1"/>
      <c r="W589" s="1"/>
      <c r="X589" s="1"/>
      <c r="Y589" s="1"/>
    </row>
    <row r="590" spans="1:25" ht="15.75" customHeight="1">
      <c r="A590" s="1"/>
      <c r="B590" s="1"/>
      <c r="C590" s="1"/>
      <c r="D590" s="1"/>
      <c r="E590" s="1"/>
      <c r="F590" s="1"/>
      <c r="G590" s="1"/>
      <c r="H590" s="1"/>
      <c r="I590" s="4"/>
      <c r="J590" s="4"/>
      <c r="K590" s="4"/>
      <c r="L590" s="1"/>
      <c r="M590" s="1"/>
      <c r="N590" s="1"/>
      <c r="O590" s="1"/>
      <c r="P590" s="1"/>
      <c r="Q590" s="1"/>
      <c r="R590" s="1"/>
      <c r="S590" s="1"/>
      <c r="T590" s="1"/>
      <c r="U590" s="1"/>
      <c r="V590" s="1"/>
      <c r="W590" s="1"/>
      <c r="X590" s="1"/>
      <c r="Y590" s="1"/>
    </row>
    <row r="591" spans="1:25" ht="15.75" customHeight="1">
      <c r="A591" s="1"/>
      <c r="B591" s="1"/>
      <c r="C591" s="1"/>
      <c r="D591" s="1"/>
      <c r="E591" s="1"/>
      <c r="F591" s="1"/>
      <c r="G591" s="1"/>
      <c r="H591" s="1"/>
      <c r="I591" s="4"/>
      <c r="J591" s="4"/>
      <c r="K591" s="4"/>
      <c r="L591" s="1"/>
      <c r="M591" s="1"/>
      <c r="N591" s="1"/>
      <c r="O591" s="1"/>
      <c r="P591" s="1"/>
      <c r="Q591" s="1"/>
      <c r="R591" s="1"/>
      <c r="S591" s="1"/>
      <c r="T591" s="1"/>
      <c r="U591" s="1"/>
      <c r="V591" s="1"/>
      <c r="W591" s="1"/>
      <c r="X591" s="1"/>
      <c r="Y591" s="1"/>
    </row>
    <row r="592" spans="1:25" ht="15.75" customHeight="1">
      <c r="A592" s="1"/>
      <c r="B592" s="1"/>
      <c r="C592" s="1"/>
      <c r="D592" s="1"/>
      <c r="E592" s="1"/>
      <c r="F592" s="1"/>
      <c r="G592" s="1"/>
      <c r="H592" s="1"/>
      <c r="I592" s="4"/>
      <c r="J592" s="4"/>
      <c r="K592" s="4"/>
      <c r="L592" s="1"/>
      <c r="M592" s="1"/>
      <c r="N592" s="1"/>
      <c r="O592" s="1"/>
      <c r="P592" s="1"/>
      <c r="Q592" s="1"/>
      <c r="R592" s="1"/>
      <c r="S592" s="1"/>
      <c r="T592" s="1"/>
      <c r="U592" s="1"/>
      <c r="V592" s="1"/>
      <c r="W592" s="1"/>
      <c r="X592" s="1"/>
      <c r="Y592" s="1"/>
    </row>
    <row r="593" spans="1:25" ht="15.75" customHeight="1">
      <c r="A593" s="1"/>
      <c r="B593" s="1"/>
      <c r="C593" s="1"/>
      <c r="D593" s="1"/>
      <c r="E593" s="1"/>
      <c r="F593" s="1"/>
      <c r="G593" s="1"/>
      <c r="H593" s="1"/>
      <c r="I593" s="4"/>
      <c r="J593" s="4"/>
      <c r="K593" s="4"/>
      <c r="L593" s="1"/>
      <c r="M593" s="1"/>
      <c r="N593" s="1"/>
      <c r="O593" s="1"/>
      <c r="P593" s="1"/>
      <c r="Q593" s="1"/>
      <c r="R593" s="1"/>
      <c r="S593" s="1"/>
      <c r="T593" s="1"/>
      <c r="U593" s="1"/>
      <c r="V593" s="1"/>
      <c r="W593" s="1"/>
      <c r="X593" s="1"/>
      <c r="Y593" s="1"/>
    </row>
    <row r="594" spans="1:25" ht="15.75" customHeight="1">
      <c r="A594" s="1"/>
      <c r="B594" s="1"/>
      <c r="C594" s="1"/>
      <c r="D594" s="1"/>
      <c r="E594" s="1"/>
      <c r="F594" s="1"/>
      <c r="G594" s="1"/>
      <c r="H594" s="1"/>
      <c r="I594" s="4"/>
      <c r="J594" s="4"/>
      <c r="K594" s="4"/>
      <c r="L594" s="1"/>
      <c r="M594" s="1"/>
      <c r="N594" s="1"/>
      <c r="O594" s="1"/>
      <c r="P594" s="1"/>
      <c r="Q594" s="1"/>
      <c r="R594" s="1"/>
      <c r="S594" s="1"/>
      <c r="T594" s="1"/>
      <c r="U594" s="1"/>
      <c r="V594" s="1"/>
      <c r="W594" s="1"/>
      <c r="X594" s="1"/>
      <c r="Y594" s="1"/>
    </row>
    <row r="595" spans="1:25" ht="15.75" customHeight="1">
      <c r="A595" s="1"/>
      <c r="B595" s="1"/>
      <c r="C595" s="1"/>
      <c r="D595" s="1"/>
      <c r="E595" s="1"/>
      <c r="F595" s="1"/>
      <c r="G595" s="1"/>
      <c r="H595" s="1"/>
      <c r="I595" s="4"/>
      <c r="J595" s="4"/>
      <c r="K595" s="4"/>
      <c r="L595" s="1"/>
      <c r="M595" s="1"/>
      <c r="N595" s="1"/>
      <c r="O595" s="1"/>
      <c r="P595" s="1"/>
      <c r="Q595" s="1"/>
      <c r="R595" s="1"/>
      <c r="S595" s="1"/>
      <c r="T595" s="1"/>
      <c r="U595" s="1"/>
      <c r="V595" s="1"/>
      <c r="W595" s="1"/>
      <c r="X595" s="1"/>
      <c r="Y595" s="1"/>
    </row>
    <row r="596" spans="1:25" ht="15.75" customHeight="1">
      <c r="A596" s="1"/>
      <c r="B596" s="1"/>
      <c r="C596" s="1"/>
      <c r="D596" s="1"/>
      <c r="E596" s="1"/>
      <c r="F596" s="1"/>
      <c r="G596" s="1"/>
      <c r="H596" s="1"/>
      <c r="I596" s="4"/>
      <c r="J596" s="4"/>
      <c r="K596" s="4"/>
      <c r="L596" s="1"/>
      <c r="M596" s="1"/>
      <c r="N596" s="1"/>
      <c r="O596" s="1"/>
      <c r="P596" s="1"/>
      <c r="Q596" s="1"/>
      <c r="R596" s="1"/>
      <c r="S596" s="1"/>
      <c r="T596" s="1"/>
      <c r="U596" s="1"/>
      <c r="V596" s="1"/>
      <c r="W596" s="1"/>
      <c r="X596" s="1"/>
      <c r="Y596" s="1"/>
    </row>
    <row r="597" spans="1:25" ht="15.75" customHeight="1">
      <c r="A597" s="1"/>
      <c r="B597" s="1"/>
      <c r="C597" s="1"/>
      <c r="D597" s="1"/>
      <c r="E597" s="1"/>
      <c r="F597" s="1"/>
      <c r="G597" s="1"/>
      <c r="H597" s="1"/>
      <c r="I597" s="4"/>
      <c r="J597" s="4"/>
      <c r="K597" s="4"/>
      <c r="L597" s="1"/>
      <c r="M597" s="1"/>
      <c r="N597" s="1"/>
      <c r="O597" s="1"/>
      <c r="P597" s="1"/>
      <c r="Q597" s="1"/>
      <c r="R597" s="1"/>
      <c r="S597" s="1"/>
      <c r="T597" s="1"/>
      <c r="U597" s="1"/>
      <c r="V597" s="1"/>
      <c r="W597" s="1"/>
      <c r="X597" s="1"/>
      <c r="Y597" s="1"/>
    </row>
    <row r="598" spans="1:25" ht="15.75" customHeight="1">
      <c r="A598" s="1"/>
      <c r="B598" s="1"/>
      <c r="C598" s="1"/>
      <c r="D598" s="1"/>
      <c r="E598" s="1"/>
      <c r="F598" s="1"/>
      <c r="G598" s="1"/>
      <c r="H598" s="1"/>
      <c r="I598" s="4"/>
      <c r="J598" s="4"/>
      <c r="K598" s="4"/>
      <c r="L598" s="1"/>
      <c r="M598" s="1"/>
      <c r="N598" s="1"/>
      <c r="O598" s="1"/>
      <c r="P598" s="1"/>
      <c r="Q598" s="1"/>
      <c r="R598" s="1"/>
      <c r="S598" s="1"/>
      <c r="T598" s="1"/>
      <c r="U598" s="1"/>
      <c r="V598" s="1"/>
      <c r="W598" s="1"/>
      <c r="X598" s="1"/>
      <c r="Y598" s="1"/>
    </row>
    <row r="599" spans="1:25" ht="15.75" customHeight="1">
      <c r="A599" s="1"/>
      <c r="B599" s="1"/>
      <c r="C599" s="1"/>
      <c r="D599" s="1"/>
      <c r="E599" s="1"/>
      <c r="F599" s="1"/>
      <c r="G599" s="1"/>
      <c r="H599" s="1"/>
      <c r="I599" s="4"/>
      <c r="J599" s="4"/>
      <c r="K599" s="4"/>
      <c r="L599" s="1"/>
      <c r="M599" s="1"/>
      <c r="N599" s="1"/>
      <c r="O599" s="1"/>
      <c r="P599" s="1"/>
      <c r="Q599" s="1"/>
      <c r="R599" s="1"/>
      <c r="S599" s="1"/>
      <c r="T599" s="1"/>
      <c r="U599" s="1"/>
      <c r="V599" s="1"/>
      <c r="W599" s="1"/>
      <c r="X599" s="1"/>
      <c r="Y599" s="1"/>
    </row>
    <row r="600" spans="1:25" ht="15.75" customHeight="1">
      <c r="A600" s="1"/>
      <c r="B600" s="1"/>
      <c r="C600" s="1"/>
      <c r="D600" s="1"/>
      <c r="E600" s="1"/>
      <c r="F600" s="1"/>
      <c r="G600" s="1"/>
      <c r="H600" s="1"/>
      <c r="I600" s="4"/>
      <c r="J600" s="4"/>
      <c r="K600" s="4"/>
      <c r="L600" s="1"/>
      <c r="M600" s="1"/>
      <c r="N600" s="1"/>
      <c r="O600" s="1"/>
      <c r="P600" s="1"/>
      <c r="Q600" s="1"/>
      <c r="R600" s="1"/>
      <c r="S600" s="1"/>
      <c r="T600" s="1"/>
      <c r="U600" s="1"/>
      <c r="V600" s="1"/>
      <c r="W600" s="1"/>
      <c r="X600" s="1"/>
      <c r="Y600" s="1"/>
    </row>
    <row r="601" spans="1:25" ht="15.75" customHeight="1">
      <c r="A601" s="1"/>
      <c r="B601" s="1"/>
      <c r="C601" s="1"/>
      <c r="D601" s="1"/>
      <c r="E601" s="1"/>
      <c r="F601" s="1"/>
      <c r="G601" s="1"/>
      <c r="H601" s="1"/>
      <c r="I601" s="4"/>
      <c r="J601" s="4"/>
      <c r="K601" s="4"/>
      <c r="L601" s="1"/>
      <c r="M601" s="1"/>
      <c r="N601" s="1"/>
      <c r="O601" s="1"/>
      <c r="P601" s="1"/>
      <c r="Q601" s="1"/>
      <c r="R601" s="1"/>
      <c r="S601" s="1"/>
      <c r="T601" s="1"/>
      <c r="U601" s="1"/>
      <c r="V601" s="1"/>
      <c r="W601" s="1"/>
      <c r="X601" s="1"/>
      <c r="Y601" s="1"/>
    </row>
    <row r="602" spans="1:25" ht="15.75" customHeight="1">
      <c r="A602" s="1"/>
      <c r="B602" s="1"/>
      <c r="C602" s="1"/>
      <c r="D602" s="1"/>
      <c r="E602" s="1"/>
      <c r="F602" s="1"/>
      <c r="G602" s="1"/>
      <c r="H602" s="1"/>
      <c r="I602" s="4"/>
      <c r="J602" s="4"/>
      <c r="K602" s="4"/>
      <c r="L602" s="1"/>
      <c r="M602" s="1"/>
      <c r="N602" s="1"/>
      <c r="O602" s="1"/>
      <c r="P602" s="1"/>
      <c r="Q602" s="1"/>
      <c r="R602" s="1"/>
      <c r="S602" s="1"/>
      <c r="T602" s="1"/>
      <c r="U602" s="1"/>
      <c r="V602" s="1"/>
      <c r="W602" s="1"/>
      <c r="X602" s="1"/>
      <c r="Y602" s="1"/>
    </row>
    <row r="603" spans="1:25" ht="15.75" customHeight="1">
      <c r="A603" s="1"/>
      <c r="B603" s="1"/>
      <c r="C603" s="1"/>
      <c r="D603" s="1"/>
      <c r="E603" s="1"/>
      <c r="F603" s="1"/>
      <c r="G603" s="1"/>
      <c r="H603" s="1"/>
      <c r="I603" s="4"/>
      <c r="J603" s="4"/>
      <c r="K603" s="4"/>
      <c r="L603" s="1"/>
      <c r="M603" s="1"/>
      <c r="N603" s="1"/>
      <c r="O603" s="1"/>
      <c r="P603" s="1"/>
      <c r="Q603" s="1"/>
      <c r="R603" s="1"/>
      <c r="S603" s="1"/>
      <c r="T603" s="1"/>
      <c r="U603" s="1"/>
      <c r="V603" s="1"/>
      <c r="W603" s="1"/>
      <c r="X603" s="1"/>
      <c r="Y603" s="1"/>
    </row>
    <row r="604" spans="1:25" ht="15.75" customHeight="1">
      <c r="A604" s="1"/>
      <c r="B604" s="1"/>
      <c r="C604" s="1"/>
      <c r="D604" s="1"/>
      <c r="E604" s="1"/>
      <c r="F604" s="1"/>
      <c r="G604" s="1"/>
      <c r="H604" s="1"/>
      <c r="I604" s="4"/>
      <c r="J604" s="4"/>
      <c r="K604" s="4"/>
      <c r="L604" s="1"/>
      <c r="M604" s="1"/>
      <c r="N604" s="1"/>
      <c r="O604" s="1"/>
      <c r="P604" s="1"/>
      <c r="Q604" s="1"/>
      <c r="R604" s="1"/>
      <c r="S604" s="1"/>
      <c r="T604" s="1"/>
      <c r="U604" s="1"/>
      <c r="V604" s="1"/>
      <c r="W604" s="1"/>
      <c r="X604" s="1"/>
      <c r="Y604" s="1"/>
    </row>
    <row r="605" spans="1:25" ht="15.75" customHeight="1">
      <c r="A605" s="1"/>
      <c r="B605" s="1"/>
      <c r="C605" s="1"/>
      <c r="D605" s="1"/>
      <c r="E605" s="1"/>
      <c r="F605" s="1"/>
      <c r="G605" s="1"/>
      <c r="H605" s="1"/>
      <c r="I605" s="4"/>
      <c r="J605" s="4"/>
      <c r="K605" s="4"/>
      <c r="L605" s="1"/>
      <c r="M605" s="1"/>
      <c r="N605" s="1"/>
      <c r="O605" s="1"/>
      <c r="P605" s="1"/>
      <c r="Q605" s="1"/>
      <c r="R605" s="1"/>
      <c r="S605" s="1"/>
      <c r="T605" s="1"/>
      <c r="U605" s="1"/>
      <c r="V605" s="1"/>
      <c r="W605" s="1"/>
      <c r="X605" s="1"/>
      <c r="Y605" s="1"/>
    </row>
    <row r="606" spans="1:25" ht="15.75" customHeight="1">
      <c r="A606" s="1"/>
      <c r="B606" s="1"/>
      <c r="C606" s="1"/>
      <c r="D606" s="1"/>
      <c r="E606" s="1"/>
      <c r="F606" s="1"/>
      <c r="G606" s="1"/>
      <c r="H606" s="1"/>
      <c r="I606" s="4"/>
      <c r="J606" s="4"/>
      <c r="K606" s="4"/>
      <c r="L606" s="1"/>
      <c r="M606" s="1"/>
      <c r="N606" s="1"/>
      <c r="O606" s="1"/>
      <c r="P606" s="1"/>
      <c r="Q606" s="1"/>
      <c r="R606" s="1"/>
      <c r="S606" s="1"/>
      <c r="T606" s="1"/>
      <c r="U606" s="1"/>
      <c r="V606" s="1"/>
      <c r="W606" s="1"/>
      <c r="X606" s="1"/>
      <c r="Y606" s="1"/>
    </row>
    <row r="607" spans="1:25" ht="15.75" customHeight="1">
      <c r="A607" s="1"/>
      <c r="B607" s="1"/>
      <c r="C607" s="1"/>
      <c r="D607" s="1"/>
      <c r="E607" s="1"/>
      <c r="F607" s="1"/>
      <c r="G607" s="1"/>
      <c r="H607" s="1"/>
      <c r="I607" s="4"/>
      <c r="J607" s="4"/>
      <c r="K607" s="4"/>
      <c r="L607" s="1"/>
      <c r="M607" s="1"/>
      <c r="N607" s="1"/>
      <c r="O607" s="1"/>
      <c r="P607" s="1"/>
      <c r="Q607" s="1"/>
      <c r="R607" s="1"/>
      <c r="S607" s="1"/>
      <c r="T607" s="1"/>
      <c r="U607" s="1"/>
      <c r="V607" s="1"/>
      <c r="W607" s="1"/>
      <c r="X607" s="1"/>
      <c r="Y607" s="1"/>
    </row>
    <row r="608" spans="1:25" ht="15.75" customHeight="1">
      <c r="A608" s="1"/>
      <c r="B608" s="1"/>
      <c r="C608" s="1"/>
      <c r="D608" s="1"/>
      <c r="E608" s="1"/>
      <c r="F608" s="1"/>
      <c r="G608" s="1"/>
      <c r="H608" s="1"/>
      <c r="I608" s="4"/>
      <c r="J608" s="4"/>
      <c r="K608" s="4"/>
      <c r="L608" s="1"/>
      <c r="M608" s="1"/>
      <c r="N608" s="1"/>
      <c r="O608" s="1"/>
      <c r="P608" s="1"/>
      <c r="Q608" s="1"/>
      <c r="R608" s="1"/>
      <c r="S608" s="1"/>
      <c r="T608" s="1"/>
      <c r="U608" s="1"/>
      <c r="V608" s="1"/>
      <c r="W608" s="1"/>
      <c r="X608" s="1"/>
      <c r="Y608" s="1"/>
    </row>
    <row r="609" spans="1:25" ht="15.75" customHeight="1">
      <c r="A609" s="1"/>
      <c r="B609" s="1"/>
      <c r="C609" s="1"/>
      <c r="D609" s="1"/>
      <c r="E609" s="1"/>
      <c r="F609" s="1"/>
      <c r="G609" s="1"/>
      <c r="H609" s="1"/>
      <c r="I609" s="4"/>
      <c r="J609" s="4"/>
      <c r="K609" s="4"/>
      <c r="L609" s="1"/>
      <c r="M609" s="1"/>
      <c r="N609" s="1"/>
      <c r="O609" s="1"/>
      <c r="P609" s="1"/>
      <c r="Q609" s="1"/>
      <c r="R609" s="1"/>
      <c r="S609" s="1"/>
      <c r="T609" s="1"/>
      <c r="U609" s="1"/>
      <c r="V609" s="1"/>
      <c r="W609" s="1"/>
      <c r="X609" s="1"/>
      <c r="Y609" s="1"/>
    </row>
    <row r="610" spans="1:25" ht="15.75" customHeight="1">
      <c r="A610" s="1"/>
      <c r="B610" s="1"/>
      <c r="C610" s="1"/>
      <c r="D610" s="1"/>
      <c r="E610" s="1"/>
      <c r="F610" s="1"/>
      <c r="G610" s="1"/>
      <c r="H610" s="1"/>
      <c r="I610" s="4"/>
      <c r="J610" s="4"/>
      <c r="K610" s="4"/>
      <c r="L610" s="1"/>
      <c r="M610" s="1"/>
      <c r="N610" s="1"/>
      <c r="O610" s="1"/>
      <c r="P610" s="1"/>
      <c r="Q610" s="1"/>
      <c r="R610" s="1"/>
      <c r="S610" s="1"/>
      <c r="T610" s="1"/>
      <c r="U610" s="1"/>
      <c r="V610" s="1"/>
      <c r="W610" s="1"/>
      <c r="X610" s="1"/>
      <c r="Y610" s="1"/>
    </row>
    <row r="611" spans="1:25" ht="15.75" customHeight="1">
      <c r="A611" s="1"/>
      <c r="B611" s="1"/>
      <c r="C611" s="1"/>
      <c r="D611" s="1"/>
      <c r="E611" s="1"/>
      <c r="F611" s="1"/>
      <c r="G611" s="1"/>
      <c r="H611" s="1"/>
      <c r="I611" s="4"/>
      <c r="J611" s="4"/>
      <c r="K611" s="4"/>
      <c r="L611" s="1"/>
      <c r="M611" s="1"/>
      <c r="N611" s="1"/>
      <c r="O611" s="1"/>
      <c r="P611" s="1"/>
      <c r="Q611" s="1"/>
      <c r="R611" s="1"/>
      <c r="S611" s="1"/>
      <c r="T611" s="1"/>
      <c r="U611" s="1"/>
      <c r="V611" s="1"/>
      <c r="W611" s="1"/>
      <c r="X611" s="1"/>
      <c r="Y611" s="1"/>
    </row>
    <row r="612" spans="1:25" ht="15.75" customHeight="1">
      <c r="A612" s="1"/>
      <c r="B612" s="1"/>
      <c r="C612" s="1"/>
      <c r="D612" s="1"/>
      <c r="E612" s="1"/>
      <c r="F612" s="1"/>
      <c r="G612" s="1"/>
      <c r="H612" s="1"/>
      <c r="I612" s="4"/>
      <c r="J612" s="4"/>
      <c r="K612" s="4"/>
      <c r="L612" s="1"/>
      <c r="M612" s="1"/>
      <c r="N612" s="1"/>
      <c r="O612" s="1"/>
      <c r="P612" s="1"/>
      <c r="Q612" s="1"/>
      <c r="R612" s="1"/>
      <c r="S612" s="1"/>
      <c r="T612" s="1"/>
      <c r="U612" s="1"/>
      <c r="V612" s="1"/>
      <c r="W612" s="1"/>
      <c r="X612" s="1"/>
      <c r="Y612" s="1"/>
    </row>
    <row r="613" spans="1:25" ht="15.75" customHeight="1">
      <c r="A613" s="1"/>
      <c r="B613" s="1"/>
      <c r="C613" s="1"/>
      <c r="D613" s="1"/>
      <c r="E613" s="1"/>
      <c r="F613" s="1"/>
      <c r="G613" s="1"/>
      <c r="H613" s="1"/>
      <c r="I613" s="4"/>
      <c r="J613" s="4"/>
      <c r="K613" s="4"/>
      <c r="L613" s="1"/>
      <c r="M613" s="1"/>
      <c r="N613" s="1"/>
      <c r="O613" s="1"/>
      <c r="P613" s="1"/>
      <c r="Q613" s="1"/>
      <c r="R613" s="1"/>
      <c r="S613" s="1"/>
      <c r="T613" s="1"/>
      <c r="U613" s="1"/>
      <c r="V613" s="1"/>
      <c r="W613" s="1"/>
      <c r="X613" s="1"/>
      <c r="Y613" s="1"/>
    </row>
    <row r="614" spans="1:25" ht="15.75" customHeight="1">
      <c r="A614" s="1"/>
      <c r="B614" s="1"/>
      <c r="C614" s="1"/>
      <c r="D614" s="1"/>
      <c r="E614" s="1"/>
      <c r="F614" s="1"/>
      <c r="G614" s="1"/>
      <c r="H614" s="1"/>
      <c r="I614" s="4"/>
      <c r="J614" s="4"/>
      <c r="K614" s="4"/>
      <c r="L614" s="1"/>
      <c r="M614" s="1"/>
      <c r="N614" s="1"/>
      <c r="O614" s="1"/>
      <c r="P614" s="1"/>
      <c r="Q614" s="1"/>
      <c r="R614" s="1"/>
      <c r="S614" s="1"/>
      <c r="T614" s="1"/>
      <c r="U614" s="1"/>
      <c r="V614" s="1"/>
      <c r="W614" s="1"/>
      <c r="X614" s="1"/>
      <c r="Y614" s="1"/>
    </row>
    <row r="615" spans="1:25" ht="15.75" customHeight="1">
      <c r="A615" s="1"/>
      <c r="B615" s="1"/>
      <c r="C615" s="1"/>
      <c r="D615" s="1"/>
      <c r="E615" s="1"/>
      <c r="F615" s="1"/>
      <c r="G615" s="1"/>
      <c r="H615" s="1"/>
      <c r="I615" s="4"/>
      <c r="J615" s="4"/>
      <c r="K615" s="4"/>
      <c r="L615" s="1"/>
      <c r="M615" s="1"/>
      <c r="N615" s="1"/>
      <c r="O615" s="1"/>
      <c r="P615" s="1"/>
      <c r="Q615" s="1"/>
      <c r="R615" s="1"/>
      <c r="S615" s="1"/>
      <c r="T615" s="1"/>
      <c r="U615" s="1"/>
      <c r="V615" s="1"/>
      <c r="W615" s="1"/>
      <c r="X615" s="1"/>
      <c r="Y615" s="1"/>
    </row>
    <row r="616" spans="1:25" ht="15.75" customHeight="1">
      <c r="A616" s="1"/>
      <c r="B616" s="1"/>
      <c r="C616" s="1"/>
      <c r="D616" s="1"/>
      <c r="E616" s="1"/>
      <c r="F616" s="1"/>
      <c r="G616" s="1"/>
      <c r="H616" s="1"/>
      <c r="I616" s="4"/>
      <c r="J616" s="4"/>
      <c r="K616" s="4"/>
      <c r="L616" s="1"/>
      <c r="M616" s="1"/>
      <c r="N616" s="1"/>
      <c r="O616" s="1"/>
      <c r="P616" s="1"/>
      <c r="Q616" s="1"/>
      <c r="R616" s="1"/>
      <c r="S616" s="1"/>
      <c r="T616" s="1"/>
      <c r="U616" s="1"/>
      <c r="V616" s="1"/>
      <c r="W616" s="1"/>
      <c r="X616" s="1"/>
      <c r="Y616" s="1"/>
    </row>
    <row r="617" spans="1:25" ht="15.75" customHeight="1">
      <c r="A617" s="1"/>
      <c r="B617" s="1"/>
      <c r="C617" s="1"/>
      <c r="D617" s="1"/>
      <c r="E617" s="1"/>
      <c r="F617" s="1"/>
      <c r="G617" s="1"/>
      <c r="H617" s="1"/>
      <c r="I617" s="4"/>
      <c r="J617" s="4"/>
      <c r="K617" s="4"/>
      <c r="L617" s="1"/>
      <c r="M617" s="1"/>
      <c r="N617" s="1"/>
      <c r="O617" s="1"/>
      <c r="P617" s="1"/>
      <c r="Q617" s="1"/>
      <c r="R617" s="1"/>
      <c r="S617" s="1"/>
      <c r="T617" s="1"/>
      <c r="U617" s="1"/>
      <c r="V617" s="1"/>
      <c r="W617" s="1"/>
      <c r="X617" s="1"/>
      <c r="Y617" s="1"/>
    </row>
    <row r="618" spans="1:25" ht="15.75" customHeight="1">
      <c r="A618" s="1"/>
      <c r="B618" s="1"/>
      <c r="C618" s="1"/>
      <c r="D618" s="1"/>
      <c r="E618" s="1"/>
      <c r="F618" s="1"/>
      <c r="G618" s="1"/>
      <c r="H618" s="1"/>
      <c r="I618" s="4"/>
      <c r="J618" s="4"/>
      <c r="K618" s="4"/>
      <c r="L618" s="1"/>
      <c r="M618" s="1"/>
      <c r="N618" s="1"/>
      <c r="O618" s="1"/>
      <c r="P618" s="1"/>
      <c r="Q618" s="1"/>
      <c r="R618" s="1"/>
      <c r="S618" s="1"/>
      <c r="T618" s="1"/>
      <c r="U618" s="1"/>
      <c r="V618" s="1"/>
      <c r="W618" s="1"/>
      <c r="X618" s="1"/>
      <c r="Y618" s="1"/>
    </row>
    <row r="619" spans="1:25" ht="15.75" customHeight="1">
      <c r="A619" s="1"/>
      <c r="B619" s="1"/>
      <c r="C619" s="1"/>
      <c r="D619" s="1"/>
      <c r="E619" s="1"/>
      <c r="F619" s="1"/>
      <c r="G619" s="1"/>
      <c r="H619" s="1"/>
      <c r="I619" s="4"/>
      <c r="J619" s="4"/>
      <c r="K619" s="4"/>
      <c r="L619" s="1"/>
      <c r="M619" s="1"/>
      <c r="N619" s="1"/>
      <c r="O619" s="1"/>
      <c r="P619" s="1"/>
      <c r="Q619" s="1"/>
      <c r="R619" s="1"/>
      <c r="S619" s="1"/>
      <c r="T619" s="1"/>
      <c r="U619" s="1"/>
      <c r="V619" s="1"/>
      <c r="W619" s="1"/>
      <c r="X619" s="1"/>
      <c r="Y619" s="1"/>
    </row>
    <row r="620" spans="1:25" ht="15.75" customHeight="1">
      <c r="A620" s="1"/>
      <c r="B620" s="1"/>
      <c r="C620" s="1"/>
      <c r="D620" s="1"/>
      <c r="E620" s="1"/>
      <c r="F620" s="1"/>
      <c r="G620" s="1"/>
      <c r="H620" s="1"/>
      <c r="I620" s="4"/>
      <c r="J620" s="4"/>
      <c r="K620" s="4"/>
      <c r="L620" s="1"/>
      <c r="M620" s="1"/>
      <c r="N620" s="1"/>
      <c r="O620" s="1"/>
      <c r="P620" s="1"/>
      <c r="Q620" s="1"/>
      <c r="R620" s="1"/>
      <c r="S620" s="1"/>
      <c r="T620" s="1"/>
      <c r="U620" s="1"/>
      <c r="V620" s="1"/>
      <c r="W620" s="1"/>
      <c r="X620" s="1"/>
      <c r="Y620" s="1"/>
    </row>
    <row r="621" spans="1:25" ht="15.75" customHeight="1">
      <c r="A621" s="1"/>
      <c r="B621" s="1"/>
      <c r="C621" s="1"/>
      <c r="D621" s="1"/>
      <c r="E621" s="1"/>
      <c r="F621" s="1"/>
      <c r="G621" s="1"/>
      <c r="H621" s="1"/>
      <c r="I621" s="4"/>
      <c r="J621" s="4"/>
      <c r="K621" s="4"/>
      <c r="L621" s="1"/>
      <c r="M621" s="1"/>
      <c r="N621" s="1"/>
      <c r="O621" s="1"/>
      <c r="P621" s="1"/>
      <c r="Q621" s="1"/>
      <c r="R621" s="1"/>
      <c r="S621" s="1"/>
      <c r="T621" s="1"/>
      <c r="U621" s="1"/>
      <c r="V621" s="1"/>
      <c r="W621" s="1"/>
      <c r="X621" s="1"/>
      <c r="Y621" s="1"/>
    </row>
    <row r="622" spans="1:25" ht="15.75" customHeight="1">
      <c r="A622" s="1"/>
      <c r="B622" s="1"/>
      <c r="C622" s="1"/>
      <c r="D622" s="1"/>
      <c r="E622" s="1"/>
      <c r="F622" s="1"/>
      <c r="G622" s="1"/>
      <c r="H622" s="1"/>
      <c r="I622" s="4"/>
      <c r="J622" s="4"/>
      <c r="K622" s="4"/>
      <c r="L622" s="1"/>
      <c r="M622" s="1"/>
      <c r="N622" s="1"/>
      <c r="O622" s="1"/>
      <c r="P622" s="1"/>
      <c r="Q622" s="1"/>
      <c r="R622" s="1"/>
      <c r="S622" s="1"/>
      <c r="T622" s="1"/>
      <c r="U622" s="1"/>
      <c r="V622" s="1"/>
      <c r="W622" s="1"/>
      <c r="X622" s="1"/>
      <c r="Y622" s="1"/>
    </row>
    <row r="623" spans="1:25" ht="15.75" customHeight="1">
      <c r="A623" s="1"/>
      <c r="B623" s="1"/>
      <c r="C623" s="1"/>
      <c r="D623" s="1"/>
      <c r="E623" s="1"/>
      <c r="F623" s="1"/>
      <c r="G623" s="1"/>
      <c r="H623" s="1"/>
      <c r="I623" s="4"/>
      <c r="J623" s="4"/>
      <c r="K623" s="4"/>
      <c r="L623" s="1"/>
      <c r="M623" s="1"/>
      <c r="N623" s="1"/>
      <c r="O623" s="1"/>
      <c r="P623" s="1"/>
      <c r="Q623" s="1"/>
      <c r="R623" s="1"/>
      <c r="S623" s="1"/>
      <c r="T623" s="1"/>
      <c r="U623" s="1"/>
      <c r="V623" s="1"/>
      <c r="W623" s="1"/>
      <c r="X623" s="1"/>
      <c r="Y623" s="1"/>
    </row>
    <row r="624" spans="1:25" ht="15.75" customHeight="1">
      <c r="A624" s="1"/>
      <c r="B624" s="1"/>
      <c r="C624" s="1"/>
      <c r="D624" s="1"/>
      <c r="E624" s="1"/>
      <c r="F624" s="1"/>
      <c r="G624" s="1"/>
      <c r="H624" s="1"/>
      <c r="I624" s="4"/>
      <c r="J624" s="4"/>
      <c r="K624" s="4"/>
      <c r="L624" s="1"/>
      <c r="M624" s="1"/>
      <c r="N624" s="1"/>
      <c r="O624" s="1"/>
      <c r="P624" s="1"/>
      <c r="Q624" s="1"/>
      <c r="R624" s="1"/>
      <c r="S624" s="1"/>
      <c r="T624" s="1"/>
      <c r="U624" s="1"/>
      <c r="V624" s="1"/>
      <c r="W624" s="1"/>
      <c r="X624" s="1"/>
      <c r="Y624" s="1"/>
    </row>
    <row r="625" spans="1:25" ht="15.75" customHeight="1">
      <c r="A625" s="1"/>
      <c r="B625" s="1"/>
      <c r="C625" s="1"/>
      <c r="D625" s="1"/>
      <c r="E625" s="1"/>
      <c r="F625" s="1"/>
      <c r="G625" s="1"/>
      <c r="H625" s="1"/>
      <c r="I625" s="4"/>
      <c r="J625" s="4"/>
      <c r="K625" s="4"/>
      <c r="L625" s="1"/>
      <c r="M625" s="1"/>
      <c r="N625" s="1"/>
      <c r="O625" s="1"/>
      <c r="P625" s="1"/>
      <c r="Q625" s="1"/>
      <c r="R625" s="1"/>
      <c r="S625" s="1"/>
      <c r="T625" s="1"/>
      <c r="U625" s="1"/>
      <c r="V625" s="1"/>
      <c r="W625" s="1"/>
      <c r="X625" s="1"/>
      <c r="Y625" s="1"/>
    </row>
    <row r="626" spans="1:25" ht="15.75" customHeight="1">
      <c r="A626" s="1"/>
      <c r="B626" s="1"/>
      <c r="C626" s="1"/>
      <c r="D626" s="1"/>
      <c r="E626" s="1"/>
      <c r="F626" s="1"/>
      <c r="G626" s="1"/>
      <c r="H626" s="1"/>
      <c r="I626" s="4"/>
      <c r="J626" s="4"/>
      <c r="K626" s="4"/>
      <c r="L626" s="1"/>
      <c r="M626" s="1"/>
      <c r="N626" s="1"/>
      <c r="O626" s="1"/>
      <c r="P626" s="1"/>
      <c r="Q626" s="1"/>
      <c r="R626" s="1"/>
      <c r="S626" s="1"/>
      <c r="T626" s="1"/>
      <c r="U626" s="1"/>
      <c r="V626" s="1"/>
      <c r="W626" s="1"/>
      <c r="X626" s="1"/>
      <c r="Y626" s="1"/>
    </row>
    <row r="627" spans="1:25" ht="15.75" customHeight="1">
      <c r="A627" s="1"/>
      <c r="B627" s="1"/>
      <c r="C627" s="1"/>
      <c r="D627" s="1"/>
      <c r="E627" s="1"/>
      <c r="F627" s="1"/>
      <c r="G627" s="1"/>
      <c r="H627" s="1"/>
      <c r="I627" s="4"/>
      <c r="J627" s="4"/>
      <c r="K627" s="4"/>
      <c r="L627" s="1"/>
      <c r="M627" s="1"/>
      <c r="N627" s="1"/>
      <c r="O627" s="1"/>
      <c r="P627" s="1"/>
      <c r="Q627" s="1"/>
      <c r="R627" s="1"/>
      <c r="S627" s="1"/>
      <c r="T627" s="1"/>
      <c r="U627" s="1"/>
      <c r="V627" s="1"/>
      <c r="W627" s="1"/>
      <c r="X627" s="1"/>
      <c r="Y627" s="1"/>
    </row>
    <row r="628" spans="1:25" ht="15.75" customHeight="1">
      <c r="A628" s="1"/>
      <c r="B628" s="1"/>
      <c r="C628" s="1"/>
      <c r="D628" s="1"/>
      <c r="E628" s="1"/>
      <c r="F628" s="1"/>
      <c r="G628" s="1"/>
      <c r="H628" s="1"/>
      <c r="I628" s="4"/>
      <c r="J628" s="4"/>
      <c r="K628" s="4"/>
      <c r="L628" s="1"/>
      <c r="M628" s="1"/>
      <c r="N628" s="1"/>
      <c r="O628" s="1"/>
      <c r="P628" s="1"/>
      <c r="Q628" s="1"/>
      <c r="R628" s="1"/>
      <c r="S628" s="1"/>
      <c r="T628" s="1"/>
      <c r="U628" s="1"/>
      <c r="V628" s="1"/>
      <c r="W628" s="1"/>
      <c r="X628" s="1"/>
      <c r="Y628" s="1"/>
    </row>
    <row r="629" spans="1:25" ht="15.75" customHeight="1">
      <c r="A629" s="1"/>
      <c r="B629" s="1"/>
      <c r="C629" s="1"/>
      <c r="D629" s="1"/>
      <c r="E629" s="1"/>
      <c r="F629" s="1"/>
      <c r="G629" s="1"/>
      <c r="H629" s="1"/>
      <c r="I629" s="4"/>
      <c r="J629" s="4"/>
      <c r="K629" s="4"/>
      <c r="L629" s="1"/>
      <c r="M629" s="1"/>
      <c r="N629" s="1"/>
      <c r="O629" s="1"/>
      <c r="P629" s="1"/>
      <c r="Q629" s="1"/>
      <c r="R629" s="1"/>
      <c r="S629" s="1"/>
      <c r="T629" s="1"/>
      <c r="U629" s="1"/>
      <c r="V629" s="1"/>
      <c r="W629" s="1"/>
      <c r="X629" s="1"/>
      <c r="Y629" s="1"/>
    </row>
    <row r="630" spans="1:25" ht="15.75" customHeight="1">
      <c r="A630" s="1"/>
      <c r="B630" s="1"/>
      <c r="C630" s="1"/>
      <c r="D630" s="1"/>
      <c r="E630" s="1"/>
      <c r="F630" s="1"/>
      <c r="G630" s="1"/>
      <c r="H630" s="1"/>
      <c r="I630" s="4"/>
      <c r="J630" s="4"/>
      <c r="K630" s="4"/>
      <c r="L630" s="1"/>
      <c r="M630" s="1"/>
      <c r="N630" s="1"/>
      <c r="O630" s="1"/>
      <c r="P630" s="1"/>
      <c r="Q630" s="1"/>
      <c r="R630" s="1"/>
      <c r="S630" s="1"/>
      <c r="T630" s="1"/>
      <c r="U630" s="1"/>
      <c r="V630" s="1"/>
      <c r="W630" s="1"/>
      <c r="X630" s="1"/>
      <c r="Y630" s="1"/>
    </row>
    <row r="631" spans="1:25" ht="15.75" customHeight="1">
      <c r="A631" s="1"/>
      <c r="B631" s="1"/>
      <c r="C631" s="1"/>
      <c r="D631" s="1"/>
      <c r="E631" s="1"/>
      <c r="F631" s="1"/>
      <c r="G631" s="1"/>
      <c r="H631" s="1"/>
      <c r="I631" s="4"/>
      <c r="J631" s="4"/>
      <c r="K631" s="4"/>
      <c r="L631" s="1"/>
      <c r="M631" s="1"/>
      <c r="N631" s="1"/>
      <c r="O631" s="1"/>
      <c r="P631" s="1"/>
      <c r="Q631" s="1"/>
      <c r="R631" s="1"/>
      <c r="S631" s="1"/>
      <c r="T631" s="1"/>
      <c r="U631" s="1"/>
      <c r="V631" s="1"/>
      <c r="W631" s="1"/>
      <c r="X631" s="1"/>
      <c r="Y631" s="1"/>
    </row>
    <row r="632" spans="1:25" ht="15.75" customHeight="1">
      <c r="A632" s="1"/>
      <c r="B632" s="1"/>
      <c r="C632" s="1"/>
      <c r="D632" s="1"/>
      <c r="E632" s="1"/>
      <c r="F632" s="1"/>
      <c r="G632" s="1"/>
      <c r="H632" s="1"/>
      <c r="I632" s="4"/>
      <c r="J632" s="4"/>
      <c r="K632" s="4"/>
      <c r="L632" s="1"/>
      <c r="M632" s="1"/>
      <c r="N632" s="1"/>
      <c r="O632" s="1"/>
      <c r="P632" s="1"/>
      <c r="Q632" s="1"/>
      <c r="R632" s="1"/>
      <c r="S632" s="1"/>
      <c r="T632" s="1"/>
      <c r="U632" s="1"/>
      <c r="V632" s="1"/>
      <c r="W632" s="1"/>
      <c r="X632" s="1"/>
      <c r="Y632" s="1"/>
    </row>
    <row r="633" spans="1:25" ht="15.75" customHeight="1">
      <c r="A633" s="1"/>
      <c r="B633" s="1"/>
      <c r="C633" s="1"/>
      <c r="D633" s="1"/>
      <c r="E633" s="1"/>
      <c r="F633" s="1"/>
      <c r="G633" s="1"/>
      <c r="H633" s="1"/>
      <c r="I633" s="4"/>
      <c r="J633" s="4"/>
      <c r="K633" s="4"/>
      <c r="L633" s="1"/>
      <c r="M633" s="1"/>
      <c r="N633" s="1"/>
      <c r="O633" s="1"/>
      <c r="P633" s="1"/>
      <c r="Q633" s="1"/>
      <c r="R633" s="1"/>
      <c r="S633" s="1"/>
      <c r="T633" s="1"/>
      <c r="U633" s="1"/>
      <c r="V633" s="1"/>
      <c r="W633" s="1"/>
      <c r="X633" s="1"/>
      <c r="Y633" s="1"/>
    </row>
    <row r="634" spans="1:25" ht="15.75" customHeight="1">
      <c r="A634" s="1"/>
      <c r="B634" s="1"/>
      <c r="C634" s="1"/>
      <c r="D634" s="1"/>
      <c r="E634" s="1"/>
      <c r="F634" s="1"/>
      <c r="G634" s="1"/>
      <c r="H634" s="1"/>
      <c r="I634" s="4"/>
      <c r="J634" s="4"/>
      <c r="K634" s="4"/>
      <c r="L634" s="1"/>
      <c r="M634" s="1"/>
      <c r="N634" s="1"/>
      <c r="O634" s="1"/>
      <c r="P634" s="1"/>
      <c r="Q634" s="1"/>
      <c r="R634" s="1"/>
      <c r="S634" s="1"/>
      <c r="T634" s="1"/>
      <c r="U634" s="1"/>
      <c r="V634" s="1"/>
      <c r="W634" s="1"/>
      <c r="X634" s="1"/>
      <c r="Y634" s="1"/>
    </row>
    <row r="635" spans="1:25" ht="15.75" customHeight="1">
      <c r="A635" s="1"/>
      <c r="B635" s="1"/>
      <c r="C635" s="1"/>
      <c r="D635" s="1"/>
      <c r="E635" s="1"/>
      <c r="F635" s="1"/>
      <c r="G635" s="1"/>
      <c r="H635" s="1"/>
      <c r="I635" s="4"/>
      <c r="J635" s="4"/>
      <c r="K635" s="4"/>
      <c r="L635" s="1"/>
      <c r="M635" s="1"/>
      <c r="N635" s="1"/>
      <c r="O635" s="1"/>
      <c r="P635" s="1"/>
      <c r="Q635" s="1"/>
      <c r="R635" s="1"/>
      <c r="S635" s="1"/>
      <c r="T635" s="1"/>
      <c r="U635" s="1"/>
      <c r="V635" s="1"/>
      <c r="W635" s="1"/>
      <c r="X635" s="1"/>
      <c r="Y635" s="1"/>
    </row>
    <row r="636" spans="1:25" ht="15.75" customHeight="1">
      <c r="A636" s="1"/>
      <c r="B636" s="1"/>
      <c r="C636" s="1"/>
      <c r="D636" s="1"/>
      <c r="E636" s="1"/>
      <c r="F636" s="1"/>
      <c r="G636" s="1"/>
      <c r="H636" s="1"/>
      <c r="I636" s="4"/>
      <c r="J636" s="4"/>
      <c r="K636" s="4"/>
      <c r="L636" s="1"/>
      <c r="M636" s="1"/>
      <c r="N636" s="1"/>
      <c r="O636" s="1"/>
      <c r="P636" s="1"/>
      <c r="Q636" s="1"/>
      <c r="R636" s="1"/>
      <c r="S636" s="1"/>
      <c r="T636" s="1"/>
      <c r="U636" s="1"/>
      <c r="V636" s="1"/>
      <c r="W636" s="1"/>
      <c r="X636" s="1"/>
      <c r="Y636" s="1"/>
    </row>
    <row r="637" spans="1:25" ht="15.75" customHeight="1">
      <c r="A637" s="1"/>
      <c r="B637" s="1"/>
      <c r="C637" s="1"/>
      <c r="D637" s="1"/>
      <c r="E637" s="1"/>
      <c r="F637" s="1"/>
      <c r="G637" s="1"/>
      <c r="H637" s="1"/>
      <c r="I637" s="4"/>
      <c r="J637" s="4"/>
      <c r="K637" s="4"/>
      <c r="L637" s="1"/>
      <c r="M637" s="1"/>
      <c r="N637" s="1"/>
      <c r="O637" s="1"/>
      <c r="P637" s="1"/>
      <c r="Q637" s="1"/>
      <c r="R637" s="1"/>
      <c r="S637" s="1"/>
      <c r="T637" s="1"/>
      <c r="U637" s="1"/>
      <c r="V637" s="1"/>
      <c r="W637" s="1"/>
      <c r="X637" s="1"/>
      <c r="Y637" s="1"/>
    </row>
    <row r="638" spans="1:25" ht="15.75" customHeight="1">
      <c r="A638" s="1"/>
      <c r="B638" s="1"/>
      <c r="C638" s="1"/>
      <c r="D638" s="1"/>
      <c r="E638" s="1"/>
      <c r="F638" s="1"/>
      <c r="G638" s="1"/>
      <c r="H638" s="1"/>
      <c r="I638" s="4"/>
      <c r="J638" s="4"/>
      <c r="K638" s="4"/>
      <c r="L638" s="1"/>
      <c r="M638" s="1"/>
      <c r="N638" s="1"/>
      <c r="O638" s="1"/>
      <c r="P638" s="1"/>
      <c r="Q638" s="1"/>
      <c r="R638" s="1"/>
      <c r="S638" s="1"/>
      <c r="T638" s="1"/>
      <c r="U638" s="1"/>
      <c r="V638" s="1"/>
      <c r="W638" s="1"/>
      <c r="X638" s="1"/>
      <c r="Y638" s="1"/>
    </row>
    <row r="639" spans="1:25" ht="15.75" customHeight="1">
      <c r="A639" s="1"/>
      <c r="B639" s="1"/>
      <c r="C639" s="1"/>
      <c r="D639" s="1"/>
      <c r="E639" s="1"/>
      <c r="F639" s="1"/>
      <c r="G639" s="1"/>
      <c r="H639" s="1"/>
      <c r="I639" s="4"/>
      <c r="J639" s="4"/>
      <c r="K639" s="4"/>
      <c r="L639" s="1"/>
      <c r="M639" s="1"/>
      <c r="N639" s="1"/>
      <c r="O639" s="1"/>
      <c r="P639" s="1"/>
      <c r="Q639" s="1"/>
      <c r="R639" s="1"/>
      <c r="S639" s="1"/>
      <c r="T639" s="1"/>
      <c r="U639" s="1"/>
      <c r="V639" s="1"/>
      <c r="W639" s="1"/>
      <c r="X639" s="1"/>
      <c r="Y639" s="1"/>
    </row>
    <row r="640" spans="1:25" ht="15.75" customHeight="1">
      <c r="A640" s="1"/>
      <c r="B640" s="1"/>
      <c r="C640" s="1"/>
      <c r="D640" s="1"/>
      <c r="E640" s="1"/>
      <c r="F640" s="1"/>
      <c r="G640" s="1"/>
      <c r="H640" s="1"/>
      <c r="I640" s="4"/>
      <c r="J640" s="4"/>
      <c r="K640" s="4"/>
      <c r="L640" s="1"/>
      <c r="M640" s="1"/>
      <c r="N640" s="1"/>
      <c r="O640" s="1"/>
      <c r="P640" s="1"/>
      <c r="Q640" s="1"/>
      <c r="R640" s="1"/>
      <c r="S640" s="1"/>
      <c r="T640" s="1"/>
      <c r="U640" s="1"/>
      <c r="V640" s="1"/>
      <c r="W640" s="1"/>
      <c r="X640" s="1"/>
      <c r="Y640" s="1"/>
    </row>
    <row r="641" spans="1:25" ht="15.75" customHeight="1">
      <c r="A641" s="1"/>
      <c r="B641" s="1"/>
      <c r="C641" s="1"/>
      <c r="D641" s="1"/>
      <c r="E641" s="1"/>
      <c r="F641" s="1"/>
      <c r="G641" s="1"/>
      <c r="H641" s="1"/>
      <c r="I641" s="4"/>
      <c r="J641" s="4"/>
      <c r="K641" s="4"/>
      <c r="L641" s="1"/>
      <c r="M641" s="1"/>
      <c r="N641" s="1"/>
      <c r="O641" s="1"/>
      <c r="P641" s="1"/>
      <c r="Q641" s="1"/>
      <c r="R641" s="1"/>
      <c r="S641" s="1"/>
      <c r="T641" s="1"/>
      <c r="U641" s="1"/>
      <c r="V641" s="1"/>
      <c r="W641" s="1"/>
      <c r="X641" s="1"/>
      <c r="Y641" s="1"/>
    </row>
    <row r="642" spans="1:25" ht="15.75" customHeight="1">
      <c r="A642" s="1"/>
      <c r="B642" s="1"/>
      <c r="C642" s="1"/>
      <c r="D642" s="1"/>
      <c r="E642" s="1"/>
      <c r="F642" s="1"/>
      <c r="G642" s="1"/>
      <c r="H642" s="1"/>
      <c r="I642" s="4"/>
      <c r="J642" s="4"/>
      <c r="K642" s="4"/>
      <c r="L642" s="1"/>
      <c r="M642" s="1"/>
      <c r="N642" s="1"/>
      <c r="O642" s="1"/>
      <c r="P642" s="1"/>
      <c r="Q642" s="1"/>
      <c r="R642" s="1"/>
      <c r="S642" s="1"/>
      <c r="T642" s="1"/>
      <c r="U642" s="1"/>
      <c r="V642" s="1"/>
      <c r="W642" s="1"/>
      <c r="X642" s="1"/>
      <c r="Y642" s="1"/>
    </row>
    <row r="643" spans="1:25" ht="15.75" customHeight="1">
      <c r="A643" s="1"/>
      <c r="B643" s="1"/>
      <c r="C643" s="1"/>
      <c r="D643" s="1"/>
      <c r="E643" s="1"/>
      <c r="F643" s="1"/>
      <c r="G643" s="1"/>
      <c r="H643" s="1"/>
      <c r="I643" s="4"/>
      <c r="J643" s="4"/>
      <c r="K643" s="4"/>
      <c r="L643" s="1"/>
      <c r="M643" s="1"/>
      <c r="N643" s="1"/>
      <c r="O643" s="1"/>
      <c r="P643" s="1"/>
      <c r="Q643" s="1"/>
      <c r="R643" s="1"/>
      <c r="S643" s="1"/>
      <c r="T643" s="1"/>
      <c r="U643" s="1"/>
      <c r="V643" s="1"/>
      <c r="W643" s="1"/>
      <c r="X643" s="1"/>
      <c r="Y643" s="1"/>
    </row>
    <row r="644" spans="1:25" ht="15.75" customHeight="1">
      <c r="A644" s="1"/>
      <c r="B644" s="1"/>
      <c r="C644" s="1"/>
      <c r="D644" s="1"/>
      <c r="E644" s="1"/>
      <c r="F644" s="1"/>
      <c r="G644" s="1"/>
      <c r="H644" s="1"/>
      <c r="I644" s="4"/>
      <c r="J644" s="4"/>
      <c r="K644" s="4"/>
      <c r="L644" s="1"/>
      <c r="M644" s="1"/>
      <c r="N644" s="1"/>
      <c r="O644" s="1"/>
      <c r="P644" s="1"/>
      <c r="Q644" s="1"/>
      <c r="R644" s="1"/>
      <c r="S644" s="1"/>
      <c r="T644" s="1"/>
      <c r="U644" s="1"/>
      <c r="V644" s="1"/>
      <c r="W644" s="1"/>
      <c r="X644" s="1"/>
      <c r="Y644" s="1"/>
    </row>
    <row r="645" spans="1:25" ht="15.75" customHeight="1">
      <c r="A645" s="1"/>
      <c r="B645" s="1"/>
      <c r="C645" s="1"/>
      <c r="D645" s="1"/>
      <c r="E645" s="1"/>
      <c r="F645" s="1"/>
      <c r="G645" s="1"/>
      <c r="H645" s="1"/>
      <c r="I645" s="4"/>
      <c r="J645" s="4"/>
      <c r="K645" s="4"/>
      <c r="L645" s="1"/>
      <c r="M645" s="1"/>
      <c r="N645" s="1"/>
      <c r="O645" s="1"/>
      <c r="P645" s="1"/>
      <c r="Q645" s="1"/>
      <c r="R645" s="1"/>
      <c r="S645" s="1"/>
      <c r="T645" s="1"/>
      <c r="U645" s="1"/>
      <c r="V645" s="1"/>
      <c r="W645" s="1"/>
      <c r="X645" s="1"/>
      <c r="Y645" s="1"/>
    </row>
    <row r="646" spans="1:25" ht="15.75" customHeight="1">
      <c r="A646" s="1"/>
      <c r="B646" s="1"/>
      <c r="C646" s="1"/>
      <c r="D646" s="1"/>
      <c r="E646" s="1"/>
      <c r="F646" s="1"/>
      <c r="G646" s="1"/>
      <c r="H646" s="1"/>
      <c r="I646" s="4"/>
      <c r="J646" s="4"/>
      <c r="K646" s="4"/>
      <c r="L646" s="1"/>
      <c r="M646" s="1"/>
      <c r="N646" s="1"/>
      <c r="O646" s="1"/>
      <c r="P646" s="1"/>
      <c r="Q646" s="1"/>
      <c r="R646" s="1"/>
      <c r="S646" s="1"/>
      <c r="T646" s="1"/>
      <c r="U646" s="1"/>
      <c r="V646" s="1"/>
      <c r="W646" s="1"/>
      <c r="X646" s="1"/>
      <c r="Y646" s="1"/>
    </row>
    <row r="647" spans="1:25" ht="15.75" customHeight="1">
      <c r="A647" s="1"/>
      <c r="B647" s="1"/>
      <c r="C647" s="1"/>
      <c r="D647" s="1"/>
      <c r="E647" s="1"/>
      <c r="F647" s="1"/>
      <c r="G647" s="1"/>
      <c r="H647" s="1"/>
      <c r="I647" s="4"/>
      <c r="J647" s="4"/>
      <c r="K647" s="4"/>
      <c r="L647" s="1"/>
      <c r="M647" s="1"/>
      <c r="N647" s="1"/>
      <c r="O647" s="1"/>
      <c r="P647" s="1"/>
      <c r="Q647" s="1"/>
      <c r="R647" s="1"/>
      <c r="S647" s="1"/>
      <c r="T647" s="1"/>
      <c r="U647" s="1"/>
      <c r="V647" s="1"/>
      <c r="W647" s="1"/>
      <c r="X647" s="1"/>
      <c r="Y647" s="1"/>
    </row>
    <row r="648" spans="1:25" ht="15.75" customHeight="1">
      <c r="A648" s="1"/>
      <c r="B648" s="1"/>
      <c r="C648" s="1"/>
      <c r="D648" s="1"/>
      <c r="E648" s="1"/>
      <c r="F648" s="1"/>
      <c r="G648" s="1"/>
      <c r="H648" s="1"/>
      <c r="I648" s="4"/>
      <c r="J648" s="4"/>
      <c r="K648" s="4"/>
      <c r="L648" s="1"/>
      <c r="M648" s="1"/>
      <c r="N648" s="1"/>
      <c r="O648" s="1"/>
      <c r="P648" s="1"/>
      <c r="Q648" s="1"/>
      <c r="R648" s="1"/>
      <c r="S648" s="1"/>
      <c r="T648" s="1"/>
      <c r="U648" s="1"/>
      <c r="V648" s="1"/>
      <c r="W648" s="1"/>
      <c r="X648" s="1"/>
      <c r="Y648" s="1"/>
    </row>
    <row r="649" spans="1:25" ht="15.75" customHeight="1">
      <c r="A649" s="1"/>
      <c r="B649" s="1"/>
      <c r="C649" s="1"/>
      <c r="D649" s="1"/>
      <c r="E649" s="1"/>
      <c r="F649" s="1"/>
      <c r="G649" s="1"/>
      <c r="H649" s="1"/>
      <c r="I649" s="4"/>
      <c r="J649" s="4"/>
      <c r="K649" s="4"/>
      <c r="L649" s="1"/>
      <c r="M649" s="1"/>
      <c r="N649" s="1"/>
      <c r="O649" s="1"/>
      <c r="P649" s="1"/>
      <c r="Q649" s="1"/>
      <c r="R649" s="1"/>
      <c r="S649" s="1"/>
      <c r="T649" s="1"/>
      <c r="U649" s="1"/>
      <c r="V649" s="1"/>
      <c r="W649" s="1"/>
      <c r="X649" s="1"/>
      <c r="Y649" s="1"/>
    </row>
    <row r="650" spans="1:25" ht="15.75" customHeight="1">
      <c r="A650" s="1"/>
      <c r="B650" s="1"/>
      <c r="C650" s="1"/>
      <c r="D650" s="1"/>
      <c r="E650" s="1"/>
      <c r="F650" s="1"/>
      <c r="G650" s="1"/>
      <c r="H650" s="1"/>
      <c r="I650" s="4"/>
      <c r="J650" s="4"/>
      <c r="K650" s="4"/>
      <c r="L650" s="1"/>
      <c r="M650" s="1"/>
      <c r="N650" s="1"/>
      <c r="O650" s="1"/>
      <c r="P650" s="1"/>
      <c r="Q650" s="1"/>
      <c r="R650" s="1"/>
      <c r="S650" s="1"/>
      <c r="T650" s="1"/>
      <c r="U650" s="1"/>
      <c r="V650" s="1"/>
      <c r="W650" s="1"/>
      <c r="X650" s="1"/>
      <c r="Y650" s="1"/>
    </row>
    <row r="651" spans="1:25" ht="15.75" customHeight="1">
      <c r="A651" s="1"/>
      <c r="B651" s="1"/>
      <c r="C651" s="1"/>
      <c r="D651" s="1"/>
      <c r="E651" s="1"/>
      <c r="F651" s="1"/>
      <c r="G651" s="1"/>
      <c r="H651" s="1"/>
      <c r="I651" s="4"/>
      <c r="J651" s="4"/>
      <c r="K651" s="4"/>
      <c r="L651" s="1"/>
      <c r="M651" s="1"/>
      <c r="N651" s="1"/>
      <c r="O651" s="1"/>
      <c r="P651" s="1"/>
      <c r="Q651" s="1"/>
      <c r="R651" s="1"/>
      <c r="S651" s="1"/>
      <c r="T651" s="1"/>
      <c r="U651" s="1"/>
      <c r="V651" s="1"/>
      <c r="W651" s="1"/>
      <c r="X651" s="1"/>
      <c r="Y651" s="1"/>
    </row>
    <row r="652" spans="1:25" ht="15.75" customHeight="1">
      <c r="A652" s="1"/>
      <c r="B652" s="1"/>
      <c r="C652" s="1"/>
      <c r="D652" s="1"/>
      <c r="E652" s="1"/>
      <c r="F652" s="1"/>
      <c r="G652" s="1"/>
      <c r="H652" s="1"/>
      <c r="I652" s="4"/>
      <c r="J652" s="4"/>
      <c r="K652" s="4"/>
      <c r="L652" s="1"/>
      <c r="M652" s="1"/>
      <c r="N652" s="1"/>
      <c r="O652" s="1"/>
      <c r="P652" s="1"/>
      <c r="Q652" s="1"/>
      <c r="R652" s="1"/>
      <c r="S652" s="1"/>
      <c r="T652" s="1"/>
      <c r="U652" s="1"/>
      <c r="V652" s="1"/>
      <c r="W652" s="1"/>
      <c r="X652" s="1"/>
      <c r="Y652" s="1"/>
    </row>
    <row r="653" spans="1:25" ht="15.75" customHeight="1">
      <c r="A653" s="1"/>
      <c r="B653" s="1"/>
      <c r="C653" s="1"/>
      <c r="D653" s="1"/>
      <c r="E653" s="1"/>
      <c r="F653" s="1"/>
      <c r="G653" s="1"/>
      <c r="H653" s="1"/>
      <c r="I653" s="4"/>
      <c r="J653" s="4"/>
      <c r="K653" s="4"/>
      <c r="L653" s="1"/>
      <c r="M653" s="1"/>
      <c r="N653" s="1"/>
      <c r="O653" s="1"/>
      <c r="P653" s="1"/>
      <c r="Q653" s="1"/>
      <c r="R653" s="1"/>
      <c r="S653" s="1"/>
      <c r="T653" s="1"/>
      <c r="U653" s="1"/>
      <c r="V653" s="1"/>
      <c r="W653" s="1"/>
      <c r="X653" s="1"/>
      <c r="Y653" s="1"/>
    </row>
    <row r="654" spans="1:25" ht="15.75" customHeight="1">
      <c r="A654" s="1"/>
      <c r="B654" s="1"/>
      <c r="C654" s="1"/>
      <c r="D654" s="1"/>
      <c r="E654" s="1"/>
      <c r="F654" s="1"/>
      <c r="G654" s="1"/>
      <c r="H654" s="1"/>
      <c r="I654" s="4"/>
      <c r="J654" s="4"/>
      <c r="K654" s="4"/>
      <c r="L654" s="1"/>
      <c r="M654" s="1"/>
      <c r="N654" s="1"/>
      <c r="O654" s="1"/>
      <c r="P654" s="1"/>
      <c r="Q654" s="1"/>
      <c r="R654" s="1"/>
      <c r="S654" s="1"/>
      <c r="T654" s="1"/>
      <c r="U654" s="1"/>
      <c r="V654" s="1"/>
      <c r="W654" s="1"/>
      <c r="X654" s="1"/>
      <c r="Y654" s="1"/>
    </row>
    <row r="655" spans="1:25" ht="15.75" customHeight="1">
      <c r="A655" s="1"/>
      <c r="B655" s="1"/>
      <c r="C655" s="1"/>
      <c r="D655" s="1"/>
      <c r="E655" s="1"/>
      <c r="F655" s="1"/>
      <c r="G655" s="1"/>
      <c r="H655" s="1"/>
      <c r="I655" s="4"/>
      <c r="J655" s="4"/>
      <c r="K655" s="4"/>
      <c r="L655" s="1"/>
      <c r="M655" s="1"/>
      <c r="N655" s="1"/>
      <c r="O655" s="1"/>
      <c r="P655" s="1"/>
      <c r="Q655" s="1"/>
      <c r="R655" s="1"/>
      <c r="S655" s="1"/>
      <c r="T655" s="1"/>
      <c r="U655" s="1"/>
      <c r="V655" s="1"/>
      <c r="W655" s="1"/>
      <c r="X655" s="1"/>
      <c r="Y655" s="1"/>
    </row>
    <row r="656" spans="1:25" ht="15.75" customHeight="1">
      <c r="A656" s="1"/>
      <c r="B656" s="1"/>
      <c r="C656" s="1"/>
      <c r="D656" s="1"/>
      <c r="E656" s="1"/>
      <c r="F656" s="1"/>
      <c r="G656" s="1"/>
      <c r="H656" s="1"/>
      <c r="I656" s="4"/>
      <c r="J656" s="4"/>
      <c r="K656" s="4"/>
      <c r="L656" s="1"/>
      <c r="M656" s="1"/>
      <c r="N656" s="1"/>
      <c r="O656" s="1"/>
      <c r="P656" s="1"/>
      <c r="Q656" s="1"/>
      <c r="R656" s="1"/>
      <c r="S656" s="1"/>
      <c r="T656" s="1"/>
      <c r="U656" s="1"/>
      <c r="V656" s="1"/>
      <c r="W656" s="1"/>
      <c r="X656" s="1"/>
      <c r="Y656" s="1"/>
    </row>
    <row r="657" spans="1:25" ht="15.75" customHeight="1">
      <c r="A657" s="1"/>
      <c r="B657" s="1"/>
      <c r="C657" s="1"/>
      <c r="D657" s="1"/>
      <c r="E657" s="1"/>
      <c r="F657" s="1"/>
      <c r="G657" s="1"/>
      <c r="H657" s="1"/>
      <c r="I657" s="4"/>
      <c r="J657" s="4"/>
      <c r="K657" s="4"/>
      <c r="L657" s="1"/>
      <c r="M657" s="1"/>
      <c r="N657" s="1"/>
      <c r="O657" s="1"/>
      <c r="P657" s="1"/>
      <c r="Q657" s="1"/>
      <c r="R657" s="1"/>
      <c r="S657" s="1"/>
      <c r="T657" s="1"/>
      <c r="U657" s="1"/>
      <c r="V657" s="1"/>
      <c r="W657" s="1"/>
      <c r="X657" s="1"/>
      <c r="Y657" s="1"/>
    </row>
    <row r="658" spans="1:25" ht="15.75" customHeight="1">
      <c r="A658" s="1"/>
      <c r="B658" s="1"/>
      <c r="C658" s="1"/>
      <c r="D658" s="1"/>
      <c r="E658" s="1"/>
      <c r="F658" s="1"/>
      <c r="G658" s="1"/>
      <c r="H658" s="1"/>
      <c r="I658" s="4"/>
      <c r="J658" s="4"/>
      <c r="K658" s="4"/>
      <c r="L658" s="1"/>
      <c r="M658" s="1"/>
      <c r="N658" s="1"/>
      <c r="O658" s="1"/>
      <c r="P658" s="1"/>
      <c r="Q658" s="1"/>
      <c r="R658" s="1"/>
      <c r="S658" s="1"/>
      <c r="T658" s="1"/>
      <c r="U658" s="1"/>
      <c r="V658" s="1"/>
      <c r="W658" s="1"/>
      <c r="X658" s="1"/>
      <c r="Y658" s="1"/>
    </row>
    <row r="659" spans="1:25" ht="15.75" customHeight="1">
      <c r="A659" s="1"/>
      <c r="B659" s="1"/>
      <c r="C659" s="1"/>
      <c r="D659" s="1"/>
      <c r="E659" s="1"/>
      <c r="F659" s="1"/>
      <c r="G659" s="1"/>
      <c r="H659" s="1"/>
      <c r="I659" s="4"/>
      <c r="J659" s="4"/>
      <c r="K659" s="4"/>
      <c r="L659" s="1"/>
      <c r="M659" s="1"/>
      <c r="N659" s="1"/>
      <c r="O659" s="1"/>
      <c r="P659" s="1"/>
      <c r="Q659" s="1"/>
      <c r="R659" s="1"/>
      <c r="S659" s="1"/>
      <c r="T659" s="1"/>
      <c r="U659" s="1"/>
      <c r="V659" s="1"/>
      <c r="W659" s="1"/>
      <c r="X659" s="1"/>
      <c r="Y659" s="1"/>
    </row>
    <row r="660" spans="1:25" ht="15.75" customHeight="1">
      <c r="A660" s="1"/>
      <c r="B660" s="1"/>
      <c r="C660" s="1"/>
      <c r="D660" s="1"/>
      <c r="E660" s="1"/>
      <c r="F660" s="1"/>
      <c r="G660" s="1"/>
      <c r="H660" s="1"/>
      <c r="I660" s="4"/>
      <c r="J660" s="4"/>
      <c r="K660" s="4"/>
      <c r="L660" s="1"/>
      <c r="M660" s="1"/>
      <c r="N660" s="1"/>
      <c r="O660" s="1"/>
      <c r="P660" s="1"/>
      <c r="Q660" s="1"/>
      <c r="R660" s="1"/>
      <c r="S660" s="1"/>
      <c r="T660" s="1"/>
      <c r="U660" s="1"/>
      <c r="V660" s="1"/>
      <c r="W660" s="1"/>
      <c r="X660" s="1"/>
      <c r="Y660" s="1"/>
    </row>
    <row r="661" spans="1:25" ht="15.75" customHeight="1">
      <c r="A661" s="1"/>
      <c r="B661" s="1"/>
      <c r="C661" s="1"/>
      <c r="D661" s="1"/>
      <c r="E661" s="1"/>
      <c r="F661" s="1"/>
      <c r="G661" s="1"/>
      <c r="H661" s="1"/>
      <c r="I661" s="4"/>
      <c r="J661" s="4"/>
      <c r="K661" s="4"/>
      <c r="L661" s="1"/>
      <c r="M661" s="1"/>
      <c r="N661" s="1"/>
      <c r="O661" s="1"/>
      <c r="P661" s="1"/>
      <c r="Q661" s="1"/>
      <c r="R661" s="1"/>
      <c r="S661" s="1"/>
      <c r="T661" s="1"/>
      <c r="U661" s="1"/>
      <c r="V661" s="1"/>
      <c r="W661" s="1"/>
      <c r="X661" s="1"/>
      <c r="Y661" s="1"/>
    </row>
    <row r="662" spans="1:25" ht="15.75" customHeight="1">
      <c r="A662" s="1"/>
      <c r="B662" s="1"/>
      <c r="C662" s="1"/>
      <c r="D662" s="1"/>
      <c r="E662" s="1"/>
      <c r="F662" s="1"/>
      <c r="G662" s="1"/>
      <c r="H662" s="1"/>
      <c r="I662" s="4"/>
      <c r="J662" s="4"/>
      <c r="K662" s="4"/>
      <c r="L662" s="1"/>
      <c r="M662" s="1"/>
      <c r="N662" s="1"/>
      <c r="O662" s="1"/>
      <c r="P662" s="1"/>
      <c r="Q662" s="1"/>
      <c r="R662" s="1"/>
      <c r="S662" s="1"/>
      <c r="T662" s="1"/>
      <c r="U662" s="1"/>
      <c r="V662" s="1"/>
      <c r="W662" s="1"/>
      <c r="X662" s="1"/>
      <c r="Y662" s="1"/>
    </row>
    <row r="663" spans="1:25" ht="15.75" customHeight="1">
      <c r="A663" s="1"/>
      <c r="B663" s="1"/>
      <c r="C663" s="1"/>
      <c r="D663" s="1"/>
      <c r="E663" s="1"/>
      <c r="F663" s="1"/>
      <c r="G663" s="1"/>
      <c r="H663" s="1"/>
      <c r="I663" s="4"/>
      <c r="J663" s="4"/>
      <c r="K663" s="4"/>
      <c r="L663" s="1"/>
      <c r="M663" s="1"/>
      <c r="N663" s="1"/>
      <c r="O663" s="1"/>
      <c r="P663" s="1"/>
      <c r="Q663" s="1"/>
      <c r="R663" s="1"/>
      <c r="S663" s="1"/>
      <c r="T663" s="1"/>
      <c r="U663" s="1"/>
      <c r="V663" s="1"/>
      <c r="W663" s="1"/>
      <c r="X663" s="1"/>
      <c r="Y663" s="1"/>
    </row>
    <row r="664" spans="1:25" ht="15.75" customHeight="1">
      <c r="A664" s="1"/>
      <c r="B664" s="1"/>
      <c r="C664" s="1"/>
      <c r="D664" s="1"/>
      <c r="E664" s="1"/>
      <c r="F664" s="1"/>
      <c r="G664" s="1"/>
      <c r="H664" s="1"/>
      <c r="I664" s="4"/>
      <c r="J664" s="4"/>
      <c r="K664" s="4"/>
      <c r="L664" s="1"/>
      <c r="M664" s="1"/>
      <c r="N664" s="1"/>
      <c r="O664" s="1"/>
      <c r="P664" s="1"/>
      <c r="Q664" s="1"/>
      <c r="R664" s="1"/>
      <c r="S664" s="1"/>
      <c r="T664" s="1"/>
      <c r="U664" s="1"/>
      <c r="V664" s="1"/>
      <c r="W664" s="1"/>
      <c r="X664" s="1"/>
      <c r="Y664" s="1"/>
    </row>
    <row r="665" spans="1:25" ht="15.75" customHeight="1">
      <c r="A665" s="1"/>
      <c r="B665" s="1"/>
      <c r="C665" s="1"/>
      <c r="D665" s="1"/>
      <c r="E665" s="1"/>
      <c r="F665" s="1"/>
      <c r="G665" s="1"/>
      <c r="H665" s="1"/>
      <c r="I665" s="4"/>
      <c r="J665" s="4"/>
      <c r="K665" s="4"/>
      <c r="L665" s="1"/>
      <c r="M665" s="1"/>
      <c r="N665" s="1"/>
      <c r="O665" s="1"/>
      <c r="P665" s="1"/>
      <c r="Q665" s="1"/>
      <c r="R665" s="1"/>
      <c r="S665" s="1"/>
      <c r="T665" s="1"/>
      <c r="U665" s="1"/>
      <c r="V665" s="1"/>
      <c r="W665" s="1"/>
      <c r="X665" s="1"/>
      <c r="Y665" s="1"/>
    </row>
    <row r="666" spans="1:25" ht="15.75" customHeight="1">
      <c r="A666" s="1"/>
      <c r="B666" s="1"/>
      <c r="C666" s="1"/>
      <c r="D666" s="1"/>
      <c r="E666" s="1"/>
      <c r="F666" s="1"/>
      <c r="G666" s="1"/>
      <c r="H666" s="1"/>
      <c r="I666" s="4"/>
      <c r="J666" s="4"/>
      <c r="K666" s="4"/>
      <c r="L666" s="1"/>
      <c r="M666" s="1"/>
      <c r="N666" s="1"/>
      <c r="O666" s="1"/>
      <c r="P666" s="1"/>
      <c r="Q666" s="1"/>
      <c r="R666" s="1"/>
      <c r="S666" s="1"/>
      <c r="T666" s="1"/>
      <c r="U666" s="1"/>
      <c r="V666" s="1"/>
      <c r="W666" s="1"/>
      <c r="X666" s="1"/>
      <c r="Y666" s="1"/>
    </row>
    <row r="667" spans="1:25" ht="15.75" customHeight="1">
      <c r="A667" s="1"/>
      <c r="B667" s="1"/>
      <c r="C667" s="1"/>
      <c r="D667" s="1"/>
      <c r="E667" s="1"/>
      <c r="F667" s="1"/>
      <c r="G667" s="1"/>
      <c r="H667" s="1"/>
      <c r="I667" s="4"/>
      <c r="J667" s="4"/>
      <c r="K667" s="4"/>
      <c r="L667" s="1"/>
      <c r="M667" s="1"/>
      <c r="N667" s="1"/>
      <c r="O667" s="1"/>
      <c r="P667" s="1"/>
      <c r="Q667" s="1"/>
      <c r="R667" s="1"/>
      <c r="S667" s="1"/>
      <c r="T667" s="1"/>
      <c r="U667" s="1"/>
      <c r="V667" s="1"/>
      <c r="W667" s="1"/>
      <c r="X667" s="1"/>
      <c r="Y667" s="1"/>
    </row>
    <row r="668" spans="1:25" ht="15.75" customHeight="1">
      <c r="A668" s="1"/>
      <c r="B668" s="1"/>
      <c r="C668" s="1"/>
      <c r="D668" s="1"/>
      <c r="E668" s="1"/>
      <c r="F668" s="1"/>
      <c r="G668" s="1"/>
      <c r="H668" s="1"/>
      <c r="I668" s="4"/>
      <c r="J668" s="4"/>
      <c r="K668" s="4"/>
      <c r="L668" s="1"/>
      <c r="M668" s="1"/>
      <c r="N668" s="1"/>
      <c r="O668" s="1"/>
      <c r="P668" s="1"/>
      <c r="Q668" s="1"/>
      <c r="R668" s="1"/>
      <c r="S668" s="1"/>
      <c r="T668" s="1"/>
      <c r="U668" s="1"/>
      <c r="V668" s="1"/>
      <c r="W668" s="1"/>
      <c r="X668" s="1"/>
      <c r="Y668" s="1"/>
    </row>
    <row r="669" spans="1:25" ht="15.75" customHeight="1">
      <c r="A669" s="1"/>
      <c r="B669" s="1"/>
      <c r="C669" s="1"/>
      <c r="D669" s="1"/>
      <c r="E669" s="1"/>
      <c r="F669" s="1"/>
      <c r="G669" s="1"/>
      <c r="H669" s="1"/>
      <c r="I669" s="4"/>
      <c r="J669" s="4"/>
      <c r="K669" s="4"/>
      <c r="L669" s="1"/>
      <c r="M669" s="1"/>
      <c r="N669" s="1"/>
      <c r="O669" s="1"/>
      <c r="P669" s="1"/>
      <c r="Q669" s="1"/>
      <c r="R669" s="1"/>
      <c r="S669" s="1"/>
      <c r="T669" s="1"/>
      <c r="U669" s="1"/>
      <c r="V669" s="1"/>
      <c r="W669" s="1"/>
      <c r="X669" s="1"/>
      <c r="Y669" s="1"/>
    </row>
    <row r="670" spans="1:25" ht="15.75" customHeight="1">
      <c r="A670" s="1"/>
      <c r="B670" s="1"/>
      <c r="C670" s="1"/>
      <c r="D670" s="1"/>
      <c r="E670" s="1"/>
      <c r="F670" s="1"/>
      <c r="G670" s="1"/>
      <c r="H670" s="1"/>
      <c r="I670" s="4"/>
      <c r="J670" s="4"/>
      <c r="K670" s="4"/>
      <c r="L670" s="1"/>
      <c r="M670" s="1"/>
      <c r="N670" s="1"/>
      <c r="O670" s="1"/>
      <c r="P670" s="1"/>
      <c r="Q670" s="1"/>
      <c r="R670" s="1"/>
      <c r="S670" s="1"/>
      <c r="T670" s="1"/>
      <c r="U670" s="1"/>
      <c r="V670" s="1"/>
      <c r="W670" s="1"/>
      <c r="X670" s="1"/>
      <c r="Y670" s="1"/>
    </row>
    <row r="671" spans="1:25" ht="15.75" customHeight="1">
      <c r="A671" s="1"/>
      <c r="B671" s="1"/>
      <c r="C671" s="1"/>
      <c r="D671" s="1"/>
      <c r="E671" s="1"/>
      <c r="F671" s="1"/>
      <c r="G671" s="1"/>
      <c r="H671" s="1"/>
      <c r="I671" s="4"/>
      <c r="J671" s="4"/>
      <c r="K671" s="4"/>
      <c r="L671" s="1"/>
      <c r="M671" s="1"/>
      <c r="N671" s="1"/>
      <c r="O671" s="1"/>
      <c r="P671" s="1"/>
      <c r="Q671" s="1"/>
      <c r="R671" s="1"/>
      <c r="S671" s="1"/>
      <c r="T671" s="1"/>
      <c r="U671" s="1"/>
      <c r="V671" s="1"/>
      <c r="W671" s="1"/>
      <c r="X671" s="1"/>
      <c r="Y671" s="1"/>
    </row>
    <row r="672" spans="1:25" ht="15.75" customHeight="1">
      <c r="A672" s="1"/>
      <c r="B672" s="1"/>
      <c r="C672" s="1"/>
      <c r="D672" s="1"/>
      <c r="E672" s="1"/>
      <c r="F672" s="1"/>
      <c r="G672" s="1"/>
      <c r="H672" s="1"/>
      <c r="I672" s="4"/>
      <c r="J672" s="4"/>
      <c r="K672" s="4"/>
      <c r="L672" s="1"/>
      <c r="M672" s="1"/>
      <c r="N672" s="1"/>
      <c r="O672" s="1"/>
      <c r="P672" s="1"/>
      <c r="Q672" s="1"/>
      <c r="R672" s="1"/>
      <c r="S672" s="1"/>
      <c r="T672" s="1"/>
      <c r="U672" s="1"/>
      <c r="V672" s="1"/>
      <c r="W672" s="1"/>
      <c r="X672" s="1"/>
      <c r="Y672" s="1"/>
    </row>
    <row r="673" spans="1:25" ht="15.75" customHeight="1">
      <c r="A673" s="1"/>
      <c r="B673" s="1"/>
      <c r="C673" s="1"/>
      <c r="D673" s="1"/>
      <c r="E673" s="1"/>
      <c r="F673" s="1"/>
      <c r="G673" s="1"/>
      <c r="H673" s="1"/>
      <c r="I673" s="4"/>
      <c r="J673" s="4"/>
      <c r="K673" s="4"/>
      <c r="L673" s="1"/>
      <c r="M673" s="1"/>
      <c r="N673" s="1"/>
      <c r="O673" s="1"/>
      <c r="P673" s="1"/>
      <c r="Q673" s="1"/>
      <c r="R673" s="1"/>
      <c r="S673" s="1"/>
      <c r="T673" s="1"/>
      <c r="U673" s="1"/>
      <c r="V673" s="1"/>
      <c r="W673" s="1"/>
      <c r="X673" s="1"/>
      <c r="Y673" s="1"/>
    </row>
    <row r="674" spans="1:25" ht="15.75" customHeight="1">
      <c r="A674" s="1"/>
      <c r="B674" s="1"/>
      <c r="C674" s="1"/>
      <c r="D674" s="1"/>
      <c r="E674" s="1"/>
      <c r="F674" s="1"/>
      <c r="G674" s="1"/>
      <c r="H674" s="1"/>
      <c r="I674" s="4"/>
      <c r="J674" s="4"/>
      <c r="K674" s="4"/>
      <c r="L674" s="1"/>
      <c r="M674" s="1"/>
      <c r="N674" s="1"/>
      <c r="O674" s="1"/>
      <c r="P674" s="1"/>
      <c r="Q674" s="1"/>
      <c r="R674" s="1"/>
      <c r="S674" s="1"/>
      <c r="T674" s="1"/>
      <c r="U674" s="1"/>
      <c r="V674" s="1"/>
      <c r="W674" s="1"/>
      <c r="X674" s="1"/>
      <c r="Y674" s="1"/>
    </row>
    <row r="675" spans="1:25" ht="15.75" customHeight="1">
      <c r="A675" s="1"/>
      <c r="B675" s="1"/>
      <c r="C675" s="1"/>
      <c r="D675" s="1"/>
      <c r="E675" s="1"/>
      <c r="F675" s="1"/>
      <c r="G675" s="1"/>
      <c r="H675" s="1"/>
      <c r="I675" s="4"/>
      <c r="J675" s="4"/>
      <c r="K675" s="4"/>
      <c r="L675" s="1"/>
      <c r="M675" s="1"/>
      <c r="N675" s="1"/>
      <c r="O675" s="1"/>
      <c r="P675" s="1"/>
      <c r="Q675" s="1"/>
      <c r="R675" s="1"/>
      <c r="S675" s="1"/>
      <c r="T675" s="1"/>
      <c r="U675" s="1"/>
      <c r="V675" s="1"/>
      <c r="W675" s="1"/>
      <c r="X675" s="1"/>
      <c r="Y675" s="1"/>
    </row>
    <row r="676" spans="1:25" ht="15.75" customHeight="1">
      <c r="A676" s="1"/>
      <c r="B676" s="1"/>
      <c r="C676" s="1"/>
      <c r="D676" s="1"/>
      <c r="E676" s="1"/>
      <c r="F676" s="1"/>
      <c r="G676" s="1"/>
      <c r="H676" s="1"/>
      <c r="I676" s="4"/>
      <c r="J676" s="4"/>
      <c r="K676" s="4"/>
      <c r="L676" s="1"/>
      <c r="M676" s="1"/>
      <c r="N676" s="1"/>
      <c r="O676" s="1"/>
      <c r="P676" s="1"/>
      <c r="Q676" s="1"/>
      <c r="R676" s="1"/>
      <c r="S676" s="1"/>
      <c r="T676" s="1"/>
      <c r="U676" s="1"/>
      <c r="V676" s="1"/>
      <c r="W676" s="1"/>
      <c r="X676" s="1"/>
      <c r="Y676" s="1"/>
    </row>
    <row r="677" spans="1:25" ht="15.75" customHeight="1">
      <c r="A677" s="1"/>
      <c r="B677" s="1"/>
      <c r="C677" s="1"/>
      <c r="D677" s="1"/>
      <c r="E677" s="1"/>
      <c r="F677" s="1"/>
      <c r="G677" s="1"/>
      <c r="H677" s="1"/>
      <c r="I677" s="4"/>
      <c r="J677" s="4"/>
      <c r="K677" s="4"/>
      <c r="L677" s="1"/>
      <c r="M677" s="1"/>
      <c r="N677" s="1"/>
      <c r="O677" s="1"/>
      <c r="P677" s="1"/>
      <c r="Q677" s="1"/>
      <c r="R677" s="1"/>
      <c r="S677" s="1"/>
      <c r="T677" s="1"/>
      <c r="U677" s="1"/>
      <c r="V677" s="1"/>
      <c r="W677" s="1"/>
      <c r="X677" s="1"/>
      <c r="Y677" s="1"/>
    </row>
    <row r="678" spans="1:25" ht="15.75" customHeight="1">
      <c r="A678" s="1"/>
      <c r="B678" s="1"/>
      <c r="C678" s="1"/>
      <c r="D678" s="1"/>
      <c r="E678" s="1"/>
      <c r="F678" s="1"/>
      <c r="G678" s="1"/>
      <c r="H678" s="1"/>
      <c r="I678" s="4"/>
      <c r="J678" s="4"/>
      <c r="K678" s="4"/>
      <c r="L678" s="1"/>
      <c r="M678" s="1"/>
      <c r="N678" s="1"/>
      <c r="O678" s="1"/>
      <c r="P678" s="1"/>
      <c r="Q678" s="1"/>
      <c r="R678" s="1"/>
      <c r="S678" s="1"/>
      <c r="T678" s="1"/>
      <c r="U678" s="1"/>
      <c r="V678" s="1"/>
      <c r="W678" s="1"/>
      <c r="X678" s="1"/>
      <c r="Y678" s="1"/>
    </row>
    <row r="679" spans="1:25" ht="15.75" customHeight="1">
      <c r="A679" s="1"/>
      <c r="B679" s="1"/>
      <c r="C679" s="1"/>
      <c r="D679" s="1"/>
      <c r="E679" s="1"/>
      <c r="F679" s="1"/>
      <c r="G679" s="1"/>
      <c r="H679" s="1"/>
      <c r="I679" s="4"/>
      <c r="J679" s="4"/>
      <c r="K679" s="4"/>
      <c r="L679" s="1"/>
      <c r="M679" s="1"/>
      <c r="N679" s="1"/>
      <c r="O679" s="1"/>
      <c r="P679" s="1"/>
      <c r="Q679" s="1"/>
      <c r="R679" s="1"/>
      <c r="S679" s="1"/>
      <c r="T679" s="1"/>
      <c r="U679" s="1"/>
      <c r="V679" s="1"/>
      <c r="W679" s="1"/>
      <c r="X679" s="1"/>
      <c r="Y679" s="1"/>
    </row>
    <row r="680" spans="1:25" ht="15.75" customHeight="1">
      <c r="A680" s="1"/>
      <c r="B680" s="1"/>
      <c r="C680" s="1"/>
      <c r="D680" s="1"/>
      <c r="E680" s="1"/>
      <c r="F680" s="1"/>
      <c r="G680" s="1"/>
      <c r="H680" s="1"/>
      <c r="I680" s="4"/>
      <c r="J680" s="4"/>
      <c r="K680" s="4"/>
      <c r="L680" s="1"/>
      <c r="M680" s="1"/>
      <c r="N680" s="1"/>
      <c r="O680" s="1"/>
      <c r="P680" s="1"/>
      <c r="Q680" s="1"/>
      <c r="R680" s="1"/>
      <c r="S680" s="1"/>
      <c r="T680" s="1"/>
      <c r="U680" s="1"/>
      <c r="V680" s="1"/>
      <c r="W680" s="1"/>
      <c r="X680" s="1"/>
      <c r="Y680" s="1"/>
    </row>
    <row r="681" spans="1:25" ht="15.75" customHeight="1">
      <c r="A681" s="1"/>
      <c r="B681" s="1"/>
      <c r="C681" s="1"/>
      <c r="D681" s="1"/>
      <c r="E681" s="1"/>
      <c r="F681" s="1"/>
      <c r="G681" s="1"/>
      <c r="H681" s="1"/>
      <c r="I681" s="4"/>
      <c r="J681" s="4"/>
      <c r="K681" s="4"/>
      <c r="L681" s="1"/>
      <c r="M681" s="1"/>
      <c r="N681" s="1"/>
      <c r="O681" s="1"/>
      <c r="P681" s="1"/>
      <c r="Q681" s="1"/>
      <c r="R681" s="1"/>
      <c r="S681" s="1"/>
      <c r="T681" s="1"/>
      <c r="U681" s="1"/>
      <c r="V681" s="1"/>
      <c r="W681" s="1"/>
      <c r="X681" s="1"/>
      <c r="Y681" s="1"/>
    </row>
    <row r="682" spans="1:25" ht="15.75" customHeight="1">
      <c r="A682" s="1"/>
      <c r="B682" s="1"/>
      <c r="C682" s="1"/>
      <c r="D682" s="1"/>
      <c r="E682" s="1"/>
      <c r="F682" s="1"/>
      <c r="G682" s="1"/>
      <c r="H682" s="1"/>
      <c r="I682" s="4"/>
      <c r="J682" s="4"/>
      <c r="K682" s="4"/>
      <c r="L682" s="1"/>
      <c r="M682" s="1"/>
      <c r="N682" s="1"/>
      <c r="O682" s="1"/>
      <c r="P682" s="1"/>
      <c r="Q682" s="1"/>
      <c r="R682" s="1"/>
      <c r="S682" s="1"/>
      <c r="T682" s="1"/>
      <c r="U682" s="1"/>
      <c r="V682" s="1"/>
      <c r="W682" s="1"/>
      <c r="X682" s="1"/>
      <c r="Y682" s="1"/>
    </row>
    <row r="683" spans="1:25" ht="15.75" customHeight="1">
      <c r="A683" s="1"/>
      <c r="B683" s="1"/>
      <c r="C683" s="1"/>
      <c r="D683" s="1"/>
      <c r="E683" s="1"/>
      <c r="F683" s="1"/>
      <c r="G683" s="1"/>
      <c r="H683" s="1"/>
      <c r="I683" s="4"/>
      <c r="J683" s="4"/>
      <c r="K683" s="4"/>
      <c r="L683" s="1"/>
      <c r="M683" s="1"/>
      <c r="N683" s="1"/>
      <c r="O683" s="1"/>
      <c r="P683" s="1"/>
      <c r="Q683" s="1"/>
      <c r="R683" s="1"/>
      <c r="S683" s="1"/>
      <c r="T683" s="1"/>
      <c r="U683" s="1"/>
      <c r="V683" s="1"/>
      <c r="W683" s="1"/>
      <c r="X683" s="1"/>
      <c r="Y683" s="1"/>
    </row>
    <row r="684" spans="1:25" ht="15.75" customHeight="1">
      <c r="A684" s="1"/>
      <c r="B684" s="1"/>
      <c r="C684" s="1"/>
      <c r="D684" s="1"/>
      <c r="E684" s="1"/>
      <c r="F684" s="1"/>
      <c r="G684" s="1"/>
      <c r="H684" s="1"/>
      <c r="I684" s="4"/>
      <c r="J684" s="4"/>
      <c r="K684" s="4"/>
      <c r="L684" s="1"/>
      <c r="M684" s="1"/>
      <c r="N684" s="1"/>
      <c r="O684" s="1"/>
      <c r="P684" s="1"/>
      <c r="Q684" s="1"/>
      <c r="R684" s="1"/>
      <c r="S684" s="1"/>
      <c r="T684" s="1"/>
      <c r="U684" s="1"/>
      <c r="V684" s="1"/>
      <c r="W684" s="1"/>
      <c r="X684" s="1"/>
      <c r="Y684" s="1"/>
    </row>
    <row r="685" spans="1:25" ht="15.75" customHeight="1">
      <c r="A685" s="1"/>
      <c r="B685" s="1"/>
      <c r="C685" s="1"/>
      <c r="D685" s="1"/>
      <c r="E685" s="1"/>
      <c r="F685" s="1"/>
      <c r="G685" s="1"/>
      <c r="H685" s="1"/>
      <c r="I685" s="4"/>
      <c r="J685" s="4"/>
      <c r="K685" s="4"/>
      <c r="L685" s="1"/>
      <c r="M685" s="1"/>
      <c r="N685" s="1"/>
      <c r="O685" s="1"/>
      <c r="P685" s="1"/>
      <c r="Q685" s="1"/>
      <c r="R685" s="1"/>
      <c r="S685" s="1"/>
      <c r="T685" s="1"/>
      <c r="U685" s="1"/>
      <c r="V685" s="1"/>
      <c r="W685" s="1"/>
      <c r="X685" s="1"/>
      <c r="Y685" s="1"/>
    </row>
    <row r="686" spans="1:25" ht="15.75" customHeight="1">
      <c r="A686" s="1"/>
      <c r="B686" s="1"/>
      <c r="C686" s="1"/>
      <c r="D686" s="1"/>
      <c r="E686" s="1"/>
      <c r="F686" s="1"/>
      <c r="G686" s="1"/>
      <c r="H686" s="1"/>
      <c r="I686" s="4"/>
      <c r="J686" s="4"/>
      <c r="K686" s="4"/>
      <c r="L686" s="1"/>
      <c r="M686" s="1"/>
      <c r="N686" s="1"/>
      <c r="O686" s="1"/>
      <c r="P686" s="1"/>
      <c r="Q686" s="1"/>
      <c r="R686" s="1"/>
      <c r="S686" s="1"/>
      <c r="T686" s="1"/>
      <c r="U686" s="1"/>
      <c r="V686" s="1"/>
      <c r="W686" s="1"/>
      <c r="X686" s="1"/>
      <c r="Y686" s="1"/>
    </row>
    <row r="687" spans="1:25" ht="15.75" customHeight="1">
      <c r="A687" s="1"/>
      <c r="B687" s="1"/>
      <c r="C687" s="1"/>
      <c r="D687" s="1"/>
      <c r="E687" s="1"/>
      <c r="F687" s="1"/>
      <c r="G687" s="1"/>
      <c r="H687" s="1"/>
      <c r="I687" s="4"/>
      <c r="J687" s="4"/>
      <c r="K687" s="4"/>
      <c r="L687" s="1"/>
      <c r="M687" s="1"/>
      <c r="N687" s="1"/>
      <c r="O687" s="1"/>
      <c r="P687" s="1"/>
      <c r="Q687" s="1"/>
      <c r="R687" s="1"/>
      <c r="S687" s="1"/>
      <c r="T687" s="1"/>
      <c r="U687" s="1"/>
      <c r="V687" s="1"/>
      <c r="W687" s="1"/>
      <c r="X687" s="1"/>
      <c r="Y687" s="1"/>
    </row>
    <row r="688" spans="1:25" ht="15.75" customHeight="1">
      <c r="A688" s="1"/>
      <c r="B688" s="1"/>
      <c r="C688" s="1"/>
      <c r="D688" s="1"/>
      <c r="E688" s="1"/>
      <c r="F688" s="1"/>
      <c r="G688" s="1"/>
      <c r="H688" s="1"/>
      <c r="I688" s="4"/>
      <c r="J688" s="4"/>
      <c r="K688" s="4"/>
      <c r="L688" s="1"/>
      <c r="M688" s="1"/>
      <c r="N688" s="1"/>
      <c r="O688" s="1"/>
      <c r="P688" s="1"/>
      <c r="Q688" s="1"/>
      <c r="R688" s="1"/>
      <c r="S688" s="1"/>
      <c r="T688" s="1"/>
      <c r="U688" s="1"/>
      <c r="V688" s="1"/>
      <c r="W688" s="1"/>
      <c r="X688" s="1"/>
      <c r="Y688" s="1"/>
    </row>
    <row r="689" spans="1:25" ht="15.75" customHeight="1">
      <c r="A689" s="1"/>
      <c r="B689" s="1"/>
      <c r="C689" s="1"/>
      <c r="D689" s="1"/>
      <c r="E689" s="1"/>
      <c r="F689" s="1"/>
      <c r="G689" s="1"/>
      <c r="H689" s="1"/>
      <c r="I689" s="4"/>
      <c r="J689" s="4"/>
      <c r="K689" s="4"/>
      <c r="L689" s="1"/>
      <c r="M689" s="1"/>
      <c r="N689" s="1"/>
      <c r="O689" s="1"/>
      <c r="P689" s="1"/>
      <c r="Q689" s="1"/>
      <c r="R689" s="1"/>
      <c r="S689" s="1"/>
      <c r="T689" s="1"/>
      <c r="U689" s="1"/>
      <c r="V689" s="1"/>
      <c r="W689" s="1"/>
      <c r="X689" s="1"/>
      <c r="Y689" s="1"/>
    </row>
    <row r="690" spans="1:25" ht="15.75" customHeight="1">
      <c r="A690" s="1"/>
      <c r="B690" s="1"/>
      <c r="C690" s="1"/>
      <c r="D690" s="1"/>
      <c r="E690" s="1"/>
      <c r="F690" s="1"/>
      <c r="G690" s="1"/>
      <c r="H690" s="1"/>
      <c r="I690" s="4"/>
      <c r="J690" s="4"/>
      <c r="K690" s="4"/>
      <c r="L690" s="1"/>
      <c r="M690" s="1"/>
      <c r="N690" s="1"/>
      <c r="O690" s="1"/>
      <c r="P690" s="1"/>
      <c r="Q690" s="1"/>
      <c r="R690" s="1"/>
      <c r="S690" s="1"/>
      <c r="T690" s="1"/>
      <c r="U690" s="1"/>
      <c r="V690" s="1"/>
      <c r="W690" s="1"/>
      <c r="X690" s="1"/>
      <c r="Y690" s="1"/>
    </row>
    <row r="691" spans="1:25" ht="15.75" customHeight="1">
      <c r="A691" s="1"/>
      <c r="B691" s="1"/>
      <c r="C691" s="1"/>
      <c r="D691" s="1"/>
      <c r="E691" s="1"/>
      <c r="F691" s="1"/>
      <c r="G691" s="1"/>
      <c r="H691" s="1"/>
      <c r="I691" s="4"/>
      <c r="J691" s="4"/>
      <c r="K691" s="4"/>
      <c r="L691" s="1"/>
      <c r="M691" s="1"/>
      <c r="N691" s="1"/>
      <c r="O691" s="1"/>
      <c r="P691" s="1"/>
      <c r="Q691" s="1"/>
      <c r="R691" s="1"/>
      <c r="S691" s="1"/>
      <c r="T691" s="1"/>
      <c r="U691" s="1"/>
      <c r="V691" s="1"/>
      <c r="W691" s="1"/>
      <c r="X691" s="1"/>
      <c r="Y691" s="1"/>
    </row>
    <row r="692" spans="1:25" ht="15.75" customHeight="1">
      <c r="A692" s="1"/>
      <c r="B692" s="1"/>
      <c r="C692" s="1"/>
      <c r="D692" s="1"/>
      <c r="E692" s="1"/>
      <c r="F692" s="1"/>
      <c r="G692" s="1"/>
      <c r="H692" s="1"/>
      <c r="I692" s="4"/>
      <c r="J692" s="4"/>
      <c r="K692" s="4"/>
      <c r="L692" s="1"/>
      <c r="M692" s="1"/>
      <c r="N692" s="1"/>
      <c r="O692" s="1"/>
      <c r="P692" s="1"/>
      <c r="Q692" s="1"/>
      <c r="R692" s="1"/>
      <c r="S692" s="1"/>
      <c r="T692" s="1"/>
      <c r="U692" s="1"/>
      <c r="V692" s="1"/>
      <c r="W692" s="1"/>
      <c r="X692" s="1"/>
      <c r="Y692" s="1"/>
    </row>
    <row r="693" spans="1:25" ht="15.75" customHeight="1">
      <c r="A693" s="1"/>
      <c r="B693" s="1"/>
      <c r="C693" s="1"/>
      <c r="D693" s="1"/>
      <c r="E693" s="1"/>
      <c r="F693" s="1"/>
      <c r="G693" s="1"/>
      <c r="H693" s="1"/>
      <c r="I693" s="4"/>
      <c r="J693" s="4"/>
      <c r="K693" s="4"/>
      <c r="L693" s="1"/>
      <c r="M693" s="1"/>
      <c r="N693" s="1"/>
      <c r="O693" s="1"/>
      <c r="P693" s="1"/>
      <c r="Q693" s="1"/>
      <c r="R693" s="1"/>
      <c r="S693" s="1"/>
      <c r="T693" s="1"/>
      <c r="U693" s="1"/>
      <c r="V693" s="1"/>
      <c r="W693" s="1"/>
      <c r="X693" s="1"/>
      <c r="Y693" s="1"/>
    </row>
    <row r="694" spans="1:25" ht="15.75" customHeight="1">
      <c r="A694" s="1"/>
      <c r="B694" s="1"/>
      <c r="C694" s="1"/>
      <c r="D694" s="1"/>
      <c r="E694" s="1"/>
      <c r="F694" s="1"/>
      <c r="G694" s="1"/>
      <c r="H694" s="1"/>
      <c r="I694" s="4"/>
      <c r="J694" s="4"/>
      <c r="K694" s="4"/>
      <c r="L694" s="1"/>
      <c r="M694" s="1"/>
      <c r="N694" s="1"/>
      <c r="O694" s="1"/>
      <c r="P694" s="1"/>
      <c r="Q694" s="1"/>
      <c r="R694" s="1"/>
      <c r="S694" s="1"/>
      <c r="T694" s="1"/>
      <c r="U694" s="1"/>
      <c r="V694" s="1"/>
      <c r="W694" s="1"/>
      <c r="X694" s="1"/>
      <c r="Y694" s="1"/>
    </row>
    <row r="695" spans="1:25" ht="15.75" customHeight="1">
      <c r="A695" s="1"/>
      <c r="B695" s="1"/>
      <c r="C695" s="1"/>
      <c r="D695" s="1"/>
      <c r="E695" s="1"/>
      <c r="F695" s="1"/>
      <c r="G695" s="1"/>
      <c r="H695" s="1"/>
      <c r="I695" s="4"/>
      <c r="J695" s="4"/>
      <c r="K695" s="4"/>
      <c r="L695" s="1"/>
      <c r="M695" s="1"/>
      <c r="N695" s="1"/>
      <c r="O695" s="1"/>
      <c r="P695" s="1"/>
      <c r="Q695" s="1"/>
      <c r="R695" s="1"/>
      <c r="S695" s="1"/>
      <c r="T695" s="1"/>
      <c r="U695" s="1"/>
      <c r="V695" s="1"/>
      <c r="W695" s="1"/>
      <c r="X695" s="1"/>
      <c r="Y695" s="1"/>
    </row>
    <row r="696" spans="1:25" ht="15.75" customHeight="1">
      <c r="A696" s="1"/>
      <c r="B696" s="1"/>
      <c r="C696" s="1"/>
      <c r="D696" s="1"/>
      <c r="E696" s="1"/>
      <c r="F696" s="1"/>
      <c r="G696" s="1"/>
      <c r="H696" s="1"/>
      <c r="I696" s="4"/>
      <c r="J696" s="4"/>
      <c r="K696" s="4"/>
      <c r="L696" s="1"/>
      <c r="M696" s="1"/>
      <c r="N696" s="1"/>
      <c r="O696" s="1"/>
      <c r="P696" s="1"/>
      <c r="Q696" s="1"/>
      <c r="R696" s="1"/>
      <c r="S696" s="1"/>
      <c r="T696" s="1"/>
      <c r="U696" s="1"/>
      <c r="V696" s="1"/>
      <c r="W696" s="1"/>
      <c r="X696" s="1"/>
      <c r="Y696" s="1"/>
    </row>
    <row r="697" spans="1:25" ht="15.75" customHeight="1">
      <c r="A697" s="1"/>
      <c r="B697" s="1"/>
      <c r="C697" s="1"/>
      <c r="D697" s="1"/>
      <c r="E697" s="1"/>
      <c r="F697" s="1"/>
      <c r="G697" s="1"/>
      <c r="H697" s="1"/>
      <c r="I697" s="4"/>
      <c r="J697" s="4"/>
      <c r="K697" s="4"/>
      <c r="L697" s="1"/>
      <c r="M697" s="1"/>
      <c r="N697" s="1"/>
      <c r="O697" s="1"/>
      <c r="P697" s="1"/>
      <c r="Q697" s="1"/>
      <c r="R697" s="1"/>
      <c r="S697" s="1"/>
      <c r="T697" s="1"/>
      <c r="U697" s="1"/>
      <c r="V697" s="1"/>
      <c r="W697" s="1"/>
      <c r="X697" s="1"/>
      <c r="Y697" s="1"/>
    </row>
    <row r="698" spans="1:25" ht="15.75" customHeight="1">
      <c r="A698" s="1"/>
      <c r="B698" s="1"/>
      <c r="C698" s="1"/>
      <c r="D698" s="1"/>
      <c r="E698" s="1"/>
      <c r="F698" s="1"/>
      <c r="G698" s="1"/>
      <c r="H698" s="1"/>
      <c r="I698" s="4"/>
      <c r="J698" s="4"/>
      <c r="K698" s="4"/>
      <c r="L698" s="1"/>
      <c r="M698" s="1"/>
      <c r="N698" s="1"/>
      <c r="O698" s="1"/>
      <c r="P698" s="1"/>
      <c r="Q698" s="1"/>
      <c r="R698" s="1"/>
      <c r="S698" s="1"/>
      <c r="T698" s="1"/>
      <c r="U698" s="1"/>
      <c r="V698" s="1"/>
      <c r="W698" s="1"/>
      <c r="X698" s="1"/>
      <c r="Y698" s="1"/>
    </row>
    <row r="699" spans="1:25" ht="15.75" customHeight="1">
      <c r="A699" s="1"/>
      <c r="B699" s="1"/>
      <c r="C699" s="1"/>
      <c r="D699" s="1"/>
      <c r="E699" s="1"/>
      <c r="F699" s="1"/>
      <c r="G699" s="1"/>
      <c r="H699" s="1"/>
      <c r="I699" s="4"/>
      <c r="J699" s="4"/>
      <c r="K699" s="4"/>
      <c r="L699" s="1"/>
      <c r="M699" s="1"/>
      <c r="N699" s="1"/>
      <c r="O699" s="1"/>
      <c r="P699" s="1"/>
      <c r="Q699" s="1"/>
      <c r="R699" s="1"/>
      <c r="S699" s="1"/>
      <c r="T699" s="1"/>
      <c r="U699" s="1"/>
      <c r="V699" s="1"/>
      <c r="W699" s="1"/>
      <c r="X699" s="1"/>
      <c r="Y699" s="1"/>
    </row>
    <row r="700" spans="1:25" ht="15.75" customHeight="1">
      <c r="A700" s="1"/>
      <c r="B700" s="1"/>
      <c r="C700" s="1"/>
      <c r="D700" s="1"/>
      <c r="E700" s="1"/>
      <c r="F700" s="1"/>
      <c r="G700" s="1"/>
      <c r="H700" s="1"/>
      <c r="I700" s="4"/>
      <c r="J700" s="4"/>
      <c r="K700" s="4"/>
      <c r="L700" s="1"/>
      <c r="M700" s="1"/>
      <c r="N700" s="1"/>
      <c r="O700" s="1"/>
      <c r="P700" s="1"/>
      <c r="Q700" s="1"/>
      <c r="R700" s="1"/>
      <c r="S700" s="1"/>
      <c r="T700" s="1"/>
      <c r="U700" s="1"/>
      <c r="V700" s="1"/>
      <c r="W700" s="1"/>
      <c r="X700" s="1"/>
      <c r="Y700" s="1"/>
    </row>
    <row r="701" spans="1:25" ht="15.75" customHeight="1">
      <c r="A701" s="1"/>
      <c r="B701" s="1"/>
      <c r="C701" s="1"/>
      <c r="D701" s="1"/>
      <c r="E701" s="1"/>
      <c r="F701" s="1"/>
      <c r="G701" s="1"/>
      <c r="H701" s="1"/>
      <c r="I701" s="4"/>
      <c r="J701" s="4"/>
      <c r="K701" s="4"/>
      <c r="L701" s="1"/>
      <c r="M701" s="1"/>
      <c r="N701" s="1"/>
      <c r="O701" s="1"/>
      <c r="P701" s="1"/>
      <c r="Q701" s="1"/>
      <c r="R701" s="1"/>
      <c r="S701" s="1"/>
      <c r="T701" s="1"/>
      <c r="U701" s="1"/>
      <c r="V701" s="1"/>
      <c r="W701" s="1"/>
      <c r="X701" s="1"/>
      <c r="Y701" s="1"/>
    </row>
    <row r="702" spans="1:25" ht="15.75" customHeight="1">
      <c r="A702" s="1"/>
      <c r="B702" s="1"/>
      <c r="C702" s="1"/>
      <c r="D702" s="1"/>
      <c r="E702" s="1"/>
      <c r="F702" s="1"/>
      <c r="G702" s="1"/>
      <c r="H702" s="1"/>
      <c r="I702" s="4"/>
      <c r="J702" s="4"/>
      <c r="K702" s="4"/>
      <c r="L702" s="1"/>
      <c r="M702" s="1"/>
      <c r="N702" s="1"/>
      <c r="O702" s="1"/>
      <c r="P702" s="1"/>
      <c r="Q702" s="1"/>
      <c r="R702" s="1"/>
      <c r="S702" s="1"/>
      <c r="T702" s="1"/>
      <c r="U702" s="1"/>
      <c r="V702" s="1"/>
      <c r="W702" s="1"/>
      <c r="X702" s="1"/>
      <c r="Y702" s="1"/>
    </row>
    <row r="703" spans="1:25" ht="15.75" customHeight="1">
      <c r="A703" s="1"/>
      <c r="B703" s="1"/>
      <c r="C703" s="1"/>
      <c r="D703" s="1"/>
      <c r="E703" s="1"/>
      <c r="F703" s="1"/>
      <c r="G703" s="1"/>
      <c r="H703" s="1"/>
      <c r="I703" s="4"/>
      <c r="J703" s="4"/>
      <c r="K703" s="4"/>
      <c r="L703" s="1"/>
      <c r="M703" s="1"/>
      <c r="N703" s="1"/>
      <c r="O703" s="1"/>
      <c r="P703" s="1"/>
      <c r="Q703" s="1"/>
      <c r="R703" s="1"/>
      <c r="S703" s="1"/>
      <c r="T703" s="1"/>
      <c r="U703" s="1"/>
      <c r="V703" s="1"/>
      <c r="W703" s="1"/>
      <c r="X703" s="1"/>
      <c r="Y703" s="1"/>
    </row>
    <row r="704" spans="1:25" ht="15.75" customHeight="1">
      <c r="A704" s="1"/>
      <c r="B704" s="1"/>
      <c r="C704" s="1"/>
      <c r="D704" s="1"/>
      <c r="E704" s="1"/>
      <c r="F704" s="1"/>
      <c r="G704" s="1"/>
      <c r="H704" s="1"/>
      <c r="I704" s="4"/>
      <c r="J704" s="4"/>
      <c r="K704" s="4"/>
      <c r="L704" s="1"/>
      <c r="M704" s="1"/>
      <c r="N704" s="1"/>
      <c r="O704" s="1"/>
      <c r="P704" s="1"/>
      <c r="Q704" s="1"/>
      <c r="R704" s="1"/>
      <c r="S704" s="1"/>
      <c r="T704" s="1"/>
      <c r="U704" s="1"/>
      <c r="V704" s="1"/>
      <c r="W704" s="1"/>
      <c r="X704" s="1"/>
      <c r="Y704" s="1"/>
    </row>
    <row r="705" spans="1:25" ht="15.75" customHeight="1">
      <c r="A705" s="1"/>
      <c r="B705" s="1"/>
      <c r="C705" s="1"/>
      <c r="D705" s="1"/>
      <c r="E705" s="1"/>
      <c r="F705" s="1"/>
      <c r="G705" s="1"/>
      <c r="H705" s="1"/>
      <c r="I705" s="4"/>
      <c r="J705" s="4"/>
      <c r="K705" s="4"/>
      <c r="L705" s="1"/>
      <c r="M705" s="1"/>
      <c r="N705" s="1"/>
      <c r="O705" s="1"/>
      <c r="P705" s="1"/>
      <c r="Q705" s="1"/>
      <c r="R705" s="1"/>
      <c r="S705" s="1"/>
      <c r="T705" s="1"/>
      <c r="U705" s="1"/>
      <c r="V705" s="1"/>
      <c r="W705" s="1"/>
      <c r="X705" s="1"/>
      <c r="Y705" s="1"/>
    </row>
    <row r="706" spans="1:25" ht="15.75" customHeight="1">
      <c r="A706" s="1"/>
      <c r="B706" s="1"/>
      <c r="C706" s="1"/>
      <c r="D706" s="1"/>
      <c r="E706" s="1"/>
      <c r="F706" s="1"/>
      <c r="G706" s="1"/>
      <c r="H706" s="1"/>
      <c r="I706" s="4"/>
      <c r="J706" s="4"/>
      <c r="K706" s="4"/>
      <c r="L706" s="1"/>
      <c r="M706" s="1"/>
      <c r="N706" s="1"/>
      <c r="O706" s="1"/>
      <c r="P706" s="1"/>
      <c r="Q706" s="1"/>
      <c r="R706" s="1"/>
      <c r="S706" s="1"/>
      <c r="T706" s="1"/>
      <c r="U706" s="1"/>
      <c r="V706" s="1"/>
      <c r="W706" s="1"/>
      <c r="X706" s="1"/>
      <c r="Y706" s="1"/>
    </row>
    <row r="707" spans="1:25" ht="15.75" customHeight="1">
      <c r="A707" s="1"/>
      <c r="B707" s="1"/>
      <c r="C707" s="1"/>
      <c r="D707" s="1"/>
      <c r="E707" s="1"/>
      <c r="F707" s="1"/>
      <c r="G707" s="1"/>
      <c r="H707" s="1"/>
      <c r="I707" s="4"/>
      <c r="J707" s="4"/>
      <c r="K707" s="4"/>
      <c r="L707" s="1"/>
      <c r="M707" s="1"/>
      <c r="N707" s="1"/>
      <c r="O707" s="1"/>
      <c r="P707" s="1"/>
      <c r="Q707" s="1"/>
      <c r="R707" s="1"/>
      <c r="S707" s="1"/>
      <c r="T707" s="1"/>
      <c r="U707" s="1"/>
      <c r="V707" s="1"/>
      <c r="W707" s="1"/>
      <c r="X707" s="1"/>
      <c r="Y707" s="1"/>
    </row>
    <row r="708" spans="1:25" ht="15.75" customHeight="1">
      <c r="A708" s="1"/>
      <c r="B708" s="1"/>
      <c r="C708" s="1"/>
      <c r="D708" s="1"/>
      <c r="E708" s="1"/>
      <c r="F708" s="1"/>
      <c r="G708" s="1"/>
      <c r="H708" s="1"/>
      <c r="I708" s="4"/>
      <c r="J708" s="4"/>
      <c r="K708" s="4"/>
      <c r="L708" s="1"/>
      <c r="M708" s="1"/>
      <c r="N708" s="1"/>
      <c r="O708" s="1"/>
      <c r="P708" s="1"/>
      <c r="Q708" s="1"/>
      <c r="R708" s="1"/>
      <c r="S708" s="1"/>
      <c r="T708" s="1"/>
      <c r="U708" s="1"/>
      <c r="V708" s="1"/>
      <c r="W708" s="1"/>
      <c r="X708" s="1"/>
      <c r="Y708" s="1"/>
    </row>
    <row r="709" spans="1:25" ht="15.75" customHeight="1">
      <c r="A709" s="1"/>
      <c r="B709" s="1"/>
      <c r="C709" s="1"/>
      <c r="D709" s="1"/>
      <c r="E709" s="1"/>
      <c r="F709" s="1"/>
      <c r="G709" s="1"/>
      <c r="H709" s="1"/>
      <c r="I709" s="4"/>
      <c r="J709" s="4"/>
      <c r="K709" s="4"/>
      <c r="L709" s="1"/>
      <c r="M709" s="1"/>
      <c r="N709" s="1"/>
      <c r="O709" s="1"/>
      <c r="P709" s="1"/>
      <c r="Q709" s="1"/>
      <c r="R709" s="1"/>
      <c r="S709" s="1"/>
      <c r="T709" s="1"/>
      <c r="U709" s="1"/>
      <c r="V709" s="1"/>
      <c r="W709" s="1"/>
      <c r="X709" s="1"/>
      <c r="Y709" s="1"/>
    </row>
    <row r="710" spans="1:25" ht="15.75" customHeight="1">
      <c r="A710" s="1"/>
      <c r="B710" s="1"/>
      <c r="C710" s="1"/>
      <c r="D710" s="1"/>
      <c r="E710" s="1"/>
      <c r="F710" s="1"/>
      <c r="G710" s="1"/>
      <c r="H710" s="1"/>
      <c r="I710" s="4"/>
      <c r="J710" s="4"/>
      <c r="K710" s="4"/>
      <c r="L710" s="1"/>
      <c r="M710" s="1"/>
      <c r="N710" s="1"/>
      <c r="O710" s="1"/>
      <c r="P710" s="1"/>
      <c r="Q710" s="1"/>
      <c r="R710" s="1"/>
      <c r="S710" s="1"/>
      <c r="T710" s="1"/>
      <c r="U710" s="1"/>
      <c r="V710" s="1"/>
      <c r="W710" s="1"/>
      <c r="X710" s="1"/>
      <c r="Y710" s="1"/>
    </row>
    <row r="711" spans="1:25" ht="15.75" customHeight="1">
      <c r="A711" s="1"/>
      <c r="B711" s="1"/>
      <c r="C711" s="1"/>
      <c r="D711" s="1"/>
      <c r="E711" s="1"/>
      <c r="F711" s="1"/>
      <c r="G711" s="1"/>
      <c r="H711" s="1"/>
      <c r="I711" s="4"/>
      <c r="J711" s="4"/>
      <c r="K711" s="4"/>
      <c r="L711" s="1"/>
      <c r="M711" s="1"/>
      <c r="N711" s="1"/>
      <c r="O711" s="1"/>
      <c r="P711" s="1"/>
      <c r="Q711" s="1"/>
      <c r="R711" s="1"/>
      <c r="S711" s="1"/>
      <c r="T711" s="1"/>
      <c r="U711" s="1"/>
      <c r="V711" s="1"/>
      <c r="W711" s="1"/>
      <c r="X711" s="1"/>
      <c r="Y711" s="1"/>
    </row>
    <row r="712" spans="1:25" ht="15.75" customHeight="1">
      <c r="A712" s="1"/>
      <c r="B712" s="1"/>
      <c r="C712" s="1"/>
      <c r="D712" s="1"/>
      <c r="E712" s="1"/>
      <c r="F712" s="1"/>
      <c r="G712" s="1"/>
      <c r="H712" s="1"/>
      <c r="I712" s="4"/>
      <c r="J712" s="4"/>
      <c r="K712" s="4"/>
      <c r="L712" s="1"/>
      <c r="M712" s="1"/>
      <c r="N712" s="1"/>
      <c r="O712" s="1"/>
      <c r="P712" s="1"/>
      <c r="Q712" s="1"/>
      <c r="R712" s="1"/>
      <c r="S712" s="1"/>
      <c r="T712" s="1"/>
      <c r="U712" s="1"/>
      <c r="V712" s="1"/>
      <c r="W712" s="1"/>
      <c r="X712" s="1"/>
      <c r="Y712" s="1"/>
    </row>
    <row r="713" spans="1:25" ht="15.75" customHeight="1">
      <c r="A713" s="1"/>
      <c r="B713" s="1"/>
      <c r="C713" s="1"/>
      <c r="D713" s="1"/>
      <c r="E713" s="1"/>
      <c r="F713" s="1"/>
      <c r="G713" s="1"/>
      <c r="H713" s="1"/>
      <c r="I713" s="4"/>
      <c r="J713" s="4"/>
      <c r="K713" s="4"/>
      <c r="L713" s="1"/>
      <c r="M713" s="1"/>
      <c r="N713" s="1"/>
      <c r="O713" s="1"/>
      <c r="P713" s="1"/>
      <c r="Q713" s="1"/>
      <c r="R713" s="1"/>
      <c r="S713" s="1"/>
      <c r="T713" s="1"/>
      <c r="U713" s="1"/>
      <c r="V713" s="1"/>
      <c r="W713" s="1"/>
      <c r="X713" s="1"/>
      <c r="Y713" s="1"/>
    </row>
    <row r="714" spans="1:25" ht="15.75" customHeight="1">
      <c r="A714" s="1"/>
      <c r="B714" s="1"/>
      <c r="C714" s="1"/>
      <c r="D714" s="1"/>
      <c r="E714" s="1"/>
      <c r="F714" s="1"/>
      <c r="G714" s="1"/>
      <c r="H714" s="1"/>
      <c r="I714" s="4"/>
      <c r="J714" s="4"/>
      <c r="K714" s="4"/>
      <c r="L714" s="1"/>
      <c r="M714" s="1"/>
      <c r="N714" s="1"/>
      <c r="O714" s="1"/>
      <c r="P714" s="1"/>
      <c r="Q714" s="1"/>
      <c r="R714" s="1"/>
      <c r="S714" s="1"/>
      <c r="T714" s="1"/>
      <c r="U714" s="1"/>
      <c r="V714" s="1"/>
      <c r="W714" s="1"/>
      <c r="X714" s="1"/>
      <c r="Y714" s="1"/>
    </row>
    <row r="715" spans="1:25" ht="15.75" customHeight="1">
      <c r="A715" s="1"/>
      <c r="B715" s="1"/>
      <c r="C715" s="1"/>
      <c r="D715" s="1"/>
      <c r="E715" s="1"/>
      <c r="F715" s="1"/>
      <c r="G715" s="1"/>
      <c r="H715" s="1"/>
      <c r="I715" s="4"/>
      <c r="J715" s="4"/>
      <c r="K715" s="4"/>
      <c r="L715" s="1"/>
      <c r="M715" s="1"/>
      <c r="N715" s="1"/>
      <c r="O715" s="1"/>
      <c r="P715" s="1"/>
      <c r="Q715" s="1"/>
      <c r="R715" s="1"/>
      <c r="S715" s="1"/>
      <c r="T715" s="1"/>
      <c r="U715" s="1"/>
      <c r="V715" s="1"/>
      <c r="W715" s="1"/>
      <c r="X715" s="1"/>
      <c r="Y715" s="1"/>
    </row>
    <row r="716" spans="1:25" ht="15.75" customHeight="1">
      <c r="A716" s="1"/>
      <c r="B716" s="1"/>
      <c r="C716" s="1"/>
      <c r="D716" s="1"/>
      <c r="E716" s="1"/>
      <c r="F716" s="1"/>
      <c r="G716" s="1"/>
      <c r="H716" s="1"/>
      <c r="I716" s="4"/>
      <c r="J716" s="4"/>
      <c r="K716" s="4"/>
      <c r="L716" s="1"/>
      <c r="M716" s="1"/>
      <c r="N716" s="1"/>
      <c r="O716" s="1"/>
      <c r="P716" s="1"/>
      <c r="Q716" s="1"/>
      <c r="R716" s="1"/>
      <c r="S716" s="1"/>
      <c r="T716" s="1"/>
      <c r="U716" s="1"/>
      <c r="V716" s="1"/>
      <c r="W716" s="1"/>
      <c r="X716" s="1"/>
      <c r="Y716" s="1"/>
    </row>
    <row r="717" spans="1:25" ht="15.75" customHeight="1">
      <c r="A717" s="1"/>
      <c r="B717" s="1"/>
      <c r="C717" s="1"/>
      <c r="D717" s="1"/>
      <c r="E717" s="1"/>
      <c r="F717" s="1"/>
      <c r="G717" s="1"/>
      <c r="H717" s="1"/>
      <c r="I717" s="4"/>
      <c r="J717" s="4"/>
      <c r="K717" s="4"/>
      <c r="L717" s="1"/>
      <c r="M717" s="1"/>
      <c r="N717" s="1"/>
      <c r="O717" s="1"/>
      <c r="P717" s="1"/>
      <c r="Q717" s="1"/>
      <c r="R717" s="1"/>
      <c r="S717" s="1"/>
      <c r="T717" s="1"/>
      <c r="U717" s="1"/>
      <c r="V717" s="1"/>
      <c r="W717" s="1"/>
      <c r="X717" s="1"/>
      <c r="Y717" s="1"/>
    </row>
    <row r="718" spans="1:25" ht="15.75" customHeight="1">
      <c r="A718" s="1"/>
      <c r="B718" s="1"/>
      <c r="C718" s="1"/>
      <c r="D718" s="1"/>
      <c r="E718" s="1"/>
      <c r="F718" s="1"/>
      <c r="G718" s="1"/>
      <c r="H718" s="1"/>
      <c r="I718" s="4"/>
      <c r="J718" s="4"/>
      <c r="K718" s="4"/>
      <c r="L718" s="1"/>
      <c r="M718" s="1"/>
      <c r="N718" s="1"/>
      <c r="O718" s="1"/>
      <c r="P718" s="1"/>
      <c r="Q718" s="1"/>
      <c r="R718" s="1"/>
      <c r="S718" s="1"/>
      <c r="T718" s="1"/>
      <c r="U718" s="1"/>
      <c r="V718" s="1"/>
      <c r="W718" s="1"/>
      <c r="X718" s="1"/>
      <c r="Y718" s="1"/>
    </row>
    <row r="719" spans="1:25" ht="15.75" customHeight="1">
      <c r="A719" s="1"/>
      <c r="B719" s="1"/>
      <c r="C719" s="1"/>
      <c r="D719" s="1"/>
      <c r="E719" s="1"/>
      <c r="F719" s="1"/>
      <c r="G719" s="1"/>
      <c r="H719" s="1"/>
      <c r="I719" s="4"/>
      <c r="J719" s="4"/>
      <c r="K719" s="4"/>
      <c r="L719" s="1"/>
      <c r="M719" s="1"/>
      <c r="N719" s="1"/>
      <c r="O719" s="1"/>
      <c r="P719" s="1"/>
      <c r="Q719" s="1"/>
      <c r="R719" s="1"/>
      <c r="S719" s="1"/>
      <c r="T719" s="1"/>
      <c r="U719" s="1"/>
      <c r="V719" s="1"/>
      <c r="W719" s="1"/>
      <c r="X719" s="1"/>
      <c r="Y719" s="1"/>
    </row>
    <row r="720" spans="1:25" ht="15.75" customHeight="1">
      <c r="A720" s="1"/>
      <c r="B720" s="1"/>
      <c r="C720" s="1"/>
      <c r="D720" s="1"/>
      <c r="E720" s="1"/>
      <c r="F720" s="1"/>
      <c r="G720" s="1"/>
      <c r="H720" s="1"/>
      <c r="I720" s="4"/>
      <c r="J720" s="4"/>
      <c r="K720" s="4"/>
      <c r="L720" s="1"/>
      <c r="M720" s="1"/>
      <c r="N720" s="1"/>
      <c r="O720" s="1"/>
      <c r="P720" s="1"/>
      <c r="Q720" s="1"/>
      <c r="R720" s="1"/>
      <c r="S720" s="1"/>
      <c r="T720" s="1"/>
      <c r="U720" s="1"/>
      <c r="V720" s="1"/>
      <c r="W720" s="1"/>
      <c r="X720" s="1"/>
      <c r="Y720" s="1"/>
    </row>
    <row r="721" spans="1:25" ht="15.75" customHeight="1">
      <c r="A721" s="1"/>
      <c r="B721" s="1"/>
      <c r="C721" s="1"/>
      <c r="D721" s="1"/>
      <c r="E721" s="1"/>
      <c r="F721" s="1"/>
      <c r="G721" s="1"/>
      <c r="H721" s="1"/>
      <c r="I721" s="4"/>
      <c r="J721" s="4"/>
      <c r="K721" s="4"/>
      <c r="L721" s="1"/>
      <c r="M721" s="1"/>
      <c r="N721" s="1"/>
      <c r="O721" s="1"/>
      <c r="P721" s="1"/>
      <c r="Q721" s="1"/>
      <c r="R721" s="1"/>
      <c r="S721" s="1"/>
      <c r="T721" s="1"/>
      <c r="U721" s="1"/>
      <c r="V721" s="1"/>
      <c r="W721" s="1"/>
      <c r="X721" s="1"/>
      <c r="Y721" s="1"/>
    </row>
    <row r="722" spans="1:25" ht="15.75" customHeight="1">
      <c r="A722" s="1"/>
      <c r="B722" s="1"/>
      <c r="C722" s="1"/>
      <c r="D722" s="1"/>
      <c r="E722" s="1"/>
      <c r="F722" s="1"/>
      <c r="G722" s="1"/>
      <c r="H722" s="1"/>
      <c r="I722" s="4"/>
      <c r="J722" s="4"/>
      <c r="K722" s="4"/>
      <c r="L722" s="1"/>
      <c r="M722" s="1"/>
      <c r="N722" s="1"/>
      <c r="O722" s="1"/>
      <c r="P722" s="1"/>
      <c r="Q722" s="1"/>
      <c r="R722" s="1"/>
      <c r="S722" s="1"/>
      <c r="T722" s="1"/>
      <c r="U722" s="1"/>
      <c r="V722" s="1"/>
      <c r="W722" s="1"/>
      <c r="X722" s="1"/>
      <c r="Y722" s="1"/>
    </row>
    <row r="723" spans="1:25" ht="15.75" customHeight="1">
      <c r="A723" s="1"/>
      <c r="B723" s="1"/>
      <c r="C723" s="1"/>
      <c r="D723" s="1"/>
      <c r="E723" s="1"/>
      <c r="F723" s="1"/>
      <c r="G723" s="1"/>
      <c r="H723" s="1"/>
      <c r="I723" s="4"/>
      <c r="J723" s="4"/>
      <c r="K723" s="4"/>
      <c r="L723" s="1"/>
      <c r="M723" s="1"/>
      <c r="N723" s="1"/>
      <c r="O723" s="1"/>
      <c r="P723" s="1"/>
      <c r="Q723" s="1"/>
      <c r="R723" s="1"/>
      <c r="S723" s="1"/>
      <c r="T723" s="1"/>
      <c r="U723" s="1"/>
      <c r="V723" s="1"/>
      <c r="W723" s="1"/>
      <c r="X723" s="1"/>
      <c r="Y723" s="1"/>
    </row>
    <row r="724" spans="1:25" ht="15.75" customHeight="1">
      <c r="A724" s="1"/>
      <c r="B724" s="1"/>
      <c r="C724" s="1"/>
      <c r="D724" s="1"/>
      <c r="E724" s="1"/>
      <c r="F724" s="1"/>
      <c r="G724" s="1"/>
      <c r="H724" s="1"/>
      <c r="I724" s="4"/>
      <c r="J724" s="4"/>
      <c r="K724" s="4"/>
      <c r="L724" s="1"/>
      <c r="M724" s="1"/>
      <c r="N724" s="1"/>
      <c r="O724" s="1"/>
      <c r="P724" s="1"/>
      <c r="Q724" s="1"/>
      <c r="R724" s="1"/>
      <c r="S724" s="1"/>
      <c r="T724" s="1"/>
      <c r="U724" s="1"/>
      <c r="V724" s="1"/>
      <c r="W724" s="1"/>
      <c r="X724" s="1"/>
      <c r="Y724" s="1"/>
    </row>
    <row r="725" spans="1:25" ht="15.75" customHeight="1">
      <c r="A725" s="1"/>
      <c r="B725" s="1"/>
      <c r="C725" s="1"/>
      <c r="D725" s="1"/>
      <c r="E725" s="1"/>
      <c r="F725" s="1"/>
      <c r="G725" s="1"/>
      <c r="H725" s="1"/>
      <c r="I725" s="4"/>
      <c r="J725" s="4"/>
      <c r="K725" s="4"/>
      <c r="L725" s="1"/>
      <c r="M725" s="1"/>
      <c r="N725" s="1"/>
      <c r="O725" s="1"/>
      <c r="P725" s="1"/>
      <c r="Q725" s="1"/>
      <c r="R725" s="1"/>
      <c r="S725" s="1"/>
      <c r="T725" s="1"/>
      <c r="U725" s="1"/>
      <c r="V725" s="1"/>
      <c r="W725" s="1"/>
      <c r="X725" s="1"/>
      <c r="Y725" s="1"/>
    </row>
    <row r="726" spans="1:25" ht="15.75" customHeight="1">
      <c r="A726" s="1"/>
      <c r="B726" s="1"/>
      <c r="C726" s="1"/>
      <c r="D726" s="1"/>
      <c r="E726" s="1"/>
      <c r="F726" s="1"/>
      <c r="G726" s="1"/>
      <c r="H726" s="1"/>
      <c r="I726" s="4"/>
      <c r="J726" s="4"/>
      <c r="K726" s="4"/>
      <c r="L726" s="1"/>
      <c r="M726" s="1"/>
      <c r="N726" s="1"/>
      <c r="O726" s="1"/>
      <c r="P726" s="1"/>
      <c r="Q726" s="1"/>
      <c r="R726" s="1"/>
      <c r="S726" s="1"/>
      <c r="T726" s="1"/>
      <c r="U726" s="1"/>
      <c r="V726" s="1"/>
      <c r="W726" s="1"/>
      <c r="X726" s="1"/>
      <c r="Y726" s="1"/>
    </row>
    <row r="727" spans="1:25" ht="15.75" customHeight="1">
      <c r="A727" s="1"/>
      <c r="B727" s="1"/>
      <c r="C727" s="1"/>
      <c r="D727" s="1"/>
      <c r="E727" s="1"/>
      <c r="F727" s="1"/>
      <c r="G727" s="1"/>
      <c r="H727" s="1"/>
      <c r="I727" s="4"/>
      <c r="J727" s="4"/>
      <c r="K727" s="4"/>
      <c r="L727" s="1"/>
      <c r="M727" s="1"/>
      <c r="N727" s="1"/>
      <c r="O727" s="1"/>
      <c r="P727" s="1"/>
      <c r="Q727" s="1"/>
      <c r="R727" s="1"/>
      <c r="S727" s="1"/>
      <c r="T727" s="1"/>
      <c r="U727" s="1"/>
      <c r="V727" s="1"/>
      <c r="W727" s="1"/>
      <c r="X727" s="1"/>
      <c r="Y727" s="1"/>
    </row>
    <row r="728" spans="1:25" ht="15.75" customHeight="1">
      <c r="A728" s="1"/>
      <c r="B728" s="1"/>
      <c r="C728" s="1"/>
      <c r="D728" s="1"/>
      <c r="E728" s="1"/>
      <c r="F728" s="1"/>
      <c r="G728" s="1"/>
      <c r="H728" s="1"/>
      <c r="I728" s="4"/>
      <c r="J728" s="4"/>
      <c r="K728" s="4"/>
      <c r="L728" s="1"/>
      <c r="M728" s="1"/>
      <c r="N728" s="1"/>
      <c r="O728" s="1"/>
      <c r="P728" s="1"/>
      <c r="Q728" s="1"/>
      <c r="R728" s="1"/>
      <c r="S728" s="1"/>
      <c r="T728" s="1"/>
      <c r="U728" s="1"/>
      <c r="V728" s="1"/>
      <c r="W728" s="1"/>
      <c r="X728" s="1"/>
      <c r="Y728" s="1"/>
    </row>
    <row r="729" spans="1:25" ht="15.75" customHeight="1">
      <c r="A729" s="1"/>
      <c r="B729" s="1"/>
      <c r="C729" s="1"/>
      <c r="D729" s="1"/>
      <c r="E729" s="1"/>
      <c r="F729" s="1"/>
      <c r="G729" s="1"/>
      <c r="H729" s="1"/>
      <c r="I729" s="4"/>
      <c r="J729" s="4"/>
      <c r="K729" s="4"/>
      <c r="L729" s="1"/>
      <c r="M729" s="1"/>
      <c r="N729" s="1"/>
      <c r="O729" s="1"/>
      <c r="P729" s="1"/>
      <c r="Q729" s="1"/>
      <c r="R729" s="1"/>
      <c r="S729" s="1"/>
      <c r="T729" s="1"/>
      <c r="U729" s="1"/>
      <c r="V729" s="1"/>
      <c r="W729" s="1"/>
      <c r="X729" s="1"/>
      <c r="Y729" s="1"/>
    </row>
    <row r="730" spans="1:25" ht="15.75" customHeight="1">
      <c r="A730" s="1"/>
      <c r="B730" s="1"/>
      <c r="C730" s="1"/>
      <c r="D730" s="1"/>
      <c r="E730" s="1"/>
      <c r="F730" s="1"/>
      <c r="G730" s="1"/>
      <c r="H730" s="1"/>
      <c r="I730" s="4"/>
      <c r="J730" s="4"/>
      <c r="K730" s="4"/>
      <c r="L730" s="1"/>
      <c r="M730" s="1"/>
      <c r="N730" s="1"/>
      <c r="O730" s="1"/>
      <c r="P730" s="1"/>
      <c r="Q730" s="1"/>
      <c r="R730" s="1"/>
      <c r="S730" s="1"/>
      <c r="T730" s="1"/>
      <c r="U730" s="1"/>
      <c r="V730" s="1"/>
      <c r="W730" s="1"/>
      <c r="X730" s="1"/>
      <c r="Y730" s="1"/>
    </row>
    <row r="731" spans="1:25" ht="15.75" customHeight="1">
      <c r="A731" s="1"/>
      <c r="B731" s="1"/>
      <c r="C731" s="1"/>
      <c r="D731" s="1"/>
      <c r="E731" s="1"/>
      <c r="F731" s="1"/>
      <c r="G731" s="1"/>
      <c r="H731" s="1"/>
      <c r="I731" s="4"/>
      <c r="J731" s="4"/>
      <c r="K731" s="4"/>
      <c r="L731" s="1"/>
      <c r="M731" s="1"/>
      <c r="N731" s="1"/>
      <c r="O731" s="1"/>
      <c r="P731" s="1"/>
      <c r="Q731" s="1"/>
      <c r="R731" s="1"/>
      <c r="S731" s="1"/>
      <c r="T731" s="1"/>
      <c r="U731" s="1"/>
      <c r="V731" s="1"/>
      <c r="W731" s="1"/>
      <c r="X731" s="1"/>
      <c r="Y731" s="1"/>
    </row>
    <row r="732" spans="1:25" ht="15.75" customHeight="1">
      <c r="A732" s="1"/>
      <c r="B732" s="1"/>
      <c r="C732" s="1"/>
      <c r="D732" s="1"/>
      <c r="E732" s="1"/>
      <c r="F732" s="1"/>
      <c r="G732" s="1"/>
      <c r="H732" s="1"/>
      <c r="I732" s="4"/>
      <c r="J732" s="4"/>
      <c r="K732" s="4"/>
      <c r="L732" s="1"/>
      <c r="M732" s="1"/>
      <c r="N732" s="1"/>
      <c r="O732" s="1"/>
      <c r="P732" s="1"/>
      <c r="Q732" s="1"/>
      <c r="R732" s="1"/>
      <c r="S732" s="1"/>
      <c r="T732" s="1"/>
      <c r="U732" s="1"/>
      <c r="V732" s="1"/>
      <c r="W732" s="1"/>
      <c r="X732" s="1"/>
      <c r="Y732" s="1"/>
    </row>
    <row r="733" spans="1:25" ht="15.75" customHeight="1">
      <c r="A733" s="1"/>
      <c r="B733" s="1"/>
      <c r="C733" s="1"/>
      <c r="D733" s="1"/>
      <c r="E733" s="1"/>
      <c r="F733" s="1"/>
      <c r="G733" s="1"/>
      <c r="H733" s="1"/>
      <c r="I733" s="4"/>
      <c r="J733" s="4"/>
      <c r="K733" s="4"/>
      <c r="L733" s="1"/>
      <c r="M733" s="1"/>
      <c r="N733" s="1"/>
      <c r="O733" s="1"/>
      <c r="P733" s="1"/>
      <c r="Q733" s="1"/>
      <c r="R733" s="1"/>
      <c r="S733" s="1"/>
      <c r="T733" s="1"/>
      <c r="U733" s="1"/>
      <c r="V733" s="1"/>
      <c r="W733" s="1"/>
      <c r="X733" s="1"/>
      <c r="Y733" s="1"/>
    </row>
    <row r="734" spans="1:25" ht="15.75" customHeight="1">
      <c r="A734" s="1"/>
      <c r="B734" s="1"/>
      <c r="C734" s="1"/>
      <c r="D734" s="1"/>
      <c r="E734" s="1"/>
      <c r="F734" s="1"/>
      <c r="G734" s="1"/>
      <c r="H734" s="1"/>
      <c r="I734" s="4"/>
      <c r="J734" s="4"/>
      <c r="K734" s="4"/>
      <c r="L734" s="1"/>
      <c r="M734" s="1"/>
      <c r="N734" s="1"/>
      <c r="O734" s="1"/>
      <c r="P734" s="1"/>
      <c r="Q734" s="1"/>
      <c r="R734" s="1"/>
      <c r="S734" s="1"/>
      <c r="T734" s="1"/>
      <c r="U734" s="1"/>
      <c r="V734" s="1"/>
      <c r="W734" s="1"/>
      <c r="X734" s="1"/>
      <c r="Y734" s="1"/>
    </row>
    <row r="735" spans="1:25" ht="15.75" customHeight="1">
      <c r="A735" s="1"/>
      <c r="B735" s="1"/>
      <c r="C735" s="1"/>
      <c r="D735" s="1"/>
      <c r="E735" s="1"/>
      <c r="F735" s="1"/>
      <c r="G735" s="1"/>
      <c r="H735" s="1"/>
      <c r="I735" s="4"/>
      <c r="J735" s="4"/>
      <c r="K735" s="4"/>
      <c r="L735" s="1"/>
      <c r="M735" s="1"/>
      <c r="N735" s="1"/>
      <c r="O735" s="1"/>
      <c r="P735" s="1"/>
      <c r="Q735" s="1"/>
      <c r="R735" s="1"/>
      <c r="S735" s="1"/>
      <c r="T735" s="1"/>
      <c r="U735" s="1"/>
      <c r="V735" s="1"/>
      <c r="W735" s="1"/>
      <c r="X735" s="1"/>
      <c r="Y735" s="1"/>
    </row>
    <row r="736" spans="1:25" ht="15.75" customHeight="1">
      <c r="A736" s="1"/>
      <c r="B736" s="1"/>
      <c r="C736" s="1"/>
      <c r="D736" s="1"/>
      <c r="E736" s="1"/>
      <c r="F736" s="1"/>
      <c r="G736" s="1"/>
      <c r="H736" s="1"/>
      <c r="I736" s="4"/>
      <c r="J736" s="4"/>
      <c r="K736" s="4"/>
      <c r="L736" s="1"/>
      <c r="M736" s="1"/>
      <c r="N736" s="1"/>
      <c r="O736" s="1"/>
      <c r="P736" s="1"/>
      <c r="Q736" s="1"/>
      <c r="R736" s="1"/>
      <c r="S736" s="1"/>
      <c r="T736" s="1"/>
      <c r="U736" s="1"/>
      <c r="V736" s="1"/>
      <c r="W736" s="1"/>
      <c r="X736" s="1"/>
      <c r="Y736" s="1"/>
    </row>
    <row r="737" spans="1:25" ht="15.75" customHeight="1">
      <c r="A737" s="1"/>
      <c r="B737" s="1"/>
      <c r="C737" s="1"/>
      <c r="D737" s="1"/>
      <c r="E737" s="1"/>
      <c r="F737" s="1"/>
      <c r="G737" s="1"/>
      <c r="H737" s="1"/>
      <c r="I737" s="4"/>
      <c r="J737" s="4"/>
      <c r="K737" s="4"/>
      <c r="L737" s="1"/>
      <c r="M737" s="1"/>
      <c r="N737" s="1"/>
      <c r="O737" s="1"/>
      <c r="P737" s="1"/>
      <c r="Q737" s="1"/>
      <c r="R737" s="1"/>
      <c r="S737" s="1"/>
      <c r="T737" s="1"/>
      <c r="U737" s="1"/>
      <c r="V737" s="1"/>
      <c r="W737" s="1"/>
      <c r="X737" s="1"/>
      <c r="Y737" s="1"/>
    </row>
    <row r="738" spans="1:25" ht="15.75" customHeight="1">
      <c r="A738" s="1"/>
      <c r="B738" s="1"/>
      <c r="C738" s="1"/>
      <c r="D738" s="1"/>
      <c r="E738" s="1"/>
      <c r="F738" s="1"/>
      <c r="G738" s="1"/>
      <c r="H738" s="1"/>
      <c r="I738" s="4"/>
      <c r="J738" s="4"/>
      <c r="K738" s="4"/>
      <c r="L738" s="1"/>
      <c r="M738" s="1"/>
      <c r="N738" s="1"/>
      <c r="O738" s="1"/>
      <c r="P738" s="1"/>
      <c r="Q738" s="1"/>
      <c r="R738" s="1"/>
      <c r="S738" s="1"/>
      <c r="T738" s="1"/>
      <c r="U738" s="1"/>
      <c r="V738" s="1"/>
      <c r="W738" s="1"/>
      <c r="X738" s="1"/>
      <c r="Y738" s="1"/>
    </row>
    <row r="739" spans="1:25" ht="15.75" customHeight="1">
      <c r="A739" s="1"/>
      <c r="B739" s="1"/>
      <c r="C739" s="1"/>
      <c r="D739" s="1"/>
      <c r="E739" s="1"/>
      <c r="F739" s="1"/>
      <c r="G739" s="1"/>
      <c r="H739" s="1"/>
      <c r="I739" s="4"/>
      <c r="J739" s="4"/>
      <c r="K739" s="4"/>
      <c r="L739" s="1"/>
      <c r="M739" s="1"/>
      <c r="N739" s="1"/>
      <c r="O739" s="1"/>
      <c r="P739" s="1"/>
      <c r="Q739" s="1"/>
      <c r="R739" s="1"/>
      <c r="S739" s="1"/>
      <c r="T739" s="1"/>
      <c r="U739" s="1"/>
      <c r="V739" s="1"/>
      <c r="W739" s="1"/>
      <c r="X739" s="1"/>
      <c r="Y739" s="1"/>
    </row>
    <row r="740" spans="1:25" ht="15.75" customHeight="1">
      <c r="A740" s="1"/>
      <c r="B740" s="1"/>
      <c r="C740" s="1"/>
      <c r="D740" s="1"/>
      <c r="E740" s="1"/>
      <c r="F740" s="1"/>
      <c r="G740" s="1"/>
      <c r="H740" s="1"/>
      <c r="I740" s="4"/>
      <c r="J740" s="4"/>
      <c r="K740" s="4"/>
      <c r="L740" s="1"/>
      <c r="M740" s="1"/>
      <c r="N740" s="1"/>
      <c r="O740" s="1"/>
      <c r="P740" s="1"/>
      <c r="Q740" s="1"/>
      <c r="R740" s="1"/>
      <c r="S740" s="1"/>
      <c r="T740" s="1"/>
      <c r="U740" s="1"/>
      <c r="V740" s="1"/>
      <c r="W740" s="1"/>
      <c r="X740" s="1"/>
      <c r="Y740" s="1"/>
    </row>
    <row r="741" spans="1:25" ht="15.75" customHeight="1">
      <c r="A741" s="1"/>
      <c r="B741" s="1"/>
      <c r="C741" s="1"/>
      <c r="D741" s="1"/>
      <c r="E741" s="1"/>
      <c r="F741" s="1"/>
      <c r="G741" s="1"/>
      <c r="H741" s="1"/>
      <c r="I741" s="4"/>
      <c r="J741" s="4"/>
      <c r="K741" s="4"/>
      <c r="L741" s="1"/>
      <c r="M741" s="1"/>
      <c r="N741" s="1"/>
      <c r="O741" s="1"/>
      <c r="P741" s="1"/>
      <c r="Q741" s="1"/>
      <c r="R741" s="1"/>
      <c r="S741" s="1"/>
      <c r="T741" s="1"/>
      <c r="U741" s="1"/>
      <c r="V741" s="1"/>
      <c r="W741" s="1"/>
      <c r="X741" s="1"/>
      <c r="Y741" s="1"/>
    </row>
    <row r="742" spans="1:25" ht="15.75" customHeight="1">
      <c r="A742" s="1"/>
      <c r="B742" s="1"/>
      <c r="C742" s="1"/>
      <c r="D742" s="1"/>
      <c r="E742" s="1"/>
      <c r="F742" s="1"/>
      <c r="G742" s="1"/>
      <c r="H742" s="1"/>
      <c r="I742" s="4"/>
      <c r="J742" s="4"/>
      <c r="K742" s="4"/>
      <c r="L742" s="1"/>
      <c r="M742" s="1"/>
      <c r="N742" s="1"/>
      <c r="O742" s="1"/>
      <c r="P742" s="1"/>
      <c r="Q742" s="1"/>
      <c r="R742" s="1"/>
      <c r="S742" s="1"/>
      <c r="T742" s="1"/>
      <c r="U742" s="1"/>
      <c r="V742" s="1"/>
      <c r="W742" s="1"/>
      <c r="X742" s="1"/>
      <c r="Y742" s="1"/>
    </row>
    <row r="743" spans="1:25" ht="15.75" customHeight="1">
      <c r="A743" s="1"/>
      <c r="B743" s="1"/>
      <c r="C743" s="1"/>
      <c r="D743" s="1"/>
      <c r="E743" s="1"/>
      <c r="F743" s="1"/>
      <c r="G743" s="1"/>
      <c r="H743" s="1"/>
      <c r="I743" s="4"/>
      <c r="J743" s="4"/>
      <c r="K743" s="4"/>
      <c r="L743" s="1"/>
      <c r="M743" s="1"/>
      <c r="N743" s="1"/>
      <c r="O743" s="1"/>
      <c r="P743" s="1"/>
      <c r="Q743" s="1"/>
      <c r="R743" s="1"/>
      <c r="S743" s="1"/>
      <c r="T743" s="1"/>
      <c r="U743" s="1"/>
      <c r="V743" s="1"/>
      <c r="W743" s="1"/>
      <c r="X743" s="1"/>
      <c r="Y743" s="1"/>
    </row>
    <row r="744" spans="1:25" ht="15.75" customHeight="1">
      <c r="A744" s="1"/>
      <c r="B744" s="1"/>
      <c r="C744" s="1"/>
      <c r="D744" s="1"/>
      <c r="E744" s="1"/>
      <c r="F744" s="1"/>
      <c r="G744" s="1"/>
      <c r="H744" s="1"/>
      <c r="I744" s="4"/>
      <c r="J744" s="4"/>
      <c r="K744" s="4"/>
      <c r="L744" s="1"/>
      <c r="M744" s="1"/>
      <c r="N744" s="1"/>
      <c r="O744" s="1"/>
      <c r="P744" s="1"/>
      <c r="Q744" s="1"/>
      <c r="R744" s="1"/>
      <c r="S744" s="1"/>
      <c r="T744" s="1"/>
      <c r="U744" s="1"/>
      <c r="V744" s="1"/>
      <c r="W744" s="1"/>
      <c r="X744" s="1"/>
      <c r="Y744" s="1"/>
    </row>
    <row r="745" spans="1:25" ht="15.75" customHeight="1">
      <c r="A745" s="1"/>
      <c r="B745" s="1"/>
      <c r="C745" s="1"/>
      <c r="D745" s="1"/>
      <c r="E745" s="1"/>
      <c r="F745" s="1"/>
      <c r="G745" s="1"/>
      <c r="H745" s="1"/>
      <c r="I745" s="4"/>
      <c r="J745" s="4"/>
      <c r="K745" s="4"/>
      <c r="L745" s="1"/>
      <c r="M745" s="1"/>
      <c r="N745" s="1"/>
      <c r="O745" s="1"/>
      <c r="P745" s="1"/>
      <c r="Q745" s="1"/>
      <c r="R745" s="1"/>
      <c r="S745" s="1"/>
      <c r="T745" s="1"/>
      <c r="U745" s="1"/>
      <c r="V745" s="1"/>
      <c r="W745" s="1"/>
      <c r="X745" s="1"/>
      <c r="Y745" s="1"/>
    </row>
    <row r="746" spans="1:25" ht="15.75" customHeight="1">
      <c r="A746" s="1"/>
      <c r="B746" s="1"/>
      <c r="C746" s="1"/>
      <c r="D746" s="1"/>
      <c r="E746" s="1"/>
      <c r="F746" s="1"/>
      <c r="G746" s="1"/>
      <c r="H746" s="1"/>
      <c r="I746" s="4"/>
      <c r="J746" s="4"/>
      <c r="K746" s="4"/>
      <c r="L746" s="1"/>
      <c r="M746" s="1"/>
      <c r="N746" s="1"/>
      <c r="O746" s="1"/>
      <c r="P746" s="1"/>
      <c r="Q746" s="1"/>
      <c r="R746" s="1"/>
      <c r="S746" s="1"/>
      <c r="T746" s="1"/>
      <c r="U746" s="1"/>
      <c r="V746" s="1"/>
      <c r="W746" s="1"/>
      <c r="X746" s="1"/>
      <c r="Y746" s="1"/>
    </row>
    <row r="747" spans="1:25" ht="15.75" customHeight="1">
      <c r="A747" s="1"/>
      <c r="B747" s="1"/>
      <c r="C747" s="1"/>
      <c r="D747" s="1"/>
      <c r="E747" s="1"/>
      <c r="F747" s="1"/>
      <c r="G747" s="1"/>
      <c r="H747" s="1"/>
      <c r="I747" s="4"/>
      <c r="J747" s="4"/>
      <c r="K747" s="4"/>
      <c r="L747" s="1"/>
      <c r="M747" s="1"/>
      <c r="N747" s="1"/>
      <c r="O747" s="1"/>
      <c r="P747" s="1"/>
      <c r="Q747" s="1"/>
      <c r="R747" s="1"/>
      <c r="S747" s="1"/>
      <c r="T747" s="1"/>
      <c r="U747" s="1"/>
      <c r="V747" s="1"/>
      <c r="W747" s="1"/>
      <c r="X747" s="1"/>
      <c r="Y747" s="1"/>
    </row>
    <row r="748" spans="1:25" ht="15.75" customHeight="1">
      <c r="A748" s="1"/>
      <c r="B748" s="1"/>
      <c r="C748" s="1"/>
      <c r="D748" s="1"/>
      <c r="E748" s="1"/>
      <c r="F748" s="1"/>
      <c r="G748" s="1"/>
      <c r="H748" s="1"/>
      <c r="I748" s="4"/>
      <c r="J748" s="4"/>
      <c r="K748" s="4"/>
      <c r="L748" s="1"/>
      <c r="M748" s="1"/>
      <c r="N748" s="1"/>
      <c r="O748" s="1"/>
      <c r="P748" s="1"/>
      <c r="Q748" s="1"/>
      <c r="R748" s="1"/>
      <c r="S748" s="1"/>
      <c r="T748" s="1"/>
      <c r="U748" s="1"/>
      <c r="V748" s="1"/>
      <c r="W748" s="1"/>
      <c r="X748" s="1"/>
      <c r="Y748" s="1"/>
    </row>
    <row r="749" spans="1:25" ht="15.75" customHeight="1">
      <c r="A749" s="1"/>
      <c r="B749" s="1"/>
      <c r="C749" s="1"/>
      <c r="D749" s="1"/>
      <c r="E749" s="1"/>
      <c r="F749" s="1"/>
      <c r="G749" s="1"/>
      <c r="H749" s="1"/>
      <c r="I749" s="4"/>
      <c r="J749" s="4"/>
      <c r="K749" s="4"/>
      <c r="L749" s="1"/>
      <c r="M749" s="1"/>
      <c r="N749" s="1"/>
      <c r="O749" s="1"/>
      <c r="P749" s="1"/>
      <c r="Q749" s="1"/>
      <c r="R749" s="1"/>
      <c r="S749" s="1"/>
      <c r="T749" s="1"/>
      <c r="U749" s="1"/>
      <c r="V749" s="1"/>
      <c r="W749" s="1"/>
      <c r="X749" s="1"/>
      <c r="Y749" s="1"/>
    </row>
    <row r="750" spans="1:25" ht="15.75" customHeight="1">
      <c r="A750" s="1"/>
      <c r="B750" s="1"/>
      <c r="C750" s="1"/>
      <c r="D750" s="1"/>
      <c r="E750" s="1"/>
      <c r="F750" s="1"/>
      <c r="G750" s="1"/>
      <c r="H750" s="1"/>
      <c r="I750" s="4"/>
      <c r="J750" s="4"/>
      <c r="K750" s="4"/>
      <c r="L750" s="1"/>
      <c r="M750" s="1"/>
      <c r="N750" s="1"/>
      <c r="O750" s="1"/>
      <c r="P750" s="1"/>
      <c r="Q750" s="1"/>
      <c r="R750" s="1"/>
      <c r="S750" s="1"/>
      <c r="T750" s="1"/>
      <c r="U750" s="1"/>
      <c r="V750" s="1"/>
      <c r="W750" s="1"/>
      <c r="X750" s="1"/>
      <c r="Y750" s="1"/>
    </row>
    <row r="751" spans="1:25" ht="15.75" customHeight="1">
      <c r="A751" s="1"/>
      <c r="B751" s="1"/>
      <c r="C751" s="1"/>
      <c r="D751" s="1"/>
      <c r="E751" s="1"/>
      <c r="F751" s="1"/>
      <c r="G751" s="1"/>
      <c r="H751" s="1"/>
      <c r="I751" s="4"/>
      <c r="J751" s="4"/>
      <c r="K751" s="4"/>
      <c r="L751" s="1"/>
      <c r="M751" s="1"/>
      <c r="N751" s="1"/>
      <c r="O751" s="1"/>
      <c r="P751" s="1"/>
      <c r="Q751" s="1"/>
      <c r="R751" s="1"/>
      <c r="S751" s="1"/>
      <c r="T751" s="1"/>
      <c r="U751" s="1"/>
      <c r="V751" s="1"/>
      <c r="W751" s="1"/>
      <c r="X751" s="1"/>
      <c r="Y751" s="1"/>
    </row>
    <row r="752" spans="1:25" ht="15.75" customHeight="1">
      <c r="A752" s="1"/>
      <c r="B752" s="1"/>
      <c r="C752" s="1"/>
      <c r="D752" s="1"/>
      <c r="E752" s="1"/>
      <c r="F752" s="1"/>
      <c r="G752" s="1"/>
      <c r="H752" s="1"/>
      <c r="I752" s="4"/>
      <c r="J752" s="4"/>
      <c r="K752" s="4"/>
      <c r="L752" s="1"/>
      <c r="M752" s="1"/>
      <c r="N752" s="1"/>
      <c r="O752" s="1"/>
      <c r="P752" s="1"/>
      <c r="Q752" s="1"/>
      <c r="R752" s="1"/>
      <c r="S752" s="1"/>
      <c r="T752" s="1"/>
      <c r="U752" s="1"/>
      <c r="V752" s="1"/>
      <c r="W752" s="1"/>
      <c r="X752" s="1"/>
      <c r="Y752" s="1"/>
    </row>
    <row r="753" spans="1:25" ht="15.75" customHeight="1">
      <c r="A753" s="1"/>
      <c r="B753" s="1"/>
      <c r="C753" s="1"/>
      <c r="D753" s="1"/>
      <c r="E753" s="1"/>
      <c r="F753" s="1"/>
      <c r="G753" s="1"/>
      <c r="H753" s="1"/>
      <c r="I753" s="4"/>
      <c r="J753" s="4"/>
      <c r="K753" s="4"/>
      <c r="L753" s="1"/>
      <c r="M753" s="1"/>
      <c r="N753" s="1"/>
      <c r="O753" s="1"/>
      <c r="P753" s="1"/>
      <c r="Q753" s="1"/>
      <c r="R753" s="1"/>
      <c r="S753" s="1"/>
      <c r="T753" s="1"/>
      <c r="U753" s="1"/>
      <c r="V753" s="1"/>
      <c r="W753" s="1"/>
      <c r="X753" s="1"/>
      <c r="Y753" s="1"/>
    </row>
    <row r="754" spans="1:25" ht="15.75" customHeight="1">
      <c r="A754" s="1"/>
      <c r="B754" s="1"/>
      <c r="C754" s="1"/>
      <c r="D754" s="1"/>
      <c r="E754" s="1"/>
      <c r="F754" s="1"/>
      <c r="G754" s="1"/>
      <c r="H754" s="1"/>
      <c r="I754" s="4"/>
      <c r="J754" s="4"/>
      <c r="K754" s="4"/>
      <c r="L754" s="1"/>
      <c r="M754" s="1"/>
      <c r="N754" s="1"/>
      <c r="O754" s="1"/>
      <c r="P754" s="1"/>
      <c r="Q754" s="1"/>
      <c r="R754" s="1"/>
      <c r="S754" s="1"/>
      <c r="T754" s="1"/>
      <c r="U754" s="1"/>
      <c r="V754" s="1"/>
      <c r="W754" s="1"/>
      <c r="X754" s="1"/>
      <c r="Y754" s="1"/>
    </row>
    <row r="755" spans="1:25" ht="15.75" customHeight="1">
      <c r="A755" s="1"/>
      <c r="B755" s="1"/>
      <c r="C755" s="1"/>
      <c r="D755" s="1"/>
      <c r="E755" s="1"/>
      <c r="F755" s="1"/>
      <c r="G755" s="1"/>
      <c r="H755" s="1"/>
      <c r="I755" s="4"/>
      <c r="J755" s="4"/>
      <c r="K755" s="4"/>
      <c r="L755" s="1"/>
      <c r="M755" s="1"/>
      <c r="N755" s="1"/>
      <c r="O755" s="1"/>
      <c r="P755" s="1"/>
      <c r="Q755" s="1"/>
      <c r="R755" s="1"/>
      <c r="S755" s="1"/>
      <c r="T755" s="1"/>
      <c r="U755" s="1"/>
      <c r="V755" s="1"/>
      <c r="W755" s="1"/>
      <c r="X755" s="1"/>
      <c r="Y755" s="1"/>
    </row>
    <row r="756" spans="1:25" ht="15.75" customHeight="1">
      <c r="A756" s="1"/>
      <c r="B756" s="1"/>
      <c r="C756" s="1"/>
      <c r="D756" s="1"/>
      <c r="E756" s="1"/>
      <c r="F756" s="1"/>
      <c r="G756" s="1"/>
      <c r="H756" s="1"/>
      <c r="I756" s="4"/>
      <c r="J756" s="4"/>
      <c r="K756" s="4"/>
      <c r="L756" s="1"/>
      <c r="M756" s="1"/>
      <c r="N756" s="1"/>
      <c r="O756" s="1"/>
      <c r="P756" s="1"/>
      <c r="Q756" s="1"/>
      <c r="R756" s="1"/>
      <c r="S756" s="1"/>
      <c r="T756" s="1"/>
      <c r="U756" s="1"/>
      <c r="V756" s="1"/>
      <c r="W756" s="1"/>
      <c r="X756" s="1"/>
      <c r="Y756" s="1"/>
    </row>
    <row r="757" spans="1:25" ht="15.75" customHeight="1">
      <c r="A757" s="1"/>
      <c r="B757" s="1"/>
      <c r="C757" s="1"/>
      <c r="D757" s="1"/>
      <c r="E757" s="1"/>
      <c r="F757" s="1"/>
      <c r="G757" s="1"/>
      <c r="H757" s="1"/>
      <c r="I757" s="4"/>
      <c r="J757" s="4"/>
      <c r="K757" s="4"/>
      <c r="L757" s="1"/>
      <c r="M757" s="1"/>
      <c r="N757" s="1"/>
      <c r="O757" s="1"/>
      <c r="P757" s="1"/>
      <c r="Q757" s="1"/>
      <c r="R757" s="1"/>
      <c r="S757" s="1"/>
      <c r="T757" s="1"/>
      <c r="U757" s="1"/>
      <c r="V757" s="1"/>
      <c r="W757" s="1"/>
      <c r="X757" s="1"/>
      <c r="Y757" s="1"/>
    </row>
    <row r="758" spans="1:25" ht="15.75" customHeight="1">
      <c r="A758" s="1"/>
      <c r="B758" s="1"/>
      <c r="C758" s="1"/>
      <c r="D758" s="1"/>
      <c r="E758" s="1"/>
      <c r="F758" s="1"/>
      <c r="G758" s="1"/>
      <c r="H758" s="1"/>
      <c r="I758" s="4"/>
      <c r="J758" s="4"/>
      <c r="K758" s="4"/>
      <c r="L758" s="1"/>
      <c r="M758" s="1"/>
      <c r="N758" s="1"/>
      <c r="O758" s="1"/>
      <c r="P758" s="1"/>
      <c r="Q758" s="1"/>
      <c r="R758" s="1"/>
      <c r="S758" s="1"/>
      <c r="T758" s="1"/>
      <c r="U758" s="1"/>
      <c r="V758" s="1"/>
      <c r="W758" s="1"/>
      <c r="X758" s="1"/>
      <c r="Y758" s="1"/>
    </row>
    <row r="759" spans="1:25" ht="15.75" customHeight="1">
      <c r="A759" s="1"/>
      <c r="B759" s="1"/>
      <c r="C759" s="1"/>
      <c r="D759" s="1"/>
      <c r="E759" s="1"/>
      <c r="F759" s="1"/>
      <c r="G759" s="1"/>
      <c r="H759" s="1"/>
      <c r="I759" s="4"/>
      <c r="J759" s="4"/>
      <c r="K759" s="4"/>
      <c r="L759" s="1"/>
      <c r="M759" s="1"/>
      <c r="N759" s="1"/>
      <c r="O759" s="1"/>
      <c r="P759" s="1"/>
      <c r="Q759" s="1"/>
      <c r="R759" s="1"/>
      <c r="S759" s="1"/>
      <c r="T759" s="1"/>
      <c r="U759" s="1"/>
      <c r="V759" s="1"/>
      <c r="W759" s="1"/>
      <c r="X759" s="1"/>
      <c r="Y759" s="1"/>
    </row>
    <row r="760" spans="1:25" ht="15.75" customHeight="1">
      <c r="A760" s="1"/>
      <c r="B760" s="1"/>
      <c r="C760" s="1"/>
      <c r="D760" s="1"/>
      <c r="E760" s="1"/>
      <c r="F760" s="1"/>
      <c r="G760" s="1"/>
      <c r="H760" s="1"/>
      <c r="I760" s="4"/>
      <c r="J760" s="4"/>
      <c r="K760" s="4"/>
      <c r="L760" s="1"/>
      <c r="M760" s="1"/>
      <c r="N760" s="1"/>
      <c r="O760" s="1"/>
      <c r="P760" s="1"/>
      <c r="Q760" s="1"/>
      <c r="R760" s="1"/>
      <c r="S760" s="1"/>
      <c r="T760" s="1"/>
      <c r="U760" s="1"/>
      <c r="V760" s="1"/>
      <c r="W760" s="1"/>
      <c r="X760" s="1"/>
      <c r="Y760" s="1"/>
    </row>
    <row r="761" spans="1:25" ht="15.75" customHeight="1">
      <c r="A761" s="1"/>
      <c r="B761" s="1"/>
      <c r="C761" s="1"/>
      <c r="D761" s="1"/>
      <c r="E761" s="1"/>
      <c r="F761" s="1"/>
      <c r="G761" s="1"/>
      <c r="H761" s="1"/>
      <c r="I761" s="4"/>
      <c r="J761" s="4"/>
      <c r="K761" s="4"/>
      <c r="L761" s="1"/>
      <c r="M761" s="1"/>
      <c r="N761" s="1"/>
      <c r="O761" s="1"/>
      <c r="P761" s="1"/>
      <c r="Q761" s="1"/>
      <c r="R761" s="1"/>
      <c r="S761" s="1"/>
      <c r="T761" s="1"/>
      <c r="U761" s="1"/>
      <c r="V761" s="1"/>
      <c r="W761" s="1"/>
      <c r="X761" s="1"/>
      <c r="Y761" s="1"/>
    </row>
    <row r="762" spans="1:25" ht="15.75" customHeight="1">
      <c r="A762" s="1"/>
      <c r="B762" s="1"/>
      <c r="C762" s="1"/>
      <c r="D762" s="1"/>
      <c r="E762" s="1"/>
      <c r="F762" s="1"/>
      <c r="G762" s="1"/>
      <c r="H762" s="1"/>
      <c r="I762" s="4"/>
      <c r="J762" s="4"/>
      <c r="K762" s="4"/>
      <c r="L762" s="1"/>
      <c r="M762" s="1"/>
      <c r="N762" s="1"/>
      <c r="O762" s="1"/>
      <c r="P762" s="1"/>
      <c r="Q762" s="1"/>
      <c r="R762" s="1"/>
      <c r="S762" s="1"/>
      <c r="T762" s="1"/>
      <c r="U762" s="1"/>
      <c r="V762" s="1"/>
      <c r="W762" s="1"/>
      <c r="X762" s="1"/>
      <c r="Y762" s="1"/>
    </row>
    <row r="763" spans="1:25" ht="15.75" customHeight="1">
      <c r="A763" s="1"/>
      <c r="B763" s="1"/>
      <c r="C763" s="1"/>
      <c r="D763" s="1"/>
      <c r="E763" s="1"/>
      <c r="F763" s="1"/>
      <c r="G763" s="1"/>
      <c r="H763" s="1"/>
      <c r="I763" s="4"/>
      <c r="J763" s="4"/>
      <c r="K763" s="4"/>
      <c r="L763" s="1"/>
      <c r="M763" s="1"/>
      <c r="N763" s="1"/>
      <c r="O763" s="1"/>
      <c r="P763" s="1"/>
      <c r="Q763" s="1"/>
      <c r="R763" s="1"/>
      <c r="S763" s="1"/>
      <c r="T763" s="1"/>
      <c r="U763" s="1"/>
      <c r="V763" s="1"/>
      <c r="W763" s="1"/>
      <c r="X763" s="1"/>
      <c r="Y763" s="1"/>
    </row>
    <row r="764" spans="1:25" ht="15.75" customHeight="1">
      <c r="A764" s="1"/>
      <c r="B764" s="1"/>
      <c r="C764" s="1"/>
      <c r="D764" s="1"/>
      <c r="E764" s="1"/>
      <c r="F764" s="1"/>
      <c r="G764" s="1"/>
      <c r="H764" s="1"/>
      <c r="I764" s="4"/>
      <c r="J764" s="4"/>
      <c r="K764" s="4"/>
      <c r="L764" s="1"/>
      <c r="M764" s="1"/>
      <c r="N764" s="1"/>
      <c r="O764" s="1"/>
      <c r="P764" s="1"/>
      <c r="Q764" s="1"/>
      <c r="R764" s="1"/>
      <c r="S764" s="1"/>
      <c r="T764" s="1"/>
      <c r="U764" s="1"/>
      <c r="V764" s="1"/>
      <c r="W764" s="1"/>
      <c r="X764" s="1"/>
      <c r="Y764" s="1"/>
    </row>
    <row r="765" spans="1:25" ht="15.75" customHeight="1">
      <c r="A765" s="1"/>
      <c r="B765" s="1"/>
      <c r="C765" s="1"/>
      <c r="D765" s="1"/>
      <c r="E765" s="1"/>
      <c r="F765" s="1"/>
      <c r="G765" s="1"/>
      <c r="H765" s="1"/>
      <c r="I765" s="4"/>
      <c r="J765" s="4"/>
      <c r="K765" s="4"/>
      <c r="L765" s="1"/>
      <c r="M765" s="1"/>
      <c r="N765" s="1"/>
      <c r="O765" s="1"/>
      <c r="P765" s="1"/>
      <c r="Q765" s="1"/>
      <c r="R765" s="1"/>
      <c r="S765" s="1"/>
      <c r="T765" s="1"/>
      <c r="U765" s="1"/>
      <c r="V765" s="1"/>
      <c r="W765" s="1"/>
      <c r="X765" s="1"/>
      <c r="Y765" s="1"/>
    </row>
    <row r="766" spans="1:25" ht="15.75" customHeight="1">
      <c r="A766" s="1"/>
      <c r="B766" s="1"/>
      <c r="C766" s="1"/>
      <c r="D766" s="1"/>
      <c r="E766" s="1"/>
      <c r="F766" s="1"/>
      <c r="G766" s="1"/>
      <c r="H766" s="1"/>
      <c r="I766" s="4"/>
      <c r="J766" s="4"/>
      <c r="K766" s="4"/>
      <c r="L766" s="1"/>
      <c r="M766" s="1"/>
      <c r="N766" s="1"/>
      <c r="O766" s="1"/>
      <c r="P766" s="1"/>
      <c r="Q766" s="1"/>
      <c r="R766" s="1"/>
      <c r="S766" s="1"/>
      <c r="T766" s="1"/>
      <c r="U766" s="1"/>
      <c r="V766" s="1"/>
      <c r="W766" s="1"/>
      <c r="X766" s="1"/>
      <c r="Y766" s="1"/>
    </row>
    <row r="767" spans="1:25" ht="15.75" customHeight="1">
      <c r="A767" s="1"/>
      <c r="B767" s="1"/>
      <c r="C767" s="1"/>
      <c r="D767" s="1"/>
      <c r="E767" s="1"/>
      <c r="F767" s="1"/>
      <c r="G767" s="1"/>
      <c r="H767" s="1"/>
      <c r="I767" s="4"/>
      <c r="J767" s="4"/>
      <c r="K767" s="4"/>
      <c r="L767" s="1"/>
      <c r="M767" s="1"/>
      <c r="N767" s="1"/>
      <c r="O767" s="1"/>
      <c r="P767" s="1"/>
      <c r="Q767" s="1"/>
      <c r="R767" s="1"/>
      <c r="S767" s="1"/>
      <c r="T767" s="1"/>
      <c r="U767" s="1"/>
      <c r="V767" s="1"/>
      <c r="W767" s="1"/>
      <c r="X767" s="1"/>
      <c r="Y767" s="1"/>
    </row>
    <row r="768" spans="1:25" ht="15.75" customHeight="1">
      <c r="A768" s="1"/>
      <c r="B768" s="1"/>
      <c r="C768" s="1"/>
      <c r="D768" s="1"/>
      <c r="E768" s="1"/>
      <c r="F768" s="1"/>
      <c r="G768" s="1"/>
      <c r="H768" s="1"/>
      <c r="I768" s="4"/>
      <c r="J768" s="4"/>
      <c r="K768" s="4"/>
      <c r="L768" s="1"/>
      <c r="M768" s="1"/>
      <c r="N768" s="1"/>
      <c r="O768" s="1"/>
      <c r="P768" s="1"/>
      <c r="Q768" s="1"/>
      <c r="R768" s="1"/>
      <c r="S768" s="1"/>
      <c r="T768" s="1"/>
      <c r="U768" s="1"/>
      <c r="V768" s="1"/>
      <c r="W768" s="1"/>
      <c r="X768" s="1"/>
      <c r="Y768" s="1"/>
    </row>
    <row r="769" spans="1:25" ht="15.75" customHeight="1">
      <c r="A769" s="1"/>
      <c r="B769" s="1"/>
      <c r="C769" s="1"/>
      <c r="D769" s="1"/>
      <c r="E769" s="1"/>
      <c r="F769" s="1"/>
      <c r="G769" s="1"/>
      <c r="H769" s="1"/>
      <c r="I769" s="4"/>
      <c r="J769" s="4"/>
      <c r="K769" s="4"/>
      <c r="L769" s="1"/>
      <c r="M769" s="1"/>
      <c r="N769" s="1"/>
      <c r="O769" s="1"/>
      <c r="P769" s="1"/>
      <c r="Q769" s="1"/>
      <c r="R769" s="1"/>
      <c r="S769" s="1"/>
      <c r="T769" s="1"/>
      <c r="U769" s="1"/>
      <c r="V769" s="1"/>
      <c r="W769" s="1"/>
      <c r="X769" s="1"/>
      <c r="Y769" s="1"/>
    </row>
    <row r="770" spans="1:25" ht="15.75" customHeight="1">
      <c r="A770" s="1"/>
      <c r="B770" s="1"/>
      <c r="C770" s="1"/>
      <c r="D770" s="1"/>
      <c r="E770" s="1"/>
      <c r="F770" s="1"/>
      <c r="G770" s="1"/>
      <c r="H770" s="1"/>
      <c r="I770" s="4"/>
      <c r="J770" s="4"/>
      <c r="K770" s="4"/>
      <c r="L770" s="1"/>
      <c r="M770" s="1"/>
      <c r="N770" s="1"/>
      <c r="O770" s="1"/>
      <c r="P770" s="1"/>
      <c r="Q770" s="1"/>
      <c r="R770" s="1"/>
      <c r="S770" s="1"/>
      <c r="T770" s="1"/>
      <c r="U770" s="1"/>
      <c r="V770" s="1"/>
      <c r="W770" s="1"/>
      <c r="X770" s="1"/>
      <c r="Y770" s="1"/>
    </row>
    <row r="771" spans="1:25" ht="15.75" customHeight="1">
      <c r="A771" s="1"/>
      <c r="B771" s="1"/>
      <c r="C771" s="1"/>
      <c r="D771" s="1"/>
      <c r="E771" s="1"/>
      <c r="F771" s="1"/>
      <c r="G771" s="1"/>
      <c r="H771" s="1"/>
      <c r="I771" s="4"/>
      <c r="J771" s="4"/>
      <c r="K771" s="4"/>
      <c r="L771" s="1"/>
      <c r="M771" s="1"/>
      <c r="N771" s="1"/>
      <c r="O771" s="1"/>
      <c r="P771" s="1"/>
      <c r="Q771" s="1"/>
      <c r="R771" s="1"/>
      <c r="S771" s="1"/>
      <c r="T771" s="1"/>
      <c r="U771" s="1"/>
      <c r="V771" s="1"/>
      <c r="W771" s="1"/>
      <c r="X771" s="1"/>
      <c r="Y771" s="1"/>
    </row>
    <row r="772" spans="1:25" ht="15.75" customHeight="1">
      <c r="A772" s="1"/>
      <c r="B772" s="1"/>
      <c r="C772" s="1"/>
      <c r="D772" s="1"/>
      <c r="E772" s="1"/>
      <c r="F772" s="1"/>
      <c r="G772" s="1"/>
      <c r="H772" s="1"/>
      <c r="I772" s="4"/>
      <c r="J772" s="4"/>
      <c r="K772" s="4"/>
      <c r="L772" s="1"/>
      <c r="M772" s="1"/>
      <c r="N772" s="1"/>
      <c r="O772" s="1"/>
      <c r="P772" s="1"/>
      <c r="Q772" s="1"/>
      <c r="R772" s="1"/>
      <c r="S772" s="1"/>
      <c r="T772" s="1"/>
      <c r="U772" s="1"/>
      <c r="V772" s="1"/>
      <c r="W772" s="1"/>
      <c r="X772" s="1"/>
      <c r="Y772" s="1"/>
    </row>
    <row r="773" spans="1:25" ht="15.75" customHeight="1">
      <c r="A773" s="1"/>
      <c r="B773" s="1"/>
      <c r="C773" s="1"/>
      <c r="D773" s="1"/>
      <c r="E773" s="1"/>
      <c r="F773" s="1"/>
      <c r="G773" s="1"/>
      <c r="H773" s="1"/>
      <c r="I773" s="4"/>
      <c r="J773" s="4"/>
      <c r="K773" s="4"/>
      <c r="L773" s="1"/>
      <c r="M773" s="1"/>
      <c r="N773" s="1"/>
      <c r="O773" s="1"/>
      <c r="P773" s="1"/>
      <c r="Q773" s="1"/>
      <c r="R773" s="1"/>
      <c r="S773" s="1"/>
      <c r="T773" s="1"/>
      <c r="U773" s="1"/>
      <c r="V773" s="1"/>
      <c r="W773" s="1"/>
      <c r="X773" s="1"/>
      <c r="Y773" s="1"/>
    </row>
    <row r="774" spans="1:25" ht="15.75" customHeight="1">
      <c r="A774" s="1"/>
      <c r="B774" s="1"/>
      <c r="C774" s="1"/>
      <c r="D774" s="1"/>
      <c r="E774" s="1"/>
      <c r="F774" s="1"/>
      <c r="G774" s="1"/>
      <c r="H774" s="1"/>
      <c r="I774" s="4"/>
      <c r="J774" s="4"/>
      <c r="K774" s="4"/>
      <c r="L774" s="1"/>
      <c r="M774" s="1"/>
      <c r="N774" s="1"/>
      <c r="O774" s="1"/>
      <c r="P774" s="1"/>
      <c r="Q774" s="1"/>
      <c r="R774" s="1"/>
      <c r="S774" s="1"/>
      <c r="T774" s="1"/>
      <c r="U774" s="1"/>
      <c r="V774" s="1"/>
      <c r="W774" s="1"/>
      <c r="X774" s="1"/>
      <c r="Y774" s="1"/>
    </row>
    <row r="775" spans="1:25" ht="15.75" customHeight="1">
      <c r="A775" s="1"/>
      <c r="B775" s="1"/>
      <c r="C775" s="1"/>
      <c r="D775" s="1"/>
      <c r="E775" s="1"/>
      <c r="F775" s="1"/>
      <c r="G775" s="1"/>
      <c r="H775" s="1"/>
      <c r="I775" s="4"/>
      <c r="J775" s="4"/>
      <c r="K775" s="4"/>
      <c r="L775" s="1"/>
      <c r="M775" s="1"/>
      <c r="N775" s="1"/>
      <c r="O775" s="1"/>
      <c r="P775" s="1"/>
      <c r="Q775" s="1"/>
      <c r="R775" s="1"/>
      <c r="S775" s="1"/>
      <c r="T775" s="1"/>
      <c r="U775" s="1"/>
      <c r="V775" s="1"/>
      <c r="W775" s="1"/>
      <c r="X775" s="1"/>
      <c r="Y775" s="1"/>
    </row>
    <row r="776" spans="1:25" ht="15.75" customHeight="1">
      <c r="A776" s="1"/>
      <c r="B776" s="1"/>
      <c r="C776" s="1"/>
      <c r="D776" s="1"/>
      <c r="E776" s="1"/>
      <c r="F776" s="1"/>
      <c r="G776" s="1"/>
      <c r="H776" s="1"/>
      <c r="I776" s="4"/>
      <c r="J776" s="4"/>
      <c r="K776" s="4"/>
      <c r="L776" s="1"/>
      <c r="M776" s="1"/>
      <c r="N776" s="1"/>
      <c r="O776" s="1"/>
      <c r="P776" s="1"/>
      <c r="Q776" s="1"/>
      <c r="R776" s="1"/>
      <c r="S776" s="1"/>
      <c r="T776" s="1"/>
      <c r="U776" s="1"/>
      <c r="V776" s="1"/>
      <c r="W776" s="1"/>
      <c r="X776" s="1"/>
      <c r="Y776" s="1"/>
    </row>
    <row r="777" spans="1:25" ht="15.75" customHeight="1">
      <c r="A777" s="1"/>
      <c r="B777" s="1"/>
      <c r="C777" s="1"/>
      <c r="D777" s="1"/>
      <c r="E777" s="1"/>
      <c r="F777" s="1"/>
      <c r="G777" s="1"/>
      <c r="H777" s="1"/>
      <c r="I777" s="4"/>
      <c r="J777" s="4"/>
      <c r="K777" s="4"/>
      <c r="L777" s="1"/>
      <c r="M777" s="1"/>
      <c r="N777" s="1"/>
      <c r="O777" s="1"/>
      <c r="P777" s="1"/>
      <c r="Q777" s="1"/>
      <c r="R777" s="1"/>
      <c r="S777" s="1"/>
      <c r="T777" s="1"/>
      <c r="U777" s="1"/>
      <c r="V777" s="1"/>
      <c r="W777" s="1"/>
      <c r="X777" s="1"/>
      <c r="Y777" s="1"/>
    </row>
    <row r="778" spans="1:25" ht="15.75" customHeight="1">
      <c r="A778" s="1"/>
      <c r="B778" s="1"/>
      <c r="C778" s="1"/>
      <c r="D778" s="1"/>
      <c r="E778" s="1"/>
      <c r="F778" s="1"/>
      <c r="G778" s="1"/>
      <c r="H778" s="1"/>
      <c r="I778" s="4"/>
      <c r="J778" s="4"/>
      <c r="K778" s="4"/>
      <c r="L778" s="1"/>
      <c r="M778" s="1"/>
      <c r="N778" s="1"/>
      <c r="O778" s="1"/>
      <c r="P778" s="1"/>
      <c r="Q778" s="1"/>
      <c r="R778" s="1"/>
      <c r="S778" s="1"/>
      <c r="T778" s="1"/>
      <c r="U778" s="1"/>
      <c r="V778" s="1"/>
      <c r="W778" s="1"/>
      <c r="X778" s="1"/>
      <c r="Y778" s="1"/>
    </row>
    <row r="779" spans="1:25" ht="15.75" customHeight="1">
      <c r="A779" s="1"/>
      <c r="B779" s="1"/>
      <c r="C779" s="1"/>
      <c r="D779" s="1"/>
      <c r="E779" s="1"/>
      <c r="F779" s="1"/>
      <c r="G779" s="1"/>
      <c r="H779" s="1"/>
      <c r="I779" s="4"/>
      <c r="J779" s="4"/>
      <c r="K779" s="4"/>
      <c r="L779" s="1"/>
      <c r="M779" s="1"/>
      <c r="N779" s="1"/>
      <c r="O779" s="1"/>
      <c r="P779" s="1"/>
      <c r="Q779" s="1"/>
      <c r="R779" s="1"/>
      <c r="S779" s="1"/>
      <c r="T779" s="1"/>
      <c r="U779" s="1"/>
      <c r="V779" s="1"/>
      <c r="W779" s="1"/>
      <c r="X779" s="1"/>
      <c r="Y779" s="1"/>
    </row>
    <row r="780" spans="1:25" ht="15.75" customHeight="1">
      <c r="A780" s="1"/>
      <c r="B780" s="1"/>
      <c r="C780" s="1"/>
      <c r="D780" s="1"/>
      <c r="E780" s="1"/>
      <c r="F780" s="1"/>
      <c r="G780" s="1"/>
      <c r="H780" s="1"/>
      <c r="I780" s="4"/>
      <c r="J780" s="4"/>
      <c r="K780" s="4"/>
      <c r="L780" s="1"/>
      <c r="M780" s="1"/>
      <c r="N780" s="1"/>
      <c r="O780" s="1"/>
      <c r="P780" s="1"/>
      <c r="Q780" s="1"/>
      <c r="R780" s="1"/>
      <c r="S780" s="1"/>
      <c r="T780" s="1"/>
      <c r="U780" s="1"/>
      <c r="V780" s="1"/>
      <c r="W780" s="1"/>
      <c r="X780" s="1"/>
      <c r="Y780" s="1"/>
    </row>
    <row r="781" spans="1:25" ht="15.75" customHeight="1">
      <c r="A781" s="1"/>
      <c r="B781" s="1"/>
      <c r="C781" s="1"/>
      <c r="D781" s="1"/>
      <c r="E781" s="1"/>
      <c r="F781" s="1"/>
      <c r="G781" s="1"/>
      <c r="H781" s="1"/>
      <c r="I781" s="4"/>
      <c r="J781" s="4"/>
      <c r="K781" s="4"/>
      <c r="L781" s="1"/>
      <c r="M781" s="1"/>
      <c r="N781" s="1"/>
      <c r="O781" s="1"/>
      <c r="P781" s="1"/>
      <c r="Q781" s="1"/>
      <c r="R781" s="1"/>
      <c r="S781" s="1"/>
      <c r="T781" s="1"/>
      <c r="U781" s="1"/>
      <c r="V781" s="1"/>
      <c r="W781" s="1"/>
      <c r="X781" s="1"/>
      <c r="Y781" s="1"/>
    </row>
    <row r="782" spans="1:25" ht="15.75" customHeight="1">
      <c r="A782" s="1"/>
      <c r="B782" s="1"/>
      <c r="C782" s="1"/>
      <c r="D782" s="1"/>
      <c r="E782" s="1"/>
      <c r="F782" s="1"/>
      <c r="G782" s="1"/>
      <c r="H782" s="1"/>
      <c r="I782" s="4"/>
      <c r="J782" s="4"/>
      <c r="K782" s="4"/>
      <c r="L782" s="1"/>
      <c r="M782" s="1"/>
      <c r="N782" s="1"/>
      <c r="O782" s="1"/>
      <c r="P782" s="1"/>
      <c r="Q782" s="1"/>
      <c r="R782" s="1"/>
      <c r="S782" s="1"/>
      <c r="T782" s="1"/>
      <c r="U782" s="1"/>
      <c r="V782" s="1"/>
      <c r="W782" s="1"/>
      <c r="X782" s="1"/>
      <c r="Y782" s="1"/>
    </row>
    <row r="783" spans="1:25" ht="15.75" customHeight="1">
      <c r="A783" s="1"/>
      <c r="B783" s="1"/>
      <c r="C783" s="1"/>
      <c r="D783" s="1"/>
      <c r="E783" s="1"/>
      <c r="F783" s="1"/>
      <c r="G783" s="1"/>
      <c r="H783" s="1"/>
      <c r="I783" s="4"/>
      <c r="J783" s="4"/>
      <c r="K783" s="4"/>
      <c r="L783" s="1"/>
      <c r="M783" s="1"/>
      <c r="N783" s="1"/>
      <c r="O783" s="1"/>
      <c r="P783" s="1"/>
      <c r="Q783" s="1"/>
      <c r="R783" s="1"/>
      <c r="S783" s="1"/>
      <c r="T783" s="1"/>
      <c r="U783" s="1"/>
      <c r="V783" s="1"/>
      <c r="W783" s="1"/>
      <c r="X783" s="1"/>
      <c r="Y783" s="1"/>
    </row>
    <row r="784" spans="1:25" ht="15.75" customHeight="1">
      <c r="A784" s="1"/>
      <c r="B784" s="1"/>
      <c r="C784" s="1"/>
      <c r="D784" s="1"/>
      <c r="E784" s="1"/>
      <c r="F784" s="1"/>
      <c r="G784" s="1"/>
      <c r="H784" s="1"/>
      <c r="I784" s="4"/>
      <c r="J784" s="4"/>
      <c r="K784" s="4"/>
      <c r="L784" s="1"/>
      <c r="M784" s="1"/>
      <c r="N784" s="1"/>
      <c r="O784" s="1"/>
      <c r="P784" s="1"/>
      <c r="Q784" s="1"/>
      <c r="R784" s="1"/>
      <c r="S784" s="1"/>
      <c r="T784" s="1"/>
      <c r="U784" s="1"/>
      <c r="V784" s="1"/>
      <c r="W784" s="1"/>
      <c r="X784" s="1"/>
      <c r="Y784" s="1"/>
    </row>
    <row r="785" spans="1:25" ht="15.75" customHeight="1">
      <c r="A785" s="1"/>
      <c r="B785" s="1"/>
      <c r="C785" s="1"/>
      <c r="D785" s="1"/>
      <c r="E785" s="1"/>
      <c r="F785" s="1"/>
      <c r="G785" s="1"/>
      <c r="H785" s="1"/>
      <c r="I785" s="4"/>
      <c r="J785" s="4"/>
      <c r="K785" s="4"/>
      <c r="L785" s="1"/>
      <c r="M785" s="1"/>
      <c r="N785" s="1"/>
      <c r="O785" s="1"/>
      <c r="P785" s="1"/>
      <c r="Q785" s="1"/>
      <c r="R785" s="1"/>
      <c r="S785" s="1"/>
      <c r="T785" s="1"/>
      <c r="U785" s="1"/>
      <c r="V785" s="1"/>
      <c r="W785" s="1"/>
      <c r="X785" s="1"/>
      <c r="Y785" s="1"/>
    </row>
    <row r="786" spans="1:25" ht="15.75" customHeight="1">
      <c r="A786" s="1"/>
      <c r="B786" s="1"/>
      <c r="C786" s="1"/>
      <c r="D786" s="1"/>
      <c r="E786" s="1"/>
      <c r="F786" s="1"/>
      <c r="G786" s="1"/>
      <c r="H786" s="1"/>
      <c r="I786" s="4"/>
      <c r="J786" s="4"/>
      <c r="K786" s="4"/>
      <c r="L786" s="1"/>
      <c r="M786" s="1"/>
      <c r="N786" s="1"/>
      <c r="O786" s="1"/>
      <c r="P786" s="1"/>
      <c r="Q786" s="1"/>
      <c r="R786" s="1"/>
      <c r="S786" s="1"/>
      <c r="T786" s="1"/>
      <c r="U786" s="1"/>
      <c r="V786" s="1"/>
      <c r="W786" s="1"/>
      <c r="X786" s="1"/>
      <c r="Y786" s="1"/>
    </row>
    <row r="787" spans="1:25" ht="15.75" customHeight="1">
      <c r="A787" s="1"/>
      <c r="B787" s="1"/>
      <c r="C787" s="1"/>
      <c r="D787" s="1"/>
      <c r="E787" s="1"/>
      <c r="F787" s="1"/>
      <c r="G787" s="1"/>
      <c r="H787" s="1"/>
      <c r="I787" s="4"/>
      <c r="J787" s="4"/>
      <c r="K787" s="4"/>
      <c r="L787" s="1"/>
      <c r="M787" s="1"/>
      <c r="N787" s="1"/>
      <c r="O787" s="1"/>
      <c r="P787" s="1"/>
      <c r="Q787" s="1"/>
      <c r="R787" s="1"/>
      <c r="S787" s="1"/>
      <c r="T787" s="1"/>
      <c r="U787" s="1"/>
      <c r="V787" s="1"/>
      <c r="W787" s="1"/>
      <c r="X787" s="1"/>
      <c r="Y787" s="1"/>
    </row>
    <row r="788" spans="1:25" ht="15.75" customHeight="1">
      <c r="A788" s="1"/>
      <c r="B788" s="1"/>
      <c r="C788" s="1"/>
      <c r="D788" s="1"/>
      <c r="E788" s="1"/>
      <c r="F788" s="1"/>
      <c r="G788" s="1"/>
      <c r="H788" s="1"/>
      <c r="I788" s="4"/>
      <c r="J788" s="4"/>
      <c r="K788" s="4"/>
      <c r="L788" s="1"/>
      <c r="M788" s="1"/>
      <c r="N788" s="1"/>
      <c r="O788" s="1"/>
      <c r="P788" s="1"/>
      <c r="Q788" s="1"/>
      <c r="R788" s="1"/>
      <c r="S788" s="1"/>
      <c r="T788" s="1"/>
      <c r="U788" s="1"/>
      <c r="V788" s="1"/>
      <c r="W788" s="1"/>
      <c r="X788" s="1"/>
      <c r="Y788" s="1"/>
    </row>
    <row r="789" spans="1:25" ht="15.75" customHeight="1">
      <c r="A789" s="1"/>
      <c r="B789" s="1"/>
      <c r="C789" s="1"/>
      <c r="D789" s="1"/>
      <c r="E789" s="1"/>
      <c r="F789" s="1"/>
      <c r="G789" s="1"/>
      <c r="H789" s="1"/>
      <c r="I789" s="4"/>
      <c r="J789" s="4"/>
      <c r="K789" s="4"/>
      <c r="L789" s="1"/>
      <c r="M789" s="1"/>
      <c r="N789" s="1"/>
      <c r="O789" s="1"/>
      <c r="P789" s="1"/>
      <c r="Q789" s="1"/>
      <c r="R789" s="1"/>
      <c r="S789" s="1"/>
      <c r="T789" s="1"/>
      <c r="U789" s="1"/>
      <c r="V789" s="1"/>
      <c r="W789" s="1"/>
      <c r="X789" s="1"/>
      <c r="Y789" s="1"/>
    </row>
    <row r="790" spans="1:25" ht="15.75" customHeight="1">
      <c r="A790" s="1"/>
      <c r="B790" s="1"/>
      <c r="C790" s="1"/>
      <c r="D790" s="1"/>
      <c r="E790" s="1"/>
      <c r="F790" s="1"/>
      <c r="G790" s="1"/>
      <c r="H790" s="1"/>
      <c r="I790" s="4"/>
      <c r="J790" s="4"/>
      <c r="K790" s="4"/>
      <c r="L790" s="1"/>
      <c r="M790" s="1"/>
      <c r="N790" s="1"/>
      <c r="O790" s="1"/>
      <c r="P790" s="1"/>
      <c r="Q790" s="1"/>
      <c r="R790" s="1"/>
      <c r="S790" s="1"/>
      <c r="T790" s="1"/>
      <c r="U790" s="1"/>
      <c r="V790" s="1"/>
      <c r="W790" s="1"/>
      <c r="X790" s="1"/>
      <c r="Y790" s="1"/>
    </row>
    <row r="791" spans="1:25" ht="15.75" customHeight="1">
      <c r="A791" s="1"/>
      <c r="B791" s="1"/>
      <c r="C791" s="1"/>
      <c r="D791" s="1"/>
      <c r="E791" s="1"/>
      <c r="F791" s="1"/>
      <c r="G791" s="1"/>
      <c r="H791" s="1"/>
      <c r="I791" s="4"/>
      <c r="J791" s="4"/>
      <c r="K791" s="4"/>
      <c r="L791" s="1"/>
      <c r="M791" s="1"/>
      <c r="N791" s="1"/>
      <c r="O791" s="1"/>
      <c r="P791" s="1"/>
      <c r="Q791" s="1"/>
      <c r="R791" s="1"/>
      <c r="S791" s="1"/>
      <c r="T791" s="1"/>
      <c r="U791" s="1"/>
      <c r="V791" s="1"/>
      <c r="W791" s="1"/>
      <c r="X791" s="1"/>
      <c r="Y791" s="1"/>
    </row>
    <row r="792" spans="1:25" ht="15.75" customHeight="1">
      <c r="A792" s="1"/>
      <c r="B792" s="1"/>
      <c r="C792" s="1"/>
      <c r="D792" s="1"/>
      <c r="E792" s="1"/>
      <c r="F792" s="1"/>
      <c r="G792" s="1"/>
      <c r="H792" s="1"/>
      <c r="I792" s="4"/>
      <c r="J792" s="4"/>
      <c r="K792" s="4"/>
      <c r="L792" s="1"/>
      <c r="M792" s="1"/>
      <c r="N792" s="1"/>
      <c r="O792" s="1"/>
      <c r="P792" s="1"/>
      <c r="Q792" s="1"/>
      <c r="R792" s="1"/>
      <c r="S792" s="1"/>
      <c r="T792" s="1"/>
      <c r="U792" s="1"/>
      <c r="V792" s="1"/>
      <c r="W792" s="1"/>
      <c r="X792" s="1"/>
      <c r="Y792" s="1"/>
    </row>
    <row r="793" spans="1:25" ht="15.75" customHeight="1">
      <c r="A793" s="1"/>
      <c r="B793" s="1"/>
      <c r="C793" s="1"/>
      <c r="D793" s="1"/>
      <c r="E793" s="1"/>
      <c r="F793" s="1"/>
      <c r="G793" s="1"/>
      <c r="H793" s="1"/>
      <c r="I793" s="4"/>
      <c r="J793" s="4"/>
      <c r="K793" s="4"/>
      <c r="L793" s="1"/>
      <c r="M793" s="1"/>
      <c r="N793" s="1"/>
      <c r="O793" s="1"/>
      <c r="P793" s="1"/>
      <c r="Q793" s="1"/>
      <c r="R793" s="1"/>
      <c r="S793" s="1"/>
      <c r="T793" s="1"/>
      <c r="U793" s="1"/>
      <c r="V793" s="1"/>
      <c r="W793" s="1"/>
      <c r="X793" s="1"/>
      <c r="Y793" s="1"/>
    </row>
    <row r="794" spans="1:25" ht="15.75" customHeight="1">
      <c r="A794" s="1"/>
      <c r="B794" s="1"/>
      <c r="C794" s="1"/>
      <c r="D794" s="1"/>
      <c r="E794" s="1"/>
      <c r="F794" s="1"/>
      <c r="G794" s="1"/>
      <c r="H794" s="1"/>
      <c r="I794" s="4"/>
      <c r="J794" s="4"/>
      <c r="K794" s="4"/>
      <c r="L794" s="1"/>
      <c r="M794" s="1"/>
      <c r="N794" s="1"/>
      <c r="O794" s="1"/>
      <c r="P794" s="1"/>
      <c r="Q794" s="1"/>
      <c r="R794" s="1"/>
      <c r="S794" s="1"/>
      <c r="T794" s="1"/>
      <c r="U794" s="1"/>
      <c r="V794" s="1"/>
      <c r="W794" s="1"/>
      <c r="X794" s="1"/>
      <c r="Y794" s="1"/>
    </row>
    <row r="795" spans="1:25" ht="15.75" customHeight="1">
      <c r="A795" s="1"/>
      <c r="B795" s="1"/>
      <c r="C795" s="1"/>
      <c r="D795" s="1"/>
      <c r="E795" s="1"/>
      <c r="F795" s="1"/>
      <c r="G795" s="1"/>
      <c r="H795" s="1"/>
      <c r="I795" s="4"/>
      <c r="J795" s="4"/>
      <c r="K795" s="4"/>
      <c r="L795" s="1"/>
      <c r="M795" s="1"/>
      <c r="N795" s="1"/>
      <c r="O795" s="1"/>
      <c r="P795" s="1"/>
      <c r="Q795" s="1"/>
      <c r="R795" s="1"/>
      <c r="S795" s="1"/>
      <c r="T795" s="1"/>
      <c r="U795" s="1"/>
      <c r="V795" s="1"/>
      <c r="W795" s="1"/>
      <c r="X795" s="1"/>
      <c r="Y795" s="1"/>
    </row>
    <row r="796" spans="1:25" ht="15.75" customHeight="1">
      <c r="A796" s="1"/>
      <c r="B796" s="1"/>
      <c r="C796" s="1"/>
      <c r="D796" s="1"/>
      <c r="E796" s="1"/>
      <c r="F796" s="1"/>
      <c r="G796" s="1"/>
      <c r="H796" s="1"/>
      <c r="I796" s="4"/>
      <c r="J796" s="4"/>
      <c r="K796" s="4"/>
      <c r="L796" s="1"/>
      <c r="M796" s="1"/>
      <c r="N796" s="1"/>
      <c r="O796" s="1"/>
      <c r="P796" s="1"/>
      <c r="Q796" s="1"/>
      <c r="R796" s="1"/>
      <c r="S796" s="1"/>
      <c r="T796" s="1"/>
      <c r="U796" s="1"/>
      <c r="V796" s="1"/>
      <c r="W796" s="1"/>
      <c r="X796" s="1"/>
      <c r="Y796" s="1"/>
    </row>
    <row r="797" spans="1:25" ht="15.75" customHeight="1">
      <c r="A797" s="1"/>
      <c r="B797" s="1"/>
      <c r="C797" s="1"/>
      <c r="D797" s="1"/>
      <c r="E797" s="1"/>
      <c r="F797" s="1"/>
      <c r="G797" s="1"/>
      <c r="H797" s="1"/>
      <c r="I797" s="4"/>
      <c r="J797" s="4"/>
      <c r="K797" s="4"/>
      <c r="L797" s="1"/>
      <c r="M797" s="1"/>
      <c r="N797" s="1"/>
      <c r="O797" s="1"/>
      <c r="P797" s="1"/>
      <c r="Q797" s="1"/>
      <c r="R797" s="1"/>
      <c r="S797" s="1"/>
      <c r="T797" s="1"/>
      <c r="U797" s="1"/>
      <c r="V797" s="1"/>
      <c r="W797" s="1"/>
      <c r="X797" s="1"/>
      <c r="Y797" s="1"/>
    </row>
    <row r="798" spans="1:25" ht="15.75" customHeight="1">
      <c r="A798" s="1"/>
      <c r="B798" s="1"/>
      <c r="C798" s="1"/>
      <c r="D798" s="1"/>
      <c r="E798" s="1"/>
      <c r="F798" s="1"/>
      <c r="G798" s="1"/>
      <c r="H798" s="1"/>
      <c r="I798" s="4"/>
      <c r="J798" s="4"/>
      <c r="K798" s="4"/>
      <c r="L798" s="1"/>
      <c r="M798" s="1"/>
      <c r="N798" s="1"/>
      <c r="O798" s="1"/>
      <c r="P798" s="1"/>
      <c r="Q798" s="1"/>
      <c r="R798" s="1"/>
      <c r="S798" s="1"/>
      <c r="T798" s="1"/>
      <c r="U798" s="1"/>
      <c r="V798" s="1"/>
      <c r="W798" s="1"/>
      <c r="X798" s="1"/>
      <c r="Y798" s="1"/>
    </row>
    <row r="799" spans="1:25" ht="15.75" customHeight="1">
      <c r="A799" s="1"/>
      <c r="B799" s="1"/>
      <c r="C799" s="1"/>
      <c r="D799" s="1"/>
      <c r="E799" s="1"/>
      <c r="F799" s="1"/>
      <c r="G799" s="1"/>
      <c r="H799" s="1"/>
      <c r="I799" s="4"/>
      <c r="J799" s="4"/>
      <c r="K799" s="4"/>
      <c r="L799" s="1"/>
      <c r="M799" s="1"/>
      <c r="N799" s="1"/>
      <c r="O799" s="1"/>
      <c r="P799" s="1"/>
      <c r="Q799" s="1"/>
      <c r="R799" s="1"/>
      <c r="S799" s="1"/>
      <c r="T799" s="1"/>
      <c r="U799" s="1"/>
      <c r="V799" s="1"/>
      <c r="W799" s="1"/>
      <c r="X799" s="1"/>
      <c r="Y799" s="1"/>
    </row>
    <row r="800" spans="1:25" ht="15.75" customHeight="1">
      <c r="A800" s="1"/>
      <c r="B800" s="1"/>
      <c r="C800" s="1"/>
      <c r="D800" s="1"/>
      <c r="E800" s="1"/>
      <c r="F800" s="1"/>
      <c r="G800" s="1"/>
      <c r="H800" s="1"/>
      <c r="I800" s="4"/>
      <c r="J800" s="4"/>
      <c r="K800" s="4"/>
      <c r="L800" s="1"/>
      <c r="M800" s="1"/>
      <c r="N800" s="1"/>
      <c r="O800" s="1"/>
      <c r="P800" s="1"/>
      <c r="Q800" s="1"/>
      <c r="R800" s="1"/>
      <c r="S800" s="1"/>
      <c r="T800" s="1"/>
      <c r="U800" s="1"/>
      <c r="V800" s="1"/>
      <c r="W800" s="1"/>
      <c r="X800" s="1"/>
      <c r="Y800" s="1"/>
    </row>
    <row r="801" spans="1:25" ht="15.75" customHeight="1">
      <c r="A801" s="1"/>
      <c r="B801" s="1"/>
      <c r="C801" s="1"/>
      <c r="D801" s="1"/>
      <c r="E801" s="1"/>
      <c r="F801" s="1"/>
      <c r="G801" s="1"/>
      <c r="H801" s="1"/>
      <c r="I801" s="4"/>
      <c r="J801" s="4"/>
      <c r="K801" s="4"/>
      <c r="L801" s="1"/>
      <c r="M801" s="1"/>
      <c r="N801" s="1"/>
      <c r="O801" s="1"/>
      <c r="P801" s="1"/>
      <c r="Q801" s="1"/>
      <c r="R801" s="1"/>
      <c r="S801" s="1"/>
      <c r="T801" s="1"/>
      <c r="U801" s="1"/>
      <c r="V801" s="1"/>
      <c r="W801" s="1"/>
      <c r="X801" s="1"/>
      <c r="Y801" s="1"/>
    </row>
    <row r="802" spans="1:25" ht="15.75" customHeight="1">
      <c r="A802" s="1"/>
      <c r="B802" s="1"/>
      <c r="C802" s="1"/>
      <c r="D802" s="1"/>
      <c r="E802" s="1"/>
      <c r="F802" s="1"/>
      <c r="G802" s="1"/>
      <c r="H802" s="1"/>
      <c r="I802" s="4"/>
      <c r="J802" s="4"/>
      <c r="K802" s="4"/>
      <c r="L802" s="1"/>
      <c r="M802" s="1"/>
      <c r="N802" s="1"/>
      <c r="O802" s="1"/>
      <c r="P802" s="1"/>
      <c r="Q802" s="1"/>
      <c r="R802" s="1"/>
      <c r="S802" s="1"/>
      <c r="T802" s="1"/>
      <c r="U802" s="1"/>
      <c r="V802" s="1"/>
      <c r="W802" s="1"/>
      <c r="X802" s="1"/>
      <c r="Y802" s="1"/>
    </row>
    <row r="803" spans="1:25" ht="15.75" customHeight="1">
      <c r="A803" s="1"/>
      <c r="B803" s="1"/>
      <c r="C803" s="1"/>
      <c r="D803" s="1"/>
      <c r="E803" s="1"/>
      <c r="F803" s="1"/>
      <c r="G803" s="1"/>
      <c r="H803" s="1"/>
      <c r="I803" s="4"/>
      <c r="J803" s="4"/>
      <c r="K803" s="4"/>
      <c r="L803" s="1"/>
      <c r="M803" s="1"/>
      <c r="N803" s="1"/>
      <c r="O803" s="1"/>
      <c r="P803" s="1"/>
      <c r="Q803" s="1"/>
      <c r="R803" s="1"/>
      <c r="S803" s="1"/>
      <c r="T803" s="1"/>
      <c r="U803" s="1"/>
      <c r="V803" s="1"/>
      <c r="W803" s="1"/>
      <c r="X803" s="1"/>
      <c r="Y803" s="1"/>
    </row>
    <row r="804" spans="1:25" ht="15.75" customHeight="1">
      <c r="A804" s="1"/>
      <c r="B804" s="1"/>
      <c r="C804" s="1"/>
      <c r="D804" s="1"/>
      <c r="E804" s="1"/>
      <c r="F804" s="1"/>
      <c r="G804" s="1"/>
      <c r="H804" s="1"/>
      <c r="I804" s="4"/>
      <c r="J804" s="4"/>
      <c r="K804" s="4"/>
      <c r="L804" s="1"/>
      <c r="M804" s="1"/>
      <c r="N804" s="1"/>
      <c r="O804" s="1"/>
      <c r="P804" s="1"/>
      <c r="Q804" s="1"/>
      <c r="R804" s="1"/>
      <c r="S804" s="1"/>
      <c r="T804" s="1"/>
      <c r="U804" s="1"/>
      <c r="V804" s="1"/>
      <c r="W804" s="1"/>
      <c r="X804" s="1"/>
      <c r="Y804" s="1"/>
    </row>
    <row r="805" spans="1:25" ht="15.75" customHeight="1">
      <c r="A805" s="1"/>
      <c r="B805" s="1"/>
      <c r="C805" s="1"/>
      <c r="D805" s="1"/>
      <c r="E805" s="1"/>
      <c r="F805" s="1"/>
      <c r="G805" s="1"/>
      <c r="H805" s="1"/>
      <c r="I805" s="4"/>
      <c r="J805" s="4"/>
      <c r="K805" s="4"/>
      <c r="L805" s="1"/>
      <c r="M805" s="1"/>
      <c r="N805" s="1"/>
      <c r="O805" s="1"/>
      <c r="P805" s="1"/>
      <c r="Q805" s="1"/>
      <c r="R805" s="1"/>
      <c r="S805" s="1"/>
      <c r="T805" s="1"/>
      <c r="U805" s="1"/>
      <c r="V805" s="1"/>
      <c r="W805" s="1"/>
      <c r="X805" s="1"/>
      <c r="Y805" s="1"/>
    </row>
    <row r="806" spans="1:25" ht="15.75" customHeight="1">
      <c r="A806" s="1"/>
      <c r="B806" s="1"/>
      <c r="C806" s="1"/>
      <c r="D806" s="1"/>
      <c r="E806" s="1"/>
      <c r="F806" s="1"/>
      <c r="G806" s="1"/>
      <c r="H806" s="1"/>
      <c r="I806" s="4"/>
      <c r="J806" s="4"/>
      <c r="K806" s="4"/>
      <c r="L806" s="1"/>
      <c r="M806" s="1"/>
      <c r="N806" s="1"/>
      <c r="O806" s="1"/>
      <c r="P806" s="1"/>
      <c r="Q806" s="1"/>
      <c r="R806" s="1"/>
      <c r="S806" s="1"/>
      <c r="T806" s="1"/>
      <c r="U806" s="1"/>
      <c r="V806" s="1"/>
      <c r="W806" s="1"/>
      <c r="X806" s="1"/>
      <c r="Y806" s="1"/>
    </row>
    <row r="807" spans="1:25" ht="15.75" customHeight="1">
      <c r="A807" s="1"/>
      <c r="B807" s="1"/>
      <c r="C807" s="1"/>
      <c r="D807" s="1"/>
      <c r="E807" s="1"/>
      <c r="F807" s="1"/>
      <c r="G807" s="1"/>
      <c r="H807" s="1"/>
      <c r="I807" s="4"/>
      <c r="J807" s="4"/>
      <c r="K807" s="4"/>
      <c r="L807" s="1"/>
      <c r="M807" s="1"/>
      <c r="N807" s="1"/>
      <c r="O807" s="1"/>
      <c r="P807" s="1"/>
      <c r="Q807" s="1"/>
      <c r="R807" s="1"/>
      <c r="S807" s="1"/>
      <c r="T807" s="1"/>
      <c r="U807" s="1"/>
      <c r="V807" s="1"/>
      <c r="W807" s="1"/>
      <c r="X807" s="1"/>
      <c r="Y807" s="1"/>
    </row>
    <row r="808" spans="1:25" ht="15.75" customHeight="1">
      <c r="A808" s="1"/>
      <c r="B808" s="1"/>
      <c r="C808" s="1"/>
      <c r="D808" s="1"/>
      <c r="E808" s="1"/>
      <c r="F808" s="1"/>
      <c r="G808" s="1"/>
      <c r="H808" s="1"/>
      <c r="I808" s="4"/>
      <c r="J808" s="4"/>
      <c r="K808" s="4"/>
      <c r="L808" s="1"/>
      <c r="M808" s="1"/>
      <c r="N808" s="1"/>
      <c r="O808" s="1"/>
      <c r="P808" s="1"/>
      <c r="Q808" s="1"/>
      <c r="R808" s="1"/>
      <c r="S808" s="1"/>
      <c r="T808" s="1"/>
      <c r="U808" s="1"/>
      <c r="V808" s="1"/>
      <c r="W808" s="1"/>
      <c r="X808" s="1"/>
      <c r="Y808" s="1"/>
    </row>
    <row r="809" spans="1:25" ht="15.75" customHeight="1">
      <c r="A809" s="1"/>
      <c r="B809" s="1"/>
      <c r="C809" s="1"/>
      <c r="D809" s="1"/>
      <c r="E809" s="1"/>
      <c r="F809" s="1"/>
      <c r="G809" s="1"/>
      <c r="H809" s="1"/>
      <c r="I809" s="4"/>
      <c r="J809" s="4"/>
      <c r="K809" s="4"/>
      <c r="L809" s="1"/>
      <c r="M809" s="1"/>
      <c r="N809" s="1"/>
      <c r="O809" s="1"/>
      <c r="P809" s="1"/>
      <c r="Q809" s="1"/>
      <c r="R809" s="1"/>
      <c r="S809" s="1"/>
      <c r="T809" s="1"/>
      <c r="U809" s="1"/>
      <c r="V809" s="1"/>
      <c r="W809" s="1"/>
      <c r="X809" s="1"/>
      <c r="Y809" s="1"/>
    </row>
    <row r="810" spans="1:25" ht="15.75" customHeight="1">
      <c r="A810" s="1"/>
      <c r="B810" s="1"/>
      <c r="C810" s="1"/>
      <c r="D810" s="1"/>
      <c r="E810" s="1"/>
      <c r="F810" s="1"/>
      <c r="G810" s="1"/>
      <c r="H810" s="1"/>
      <c r="I810" s="4"/>
      <c r="J810" s="4"/>
      <c r="K810" s="4"/>
      <c r="L810" s="1"/>
      <c r="M810" s="1"/>
      <c r="N810" s="1"/>
      <c r="O810" s="1"/>
      <c r="P810" s="1"/>
      <c r="Q810" s="1"/>
      <c r="R810" s="1"/>
      <c r="S810" s="1"/>
      <c r="T810" s="1"/>
      <c r="U810" s="1"/>
      <c r="V810" s="1"/>
      <c r="W810" s="1"/>
      <c r="X810" s="1"/>
      <c r="Y810" s="1"/>
    </row>
    <row r="811" spans="1:25" ht="15.75" customHeight="1">
      <c r="A811" s="1"/>
      <c r="B811" s="1"/>
      <c r="C811" s="1"/>
      <c r="D811" s="1"/>
      <c r="E811" s="1"/>
      <c r="F811" s="1"/>
      <c r="G811" s="1"/>
      <c r="H811" s="1"/>
      <c r="I811" s="4"/>
      <c r="J811" s="4"/>
      <c r="K811" s="4"/>
      <c r="L811" s="1"/>
      <c r="M811" s="1"/>
      <c r="N811" s="1"/>
      <c r="O811" s="1"/>
      <c r="P811" s="1"/>
      <c r="Q811" s="1"/>
      <c r="R811" s="1"/>
      <c r="S811" s="1"/>
      <c r="T811" s="1"/>
      <c r="U811" s="1"/>
      <c r="V811" s="1"/>
      <c r="W811" s="1"/>
      <c r="X811" s="1"/>
      <c r="Y811" s="1"/>
    </row>
    <row r="812" spans="1:25" ht="15.75" customHeight="1">
      <c r="A812" s="1"/>
      <c r="B812" s="1"/>
      <c r="C812" s="1"/>
      <c r="D812" s="1"/>
      <c r="E812" s="1"/>
      <c r="F812" s="1"/>
      <c r="G812" s="1"/>
      <c r="H812" s="1"/>
      <c r="I812" s="4"/>
      <c r="J812" s="4"/>
      <c r="K812" s="4"/>
      <c r="L812" s="1"/>
      <c r="M812" s="1"/>
      <c r="N812" s="1"/>
      <c r="O812" s="1"/>
      <c r="P812" s="1"/>
      <c r="Q812" s="1"/>
      <c r="R812" s="1"/>
      <c r="S812" s="1"/>
      <c r="T812" s="1"/>
      <c r="U812" s="1"/>
      <c r="V812" s="1"/>
      <c r="W812" s="1"/>
      <c r="X812" s="1"/>
      <c r="Y812" s="1"/>
    </row>
    <row r="813" spans="1:25" ht="15.75" customHeight="1">
      <c r="A813" s="1"/>
      <c r="B813" s="1"/>
      <c r="C813" s="1"/>
      <c r="D813" s="1"/>
      <c r="E813" s="1"/>
      <c r="F813" s="1"/>
      <c r="G813" s="1"/>
      <c r="H813" s="1"/>
      <c r="I813" s="4"/>
      <c r="J813" s="4"/>
      <c r="K813" s="4"/>
      <c r="L813" s="1"/>
      <c r="M813" s="1"/>
      <c r="N813" s="1"/>
      <c r="O813" s="1"/>
      <c r="P813" s="1"/>
      <c r="Q813" s="1"/>
      <c r="R813" s="1"/>
      <c r="S813" s="1"/>
      <c r="T813" s="1"/>
      <c r="U813" s="1"/>
      <c r="V813" s="1"/>
      <c r="W813" s="1"/>
      <c r="X813" s="1"/>
      <c r="Y813" s="1"/>
    </row>
    <row r="814" spans="1:25" ht="15.75" customHeight="1">
      <c r="A814" s="1"/>
      <c r="B814" s="1"/>
      <c r="C814" s="1"/>
      <c r="D814" s="1"/>
      <c r="E814" s="1"/>
      <c r="F814" s="1"/>
      <c r="G814" s="1"/>
      <c r="H814" s="1"/>
      <c r="I814" s="4"/>
      <c r="J814" s="4"/>
      <c r="K814" s="4"/>
      <c r="L814" s="1"/>
      <c r="M814" s="1"/>
      <c r="N814" s="1"/>
      <c r="O814" s="1"/>
      <c r="P814" s="1"/>
      <c r="Q814" s="1"/>
      <c r="R814" s="1"/>
      <c r="S814" s="1"/>
      <c r="T814" s="1"/>
      <c r="U814" s="1"/>
      <c r="V814" s="1"/>
      <c r="W814" s="1"/>
      <c r="X814" s="1"/>
      <c r="Y814" s="1"/>
    </row>
    <row r="815" spans="1:25" ht="15.75" customHeight="1">
      <c r="A815" s="1"/>
      <c r="B815" s="1"/>
      <c r="C815" s="1"/>
      <c r="D815" s="1"/>
      <c r="E815" s="1"/>
      <c r="F815" s="1"/>
      <c r="G815" s="1"/>
      <c r="H815" s="1"/>
      <c r="I815" s="4"/>
      <c r="J815" s="4"/>
      <c r="K815" s="4"/>
      <c r="L815" s="1"/>
      <c r="M815" s="1"/>
      <c r="N815" s="1"/>
      <c r="O815" s="1"/>
      <c r="P815" s="1"/>
      <c r="Q815" s="1"/>
      <c r="R815" s="1"/>
      <c r="S815" s="1"/>
      <c r="T815" s="1"/>
      <c r="U815" s="1"/>
      <c r="V815" s="1"/>
      <c r="W815" s="1"/>
      <c r="X815" s="1"/>
      <c r="Y815" s="1"/>
    </row>
    <row r="816" spans="1:25" ht="15.75" customHeight="1">
      <c r="A816" s="1"/>
      <c r="B816" s="1"/>
      <c r="C816" s="1"/>
      <c r="D816" s="1"/>
      <c r="E816" s="1"/>
      <c r="F816" s="1"/>
      <c r="G816" s="1"/>
      <c r="H816" s="1"/>
      <c r="I816" s="4"/>
      <c r="J816" s="4"/>
      <c r="K816" s="4"/>
      <c r="L816" s="1"/>
      <c r="M816" s="1"/>
      <c r="N816" s="1"/>
      <c r="O816" s="1"/>
      <c r="P816" s="1"/>
      <c r="Q816" s="1"/>
      <c r="R816" s="1"/>
      <c r="S816" s="1"/>
      <c r="T816" s="1"/>
      <c r="U816" s="1"/>
      <c r="V816" s="1"/>
      <c r="W816" s="1"/>
      <c r="X816" s="1"/>
      <c r="Y816" s="1"/>
    </row>
    <row r="817" spans="1:25" ht="15.75" customHeight="1">
      <c r="A817" s="1"/>
      <c r="B817" s="1"/>
      <c r="C817" s="1"/>
      <c r="D817" s="1"/>
      <c r="E817" s="1"/>
      <c r="F817" s="1"/>
      <c r="G817" s="1"/>
      <c r="H817" s="1"/>
      <c r="I817" s="4"/>
      <c r="J817" s="4"/>
      <c r="K817" s="4"/>
      <c r="L817" s="1"/>
      <c r="M817" s="1"/>
      <c r="N817" s="1"/>
      <c r="O817" s="1"/>
      <c r="P817" s="1"/>
      <c r="Q817" s="1"/>
      <c r="R817" s="1"/>
      <c r="S817" s="1"/>
      <c r="T817" s="1"/>
      <c r="U817" s="1"/>
      <c r="V817" s="1"/>
      <c r="W817" s="1"/>
      <c r="X817" s="1"/>
      <c r="Y817" s="1"/>
    </row>
    <row r="818" spans="1:25" ht="15.75" customHeight="1">
      <c r="A818" s="1"/>
      <c r="B818" s="1"/>
      <c r="C818" s="1"/>
      <c r="D818" s="1"/>
      <c r="E818" s="1"/>
      <c r="F818" s="1"/>
      <c r="G818" s="1"/>
      <c r="H818" s="1"/>
      <c r="I818" s="4"/>
      <c r="J818" s="4"/>
      <c r="K818" s="4"/>
      <c r="L818" s="1"/>
      <c r="M818" s="1"/>
      <c r="N818" s="1"/>
      <c r="O818" s="1"/>
      <c r="P818" s="1"/>
      <c r="Q818" s="1"/>
      <c r="R818" s="1"/>
      <c r="S818" s="1"/>
      <c r="T818" s="1"/>
      <c r="U818" s="1"/>
      <c r="V818" s="1"/>
      <c r="W818" s="1"/>
      <c r="X818" s="1"/>
      <c r="Y818" s="1"/>
    </row>
    <row r="819" spans="1:25" ht="15.75" customHeight="1">
      <c r="A819" s="1"/>
      <c r="B819" s="1"/>
      <c r="C819" s="1"/>
      <c r="D819" s="1"/>
      <c r="E819" s="1"/>
      <c r="F819" s="1"/>
      <c r="G819" s="1"/>
      <c r="H819" s="1"/>
      <c r="I819" s="4"/>
      <c r="J819" s="4"/>
      <c r="K819" s="4"/>
      <c r="L819" s="1"/>
      <c r="M819" s="1"/>
      <c r="N819" s="1"/>
      <c r="O819" s="1"/>
      <c r="P819" s="1"/>
      <c r="Q819" s="1"/>
      <c r="R819" s="1"/>
      <c r="S819" s="1"/>
      <c r="T819" s="1"/>
      <c r="U819" s="1"/>
      <c r="V819" s="1"/>
      <c r="W819" s="1"/>
      <c r="X819" s="1"/>
      <c r="Y819" s="1"/>
    </row>
    <row r="820" spans="1:25" ht="15.75" customHeight="1">
      <c r="A820" s="1"/>
      <c r="B820" s="1"/>
      <c r="C820" s="1"/>
      <c r="D820" s="1"/>
      <c r="E820" s="1"/>
      <c r="F820" s="1"/>
      <c r="G820" s="1"/>
      <c r="H820" s="1"/>
      <c r="I820" s="4"/>
      <c r="J820" s="4"/>
      <c r="K820" s="4"/>
      <c r="L820" s="1"/>
      <c r="M820" s="1"/>
      <c r="N820" s="1"/>
      <c r="O820" s="1"/>
      <c r="P820" s="1"/>
      <c r="Q820" s="1"/>
      <c r="R820" s="1"/>
      <c r="S820" s="1"/>
      <c r="T820" s="1"/>
      <c r="U820" s="1"/>
      <c r="V820" s="1"/>
      <c r="W820" s="1"/>
      <c r="X820" s="1"/>
      <c r="Y820" s="1"/>
    </row>
    <row r="821" spans="1:25" ht="15.75" customHeight="1">
      <c r="A821" s="1"/>
      <c r="B821" s="1"/>
      <c r="C821" s="1"/>
      <c r="D821" s="1"/>
      <c r="E821" s="1"/>
      <c r="F821" s="1"/>
      <c r="G821" s="1"/>
      <c r="H821" s="1"/>
      <c r="I821" s="4"/>
      <c r="J821" s="4"/>
      <c r="K821" s="4"/>
      <c r="L821" s="1"/>
      <c r="M821" s="1"/>
      <c r="N821" s="1"/>
      <c r="O821" s="1"/>
      <c r="P821" s="1"/>
      <c r="Q821" s="1"/>
      <c r="R821" s="1"/>
      <c r="S821" s="1"/>
      <c r="T821" s="1"/>
      <c r="U821" s="1"/>
      <c r="V821" s="1"/>
      <c r="W821" s="1"/>
      <c r="X821" s="1"/>
      <c r="Y821" s="1"/>
    </row>
    <row r="822" spans="1:25" ht="15.75" customHeight="1">
      <c r="A822" s="1"/>
      <c r="B822" s="1"/>
      <c r="C822" s="1"/>
      <c r="D822" s="1"/>
      <c r="E822" s="1"/>
      <c r="F822" s="1"/>
      <c r="G822" s="1"/>
      <c r="H822" s="1"/>
      <c r="I822" s="4"/>
      <c r="J822" s="4"/>
      <c r="K822" s="4"/>
      <c r="L822" s="1"/>
      <c r="M822" s="1"/>
      <c r="N822" s="1"/>
      <c r="O822" s="1"/>
      <c r="P822" s="1"/>
      <c r="Q822" s="1"/>
      <c r="R822" s="1"/>
      <c r="S822" s="1"/>
      <c r="T822" s="1"/>
      <c r="U822" s="1"/>
      <c r="V822" s="1"/>
      <c r="W822" s="1"/>
      <c r="X822" s="1"/>
      <c r="Y822" s="1"/>
    </row>
    <row r="823" spans="1:25" ht="15.75" customHeight="1">
      <c r="A823" s="1"/>
      <c r="B823" s="1"/>
      <c r="C823" s="1"/>
      <c r="D823" s="1"/>
      <c r="E823" s="1"/>
      <c r="F823" s="1"/>
      <c r="G823" s="1"/>
      <c r="H823" s="1"/>
      <c r="I823" s="4"/>
      <c r="J823" s="4"/>
      <c r="K823" s="4"/>
      <c r="L823" s="1"/>
      <c r="M823" s="1"/>
      <c r="N823" s="1"/>
      <c r="O823" s="1"/>
      <c r="P823" s="1"/>
      <c r="Q823" s="1"/>
      <c r="R823" s="1"/>
      <c r="S823" s="1"/>
      <c r="T823" s="1"/>
      <c r="U823" s="1"/>
      <c r="V823" s="1"/>
      <c r="W823" s="1"/>
      <c r="X823" s="1"/>
      <c r="Y823" s="1"/>
    </row>
    <row r="824" spans="1:25" ht="15.75" customHeight="1">
      <c r="A824" s="1"/>
      <c r="B824" s="1"/>
      <c r="C824" s="1"/>
      <c r="D824" s="1"/>
      <c r="E824" s="1"/>
      <c r="F824" s="1"/>
      <c r="G824" s="1"/>
      <c r="H824" s="1"/>
      <c r="I824" s="4"/>
      <c r="J824" s="4"/>
      <c r="K824" s="4"/>
      <c r="L824" s="1"/>
      <c r="M824" s="1"/>
      <c r="N824" s="1"/>
      <c r="O824" s="1"/>
      <c r="P824" s="1"/>
      <c r="Q824" s="1"/>
      <c r="R824" s="1"/>
      <c r="S824" s="1"/>
      <c r="T824" s="1"/>
      <c r="U824" s="1"/>
      <c r="V824" s="1"/>
      <c r="W824" s="1"/>
      <c r="X824" s="1"/>
      <c r="Y824" s="1"/>
    </row>
    <row r="825" spans="1:25" ht="15.75" customHeight="1">
      <c r="A825" s="1"/>
      <c r="B825" s="1"/>
      <c r="C825" s="1"/>
      <c r="D825" s="1"/>
      <c r="E825" s="1"/>
      <c r="F825" s="1"/>
      <c r="G825" s="1"/>
      <c r="H825" s="1"/>
      <c r="I825" s="4"/>
      <c r="J825" s="4"/>
      <c r="K825" s="4"/>
      <c r="L825" s="1"/>
      <c r="M825" s="1"/>
      <c r="N825" s="1"/>
      <c r="O825" s="1"/>
      <c r="P825" s="1"/>
      <c r="Q825" s="1"/>
      <c r="R825" s="1"/>
      <c r="S825" s="1"/>
      <c r="T825" s="1"/>
      <c r="U825" s="1"/>
      <c r="V825" s="1"/>
      <c r="W825" s="1"/>
      <c r="X825" s="1"/>
      <c r="Y825" s="1"/>
    </row>
    <row r="826" spans="1:25" ht="15.75" customHeight="1">
      <c r="A826" s="1"/>
      <c r="B826" s="1"/>
      <c r="C826" s="1"/>
      <c r="D826" s="1"/>
      <c r="E826" s="1"/>
      <c r="F826" s="1"/>
      <c r="G826" s="1"/>
      <c r="H826" s="1"/>
      <c r="I826" s="4"/>
      <c r="J826" s="4"/>
      <c r="K826" s="4"/>
      <c r="L826" s="1"/>
      <c r="M826" s="1"/>
      <c r="N826" s="1"/>
      <c r="O826" s="1"/>
      <c r="P826" s="1"/>
      <c r="Q826" s="1"/>
      <c r="R826" s="1"/>
      <c r="S826" s="1"/>
      <c r="T826" s="1"/>
      <c r="U826" s="1"/>
      <c r="V826" s="1"/>
      <c r="W826" s="1"/>
      <c r="X826" s="1"/>
      <c r="Y826" s="1"/>
    </row>
    <row r="827" spans="1:25" ht="15.75" customHeight="1">
      <c r="A827" s="1"/>
      <c r="B827" s="1"/>
      <c r="C827" s="1"/>
      <c r="D827" s="1"/>
      <c r="E827" s="1"/>
      <c r="F827" s="1"/>
      <c r="G827" s="1"/>
      <c r="H827" s="1"/>
      <c r="I827" s="4"/>
      <c r="J827" s="4"/>
      <c r="K827" s="4"/>
      <c r="L827" s="1"/>
      <c r="M827" s="1"/>
      <c r="N827" s="1"/>
      <c r="O827" s="1"/>
      <c r="P827" s="1"/>
      <c r="Q827" s="1"/>
      <c r="R827" s="1"/>
      <c r="S827" s="1"/>
      <c r="T827" s="1"/>
      <c r="U827" s="1"/>
      <c r="V827" s="1"/>
      <c r="W827" s="1"/>
      <c r="X827" s="1"/>
      <c r="Y827" s="1"/>
    </row>
    <row r="828" spans="1:25" ht="15.75" customHeight="1">
      <c r="A828" s="1"/>
      <c r="B828" s="1"/>
      <c r="C828" s="1"/>
      <c r="D828" s="1"/>
      <c r="E828" s="1"/>
      <c r="F828" s="1"/>
      <c r="G828" s="1"/>
      <c r="H828" s="1"/>
      <c r="I828" s="4"/>
      <c r="J828" s="4"/>
      <c r="K828" s="4"/>
      <c r="L828" s="1"/>
      <c r="M828" s="1"/>
      <c r="N828" s="1"/>
      <c r="O828" s="1"/>
      <c r="P828" s="1"/>
      <c r="Q828" s="1"/>
      <c r="R828" s="1"/>
      <c r="S828" s="1"/>
      <c r="T828" s="1"/>
      <c r="U828" s="1"/>
      <c r="V828" s="1"/>
      <c r="W828" s="1"/>
      <c r="X828" s="1"/>
      <c r="Y828" s="1"/>
    </row>
    <row r="829" spans="1:25" ht="15.75" customHeight="1">
      <c r="A829" s="1"/>
      <c r="B829" s="1"/>
      <c r="C829" s="1"/>
      <c r="D829" s="1"/>
      <c r="E829" s="1"/>
      <c r="F829" s="1"/>
      <c r="G829" s="1"/>
      <c r="H829" s="1"/>
      <c r="I829" s="4"/>
      <c r="J829" s="4"/>
      <c r="K829" s="4"/>
      <c r="L829" s="1"/>
      <c r="M829" s="1"/>
      <c r="N829" s="1"/>
      <c r="O829" s="1"/>
      <c r="P829" s="1"/>
      <c r="Q829" s="1"/>
      <c r="R829" s="1"/>
      <c r="S829" s="1"/>
      <c r="T829" s="1"/>
      <c r="U829" s="1"/>
      <c r="V829" s="1"/>
      <c r="W829" s="1"/>
      <c r="X829" s="1"/>
      <c r="Y829" s="1"/>
    </row>
    <row r="830" spans="1:25" ht="15.75" customHeight="1">
      <c r="A830" s="1"/>
      <c r="B830" s="1"/>
      <c r="C830" s="1"/>
      <c r="D830" s="1"/>
      <c r="E830" s="1"/>
      <c r="F830" s="1"/>
      <c r="G830" s="1"/>
      <c r="H830" s="1"/>
      <c r="I830" s="4"/>
      <c r="J830" s="4"/>
      <c r="K830" s="4"/>
      <c r="L830" s="1"/>
      <c r="M830" s="1"/>
      <c r="N830" s="1"/>
      <c r="O830" s="1"/>
      <c r="P830" s="1"/>
      <c r="Q830" s="1"/>
      <c r="R830" s="1"/>
      <c r="S830" s="1"/>
      <c r="T830" s="1"/>
      <c r="U830" s="1"/>
      <c r="V830" s="1"/>
      <c r="W830" s="1"/>
      <c r="X830" s="1"/>
      <c r="Y830" s="1"/>
    </row>
    <row r="831" spans="1:25" ht="15.75" customHeight="1">
      <c r="A831" s="1"/>
      <c r="B831" s="1"/>
      <c r="C831" s="1"/>
      <c r="D831" s="1"/>
      <c r="E831" s="1"/>
      <c r="F831" s="1"/>
      <c r="G831" s="1"/>
      <c r="H831" s="1"/>
      <c r="I831" s="4"/>
      <c r="J831" s="4"/>
      <c r="K831" s="4"/>
      <c r="L831" s="1"/>
      <c r="M831" s="1"/>
      <c r="N831" s="1"/>
      <c r="O831" s="1"/>
      <c r="P831" s="1"/>
      <c r="Q831" s="1"/>
      <c r="R831" s="1"/>
      <c r="S831" s="1"/>
      <c r="T831" s="1"/>
      <c r="U831" s="1"/>
      <c r="V831" s="1"/>
      <c r="W831" s="1"/>
      <c r="X831" s="1"/>
      <c r="Y831" s="1"/>
    </row>
    <row r="832" spans="1:25" ht="15.75" customHeight="1">
      <c r="A832" s="1"/>
      <c r="B832" s="1"/>
      <c r="C832" s="1"/>
      <c r="D832" s="1"/>
      <c r="E832" s="1"/>
      <c r="F832" s="1"/>
      <c r="G832" s="1"/>
      <c r="H832" s="1"/>
      <c r="I832" s="4"/>
      <c r="J832" s="4"/>
      <c r="K832" s="4"/>
      <c r="L832" s="1"/>
      <c r="M832" s="1"/>
      <c r="N832" s="1"/>
      <c r="O832" s="1"/>
      <c r="P832" s="1"/>
      <c r="Q832" s="1"/>
      <c r="R832" s="1"/>
      <c r="S832" s="1"/>
      <c r="T832" s="1"/>
      <c r="U832" s="1"/>
      <c r="V832" s="1"/>
      <c r="W832" s="1"/>
      <c r="X832" s="1"/>
      <c r="Y832" s="1"/>
    </row>
    <row r="833" spans="1:25" ht="15.75" customHeight="1">
      <c r="A833" s="1"/>
      <c r="B833" s="1"/>
      <c r="C833" s="1"/>
      <c r="D833" s="1"/>
      <c r="E833" s="1"/>
      <c r="F833" s="1"/>
      <c r="G833" s="1"/>
      <c r="H833" s="1"/>
      <c r="I833" s="4"/>
      <c r="J833" s="4"/>
      <c r="K833" s="4"/>
      <c r="L833" s="1"/>
      <c r="M833" s="1"/>
      <c r="N833" s="1"/>
      <c r="O833" s="1"/>
      <c r="P833" s="1"/>
      <c r="Q833" s="1"/>
      <c r="R833" s="1"/>
      <c r="S833" s="1"/>
      <c r="T833" s="1"/>
      <c r="U833" s="1"/>
      <c r="V833" s="1"/>
      <c r="W833" s="1"/>
      <c r="X833" s="1"/>
      <c r="Y833" s="1"/>
    </row>
    <row r="834" spans="1:25" ht="15.75" customHeight="1">
      <c r="A834" s="1"/>
      <c r="B834" s="1"/>
      <c r="C834" s="1"/>
      <c r="D834" s="1"/>
      <c r="E834" s="1"/>
      <c r="F834" s="1"/>
      <c r="G834" s="1"/>
      <c r="H834" s="1"/>
      <c r="I834" s="4"/>
      <c r="J834" s="4"/>
      <c r="K834" s="4"/>
      <c r="L834" s="1"/>
      <c r="M834" s="1"/>
      <c r="N834" s="1"/>
      <c r="O834" s="1"/>
      <c r="P834" s="1"/>
      <c r="Q834" s="1"/>
      <c r="R834" s="1"/>
      <c r="S834" s="1"/>
      <c r="T834" s="1"/>
      <c r="U834" s="1"/>
      <c r="V834" s="1"/>
      <c r="W834" s="1"/>
      <c r="X834" s="1"/>
      <c r="Y834" s="1"/>
    </row>
    <row r="835" spans="1:25" ht="15.75" customHeight="1">
      <c r="A835" s="1"/>
      <c r="B835" s="1"/>
      <c r="C835" s="1"/>
      <c r="D835" s="1"/>
      <c r="E835" s="1"/>
      <c r="F835" s="1"/>
      <c r="G835" s="1"/>
      <c r="H835" s="1"/>
      <c r="I835" s="4"/>
      <c r="J835" s="4"/>
      <c r="K835" s="4"/>
      <c r="L835" s="1"/>
      <c r="M835" s="1"/>
      <c r="N835" s="1"/>
      <c r="O835" s="1"/>
      <c r="P835" s="1"/>
      <c r="Q835" s="1"/>
      <c r="R835" s="1"/>
      <c r="S835" s="1"/>
      <c r="T835" s="1"/>
      <c r="U835" s="1"/>
      <c r="V835" s="1"/>
      <c r="W835" s="1"/>
      <c r="X835" s="1"/>
      <c r="Y835" s="1"/>
    </row>
    <row r="836" spans="1:25" ht="15.75" customHeight="1">
      <c r="A836" s="1"/>
      <c r="B836" s="1"/>
      <c r="C836" s="1"/>
      <c r="D836" s="1"/>
      <c r="E836" s="1"/>
      <c r="F836" s="1"/>
      <c r="G836" s="1"/>
      <c r="H836" s="1"/>
      <c r="I836" s="4"/>
      <c r="J836" s="4"/>
      <c r="K836" s="4"/>
      <c r="L836" s="1"/>
      <c r="M836" s="1"/>
      <c r="N836" s="1"/>
      <c r="O836" s="1"/>
      <c r="P836" s="1"/>
      <c r="Q836" s="1"/>
      <c r="R836" s="1"/>
      <c r="S836" s="1"/>
      <c r="T836" s="1"/>
      <c r="U836" s="1"/>
      <c r="V836" s="1"/>
      <c r="W836" s="1"/>
      <c r="X836" s="1"/>
      <c r="Y836" s="1"/>
    </row>
    <row r="837" spans="1:25" ht="15.75" customHeight="1">
      <c r="A837" s="1"/>
      <c r="B837" s="1"/>
      <c r="C837" s="1"/>
      <c r="D837" s="1"/>
      <c r="E837" s="1"/>
      <c r="F837" s="1"/>
      <c r="G837" s="1"/>
      <c r="H837" s="1"/>
      <c r="I837" s="4"/>
      <c r="J837" s="4"/>
      <c r="K837" s="4"/>
      <c r="L837" s="1"/>
      <c r="M837" s="1"/>
      <c r="N837" s="1"/>
      <c r="O837" s="1"/>
      <c r="P837" s="1"/>
      <c r="Q837" s="1"/>
      <c r="R837" s="1"/>
      <c r="S837" s="1"/>
      <c r="T837" s="1"/>
      <c r="U837" s="1"/>
      <c r="V837" s="1"/>
      <c r="W837" s="1"/>
      <c r="X837" s="1"/>
      <c r="Y837" s="1"/>
    </row>
    <row r="838" spans="1:25" ht="15.75" customHeight="1">
      <c r="A838" s="1"/>
      <c r="B838" s="1"/>
      <c r="C838" s="1"/>
      <c r="D838" s="1"/>
      <c r="E838" s="1"/>
      <c r="F838" s="1"/>
      <c r="G838" s="1"/>
      <c r="H838" s="1"/>
      <c r="I838" s="4"/>
      <c r="J838" s="4"/>
      <c r="K838" s="4"/>
      <c r="L838" s="1"/>
      <c r="M838" s="1"/>
      <c r="N838" s="1"/>
      <c r="O838" s="1"/>
      <c r="P838" s="1"/>
      <c r="Q838" s="1"/>
      <c r="R838" s="1"/>
      <c r="S838" s="1"/>
      <c r="T838" s="1"/>
      <c r="U838" s="1"/>
      <c r="V838" s="1"/>
      <c r="W838" s="1"/>
      <c r="X838" s="1"/>
      <c r="Y838" s="1"/>
    </row>
    <row r="839" spans="1:25" ht="15.75" customHeight="1">
      <c r="A839" s="1"/>
      <c r="B839" s="1"/>
      <c r="C839" s="1"/>
      <c r="D839" s="1"/>
      <c r="E839" s="1"/>
      <c r="F839" s="1"/>
      <c r="G839" s="1"/>
      <c r="H839" s="1"/>
      <c r="I839" s="4"/>
      <c r="J839" s="4"/>
      <c r="K839" s="4"/>
      <c r="L839" s="1"/>
      <c r="M839" s="1"/>
      <c r="N839" s="1"/>
      <c r="O839" s="1"/>
      <c r="P839" s="1"/>
      <c r="Q839" s="1"/>
      <c r="R839" s="1"/>
      <c r="S839" s="1"/>
      <c r="T839" s="1"/>
      <c r="U839" s="1"/>
      <c r="V839" s="1"/>
      <c r="W839" s="1"/>
      <c r="X839" s="1"/>
      <c r="Y839" s="1"/>
    </row>
    <row r="840" spans="1:25" ht="15.75" customHeight="1">
      <c r="A840" s="1"/>
      <c r="B840" s="1"/>
      <c r="C840" s="1"/>
      <c r="D840" s="1"/>
      <c r="E840" s="1"/>
      <c r="F840" s="1"/>
      <c r="G840" s="1"/>
      <c r="H840" s="1"/>
      <c r="I840" s="4"/>
      <c r="J840" s="4"/>
      <c r="K840" s="4"/>
      <c r="L840" s="1"/>
      <c r="M840" s="1"/>
      <c r="N840" s="1"/>
      <c r="O840" s="1"/>
      <c r="P840" s="1"/>
      <c r="Q840" s="1"/>
      <c r="R840" s="1"/>
      <c r="S840" s="1"/>
      <c r="T840" s="1"/>
      <c r="U840" s="1"/>
      <c r="V840" s="1"/>
      <c r="W840" s="1"/>
      <c r="X840" s="1"/>
      <c r="Y840" s="1"/>
    </row>
    <row r="841" spans="1:25" ht="15.75" customHeight="1">
      <c r="A841" s="1"/>
      <c r="B841" s="1"/>
      <c r="C841" s="1"/>
      <c r="D841" s="1"/>
      <c r="E841" s="1"/>
      <c r="F841" s="1"/>
      <c r="G841" s="1"/>
      <c r="H841" s="1"/>
      <c r="I841" s="4"/>
      <c r="J841" s="4"/>
      <c r="K841" s="4"/>
      <c r="L841" s="1"/>
      <c r="M841" s="1"/>
      <c r="N841" s="1"/>
      <c r="O841" s="1"/>
      <c r="P841" s="1"/>
      <c r="Q841" s="1"/>
      <c r="R841" s="1"/>
      <c r="S841" s="1"/>
      <c r="T841" s="1"/>
      <c r="U841" s="1"/>
      <c r="V841" s="1"/>
      <c r="W841" s="1"/>
      <c r="X841" s="1"/>
      <c r="Y841" s="1"/>
    </row>
    <row r="842" spans="1:25" ht="15.75" customHeight="1">
      <c r="A842" s="1"/>
      <c r="B842" s="1"/>
      <c r="C842" s="1"/>
      <c r="D842" s="1"/>
      <c r="E842" s="1"/>
      <c r="F842" s="1"/>
      <c r="G842" s="1"/>
      <c r="H842" s="1"/>
      <c r="I842" s="4"/>
      <c r="J842" s="4"/>
      <c r="K842" s="4"/>
      <c r="L842" s="1"/>
      <c r="M842" s="1"/>
      <c r="N842" s="1"/>
      <c r="O842" s="1"/>
      <c r="P842" s="1"/>
      <c r="Q842" s="1"/>
      <c r="R842" s="1"/>
      <c r="S842" s="1"/>
      <c r="T842" s="1"/>
      <c r="U842" s="1"/>
      <c r="V842" s="1"/>
      <c r="W842" s="1"/>
      <c r="X842" s="1"/>
      <c r="Y842" s="1"/>
    </row>
    <row r="843" spans="1:25" ht="15.75" customHeight="1">
      <c r="A843" s="1"/>
      <c r="B843" s="1"/>
      <c r="C843" s="1"/>
      <c r="D843" s="1"/>
      <c r="E843" s="1"/>
      <c r="F843" s="1"/>
      <c r="G843" s="1"/>
      <c r="H843" s="1"/>
      <c r="I843" s="4"/>
      <c r="J843" s="4"/>
      <c r="K843" s="4"/>
      <c r="L843" s="1"/>
      <c r="M843" s="1"/>
      <c r="N843" s="1"/>
      <c r="O843" s="1"/>
      <c r="P843" s="1"/>
      <c r="Q843" s="1"/>
      <c r="R843" s="1"/>
      <c r="S843" s="1"/>
      <c r="T843" s="1"/>
      <c r="U843" s="1"/>
      <c r="V843" s="1"/>
      <c r="W843" s="1"/>
      <c r="X843" s="1"/>
      <c r="Y843" s="1"/>
    </row>
    <row r="844" spans="1:25" ht="15.75" customHeight="1">
      <c r="A844" s="1"/>
      <c r="B844" s="1"/>
      <c r="C844" s="1"/>
      <c r="D844" s="1"/>
      <c r="E844" s="1"/>
      <c r="F844" s="1"/>
      <c r="G844" s="1"/>
      <c r="H844" s="1"/>
      <c r="I844" s="4"/>
      <c r="J844" s="4"/>
      <c r="K844" s="4"/>
      <c r="L844" s="1"/>
      <c r="M844" s="1"/>
      <c r="N844" s="1"/>
      <c r="O844" s="1"/>
      <c r="P844" s="1"/>
      <c r="Q844" s="1"/>
      <c r="R844" s="1"/>
      <c r="S844" s="1"/>
      <c r="T844" s="1"/>
      <c r="U844" s="1"/>
      <c r="V844" s="1"/>
      <c r="W844" s="1"/>
      <c r="X844" s="1"/>
      <c r="Y844" s="1"/>
    </row>
    <row r="845" spans="1:25" ht="15.75" customHeight="1">
      <c r="A845" s="1"/>
      <c r="B845" s="1"/>
      <c r="C845" s="1"/>
      <c r="D845" s="1"/>
      <c r="E845" s="1"/>
      <c r="F845" s="1"/>
      <c r="G845" s="1"/>
      <c r="H845" s="1"/>
      <c r="I845" s="4"/>
      <c r="J845" s="4"/>
      <c r="K845" s="4"/>
      <c r="L845" s="1"/>
      <c r="M845" s="1"/>
      <c r="N845" s="1"/>
      <c r="O845" s="1"/>
      <c r="P845" s="1"/>
      <c r="Q845" s="1"/>
      <c r="R845" s="1"/>
      <c r="S845" s="1"/>
      <c r="T845" s="1"/>
      <c r="U845" s="1"/>
      <c r="V845" s="1"/>
      <c r="W845" s="1"/>
      <c r="X845" s="1"/>
      <c r="Y845" s="1"/>
    </row>
    <row r="846" spans="1:25" ht="15.75" customHeight="1">
      <c r="A846" s="1"/>
      <c r="B846" s="1"/>
      <c r="C846" s="1"/>
      <c r="D846" s="1"/>
      <c r="E846" s="1"/>
      <c r="F846" s="1"/>
      <c r="G846" s="1"/>
      <c r="H846" s="1"/>
      <c r="I846" s="4"/>
      <c r="J846" s="4"/>
      <c r="K846" s="4"/>
      <c r="L846" s="1"/>
      <c r="M846" s="1"/>
      <c r="N846" s="1"/>
      <c r="O846" s="1"/>
      <c r="P846" s="1"/>
      <c r="Q846" s="1"/>
      <c r="R846" s="1"/>
      <c r="S846" s="1"/>
      <c r="T846" s="1"/>
      <c r="U846" s="1"/>
      <c r="V846" s="1"/>
      <c r="W846" s="1"/>
      <c r="X846" s="1"/>
      <c r="Y846" s="1"/>
    </row>
    <row r="847" spans="1:25" ht="15.75" customHeight="1">
      <c r="A847" s="1"/>
      <c r="B847" s="1"/>
      <c r="C847" s="1"/>
      <c r="D847" s="1"/>
      <c r="E847" s="1"/>
      <c r="F847" s="1"/>
      <c r="G847" s="1"/>
      <c r="H847" s="1"/>
      <c r="I847" s="4"/>
      <c r="J847" s="4"/>
      <c r="K847" s="4"/>
      <c r="L847" s="1"/>
      <c r="M847" s="1"/>
      <c r="N847" s="1"/>
      <c r="O847" s="1"/>
      <c r="P847" s="1"/>
      <c r="Q847" s="1"/>
      <c r="R847" s="1"/>
      <c r="S847" s="1"/>
      <c r="T847" s="1"/>
      <c r="U847" s="1"/>
      <c r="V847" s="1"/>
      <c r="W847" s="1"/>
      <c r="X847" s="1"/>
      <c r="Y847" s="1"/>
    </row>
    <row r="848" spans="1:25" ht="15.75" customHeight="1">
      <c r="A848" s="1"/>
      <c r="B848" s="1"/>
      <c r="C848" s="1"/>
      <c r="D848" s="1"/>
      <c r="E848" s="1"/>
      <c r="F848" s="1"/>
      <c r="G848" s="1"/>
      <c r="H848" s="1"/>
      <c r="I848" s="4"/>
      <c r="J848" s="4"/>
      <c r="K848" s="4"/>
      <c r="L848" s="1"/>
      <c r="M848" s="1"/>
      <c r="N848" s="1"/>
      <c r="O848" s="1"/>
      <c r="P848" s="1"/>
      <c r="Q848" s="1"/>
      <c r="R848" s="1"/>
      <c r="S848" s="1"/>
      <c r="T848" s="1"/>
      <c r="U848" s="1"/>
      <c r="V848" s="1"/>
      <c r="W848" s="1"/>
      <c r="X848" s="1"/>
      <c r="Y848" s="1"/>
    </row>
    <row r="849" spans="1:25" ht="15.75" customHeight="1">
      <c r="A849" s="1"/>
      <c r="B849" s="1"/>
      <c r="C849" s="1"/>
      <c r="D849" s="1"/>
      <c r="E849" s="1"/>
      <c r="F849" s="1"/>
      <c r="G849" s="1"/>
      <c r="H849" s="1"/>
      <c r="I849" s="4"/>
      <c r="J849" s="4"/>
      <c r="K849" s="4"/>
      <c r="L849" s="1"/>
      <c r="M849" s="1"/>
      <c r="N849" s="1"/>
      <c r="O849" s="1"/>
      <c r="P849" s="1"/>
      <c r="Q849" s="1"/>
      <c r="R849" s="1"/>
      <c r="S849" s="1"/>
      <c r="T849" s="1"/>
      <c r="U849" s="1"/>
      <c r="V849" s="1"/>
      <c r="W849" s="1"/>
      <c r="X849" s="1"/>
      <c r="Y849" s="1"/>
    </row>
    <row r="850" spans="1:25" ht="15.75" customHeight="1">
      <c r="A850" s="1"/>
      <c r="B850" s="1"/>
      <c r="C850" s="1"/>
      <c r="D850" s="1"/>
      <c r="E850" s="1"/>
      <c r="F850" s="1"/>
      <c r="G850" s="1"/>
      <c r="H850" s="1"/>
      <c r="I850" s="4"/>
      <c r="J850" s="4"/>
      <c r="K850" s="4"/>
      <c r="L850" s="1"/>
      <c r="M850" s="1"/>
      <c r="N850" s="1"/>
      <c r="O850" s="1"/>
      <c r="P850" s="1"/>
      <c r="Q850" s="1"/>
      <c r="R850" s="1"/>
      <c r="S850" s="1"/>
      <c r="T850" s="1"/>
      <c r="U850" s="1"/>
      <c r="V850" s="1"/>
      <c r="W850" s="1"/>
      <c r="X850" s="1"/>
      <c r="Y850" s="1"/>
    </row>
    <row r="851" spans="1:25" ht="15.75" customHeight="1">
      <c r="A851" s="1"/>
      <c r="B851" s="1"/>
      <c r="C851" s="1"/>
      <c r="D851" s="1"/>
      <c r="E851" s="1"/>
      <c r="F851" s="1"/>
      <c r="G851" s="1"/>
      <c r="H851" s="1"/>
      <c r="I851" s="4"/>
      <c r="J851" s="4"/>
      <c r="K851" s="4"/>
      <c r="L851" s="1"/>
      <c r="M851" s="1"/>
      <c r="N851" s="1"/>
      <c r="O851" s="1"/>
      <c r="P851" s="1"/>
      <c r="Q851" s="1"/>
      <c r="R851" s="1"/>
      <c r="S851" s="1"/>
      <c r="T851" s="1"/>
      <c r="U851" s="1"/>
      <c r="V851" s="1"/>
      <c r="W851" s="1"/>
      <c r="X851" s="1"/>
      <c r="Y851" s="1"/>
    </row>
    <row r="852" spans="1:25" ht="15.75" customHeight="1">
      <c r="A852" s="1"/>
      <c r="B852" s="1"/>
      <c r="C852" s="1"/>
      <c r="D852" s="1"/>
      <c r="E852" s="1"/>
      <c r="F852" s="1"/>
      <c r="G852" s="1"/>
      <c r="H852" s="1"/>
      <c r="I852" s="4"/>
      <c r="J852" s="4"/>
      <c r="K852" s="4"/>
      <c r="L852" s="1"/>
      <c r="M852" s="1"/>
      <c r="N852" s="1"/>
      <c r="O852" s="1"/>
      <c r="P852" s="1"/>
      <c r="Q852" s="1"/>
      <c r="R852" s="1"/>
      <c r="S852" s="1"/>
      <c r="T852" s="1"/>
      <c r="U852" s="1"/>
      <c r="V852" s="1"/>
      <c r="W852" s="1"/>
      <c r="X852" s="1"/>
      <c r="Y852" s="1"/>
    </row>
    <row r="853" spans="1:25" ht="15.75" customHeight="1">
      <c r="A853" s="1"/>
      <c r="B853" s="1"/>
      <c r="C853" s="1"/>
      <c r="D853" s="1"/>
      <c r="E853" s="1"/>
      <c r="F853" s="1"/>
      <c r="G853" s="1"/>
      <c r="H853" s="1"/>
      <c r="I853" s="4"/>
      <c r="J853" s="4"/>
      <c r="K853" s="4"/>
      <c r="L853" s="1"/>
      <c r="M853" s="1"/>
      <c r="N853" s="1"/>
      <c r="O853" s="1"/>
      <c r="P853" s="1"/>
      <c r="Q853" s="1"/>
      <c r="R853" s="1"/>
      <c r="S853" s="1"/>
      <c r="T853" s="1"/>
      <c r="U853" s="1"/>
      <c r="V853" s="1"/>
      <c r="W853" s="1"/>
      <c r="X853" s="1"/>
      <c r="Y853" s="1"/>
    </row>
    <row r="854" spans="1:25" ht="15.75" customHeight="1">
      <c r="A854" s="1"/>
      <c r="B854" s="1"/>
      <c r="C854" s="1"/>
      <c r="D854" s="1"/>
      <c r="E854" s="1"/>
      <c r="F854" s="1"/>
      <c r="G854" s="1"/>
      <c r="H854" s="1"/>
      <c r="I854" s="4"/>
      <c r="J854" s="4"/>
      <c r="K854" s="4"/>
      <c r="L854" s="1"/>
      <c r="M854" s="1"/>
      <c r="N854" s="1"/>
      <c r="O854" s="1"/>
      <c r="P854" s="1"/>
      <c r="Q854" s="1"/>
      <c r="R854" s="1"/>
      <c r="S854" s="1"/>
      <c r="T854" s="1"/>
      <c r="U854" s="1"/>
      <c r="V854" s="1"/>
      <c r="W854" s="1"/>
      <c r="X854" s="1"/>
      <c r="Y854" s="1"/>
    </row>
    <row r="855" spans="1:25" ht="15.75" customHeight="1">
      <c r="A855" s="1"/>
      <c r="B855" s="1"/>
      <c r="C855" s="1"/>
      <c r="D855" s="1"/>
      <c r="E855" s="1"/>
      <c r="F855" s="1"/>
      <c r="G855" s="1"/>
      <c r="H855" s="1"/>
      <c r="I855" s="4"/>
      <c r="J855" s="4"/>
      <c r="K855" s="4"/>
      <c r="L855" s="1"/>
      <c r="M855" s="1"/>
      <c r="N855" s="1"/>
      <c r="O855" s="1"/>
      <c r="P855" s="1"/>
      <c r="Q855" s="1"/>
      <c r="R855" s="1"/>
      <c r="S855" s="1"/>
      <c r="T855" s="1"/>
      <c r="U855" s="1"/>
      <c r="V855" s="1"/>
      <c r="W855" s="1"/>
      <c r="X855" s="1"/>
      <c r="Y855" s="1"/>
    </row>
    <row r="856" spans="1:25" ht="15.75" customHeight="1">
      <c r="A856" s="1"/>
      <c r="B856" s="1"/>
      <c r="C856" s="1"/>
      <c r="D856" s="1"/>
      <c r="E856" s="1"/>
      <c r="F856" s="1"/>
      <c r="G856" s="1"/>
      <c r="H856" s="1"/>
      <c r="I856" s="4"/>
      <c r="J856" s="4"/>
      <c r="K856" s="4"/>
      <c r="L856" s="1"/>
      <c r="M856" s="1"/>
      <c r="N856" s="1"/>
      <c r="O856" s="1"/>
      <c r="P856" s="1"/>
      <c r="Q856" s="1"/>
      <c r="R856" s="1"/>
      <c r="S856" s="1"/>
      <c r="T856" s="1"/>
      <c r="U856" s="1"/>
      <c r="V856" s="1"/>
      <c r="W856" s="1"/>
      <c r="X856" s="1"/>
      <c r="Y856" s="1"/>
    </row>
    <row r="857" spans="1:25" ht="15.75" customHeight="1">
      <c r="A857" s="1"/>
      <c r="B857" s="1"/>
      <c r="C857" s="1"/>
      <c r="D857" s="1"/>
      <c r="E857" s="1"/>
      <c r="F857" s="1"/>
      <c r="G857" s="1"/>
      <c r="H857" s="1"/>
      <c r="I857" s="4"/>
      <c r="J857" s="4"/>
      <c r="K857" s="4"/>
      <c r="L857" s="1"/>
      <c r="M857" s="1"/>
      <c r="N857" s="1"/>
      <c r="O857" s="1"/>
      <c r="P857" s="1"/>
      <c r="Q857" s="1"/>
      <c r="R857" s="1"/>
      <c r="S857" s="1"/>
      <c r="T857" s="1"/>
      <c r="U857" s="1"/>
      <c r="V857" s="1"/>
      <c r="W857" s="1"/>
      <c r="X857" s="1"/>
      <c r="Y857" s="1"/>
    </row>
    <row r="858" spans="1:25" ht="15.75" customHeight="1">
      <c r="A858" s="1"/>
      <c r="B858" s="1"/>
      <c r="C858" s="1"/>
      <c r="D858" s="1"/>
      <c r="E858" s="1"/>
      <c r="F858" s="1"/>
      <c r="G858" s="1"/>
      <c r="H858" s="1"/>
      <c r="I858" s="4"/>
      <c r="J858" s="4"/>
      <c r="K858" s="4"/>
      <c r="L858" s="1"/>
      <c r="M858" s="1"/>
      <c r="N858" s="1"/>
      <c r="O858" s="1"/>
      <c r="P858" s="1"/>
      <c r="Q858" s="1"/>
      <c r="R858" s="1"/>
      <c r="S858" s="1"/>
      <c r="T858" s="1"/>
      <c r="U858" s="1"/>
      <c r="V858" s="1"/>
      <c r="W858" s="1"/>
      <c r="X858" s="1"/>
      <c r="Y858" s="1"/>
    </row>
    <row r="859" spans="1:25" ht="15.75" customHeight="1">
      <c r="A859" s="1"/>
      <c r="B859" s="1"/>
      <c r="C859" s="1"/>
      <c r="D859" s="1"/>
      <c r="E859" s="1"/>
      <c r="F859" s="1"/>
      <c r="G859" s="1"/>
      <c r="H859" s="1"/>
      <c r="I859" s="4"/>
      <c r="J859" s="4"/>
      <c r="K859" s="4"/>
      <c r="L859" s="1"/>
      <c r="M859" s="1"/>
      <c r="N859" s="1"/>
      <c r="O859" s="1"/>
      <c r="P859" s="1"/>
      <c r="Q859" s="1"/>
      <c r="R859" s="1"/>
      <c r="S859" s="1"/>
      <c r="T859" s="1"/>
      <c r="U859" s="1"/>
      <c r="V859" s="1"/>
      <c r="W859" s="1"/>
      <c r="X859" s="1"/>
      <c r="Y859" s="1"/>
    </row>
    <row r="860" spans="1:25" ht="15.75" customHeight="1">
      <c r="A860" s="1"/>
      <c r="B860" s="1"/>
      <c r="C860" s="1"/>
      <c r="D860" s="1"/>
      <c r="E860" s="1"/>
      <c r="F860" s="1"/>
      <c r="G860" s="1"/>
      <c r="H860" s="1"/>
      <c r="I860" s="4"/>
      <c r="J860" s="4"/>
      <c r="K860" s="4"/>
      <c r="L860" s="1"/>
      <c r="M860" s="1"/>
      <c r="N860" s="1"/>
      <c r="O860" s="1"/>
      <c r="P860" s="1"/>
      <c r="Q860" s="1"/>
      <c r="R860" s="1"/>
      <c r="S860" s="1"/>
      <c r="T860" s="1"/>
      <c r="U860" s="1"/>
      <c r="V860" s="1"/>
      <c r="W860" s="1"/>
      <c r="X860" s="1"/>
      <c r="Y860" s="1"/>
    </row>
    <row r="861" spans="1:25" ht="15.75" customHeight="1">
      <c r="A861" s="1"/>
      <c r="B861" s="1"/>
      <c r="C861" s="1"/>
      <c r="D861" s="1"/>
      <c r="E861" s="1"/>
      <c r="F861" s="1"/>
      <c r="G861" s="1"/>
      <c r="H861" s="1"/>
      <c r="I861" s="4"/>
      <c r="J861" s="4"/>
      <c r="K861" s="4"/>
      <c r="L861" s="1"/>
      <c r="M861" s="1"/>
      <c r="N861" s="1"/>
      <c r="O861" s="1"/>
      <c r="P861" s="1"/>
      <c r="Q861" s="1"/>
      <c r="R861" s="1"/>
      <c r="S861" s="1"/>
      <c r="T861" s="1"/>
      <c r="U861" s="1"/>
      <c r="V861" s="1"/>
      <c r="W861" s="1"/>
      <c r="X861" s="1"/>
      <c r="Y861" s="1"/>
    </row>
    <row r="862" spans="1:25" ht="15.75" customHeight="1">
      <c r="A862" s="1"/>
      <c r="B862" s="1"/>
      <c r="C862" s="1"/>
      <c r="D862" s="1"/>
      <c r="E862" s="1"/>
      <c r="F862" s="1"/>
      <c r="G862" s="1"/>
      <c r="H862" s="1"/>
      <c r="I862" s="4"/>
      <c r="J862" s="4"/>
      <c r="K862" s="4"/>
      <c r="L862" s="1"/>
      <c r="M862" s="1"/>
      <c r="N862" s="1"/>
      <c r="O862" s="1"/>
      <c r="P862" s="1"/>
      <c r="Q862" s="1"/>
      <c r="R862" s="1"/>
      <c r="S862" s="1"/>
      <c r="T862" s="1"/>
      <c r="U862" s="1"/>
      <c r="V862" s="1"/>
      <c r="W862" s="1"/>
      <c r="X862" s="1"/>
      <c r="Y862" s="1"/>
    </row>
    <row r="863" spans="1:25" ht="15.75" customHeight="1">
      <c r="A863" s="1"/>
      <c r="B863" s="1"/>
      <c r="C863" s="1"/>
      <c r="D863" s="1"/>
      <c r="E863" s="1"/>
      <c r="F863" s="1"/>
      <c r="G863" s="1"/>
      <c r="H863" s="1"/>
      <c r="I863" s="4"/>
      <c r="J863" s="4"/>
      <c r="K863" s="4"/>
      <c r="L863" s="1"/>
      <c r="M863" s="1"/>
      <c r="N863" s="1"/>
      <c r="O863" s="1"/>
      <c r="P863" s="1"/>
      <c r="Q863" s="1"/>
      <c r="R863" s="1"/>
      <c r="S863" s="1"/>
      <c r="T863" s="1"/>
      <c r="U863" s="1"/>
      <c r="V863" s="1"/>
      <c r="W863" s="1"/>
      <c r="X863" s="1"/>
      <c r="Y863" s="1"/>
    </row>
    <row r="864" spans="1:25" ht="15.75" customHeight="1">
      <c r="A864" s="1"/>
      <c r="B864" s="1"/>
      <c r="C864" s="1"/>
      <c r="D864" s="1"/>
      <c r="E864" s="1"/>
      <c r="F864" s="1"/>
      <c r="G864" s="1"/>
      <c r="H864" s="1"/>
      <c r="I864" s="4"/>
      <c r="J864" s="4"/>
      <c r="K864" s="4"/>
      <c r="L864" s="1"/>
      <c r="M864" s="1"/>
      <c r="N864" s="1"/>
      <c r="O864" s="1"/>
      <c r="P864" s="1"/>
      <c r="Q864" s="1"/>
      <c r="R864" s="1"/>
      <c r="S864" s="1"/>
      <c r="T864" s="1"/>
      <c r="U864" s="1"/>
      <c r="V864" s="1"/>
      <c r="W864" s="1"/>
      <c r="X864" s="1"/>
      <c r="Y864" s="1"/>
    </row>
    <row r="865" spans="1:25" ht="15.75" customHeight="1">
      <c r="A865" s="1"/>
      <c r="B865" s="1"/>
      <c r="C865" s="1"/>
      <c r="D865" s="1"/>
      <c r="E865" s="1"/>
      <c r="F865" s="1"/>
      <c r="G865" s="1"/>
      <c r="H865" s="1"/>
      <c r="I865" s="4"/>
      <c r="J865" s="4"/>
      <c r="K865" s="4"/>
      <c r="L865" s="1"/>
      <c r="M865" s="1"/>
      <c r="N865" s="1"/>
      <c r="O865" s="1"/>
      <c r="P865" s="1"/>
      <c r="Q865" s="1"/>
      <c r="R865" s="1"/>
      <c r="S865" s="1"/>
      <c r="T865" s="1"/>
      <c r="U865" s="1"/>
      <c r="V865" s="1"/>
      <c r="W865" s="1"/>
      <c r="X865" s="1"/>
      <c r="Y865" s="1"/>
    </row>
    <row r="866" spans="1:25" ht="15.75" customHeight="1">
      <c r="A866" s="1"/>
      <c r="B866" s="1"/>
      <c r="C866" s="1"/>
      <c r="D866" s="1"/>
      <c r="E866" s="1"/>
      <c r="F866" s="1"/>
      <c r="G866" s="1"/>
      <c r="H866" s="1"/>
      <c r="I866" s="4"/>
      <c r="J866" s="4"/>
      <c r="K866" s="4"/>
      <c r="L866" s="1"/>
      <c r="M866" s="1"/>
      <c r="N866" s="1"/>
      <c r="O866" s="1"/>
      <c r="P866" s="1"/>
      <c r="Q866" s="1"/>
      <c r="R866" s="1"/>
      <c r="S866" s="1"/>
      <c r="T866" s="1"/>
      <c r="U866" s="1"/>
      <c r="V866" s="1"/>
      <c r="W866" s="1"/>
      <c r="X866" s="1"/>
      <c r="Y866" s="1"/>
    </row>
    <row r="867" spans="1:25" ht="15.75" customHeight="1">
      <c r="A867" s="1"/>
      <c r="B867" s="1"/>
      <c r="C867" s="1"/>
      <c r="D867" s="1"/>
      <c r="E867" s="1"/>
      <c r="F867" s="1"/>
      <c r="G867" s="1"/>
      <c r="H867" s="1"/>
      <c r="I867" s="4"/>
      <c r="J867" s="4"/>
      <c r="K867" s="4"/>
      <c r="L867" s="1"/>
      <c r="M867" s="1"/>
      <c r="N867" s="1"/>
      <c r="O867" s="1"/>
      <c r="P867" s="1"/>
      <c r="Q867" s="1"/>
      <c r="R867" s="1"/>
      <c r="S867" s="1"/>
      <c r="T867" s="1"/>
      <c r="U867" s="1"/>
      <c r="V867" s="1"/>
      <c r="W867" s="1"/>
      <c r="X867" s="1"/>
      <c r="Y867" s="1"/>
    </row>
    <row r="868" spans="1:25" ht="15.75" customHeight="1">
      <c r="A868" s="1"/>
      <c r="B868" s="1"/>
      <c r="C868" s="1"/>
      <c r="D868" s="1"/>
      <c r="E868" s="1"/>
      <c r="F868" s="1"/>
      <c r="G868" s="1"/>
      <c r="H868" s="1"/>
      <c r="I868" s="4"/>
      <c r="J868" s="4"/>
      <c r="K868" s="4"/>
      <c r="L868" s="1"/>
      <c r="M868" s="1"/>
      <c r="N868" s="1"/>
      <c r="O868" s="1"/>
      <c r="P868" s="1"/>
      <c r="Q868" s="1"/>
      <c r="R868" s="1"/>
      <c r="S868" s="1"/>
      <c r="T868" s="1"/>
      <c r="U868" s="1"/>
      <c r="V868" s="1"/>
      <c r="W868" s="1"/>
      <c r="X868" s="1"/>
      <c r="Y868" s="1"/>
    </row>
    <row r="869" spans="1:25" ht="15.75" customHeight="1">
      <c r="A869" s="1"/>
      <c r="B869" s="1"/>
      <c r="C869" s="1"/>
      <c r="D869" s="1"/>
      <c r="E869" s="1"/>
      <c r="F869" s="1"/>
      <c r="G869" s="1"/>
      <c r="H869" s="1"/>
      <c r="I869" s="4"/>
      <c r="J869" s="4"/>
      <c r="K869" s="4"/>
      <c r="L869" s="1"/>
      <c r="M869" s="1"/>
      <c r="N869" s="1"/>
      <c r="O869" s="1"/>
      <c r="P869" s="1"/>
      <c r="Q869" s="1"/>
      <c r="R869" s="1"/>
      <c r="S869" s="1"/>
      <c r="T869" s="1"/>
      <c r="U869" s="1"/>
      <c r="V869" s="1"/>
      <c r="W869" s="1"/>
      <c r="X869" s="1"/>
      <c r="Y869" s="1"/>
    </row>
    <row r="870" spans="1:25" ht="15.75" customHeight="1">
      <c r="A870" s="1"/>
      <c r="B870" s="1"/>
      <c r="C870" s="1"/>
      <c r="D870" s="1"/>
      <c r="E870" s="1"/>
      <c r="F870" s="1"/>
      <c r="G870" s="1"/>
      <c r="H870" s="1"/>
      <c r="I870" s="4"/>
      <c r="J870" s="4"/>
      <c r="K870" s="4"/>
      <c r="L870" s="1"/>
      <c r="M870" s="1"/>
      <c r="N870" s="1"/>
      <c r="O870" s="1"/>
      <c r="P870" s="1"/>
      <c r="Q870" s="1"/>
      <c r="R870" s="1"/>
      <c r="S870" s="1"/>
      <c r="T870" s="1"/>
      <c r="U870" s="1"/>
      <c r="V870" s="1"/>
      <c r="W870" s="1"/>
      <c r="X870" s="1"/>
      <c r="Y870" s="1"/>
    </row>
    <row r="871" spans="1:25" ht="15.75" customHeight="1">
      <c r="A871" s="1"/>
      <c r="B871" s="1"/>
      <c r="C871" s="1"/>
      <c r="D871" s="1"/>
      <c r="E871" s="1"/>
      <c r="F871" s="1"/>
      <c r="G871" s="1"/>
      <c r="H871" s="1"/>
      <c r="I871" s="4"/>
      <c r="J871" s="4"/>
      <c r="K871" s="4"/>
      <c r="L871" s="1"/>
      <c r="M871" s="1"/>
      <c r="N871" s="1"/>
      <c r="O871" s="1"/>
      <c r="P871" s="1"/>
      <c r="Q871" s="1"/>
      <c r="R871" s="1"/>
      <c r="S871" s="1"/>
      <c r="T871" s="1"/>
      <c r="U871" s="1"/>
      <c r="V871" s="1"/>
      <c r="W871" s="1"/>
      <c r="X871" s="1"/>
      <c r="Y871" s="1"/>
    </row>
    <row r="872" spans="1:25" ht="15.75" customHeight="1">
      <c r="A872" s="1"/>
      <c r="B872" s="1"/>
      <c r="C872" s="1"/>
      <c r="D872" s="1"/>
      <c r="E872" s="1"/>
      <c r="F872" s="1"/>
      <c r="G872" s="1"/>
      <c r="H872" s="1"/>
      <c r="I872" s="4"/>
      <c r="J872" s="4"/>
      <c r="K872" s="4"/>
      <c r="L872" s="1"/>
      <c r="M872" s="1"/>
      <c r="N872" s="1"/>
      <c r="O872" s="1"/>
      <c r="P872" s="1"/>
      <c r="Q872" s="1"/>
      <c r="R872" s="1"/>
      <c r="S872" s="1"/>
      <c r="T872" s="1"/>
      <c r="U872" s="1"/>
      <c r="V872" s="1"/>
      <c r="W872" s="1"/>
      <c r="X872" s="1"/>
      <c r="Y872" s="1"/>
    </row>
    <row r="873" spans="1:25" ht="15.75" customHeight="1">
      <c r="A873" s="1"/>
      <c r="B873" s="1"/>
      <c r="C873" s="1"/>
      <c r="D873" s="1"/>
      <c r="E873" s="1"/>
      <c r="F873" s="1"/>
      <c r="G873" s="1"/>
      <c r="H873" s="1"/>
      <c r="I873" s="4"/>
      <c r="J873" s="4"/>
      <c r="K873" s="4"/>
      <c r="L873" s="1"/>
      <c r="M873" s="1"/>
      <c r="N873" s="1"/>
      <c r="O873" s="1"/>
      <c r="P873" s="1"/>
      <c r="Q873" s="1"/>
      <c r="R873" s="1"/>
      <c r="S873" s="1"/>
      <c r="T873" s="1"/>
      <c r="U873" s="1"/>
      <c r="V873" s="1"/>
      <c r="W873" s="1"/>
      <c r="X873" s="1"/>
      <c r="Y873" s="1"/>
    </row>
    <row r="874" spans="1:25" ht="15.75" customHeight="1">
      <c r="A874" s="1"/>
      <c r="B874" s="1"/>
      <c r="C874" s="1"/>
      <c r="D874" s="1"/>
      <c r="E874" s="1"/>
      <c r="F874" s="1"/>
      <c r="G874" s="1"/>
      <c r="H874" s="1"/>
      <c r="I874" s="4"/>
      <c r="J874" s="4"/>
      <c r="K874" s="4"/>
      <c r="L874" s="1"/>
      <c r="M874" s="1"/>
      <c r="N874" s="1"/>
      <c r="O874" s="1"/>
      <c r="P874" s="1"/>
      <c r="Q874" s="1"/>
      <c r="R874" s="1"/>
      <c r="S874" s="1"/>
      <c r="T874" s="1"/>
      <c r="U874" s="1"/>
      <c r="V874" s="1"/>
      <c r="W874" s="1"/>
      <c r="X874" s="1"/>
      <c r="Y874" s="1"/>
    </row>
    <row r="875" spans="1:25" ht="15.75" customHeight="1">
      <c r="A875" s="1"/>
      <c r="B875" s="1"/>
      <c r="C875" s="1"/>
      <c r="D875" s="1"/>
      <c r="E875" s="1"/>
      <c r="F875" s="1"/>
      <c r="G875" s="1"/>
      <c r="H875" s="1"/>
      <c r="I875" s="4"/>
      <c r="J875" s="4"/>
      <c r="K875" s="4"/>
      <c r="L875" s="1"/>
      <c r="M875" s="1"/>
      <c r="N875" s="1"/>
      <c r="O875" s="1"/>
      <c r="P875" s="1"/>
      <c r="Q875" s="1"/>
      <c r="R875" s="1"/>
      <c r="S875" s="1"/>
      <c r="T875" s="1"/>
      <c r="U875" s="1"/>
      <c r="V875" s="1"/>
      <c r="W875" s="1"/>
      <c r="X875" s="1"/>
      <c r="Y875" s="1"/>
    </row>
    <row r="876" spans="1:25" ht="15.75" customHeight="1">
      <c r="A876" s="1"/>
      <c r="B876" s="1"/>
      <c r="C876" s="1"/>
      <c r="D876" s="1"/>
      <c r="E876" s="1"/>
      <c r="F876" s="1"/>
      <c r="G876" s="1"/>
      <c r="H876" s="1"/>
      <c r="I876" s="4"/>
      <c r="J876" s="4"/>
      <c r="K876" s="4"/>
      <c r="L876" s="1"/>
      <c r="M876" s="1"/>
      <c r="N876" s="1"/>
      <c r="O876" s="1"/>
      <c r="P876" s="1"/>
      <c r="Q876" s="1"/>
      <c r="R876" s="1"/>
      <c r="S876" s="1"/>
      <c r="T876" s="1"/>
      <c r="U876" s="1"/>
      <c r="V876" s="1"/>
      <c r="W876" s="1"/>
      <c r="X876" s="1"/>
      <c r="Y876" s="1"/>
    </row>
    <row r="877" spans="1:25" ht="15.75" customHeight="1">
      <c r="A877" s="1"/>
      <c r="B877" s="1"/>
      <c r="C877" s="1"/>
      <c r="D877" s="1"/>
      <c r="E877" s="1"/>
      <c r="F877" s="1"/>
      <c r="G877" s="1"/>
      <c r="H877" s="1"/>
      <c r="I877" s="4"/>
      <c r="J877" s="4"/>
      <c r="K877" s="4"/>
      <c r="L877" s="1"/>
      <c r="M877" s="1"/>
      <c r="N877" s="1"/>
      <c r="O877" s="1"/>
      <c r="P877" s="1"/>
      <c r="Q877" s="1"/>
      <c r="R877" s="1"/>
      <c r="S877" s="1"/>
      <c r="T877" s="1"/>
      <c r="U877" s="1"/>
      <c r="V877" s="1"/>
      <c r="W877" s="1"/>
      <c r="X877" s="1"/>
      <c r="Y877" s="1"/>
    </row>
    <row r="878" spans="1:25" ht="15.75" customHeight="1">
      <c r="A878" s="1"/>
      <c r="B878" s="1"/>
      <c r="C878" s="1"/>
      <c r="D878" s="1"/>
      <c r="E878" s="1"/>
      <c r="F878" s="1"/>
      <c r="G878" s="1"/>
      <c r="H878" s="1"/>
      <c r="I878" s="4"/>
      <c r="J878" s="4"/>
      <c r="K878" s="4"/>
      <c r="L878" s="1"/>
      <c r="M878" s="1"/>
      <c r="N878" s="1"/>
      <c r="O878" s="1"/>
      <c r="P878" s="1"/>
      <c r="Q878" s="1"/>
      <c r="R878" s="1"/>
      <c r="S878" s="1"/>
      <c r="T878" s="1"/>
      <c r="U878" s="1"/>
      <c r="V878" s="1"/>
      <c r="W878" s="1"/>
      <c r="X878" s="1"/>
      <c r="Y878" s="1"/>
    </row>
    <row r="879" spans="1:25" ht="15.75" customHeight="1">
      <c r="A879" s="1"/>
      <c r="B879" s="1"/>
      <c r="C879" s="1"/>
      <c r="D879" s="1"/>
      <c r="E879" s="1"/>
      <c r="F879" s="1"/>
      <c r="G879" s="1"/>
      <c r="H879" s="1"/>
      <c r="I879" s="4"/>
      <c r="J879" s="4"/>
      <c r="K879" s="4"/>
      <c r="L879" s="1"/>
      <c r="M879" s="1"/>
      <c r="N879" s="1"/>
      <c r="O879" s="1"/>
      <c r="P879" s="1"/>
      <c r="Q879" s="1"/>
      <c r="R879" s="1"/>
      <c r="S879" s="1"/>
      <c r="T879" s="1"/>
      <c r="U879" s="1"/>
      <c r="V879" s="1"/>
      <c r="W879" s="1"/>
      <c r="X879" s="1"/>
      <c r="Y879" s="1"/>
    </row>
    <row r="880" spans="1:25" ht="15.75" customHeight="1">
      <c r="A880" s="1"/>
      <c r="B880" s="1"/>
      <c r="C880" s="1"/>
      <c r="D880" s="1"/>
      <c r="E880" s="1"/>
      <c r="F880" s="1"/>
      <c r="G880" s="1"/>
      <c r="H880" s="1"/>
      <c r="I880" s="4"/>
      <c r="J880" s="4"/>
      <c r="K880" s="4"/>
      <c r="L880" s="1"/>
      <c r="M880" s="1"/>
      <c r="N880" s="1"/>
      <c r="O880" s="1"/>
      <c r="P880" s="1"/>
      <c r="Q880" s="1"/>
      <c r="R880" s="1"/>
      <c r="S880" s="1"/>
      <c r="T880" s="1"/>
      <c r="U880" s="1"/>
      <c r="V880" s="1"/>
      <c r="W880" s="1"/>
      <c r="X880" s="1"/>
      <c r="Y880" s="1"/>
    </row>
    <row r="881" spans="1:25" ht="15.75" customHeight="1">
      <c r="A881" s="1"/>
      <c r="B881" s="1"/>
      <c r="C881" s="1"/>
      <c r="D881" s="1"/>
      <c r="E881" s="1"/>
      <c r="F881" s="1"/>
      <c r="G881" s="1"/>
      <c r="H881" s="1"/>
      <c r="I881" s="4"/>
      <c r="J881" s="4"/>
      <c r="K881" s="4"/>
      <c r="L881" s="1"/>
      <c r="M881" s="1"/>
      <c r="N881" s="1"/>
      <c r="O881" s="1"/>
      <c r="P881" s="1"/>
      <c r="Q881" s="1"/>
      <c r="R881" s="1"/>
      <c r="S881" s="1"/>
      <c r="T881" s="1"/>
      <c r="U881" s="1"/>
      <c r="V881" s="1"/>
      <c r="W881" s="1"/>
      <c r="X881" s="1"/>
      <c r="Y881" s="1"/>
    </row>
    <row r="882" spans="1:25" ht="15.75" customHeight="1">
      <c r="A882" s="1"/>
      <c r="B882" s="1"/>
      <c r="C882" s="1"/>
      <c r="D882" s="1"/>
      <c r="E882" s="1"/>
      <c r="F882" s="1"/>
      <c r="G882" s="1"/>
      <c r="H882" s="1"/>
      <c r="I882" s="4"/>
      <c r="J882" s="4"/>
      <c r="K882" s="4"/>
      <c r="L882" s="1"/>
      <c r="M882" s="1"/>
      <c r="N882" s="1"/>
      <c r="O882" s="1"/>
      <c r="P882" s="1"/>
      <c r="Q882" s="1"/>
      <c r="R882" s="1"/>
      <c r="S882" s="1"/>
      <c r="T882" s="1"/>
      <c r="U882" s="1"/>
      <c r="V882" s="1"/>
      <c r="W882" s="1"/>
      <c r="X882" s="1"/>
      <c r="Y882" s="1"/>
    </row>
    <row r="883" spans="1:25" ht="15.75" customHeight="1">
      <c r="A883" s="1"/>
      <c r="B883" s="1"/>
      <c r="C883" s="1"/>
      <c r="D883" s="1"/>
      <c r="E883" s="1"/>
      <c r="F883" s="1"/>
      <c r="G883" s="1"/>
      <c r="H883" s="1"/>
      <c r="I883" s="4"/>
      <c r="J883" s="4"/>
      <c r="K883" s="4"/>
      <c r="L883" s="1"/>
      <c r="M883" s="1"/>
      <c r="N883" s="1"/>
      <c r="O883" s="1"/>
      <c r="P883" s="1"/>
      <c r="Q883" s="1"/>
      <c r="R883" s="1"/>
      <c r="S883" s="1"/>
      <c r="T883" s="1"/>
      <c r="U883" s="1"/>
      <c r="V883" s="1"/>
      <c r="W883" s="1"/>
      <c r="X883" s="1"/>
      <c r="Y883" s="1"/>
    </row>
    <row r="884" spans="1:25" ht="15.75" customHeight="1">
      <c r="A884" s="1"/>
      <c r="B884" s="1"/>
      <c r="C884" s="1"/>
      <c r="D884" s="1"/>
      <c r="E884" s="1"/>
      <c r="F884" s="1"/>
      <c r="G884" s="1"/>
      <c r="H884" s="1"/>
      <c r="I884" s="4"/>
      <c r="J884" s="4"/>
      <c r="K884" s="4"/>
      <c r="L884" s="1"/>
      <c r="M884" s="1"/>
      <c r="N884" s="1"/>
      <c r="O884" s="1"/>
      <c r="P884" s="1"/>
      <c r="Q884" s="1"/>
      <c r="R884" s="1"/>
      <c r="S884" s="1"/>
      <c r="T884" s="1"/>
      <c r="U884" s="1"/>
      <c r="V884" s="1"/>
      <c r="W884" s="1"/>
      <c r="X884" s="1"/>
      <c r="Y884" s="1"/>
    </row>
    <row r="885" spans="1:25" ht="15.75" customHeight="1">
      <c r="A885" s="1"/>
      <c r="B885" s="1"/>
      <c r="C885" s="1"/>
      <c r="D885" s="1"/>
      <c r="E885" s="1"/>
      <c r="F885" s="1"/>
      <c r="G885" s="1"/>
      <c r="H885" s="1"/>
      <c r="I885" s="4"/>
      <c r="J885" s="4"/>
      <c r="K885" s="4"/>
      <c r="L885" s="1"/>
      <c r="M885" s="1"/>
      <c r="N885" s="1"/>
      <c r="O885" s="1"/>
      <c r="P885" s="1"/>
      <c r="Q885" s="1"/>
      <c r="R885" s="1"/>
      <c r="S885" s="1"/>
      <c r="T885" s="1"/>
      <c r="U885" s="1"/>
      <c r="V885" s="1"/>
      <c r="W885" s="1"/>
      <c r="X885" s="1"/>
      <c r="Y885" s="1"/>
    </row>
    <row r="886" spans="1:25" ht="15.75" customHeight="1">
      <c r="A886" s="1"/>
      <c r="B886" s="1"/>
      <c r="C886" s="1"/>
      <c r="D886" s="1"/>
      <c r="E886" s="1"/>
      <c r="F886" s="1"/>
      <c r="G886" s="1"/>
      <c r="H886" s="1"/>
      <c r="I886" s="4"/>
      <c r="J886" s="4"/>
      <c r="K886" s="4"/>
      <c r="L886" s="1"/>
      <c r="M886" s="1"/>
      <c r="N886" s="1"/>
      <c r="O886" s="1"/>
      <c r="P886" s="1"/>
      <c r="Q886" s="1"/>
      <c r="R886" s="1"/>
      <c r="S886" s="1"/>
      <c r="T886" s="1"/>
      <c r="U886" s="1"/>
      <c r="V886" s="1"/>
      <c r="W886" s="1"/>
      <c r="X886" s="1"/>
      <c r="Y886" s="1"/>
    </row>
    <row r="887" spans="1:25" ht="15.75" customHeight="1">
      <c r="A887" s="1"/>
      <c r="B887" s="1"/>
      <c r="C887" s="1"/>
      <c r="D887" s="1"/>
      <c r="E887" s="1"/>
      <c r="F887" s="1"/>
      <c r="G887" s="1"/>
      <c r="H887" s="1"/>
      <c r="I887" s="4"/>
      <c r="J887" s="4"/>
      <c r="K887" s="4"/>
      <c r="L887" s="1"/>
      <c r="M887" s="1"/>
      <c r="N887" s="1"/>
      <c r="O887" s="1"/>
      <c r="P887" s="1"/>
      <c r="Q887" s="1"/>
      <c r="R887" s="1"/>
      <c r="S887" s="1"/>
      <c r="T887" s="1"/>
      <c r="U887" s="1"/>
      <c r="V887" s="1"/>
      <c r="W887" s="1"/>
      <c r="X887" s="1"/>
      <c r="Y887" s="1"/>
    </row>
    <row r="888" spans="1:25" ht="15.75" customHeight="1">
      <c r="A888" s="1"/>
      <c r="B888" s="1"/>
      <c r="C888" s="1"/>
      <c r="D888" s="1"/>
      <c r="E888" s="1"/>
      <c r="F888" s="1"/>
      <c r="G888" s="1"/>
      <c r="H888" s="1"/>
      <c r="I888" s="4"/>
      <c r="J888" s="4"/>
      <c r="K888" s="4"/>
      <c r="L888" s="1"/>
      <c r="M888" s="1"/>
      <c r="N888" s="1"/>
      <c r="O888" s="1"/>
      <c r="P888" s="1"/>
      <c r="Q888" s="1"/>
      <c r="R888" s="1"/>
      <c r="S888" s="1"/>
      <c r="T888" s="1"/>
      <c r="U888" s="1"/>
      <c r="V888" s="1"/>
      <c r="W888" s="1"/>
      <c r="X888" s="1"/>
      <c r="Y888" s="1"/>
    </row>
    <row r="889" spans="1:25" ht="15.75" customHeight="1">
      <c r="A889" s="1"/>
      <c r="B889" s="1"/>
      <c r="C889" s="1"/>
      <c r="D889" s="1"/>
      <c r="E889" s="1"/>
      <c r="F889" s="1"/>
      <c r="G889" s="1"/>
      <c r="H889" s="1"/>
      <c r="I889" s="4"/>
      <c r="J889" s="4"/>
      <c r="K889" s="4"/>
      <c r="L889" s="1"/>
      <c r="M889" s="1"/>
      <c r="N889" s="1"/>
      <c r="O889" s="1"/>
      <c r="P889" s="1"/>
      <c r="Q889" s="1"/>
      <c r="R889" s="1"/>
      <c r="S889" s="1"/>
      <c r="T889" s="1"/>
      <c r="U889" s="1"/>
      <c r="V889" s="1"/>
      <c r="W889" s="1"/>
      <c r="X889" s="1"/>
      <c r="Y889" s="1"/>
    </row>
    <row r="890" spans="1:25" ht="15.75" customHeight="1">
      <c r="A890" s="1"/>
      <c r="B890" s="1"/>
      <c r="C890" s="1"/>
      <c r="D890" s="1"/>
      <c r="E890" s="1"/>
      <c r="F890" s="1"/>
      <c r="G890" s="1"/>
      <c r="H890" s="1"/>
      <c r="I890" s="4"/>
      <c r="J890" s="4"/>
      <c r="K890" s="4"/>
      <c r="L890" s="1"/>
      <c r="M890" s="1"/>
      <c r="N890" s="1"/>
      <c r="O890" s="1"/>
      <c r="P890" s="1"/>
      <c r="Q890" s="1"/>
      <c r="R890" s="1"/>
      <c r="S890" s="1"/>
      <c r="T890" s="1"/>
      <c r="U890" s="1"/>
      <c r="V890" s="1"/>
      <c r="W890" s="1"/>
      <c r="X890" s="1"/>
      <c r="Y890" s="1"/>
    </row>
    <row r="891" spans="1:25" ht="15.75" customHeight="1">
      <c r="A891" s="1"/>
      <c r="B891" s="1"/>
      <c r="C891" s="1"/>
      <c r="D891" s="1"/>
      <c r="E891" s="1"/>
      <c r="F891" s="1"/>
      <c r="G891" s="1"/>
      <c r="H891" s="1"/>
      <c r="I891" s="4"/>
      <c r="J891" s="4"/>
      <c r="K891" s="4"/>
      <c r="L891" s="1"/>
      <c r="M891" s="1"/>
      <c r="N891" s="1"/>
      <c r="O891" s="1"/>
      <c r="P891" s="1"/>
      <c r="Q891" s="1"/>
      <c r="R891" s="1"/>
      <c r="S891" s="1"/>
      <c r="T891" s="1"/>
      <c r="U891" s="1"/>
      <c r="V891" s="1"/>
      <c r="W891" s="1"/>
      <c r="X891" s="1"/>
      <c r="Y891" s="1"/>
    </row>
    <row r="892" spans="1:25" ht="15.75" customHeight="1">
      <c r="A892" s="1"/>
      <c r="B892" s="1"/>
      <c r="C892" s="1"/>
      <c r="D892" s="1"/>
      <c r="E892" s="1"/>
      <c r="F892" s="1"/>
      <c r="G892" s="1"/>
      <c r="H892" s="1"/>
      <c r="I892" s="4"/>
      <c r="J892" s="4"/>
      <c r="K892" s="4"/>
      <c r="L892" s="1"/>
      <c r="M892" s="1"/>
      <c r="N892" s="1"/>
      <c r="O892" s="1"/>
      <c r="P892" s="1"/>
      <c r="Q892" s="1"/>
      <c r="R892" s="1"/>
      <c r="S892" s="1"/>
      <c r="T892" s="1"/>
      <c r="U892" s="1"/>
      <c r="V892" s="1"/>
      <c r="W892" s="1"/>
      <c r="X892" s="1"/>
      <c r="Y892" s="1"/>
    </row>
    <row r="893" spans="1:25" ht="15.75" customHeight="1">
      <c r="A893" s="1"/>
      <c r="B893" s="1"/>
      <c r="C893" s="1"/>
      <c r="D893" s="1"/>
      <c r="E893" s="1"/>
      <c r="F893" s="1"/>
      <c r="G893" s="1"/>
      <c r="H893" s="1"/>
      <c r="I893" s="4"/>
      <c r="J893" s="4"/>
      <c r="K893" s="4"/>
      <c r="L893" s="1"/>
      <c r="M893" s="1"/>
      <c r="N893" s="1"/>
      <c r="O893" s="1"/>
      <c r="P893" s="1"/>
      <c r="Q893" s="1"/>
      <c r="R893" s="1"/>
      <c r="S893" s="1"/>
      <c r="T893" s="1"/>
      <c r="U893" s="1"/>
      <c r="V893" s="1"/>
      <c r="W893" s="1"/>
      <c r="X893" s="1"/>
      <c r="Y893" s="1"/>
    </row>
    <row r="894" spans="1:25" ht="15.75" customHeight="1">
      <c r="A894" s="1"/>
      <c r="B894" s="1"/>
      <c r="C894" s="1"/>
      <c r="D894" s="1"/>
      <c r="E894" s="1"/>
      <c r="F894" s="1"/>
      <c r="G894" s="1"/>
      <c r="H894" s="1"/>
      <c r="I894" s="4"/>
      <c r="J894" s="4"/>
      <c r="K894" s="4"/>
      <c r="L894" s="1"/>
      <c r="M894" s="1"/>
      <c r="N894" s="1"/>
      <c r="O894" s="1"/>
      <c r="P894" s="1"/>
      <c r="Q894" s="1"/>
      <c r="R894" s="1"/>
      <c r="S894" s="1"/>
      <c r="T894" s="1"/>
      <c r="U894" s="1"/>
      <c r="V894" s="1"/>
      <c r="W894" s="1"/>
      <c r="X894" s="1"/>
      <c r="Y894" s="1"/>
    </row>
    <row r="895" spans="1:25" ht="15.75" customHeight="1">
      <c r="A895" s="1"/>
      <c r="B895" s="1"/>
      <c r="C895" s="1"/>
      <c r="D895" s="1"/>
      <c r="E895" s="1"/>
      <c r="F895" s="1"/>
      <c r="G895" s="1"/>
      <c r="H895" s="1"/>
      <c r="I895" s="4"/>
      <c r="J895" s="4"/>
      <c r="K895" s="4"/>
      <c r="L895" s="1"/>
      <c r="M895" s="1"/>
      <c r="N895" s="1"/>
      <c r="O895" s="1"/>
      <c r="P895" s="1"/>
      <c r="Q895" s="1"/>
      <c r="R895" s="1"/>
      <c r="S895" s="1"/>
      <c r="T895" s="1"/>
      <c r="U895" s="1"/>
      <c r="V895" s="1"/>
      <c r="W895" s="1"/>
      <c r="X895" s="1"/>
      <c r="Y895" s="1"/>
    </row>
    <row r="896" spans="1:25" ht="15.75" customHeight="1">
      <c r="A896" s="1"/>
      <c r="B896" s="1"/>
      <c r="C896" s="1"/>
      <c r="D896" s="1"/>
      <c r="E896" s="1"/>
      <c r="F896" s="1"/>
      <c r="G896" s="1"/>
      <c r="H896" s="1"/>
      <c r="I896" s="4"/>
      <c r="J896" s="4"/>
      <c r="K896" s="4"/>
      <c r="L896" s="1"/>
      <c r="M896" s="1"/>
      <c r="N896" s="1"/>
      <c r="O896" s="1"/>
      <c r="P896" s="1"/>
      <c r="Q896" s="1"/>
      <c r="R896" s="1"/>
      <c r="S896" s="1"/>
      <c r="T896" s="1"/>
      <c r="U896" s="1"/>
      <c r="V896" s="1"/>
      <c r="W896" s="1"/>
      <c r="X896" s="1"/>
      <c r="Y896" s="1"/>
    </row>
    <row r="897" spans="1:25" ht="15.75" customHeight="1">
      <c r="A897" s="1"/>
      <c r="B897" s="1"/>
      <c r="C897" s="1"/>
      <c r="D897" s="1"/>
      <c r="E897" s="1"/>
      <c r="F897" s="1"/>
      <c r="G897" s="1"/>
      <c r="H897" s="1"/>
      <c r="I897" s="4"/>
      <c r="J897" s="4"/>
      <c r="K897" s="4"/>
      <c r="L897" s="1"/>
      <c r="M897" s="1"/>
      <c r="N897" s="1"/>
      <c r="O897" s="1"/>
      <c r="P897" s="1"/>
      <c r="Q897" s="1"/>
      <c r="R897" s="1"/>
      <c r="S897" s="1"/>
      <c r="T897" s="1"/>
      <c r="U897" s="1"/>
      <c r="V897" s="1"/>
      <c r="W897" s="1"/>
      <c r="X897" s="1"/>
      <c r="Y897" s="1"/>
    </row>
    <row r="898" spans="1:25" ht="15.75" customHeight="1">
      <c r="A898" s="1"/>
      <c r="B898" s="1"/>
      <c r="C898" s="1"/>
      <c r="D898" s="1"/>
      <c r="E898" s="1"/>
      <c r="F898" s="1"/>
      <c r="G898" s="1"/>
      <c r="H898" s="1"/>
      <c r="I898" s="4"/>
      <c r="J898" s="4"/>
      <c r="K898" s="4"/>
      <c r="L898" s="1"/>
      <c r="M898" s="1"/>
      <c r="N898" s="1"/>
      <c r="O898" s="1"/>
      <c r="P898" s="1"/>
      <c r="Q898" s="1"/>
      <c r="R898" s="1"/>
      <c r="S898" s="1"/>
      <c r="T898" s="1"/>
      <c r="U898" s="1"/>
      <c r="V898" s="1"/>
      <c r="W898" s="1"/>
      <c r="X898" s="1"/>
      <c r="Y898" s="1"/>
    </row>
    <row r="899" spans="1:25" ht="15.75" customHeight="1">
      <c r="A899" s="1"/>
      <c r="B899" s="1"/>
      <c r="C899" s="1"/>
      <c r="D899" s="1"/>
      <c r="E899" s="1"/>
      <c r="F899" s="1"/>
      <c r="G899" s="1"/>
      <c r="H899" s="1"/>
      <c r="I899" s="4"/>
      <c r="J899" s="4"/>
      <c r="K899" s="4"/>
      <c r="L899" s="1"/>
      <c r="M899" s="1"/>
      <c r="N899" s="1"/>
      <c r="O899" s="1"/>
      <c r="P899" s="1"/>
      <c r="Q899" s="1"/>
      <c r="R899" s="1"/>
      <c r="S899" s="1"/>
      <c r="T899" s="1"/>
      <c r="U899" s="1"/>
      <c r="V899" s="1"/>
      <c r="W899" s="1"/>
      <c r="X899" s="1"/>
      <c r="Y899" s="1"/>
    </row>
    <row r="900" spans="1:25" ht="15.75" customHeight="1">
      <c r="A900" s="1"/>
      <c r="B900" s="1"/>
      <c r="C900" s="1"/>
      <c r="D900" s="1"/>
      <c r="E900" s="1"/>
      <c r="F900" s="1"/>
      <c r="G900" s="1"/>
      <c r="H900" s="1"/>
      <c r="I900" s="4"/>
      <c r="J900" s="4"/>
      <c r="K900" s="4"/>
      <c r="L900" s="1"/>
      <c r="M900" s="1"/>
      <c r="N900" s="1"/>
      <c r="O900" s="1"/>
      <c r="P900" s="1"/>
      <c r="Q900" s="1"/>
      <c r="R900" s="1"/>
      <c r="S900" s="1"/>
      <c r="T900" s="1"/>
      <c r="U900" s="1"/>
      <c r="V900" s="1"/>
      <c r="W900" s="1"/>
      <c r="X900" s="1"/>
      <c r="Y900" s="1"/>
    </row>
    <row r="901" spans="1:25" ht="15.75" customHeight="1">
      <c r="A901" s="1"/>
      <c r="B901" s="1"/>
      <c r="C901" s="1"/>
      <c r="D901" s="1"/>
      <c r="E901" s="1"/>
      <c r="F901" s="1"/>
      <c r="G901" s="1"/>
      <c r="H901" s="1"/>
      <c r="I901" s="4"/>
      <c r="J901" s="4"/>
      <c r="K901" s="4"/>
      <c r="L901" s="1"/>
      <c r="M901" s="1"/>
      <c r="N901" s="1"/>
      <c r="O901" s="1"/>
      <c r="P901" s="1"/>
      <c r="Q901" s="1"/>
      <c r="R901" s="1"/>
      <c r="S901" s="1"/>
      <c r="T901" s="1"/>
      <c r="U901" s="1"/>
      <c r="V901" s="1"/>
      <c r="W901" s="1"/>
      <c r="X901" s="1"/>
      <c r="Y901" s="1"/>
    </row>
    <row r="902" spans="1:25" ht="15.75" customHeight="1">
      <c r="A902" s="1"/>
      <c r="B902" s="1"/>
      <c r="C902" s="1"/>
      <c r="D902" s="1"/>
      <c r="E902" s="1"/>
      <c r="F902" s="1"/>
      <c r="G902" s="1"/>
      <c r="H902" s="1"/>
      <c r="I902" s="4"/>
      <c r="J902" s="4"/>
      <c r="K902" s="4"/>
      <c r="L902" s="1"/>
      <c r="M902" s="1"/>
      <c r="N902" s="1"/>
      <c r="O902" s="1"/>
      <c r="P902" s="1"/>
      <c r="Q902" s="1"/>
      <c r="R902" s="1"/>
      <c r="S902" s="1"/>
      <c r="T902" s="1"/>
      <c r="U902" s="1"/>
      <c r="V902" s="1"/>
      <c r="W902" s="1"/>
      <c r="X902" s="1"/>
      <c r="Y902" s="1"/>
    </row>
    <row r="903" spans="1:25" ht="15.75" customHeight="1">
      <c r="A903" s="1"/>
      <c r="B903" s="1"/>
      <c r="C903" s="1"/>
      <c r="D903" s="1"/>
      <c r="E903" s="1"/>
      <c r="F903" s="1"/>
      <c r="G903" s="1"/>
      <c r="H903" s="1"/>
      <c r="I903" s="4"/>
      <c r="J903" s="4"/>
      <c r="K903" s="4"/>
      <c r="L903" s="1"/>
      <c r="M903" s="1"/>
      <c r="N903" s="1"/>
      <c r="O903" s="1"/>
      <c r="P903" s="1"/>
      <c r="Q903" s="1"/>
      <c r="R903" s="1"/>
      <c r="S903" s="1"/>
      <c r="T903" s="1"/>
      <c r="U903" s="1"/>
      <c r="V903" s="1"/>
      <c r="W903" s="1"/>
      <c r="X903" s="1"/>
      <c r="Y903" s="1"/>
    </row>
    <row r="904" spans="1:25" ht="15.75" customHeight="1">
      <c r="A904" s="1"/>
      <c r="B904" s="1"/>
      <c r="C904" s="1"/>
      <c r="D904" s="1"/>
      <c r="E904" s="1"/>
      <c r="F904" s="1"/>
      <c r="G904" s="1"/>
      <c r="H904" s="1"/>
      <c r="I904" s="4"/>
      <c r="J904" s="4"/>
      <c r="K904" s="4"/>
      <c r="L904" s="1"/>
      <c r="M904" s="1"/>
      <c r="N904" s="1"/>
      <c r="O904" s="1"/>
      <c r="P904" s="1"/>
      <c r="Q904" s="1"/>
      <c r="R904" s="1"/>
      <c r="S904" s="1"/>
      <c r="T904" s="1"/>
      <c r="U904" s="1"/>
      <c r="V904" s="1"/>
      <c r="W904" s="1"/>
      <c r="X904" s="1"/>
      <c r="Y904" s="1"/>
    </row>
    <row r="905" spans="1:25" ht="15.75" customHeight="1">
      <c r="A905" s="1"/>
      <c r="B905" s="1"/>
      <c r="C905" s="1"/>
      <c r="D905" s="1"/>
      <c r="E905" s="1"/>
      <c r="F905" s="1"/>
      <c r="G905" s="1"/>
      <c r="H905" s="1"/>
      <c r="I905" s="4"/>
      <c r="J905" s="4"/>
      <c r="K905" s="4"/>
      <c r="L905" s="1"/>
      <c r="M905" s="1"/>
      <c r="N905" s="1"/>
      <c r="O905" s="1"/>
      <c r="P905" s="1"/>
      <c r="Q905" s="1"/>
      <c r="R905" s="1"/>
      <c r="S905" s="1"/>
      <c r="T905" s="1"/>
      <c r="U905" s="1"/>
      <c r="V905" s="1"/>
      <c r="W905" s="1"/>
      <c r="X905" s="1"/>
      <c r="Y905" s="1"/>
    </row>
    <row r="906" spans="1:25" ht="15.75" customHeight="1">
      <c r="A906" s="1"/>
      <c r="B906" s="1"/>
      <c r="C906" s="1"/>
      <c r="D906" s="1"/>
      <c r="E906" s="1"/>
      <c r="F906" s="1"/>
      <c r="G906" s="1"/>
      <c r="H906" s="1"/>
      <c r="I906" s="4"/>
      <c r="J906" s="4"/>
      <c r="K906" s="4"/>
      <c r="L906" s="1"/>
      <c r="M906" s="1"/>
      <c r="N906" s="1"/>
      <c r="O906" s="1"/>
      <c r="P906" s="1"/>
      <c r="Q906" s="1"/>
      <c r="R906" s="1"/>
      <c r="S906" s="1"/>
      <c r="T906" s="1"/>
      <c r="U906" s="1"/>
      <c r="V906" s="1"/>
      <c r="W906" s="1"/>
      <c r="X906" s="1"/>
      <c r="Y906" s="1"/>
    </row>
    <row r="907" spans="1:25" ht="15.75" customHeight="1">
      <c r="A907" s="1"/>
      <c r="B907" s="1"/>
      <c r="C907" s="1"/>
      <c r="D907" s="1"/>
      <c r="E907" s="1"/>
      <c r="F907" s="1"/>
      <c r="G907" s="1"/>
      <c r="H907" s="1"/>
      <c r="I907" s="4"/>
      <c r="J907" s="4"/>
      <c r="K907" s="4"/>
      <c r="L907" s="1"/>
      <c r="M907" s="1"/>
      <c r="N907" s="1"/>
      <c r="O907" s="1"/>
      <c r="P907" s="1"/>
      <c r="Q907" s="1"/>
      <c r="R907" s="1"/>
      <c r="S907" s="1"/>
      <c r="T907" s="1"/>
      <c r="U907" s="1"/>
      <c r="V907" s="1"/>
      <c r="W907" s="1"/>
      <c r="X907" s="1"/>
      <c r="Y907" s="1"/>
    </row>
    <row r="908" spans="1:25" ht="15.75" customHeight="1">
      <c r="A908" s="1"/>
      <c r="B908" s="1"/>
      <c r="C908" s="1"/>
      <c r="D908" s="1"/>
      <c r="E908" s="1"/>
      <c r="F908" s="1"/>
      <c r="G908" s="1"/>
      <c r="H908" s="1"/>
      <c r="I908" s="4"/>
      <c r="J908" s="4"/>
      <c r="K908" s="4"/>
      <c r="L908" s="1"/>
      <c r="M908" s="1"/>
      <c r="N908" s="1"/>
      <c r="O908" s="1"/>
      <c r="P908" s="1"/>
      <c r="Q908" s="1"/>
      <c r="R908" s="1"/>
      <c r="S908" s="1"/>
      <c r="T908" s="1"/>
      <c r="U908" s="1"/>
      <c r="V908" s="1"/>
      <c r="W908" s="1"/>
      <c r="X908" s="1"/>
      <c r="Y908" s="1"/>
    </row>
    <row r="909" spans="1:25" ht="15.75" customHeight="1">
      <c r="A909" s="1"/>
      <c r="B909" s="1"/>
      <c r="C909" s="1"/>
      <c r="D909" s="1"/>
      <c r="E909" s="1"/>
      <c r="F909" s="1"/>
      <c r="G909" s="1"/>
      <c r="H909" s="1"/>
      <c r="I909" s="4"/>
      <c r="J909" s="4"/>
      <c r="K909" s="4"/>
      <c r="L909" s="1"/>
      <c r="M909" s="1"/>
      <c r="N909" s="1"/>
      <c r="O909" s="1"/>
      <c r="P909" s="1"/>
      <c r="Q909" s="1"/>
      <c r="R909" s="1"/>
      <c r="S909" s="1"/>
      <c r="T909" s="1"/>
      <c r="U909" s="1"/>
      <c r="V909" s="1"/>
      <c r="W909" s="1"/>
      <c r="X909" s="1"/>
      <c r="Y909" s="1"/>
    </row>
    <row r="910" spans="1:25" ht="15.75" customHeight="1">
      <c r="A910" s="1"/>
      <c r="B910" s="1"/>
      <c r="C910" s="1"/>
      <c r="D910" s="1"/>
      <c r="E910" s="1"/>
      <c r="F910" s="1"/>
      <c r="G910" s="1"/>
      <c r="H910" s="1"/>
      <c r="I910" s="4"/>
      <c r="J910" s="4"/>
      <c r="K910" s="4"/>
      <c r="L910" s="1"/>
      <c r="M910" s="1"/>
      <c r="N910" s="1"/>
      <c r="O910" s="1"/>
      <c r="P910" s="1"/>
      <c r="Q910" s="1"/>
      <c r="R910" s="1"/>
      <c r="S910" s="1"/>
      <c r="T910" s="1"/>
      <c r="U910" s="1"/>
      <c r="V910" s="1"/>
      <c r="W910" s="1"/>
      <c r="X910" s="1"/>
      <c r="Y910" s="1"/>
    </row>
    <row r="911" spans="1:25" ht="15.75" customHeight="1">
      <c r="A911" s="1"/>
      <c r="B911" s="1"/>
      <c r="C911" s="1"/>
      <c r="D911" s="1"/>
      <c r="E911" s="1"/>
      <c r="F911" s="1"/>
      <c r="G911" s="1"/>
      <c r="H911" s="1"/>
      <c r="I911" s="4"/>
      <c r="J911" s="4"/>
      <c r="K911" s="4"/>
      <c r="L911" s="1"/>
      <c r="M911" s="1"/>
      <c r="N911" s="1"/>
      <c r="O911" s="1"/>
      <c r="P911" s="1"/>
      <c r="Q911" s="1"/>
      <c r="R911" s="1"/>
      <c r="S911" s="1"/>
      <c r="T911" s="1"/>
      <c r="U911" s="1"/>
      <c r="V911" s="1"/>
      <c r="W911" s="1"/>
      <c r="X911" s="1"/>
      <c r="Y911" s="1"/>
    </row>
    <row r="912" spans="1:25" ht="15.75" customHeight="1">
      <c r="A912" s="1"/>
      <c r="B912" s="1"/>
      <c r="C912" s="1"/>
      <c r="D912" s="1"/>
      <c r="E912" s="1"/>
      <c r="F912" s="1"/>
      <c r="G912" s="1"/>
      <c r="H912" s="1"/>
      <c r="I912" s="4"/>
      <c r="J912" s="4"/>
      <c r="K912" s="4"/>
      <c r="L912" s="1"/>
      <c r="M912" s="1"/>
      <c r="N912" s="1"/>
      <c r="O912" s="1"/>
      <c r="P912" s="1"/>
      <c r="Q912" s="1"/>
      <c r="R912" s="1"/>
      <c r="S912" s="1"/>
      <c r="T912" s="1"/>
      <c r="U912" s="1"/>
      <c r="V912" s="1"/>
      <c r="W912" s="1"/>
      <c r="X912" s="1"/>
      <c r="Y912" s="1"/>
    </row>
    <row r="913" spans="1:25" ht="15.75" customHeight="1">
      <c r="A913" s="1"/>
      <c r="B913" s="1"/>
      <c r="C913" s="1"/>
      <c r="D913" s="1"/>
      <c r="E913" s="1"/>
      <c r="F913" s="1"/>
      <c r="G913" s="1"/>
      <c r="H913" s="1"/>
      <c r="I913" s="4"/>
      <c r="J913" s="4"/>
      <c r="K913" s="4"/>
      <c r="L913" s="1"/>
      <c r="M913" s="1"/>
      <c r="N913" s="1"/>
      <c r="O913" s="1"/>
      <c r="P913" s="1"/>
      <c r="Q913" s="1"/>
      <c r="R913" s="1"/>
      <c r="S913" s="1"/>
      <c r="T913" s="1"/>
      <c r="U913" s="1"/>
      <c r="V913" s="1"/>
      <c r="W913" s="1"/>
      <c r="X913" s="1"/>
      <c r="Y913" s="1"/>
    </row>
    <row r="914" spans="1:25" ht="15.75" customHeight="1">
      <c r="A914" s="1"/>
      <c r="B914" s="1"/>
      <c r="C914" s="1"/>
      <c r="D914" s="1"/>
      <c r="E914" s="1"/>
      <c r="F914" s="1"/>
      <c r="G914" s="1"/>
      <c r="H914" s="1"/>
      <c r="I914" s="4"/>
      <c r="J914" s="4"/>
      <c r="K914" s="4"/>
      <c r="L914" s="1"/>
      <c r="M914" s="1"/>
      <c r="N914" s="1"/>
      <c r="O914" s="1"/>
      <c r="P914" s="1"/>
      <c r="Q914" s="1"/>
      <c r="R914" s="1"/>
      <c r="S914" s="1"/>
      <c r="T914" s="1"/>
      <c r="U914" s="1"/>
      <c r="V914" s="1"/>
      <c r="W914" s="1"/>
      <c r="X914" s="1"/>
      <c r="Y914" s="1"/>
    </row>
    <row r="915" spans="1:25" ht="15.75" customHeight="1">
      <c r="A915" s="1"/>
      <c r="B915" s="1"/>
      <c r="C915" s="1"/>
      <c r="D915" s="1"/>
      <c r="E915" s="1"/>
      <c r="F915" s="1"/>
      <c r="G915" s="1"/>
      <c r="H915" s="1"/>
      <c r="I915" s="4"/>
      <c r="J915" s="4"/>
      <c r="K915" s="4"/>
      <c r="L915" s="1"/>
      <c r="M915" s="1"/>
      <c r="N915" s="1"/>
      <c r="O915" s="1"/>
      <c r="P915" s="1"/>
      <c r="Q915" s="1"/>
      <c r="R915" s="1"/>
      <c r="S915" s="1"/>
      <c r="T915" s="1"/>
      <c r="U915" s="1"/>
      <c r="V915" s="1"/>
      <c r="W915" s="1"/>
      <c r="X915" s="1"/>
      <c r="Y915" s="1"/>
    </row>
    <row r="916" spans="1:25" ht="15.75" customHeight="1">
      <c r="A916" s="1"/>
      <c r="B916" s="1"/>
      <c r="C916" s="1"/>
      <c r="D916" s="1"/>
      <c r="E916" s="1"/>
      <c r="F916" s="1"/>
      <c r="G916" s="1"/>
      <c r="H916" s="1"/>
      <c r="I916" s="4"/>
      <c r="J916" s="4"/>
      <c r="K916" s="4"/>
      <c r="L916" s="1"/>
      <c r="M916" s="1"/>
      <c r="N916" s="1"/>
      <c r="O916" s="1"/>
      <c r="P916" s="1"/>
      <c r="Q916" s="1"/>
      <c r="R916" s="1"/>
      <c r="S916" s="1"/>
      <c r="T916" s="1"/>
      <c r="U916" s="1"/>
      <c r="V916" s="1"/>
      <c r="W916" s="1"/>
      <c r="X916" s="1"/>
      <c r="Y916" s="1"/>
    </row>
    <row r="917" spans="1:25" ht="15.75" customHeight="1">
      <c r="A917" s="1"/>
      <c r="B917" s="1"/>
      <c r="C917" s="1"/>
      <c r="D917" s="1"/>
      <c r="E917" s="1"/>
      <c r="F917" s="1"/>
      <c r="G917" s="1"/>
      <c r="H917" s="1"/>
      <c r="I917" s="4"/>
      <c r="J917" s="4"/>
      <c r="K917" s="4"/>
      <c r="L917" s="1"/>
      <c r="M917" s="1"/>
      <c r="N917" s="1"/>
      <c r="O917" s="1"/>
      <c r="P917" s="1"/>
      <c r="Q917" s="1"/>
      <c r="R917" s="1"/>
      <c r="S917" s="1"/>
      <c r="T917" s="1"/>
      <c r="U917" s="1"/>
      <c r="V917" s="1"/>
      <c r="W917" s="1"/>
      <c r="X917" s="1"/>
      <c r="Y917" s="1"/>
    </row>
    <row r="918" spans="1:25" ht="15.75" customHeight="1">
      <c r="A918" s="1"/>
      <c r="B918" s="1"/>
      <c r="C918" s="1"/>
      <c r="D918" s="1"/>
      <c r="E918" s="1"/>
      <c r="F918" s="1"/>
      <c r="G918" s="1"/>
      <c r="H918" s="1"/>
      <c r="I918" s="4"/>
      <c r="J918" s="4"/>
      <c r="K918" s="4"/>
      <c r="L918" s="1"/>
      <c r="M918" s="1"/>
      <c r="N918" s="1"/>
      <c r="O918" s="1"/>
      <c r="P918" s="1"/>
      <c r="Q918" s="1"/>
      <c r="R918" s="1"/>
      <c r="S918" s="1"/>
      <c r="T918" s="1"/>
      <c r="U918" s="1"/>
      <c r="V918" s="1"/>
      <c r="W918" s="1"/>
      <c r="X918" s="1"/>
      <c r="Y918" s="1"/>
    </row>
    <row r="919" spans="1:25" ht="15.75" customHeight="1">
      <c r="A919" s="1"/>
      <c r="B919" s="1"/>
      <c r="C919" s="1"/>
      <c r="D919" s="1"/>
      <c r="E919" s="1"/>
      <c r="F919" s="1"/>
      <c r="G919" s="1"/>
      <c r="H919" s="1"/>
      <c r="I919" s="4"/>
      <c r="J919" s="4"/>
      <c r="K919" s="4"/>
      <c r="L919" s="1"/>
      <c r="M919" s="1"/>
      <c r="N919" s="1"/>
      <c r="O919" s="1"/>
      <c r="P919" s="1"/>
      <c r="Q919" s="1"/>
      <c r="R919" s="1"/>
      <c r="S919" s="1"/>
      <c r="T919" s="1"/>
      <c r="U919" s="1"/>
      <c r="V919" s="1"/>
      <c r="W919" s="1"/>
      <c r="X919" s="1"/>
      <c r="Y919" s="1"/>
    </row>
    <row r="920" spans="1:25" ht="15.75" customHeight="1">
      <c r="A920" s="1"/>
      <c r="B920" s="1"/>
      <c r="C920" s="1"/>
      <c r="D920" s="1"/>
      <c r="E920" s="1"/>
      <c r="F920" s="1"/>
      <c r="G920" s="1"/>
      <c r="H920" s="1"/>
      <c r="I920" s="4"/>
      <c r="J920" s="4"/>
      <c r="K920" s="4"/>
      <c r="L920" s="1"/>
      <c r="M920" s="1"/>
      <c r="N920" s="1"/>
      <c r="O920" s="1"/>
      <c r="P920" s="1"/>
      <c r="Q920" s="1"/>
      <c r="R920" s="1"/>
      <c r="S920" s="1"/>
      <c r="T920" s="1"/>
      <c r="U920" s="1"/>
      <c r="V920" s="1"/>
      <c r="W920" s="1"/>
      <c r="X920" s="1"/>
      <c r="Y920" s="1"/>
    </row>
    <row r="921" spans="1:25" ht="15.75" customHeight="1">
      <c r="A921" s="1"/>
      <c r="B921" s="1"/>
      <c r="C921" s="1"/>
      <c r="D921" s="1"/>
      <c r="E921" s="1"/>
      <c r="F921" s="1"/>
      <c r="G921" s="1"/>
      <c r="H921" s="1"/>
      <c r="I921" s="4"/>
      <c r="J921" s="4"/>
      <c r="K921" s="4"/>
      <c r="L921" s="1"/>
      <c r="M921" s="1"/>
      <c r="N921" s="1"/>
      <c r="O921" s="1"/>
      <c r="P921" s="1"/>
      <c r="Q921" s="1"/>
      <c r="R921" s="1"/>
      <c r="S921" s="1"/>
      <c r="T921" s="1"/>
      <c r="U921" s="1"/>
      <c r="V921" s="1"/>
      <c r="W921" s="1"/>
      <c r="X921" s="1"/>
      <c r="Y921" s="1"/>
    </row>
    <row r="922" spans="1:25" ht="15.75" customHeight="1">
      <c r="A922" s="1"/>
      <c r="B922" s="1"/>
      <c r="C922" s="1"/>
      <c r="D922" s="1"/>
      <c r="E922" s="1"/>
      <c r="F922" s="1"/>
      <c r="G922" s="1"/>
      <c r="H922" s="1"/>
      <c r="I922" s="4"/>
      <c r="J922" s="4"/>
      <c r="K922" s="4"/>
      <c r="L922" s="1"/>
      <c r="M922" s="1"/>
      <c r="N922" s="1"/>
      <c r="O922" s="1"/>
      <c r="P922" s="1"/>
      <c r="Q922" s="1"/>
      <c r="R922" s="1"/>
      <c r="S922" s="1"/>
      <c r="T922" s="1"/>
      <c r="U922" s="1"/>
      <c r="V922" s="1"/>
      <c r="W922" s="1"/>
      <c r="X922" s="1"/>
      <c r="Y922" s="1"/>
    </row>
    <row r="923" spans="1:25" ht="15.75" customHeight="1">
      <c r="A923" s="1"/>
      <c r="B923" s="1"/>
      <c r="C923" s="1"/>
      <c r="D923" s="1"/>
      <c r="E923" s="1"/>
      <c r="F923" s="1"/>
      <c r="G923" s="1"/>
      <c r="H923" s="1"/>
      <c r="I923" s="4"/>
      <c r="J923" s="4"/>
      <c r="K923" s="4"/>
      <c r="L923" s="1"/>
      <c r="M923" s="1"/>
      <c r="N923" s="1"/>
      <c r="O923" s="1"/>
      <c r="P923" s="1"/>
      <c r="Q923" s="1"/>
      <c r="R923" s="1"/>
      <c r="S923" s="1"/>
      <c r="T923" s="1"/>
      <c r="U923" s="1"/>
      <c r="V923" s="1"/>
      <c r="W923" s="1"/>
      <c r="X923" s="1"/>
      <c r="Y923" s="1"/>
    </row>
    <row r="924" spans="1:25" ht="15.75" customHeight="1">
      <c r="A924" s="1"/>
      <c r="B924" s="1"/>
      <c r="C924" s="1"/>
      <c r="D924" s="1"/>
      <c r="E924" s="1"/>
      <c r="F924" s="1"/>
      <c r="G924" s="1"/>
      <c r="H924" s="1"/>
      <c r="I924" s="4"/>
      <c r="J924" s="4"/>
      <c r="K924" s="4"/>
      <c r="L924" s="1"/>
      <c r="M924" s="1"/>
      <c r="N924" s="1"/>
      <c r="O924" s="1"/>
      <c r="P924" s="1"/>
      <c r="Q924" s="1"/>
      <c r="R924" s="1"/>
      <c r="S924" s="1"/>
      <c r="T924" s="1"/>
      <c r="U924" s="1"/>
      <c r="V924" s="1"/>
      <c r="W924" s="1"/>
      <c r="X924" s="1"/>
      <c r="Y924" s="1"/>
    </row>
    <row r="925" spans="1:25" ht="15.75" customHeight="1">
      <c r="A925" s="1"/>
      <c r="B925" s="1"/>
      <c r="C925" s="1"/>
      <c r="D925" s="1"/>
      <c r="E925" s="1"/>
      <c r="F925" s="1"/>
      <c r="G925" s="1"/>
      <c r="H925" s="1"/>
      <c r="I925" s="4"/>
      <c r="J925" s="4"/>
      <c r="K925" s="4"/>
      <c r="L925" s="1"/>
      <c r="M925" s="1"/>
      <c r="N925" s="1"/>
      <c r="O925" s="1"/>
      <c r="P925" s="1"/>
      <c r="Q925" s="1"/>
      <c r="R925" s="1"/>
      <c r="S925" s="1"/>
      <c r="T925" s="1"/>
      <c r="U925" s="1"/>
      <c r="V925" s="1"/>
      <c r="W925" s="1"/>
      <c r="X925" s="1"/>
      <c r="Y925" s="1"/>
    </row>
    <row r="926" spans="1:25" ht="15.75" customHeight="1">
      <c r="A926" s="1"/>
      <c r="B926" s="1"/>
      <c r="C926" s="1"/>
      <c r="D926" s="1"/>
      <c r="E926" s="1"/>
      <c r="F926" s="1"/>
      <c r="G926" s="1"/>
      <c r="H926" s="1"/>
      <c r="I926" s="4"/>
      <c r="J926" s="4"/>
      <c r="K926" s="4"/>
      <c r="L926" s="1"/>
      <c r="M926" s="1"/>
      <c r="N926" s="1"/>
      <c r="O926" s="1"/>
      <c r="P926" s="1"/>
      <c r="Q926" s="1"/>
      <c r="R926" s="1"/>
      <c r="S926" s="1"/>
      <c r="T926" s="1"/>
      <c r="U926" s="1"/>
      <c r="V926" s="1"/>
      <c r="W926" s="1"/>
      <c r="X926" s="1"/>
      <c r="Y926" s="1"/>
    </row>
    <row r="927" spans="1:25" ht="15.75" customHeight="1">
      <c r="A927" s="1"/>
      <c r="B927" s="1"/>
      <c r="C927" s="1"/>
      <c r="D927" s="1"/>
      <c r="E927" s="1"/>
      <c r="F927" s="1"/>
      <c r="G927" s="1"/>
      <c r="H927" s="1"/>
      <c r="I927" s="4"/>
      <c r="J927" s="4"/>
      <c r="K927" s="4"/>
      <c r="L927" s="1"/>
      <c r="M927" s="1"/>
      <c r="N927" s="1"/>
      <c r="O927" s="1"/>
      <c r="P927" s="1"/>
      <c r="Q927" s="1"/>
      <c r="R927" s="1"/>
      <c r="S927" s="1"/>
      <c r="T927" s="1"/>
      <c r="U927" s="1"/>
      <c r="V927" s="1"/>
      <c r="W927" s="1"/>
      <c r="X927" s="1"/>
      <c r="Y927" s="1"/>
    </row>
    <row r="928" spans="1:25" ht="15.75" customHeight="1">
      <c r="A928" s="1"/>
      <c r="B928" s="1"/>
      <c r="C928" s="1"/>
      <c r="D928" s="1"/>
      <c r="E928" s="1"/>
      <c r="F928" s="1"/>
      <c r="G928" s="1"/>
      <c r="H928" s="1"/>
      <c r="I928" s="4"/>
      <c r="J928" s="4"/>
      <c r="K928" s="4"/>
      <c r="L928" s="1"/>
      <c r="M928" s="1"/>
      <c r="N928" s="1"/>
      <c r="O928" s="1"/>
      <c r="P928" s="1"/>
      <c r="Q928" s="1"/>
      <c r="R928" s="1"/>
      <c r="S928" s="1"/>
      <c r="T928" s="1"/>
      <c r="U928" s="1"/>
      <c r="V928" s="1"/>
      <c r="W928" s="1"/>
      <c r="X928" s="1"/>
      <c r="Y928" s="1"/>
    </row>
    <row r="929" spans="1:25" ht="15.75" customHeight="1">
      <c r="A929" s="1"/>
      <c r="B929" s="1"/>
      <c r="C929" s="1"/>
      <c r="D929" s="1"/>
      <c r="E929" s="1"/>
      <c r="F929" s="1"/>
      <c r="G929" s="1"/>
      <c r="H929" s="1"/>
      <c r="I929" s="4"/>
      <c r="J929" s="4"/>
      <c r="K929" s="4"/>
      <c r="L929" s="1"/>
      <c r="M929" s="1"/>
      <c r="N929" s="1"/>
      <c r="O929" s="1"/>
      <c r="P929" s="1"/>
      <c r="Q929" s="1"/>
      <c r="R929" s="1"/>
      <c r="S929" s="1"/>
      <c r="T929" s="1"/>
      <c r="U929" s="1"/>
      <c r="V929" s="1"/>
      <c r="W929" s="1"/>
      <c r="X929" s="1"/>
      <c r="Y929" s="1"/>
    </row>
    <row r="930" spans="1:25" ht="15.75" customHeight="1">
      <c r="A930" s="1"/>
      <c r="B930" s="1"/>
      <c r="C930" s="1"/>
      <c r="D930" s="1"/>
      <c r="E930" s="1"/>
      <c r="F930" s="1"/>
      <c r="G930" s="1"/>
      <c r="H930" s="1"/>
      <c r="I930" s="4"/>
      <c r="J930" s="4"/>
      <c r="K930" s="4"/>
      <c r="L930" s="1"/>
      <c r="M930" s="1"/>
      <c r="N930" s="1"/>
      <c r="O930" s="1"/>
      <c r="P930" s="1"/>
      <c r="Q930" s="1"/>
      <c r="R930" s="1"/>
      <c r="S930" s="1"/>
      <c r="T930" s="1"/>
      <c r="U930" s="1"/>
      <c r="V930" s="1"/>
      <c r="W930" s="1"/>
      <c r="X930" s="1"/>
      <c r="Y930" s="1"/>
    </row>
    <row r="931" spans="1:25" ht="15.75" customHeight="1">
      <c r="A931" s="1"/>
      <c r="B931" s="1"/>
      <c r="C931" s="1"/>
      <c r="D931" s="1"/>
      <c r="E931" s="1"/>
      <c r="F931" s="1"/>
      <c r="G931" s="1"/>
      <c r="H931" s="1"/>
      <c r="I931" s="4"/>
      <c r="J931" s="4"/>
      <c r="K931" s="4"/>
      <c r="L931" s="1"/>
      <c r="M931" s="1"/>
      <c r="N931" s="1"/>
      <c r="O931" s="1"/>
      <c r="P931" s="1"/>
      <c r="Q931" s="1"/>
      <c r="R931" s="1"/>
      <c r="S931" s="1"/>
      <c r="T931" s="1"/>
      <c r="U931" s="1"/>
      <c r="V931" s="1"/>
      <c r="W931" s="1"/>
      <c r="X931" s="1"/>
      <c r="Y931" s="1"/>
    </row>
    <row r="932" spans="1:25" ht="15.75" customHeight="1">
      <c r="A932" s="1"/>
      <c r="B932" s="1"/>
      <c r="C932" s="1"/>
      <c r="D932" s="1"/>
      <c r="E932" s="1"/>
      <c r="F932" s="1"/>
      <c r="G932" s="1"/>
      <c r="H932" s="1"/>
      <c r="I932" s="4"/>
      <c r="J932" s="4"/>
      <c r="K932" s="4"/>
      <c r="L932" s="1"/>
      <c r="M932" s="1"/>
      <c r="N932" s="1"/>
      <c r="O932" s="1"/>
      <c r="P932" s="1"/>
      <c r="Q932" s="1"/>
      <c r="R932" s="1"/>
      <c r="S932" s="1"/>
      <c r="T932" s="1"/>
      <c r="U932" s="1"/>
      <c r="V932" s="1"/>
      <c r="W932" s="1"/>
      <c r="X932" s="1"/>
      <c r="Y932" s="1"/>
    </row>
    <row r="933" spans="1:25" ht="15.75" customHeight="1">
      <c r="A933" s="1"/>
      <c r="B933" s="1"/>
      <c r="C933" s="1"/>
      <c r="D933" s="1"/>
      <c r="E933" s="1"/>
      <c r="F933" s="1"/>
      <c r="G933" s="1"/>
      <c r="H933" s="1"/>
      <c r="I933" s="4"/>
      <c r="J933" s="4"/>
      <c r="K933" s="4"/>
      <c r="L933" s="1"/>
      <c r="M933" s="1"/>
      <c r="N933" s="1"/>
      <c r="O933" s="1"/>
      <c r="P933" s="1"/>
      <c r="Q933" s="1"/>
      <c r="R933" s="1"/>
      <c r="S933" s="1"/>
      <c r="T933" s="1"/>
      <c r="U933" s="1"/>
      <c r="V933" s="1"/>
      <c r="W933" s="1"/>
      <c r="X933" s="1"/>
      <c r="Y933" s="1"/>
    </row>
    <row r="934" spans="1:25" ht="15.75" customHeight="1">
      <c r="A934" s="1"/>
      <c r="B934" s="1"/>
      <c r="C934" s="1"/>
      <c r="D934" s="1"/>
      <c r="E934" s="1"/>
      <c r="F934" s="1"/>
      <c r="G934" s="1"/>
      <c r="H934" s="1"/>
      <c r="I934" s="4"/>
      <c r="J934" s="4"/>
      <c r="K934" s="4"/>
      <c r="L934" s="1"/>
      <c r="M934" s="1"/>
      <c r="N934" s="1"/>
      <c r="O934" s="1"/>
      <c r="P934" s="1"/>
      <c r="Q934" s="1"/>
      <c r="R934" s="1"/>
      <c r="S934" s="1"/>
      <c r="T934" s="1"/>
      <c r="U934" s="1"/>
      <c r="V934" s="1"/>
      <c r="W934" s="1"/>
      <c r="X934" s="1"/>
      <c r="Y934" s="1"/>
    </row>
    <row r="935" spans="1:25" ht="15.75" customHeight="1">
      <c r="A935" s="1"/>
      <c r="B935" s="1"/>
      <c r="C935" s="1"/>
      <c r="D935" s="1"/>
      <c r="E935" s="1"/>
      <c r="F935" s="1"/>
      <c r="G935" s="1"/>
      <c r="H935" s="1"/>
      <c r="I935" s="4"/>
      <c r="J935" s="4"/>
      <c r="K935" s="4"/>
      <c r="L935" s="1"/>
      <c r="M935" s="1"/>
      <c r="N935" s="1"/>
      <c r="O935" s="1"/>
      <c r="P935" s="1"/>
      <c r="Q935" s="1"/>
      <c r="R935" s="1"/>
      <c r="S935" s="1"/>
      <c r="T935" s="1"/>
      <c r="U935" s="1"/>
      <c r="V935" s="1"/>
      <c r="W935" s="1"/>
      <c r="X935" s="1"/>
      <c r="Y935" s="1"/>
    </row>
    <row r="936" spans="1:25" ht="15.75" customHeight="1">
      <c r="A936" s="1"/>
      <c r="B936" s="1"/>
      <c r="C936" s="1"/>
      <c r="D936" s="1"/>
      <c r="E936" s="1"/>
      <c r="F936" s="1"/>
      <c r="G936" s="1"/>
      <c r="H936" s="1"/>
      <c r="I936" s="4"/>
      <c r="J936" s="4"/>
      <c r="K936" s="4"/>
      <c r="L936" s="1"/>
      <c r="M936" s="1"/>
      <c r="N936" s="1"/>
      <c r="O936" s="1"/>
      <c r="P936" s="1"/>
      <c r="Q936" s="1"/>
      <c r="R936" s="1"/>
      <c r="S936" s="1"/>
      <c r="T936" s="1"/>
      <c r="U936" s="1"/>
      <c r="V936" s="1"/>
      <c r="W936" s="1"/>
      <c r="X936" s="1"/>
      <c r="Y936" s="1"/>
    </row>
    <row r="937" spans="1:25" ht="15.75" customHeight="1">
      <c r="A937" s="1"/>
      <c r="B937" s="1"/>
      <c r="C937" s="1"/>
      <c r="D937" s="1"/>
      <c r="E937" s="1"/>
      <c r="F937" s="1"/>
      <c r="G937" s="1"/>
      <c r="H937" s="1"/>
      <c r="I937" s="4"/>
      <c r="J937" s="4"/>
      <c r="K937" s="4"/>
      <c r="L937" s="1"/>
      <c r="M937" s="1"/>
      <c r="N937" s="1"/>
      <c r="O937" s="1"/>
      <c r="P937" s="1"/>
      <c r="Q937" s="1"/>
      <c r="R937" s="1"/>
      <c r="S937" s="1"/>
      <c r="T937" s="1"/>
      <c r="U937" s="1"/>
      <c r="V937" s="1"/>
      <c r="W937" s="1"/>
      <c r="X937" s="1"/>
      <c r="Y937" s="1"/>
    </row>
    <row r="938" spans="1:25" ht="15.75" customHeight="1">
      <c r="A938" s="1"/>
      <c r="B938" s="1"/>
      <c r="C938" s="1"/>
      <c r="D938" s="1"/>
      <c r="E938" s="1"/>
      <c r="F938" s="1"/>
      <c r="G938" s="1"/>
      <c r="H938" s="1"/>
      <c r="I938" s="4"/>
      <c r="J938" s="4"/>
      <c r="K938" s="4"/>
      <c r="L938" s="1"/>
      <c r="M938" s="1"/>
      <c r="N938" s="1"/>
      <c r="O938" s="1"/>
      <c r="P938" s="1"/>
      <c r="Q938" s="1"/>
      <c r="R938" s="1"/>
      <c r="S938" s="1"/>
      <c r="T938" s="1"/>
      <c r="U938" s="1"/>
      <c r="V938" s="1"/>
      <c r="W938" s="1"/>
      <c r="X938" s="1"/>
      <c r="Y938" s="1"/>
    </row>
    <row r="939" spans="1:25" ht="15.75" customHeight="1">
      <c r="A939" s="1"/>
      <c r="B939" s="1"/>
      <c r="C939" s="1"/>
      <c r="D939" s="1"/>
      <c r="E939" s="1"/>
      <c r="F939" s="1"/>
      <c r="G939" s="1"/>
      <c r="H939" s="1"/>
      <c r="I939" s="4"/>
      <c r="J939" s="4"/>
      <c r="K939" s="4"/>
      <c r="L939" s="1"/>
      <c r="M939" s="1"/>
      <c r="N939" s="1"/>
      <c r="O939" s="1"/>
      <c r="P939" s="1"/>
      <c r="Q939" s="1"/>
      <c r="R939" s="1"/>
      <c r="S939" s="1"/>
      <c r="T939" s="1"/>
      <c r="U939" s="1"/>
      <c r="V939" s="1"/>
      <c r="W939" s="1"/>
      <c r="X939" s="1"/>
      <c r="Y939" s="1"/>
    </row>
    <row r="940" spans="1:25" ht="15.75" customHeight="1">
      <c r="A940" s="1"/>
      <c r="B940" s="1"/>
      <c r="C940" s="1"/>
      <c r="D940" s="1"/>
      <c r="E940" s="1"/>
      <c r="F940" s="1"/>
      <c r="G940" s="1"/>
      <c r="H940" s="1"/>
      <c r="I940" s="4"/>
      <c r="J940" s="4"/>
      <c r="K940" s="4"/>
      <c r="L940" s="1"/>
      <c r="M940" s="1"/>
      <c r="N940" s="1"/>
      <c r="O940" s="1"/>
      <c r="P940" s="1"/>
      <c r="Q940" s="1"/>
      <c r="R940" s="1"/>
      <c r="S940" s="1"/>
      <c r="T940" s="1"/>
      <c r="U940" s="1"/>
      <c r="V940" s="1"/>
      <c r="W940" s="1"/>
      <c r="X940" s="1"/>
      <c r="Y940" s="1"/>
    </row>
    <row r="941" spans="1:25" ht="15.75" customHeight="1">
      <c r="A941" s="1"/>
      <c r="B941" s="1"/>
      <c r="C941" s="1"/>
      <c r="D941" s="1"/>
      <c r="E941" s="1"/>
      <c r="F941" s="1"/>
      <c r="G941" s="1"/>
      <c r="H941" s="1"/>
      <c r="I941" s="4"/>
      <c r="J941" s="4"/>
      <c r="K941" s="4"/>
      <c r="L941" s="1"/>
      <c r="M941" s="1"/>
      <c r="N941" s="1"/>
      <c r="O941" s="1"/>
      <c r="P941" s="1"/>
      <c r="Q941" s="1"/>
      <c r="R941" s="1"/>
      <c r="S941" s="1"/>
      <c r="T941" s="1"/>
      <c r="U941" s="1"/>
      <c r="V941" s="1"/>
      <c r="W941" s="1"/>
      <c r="X941" s="1"/>
      <c r="Y941" s="1"/>
    </row>
    <row r="942" spans="1:25" ht="15.75" customHeight="1">
      <c r="A942" s="1"/>
      <c r="B942" s="1"/>
      <c r="C942" s="1"/>
      <c r="D942" s="1"/>
      <c r="E942" s="1"/>
      <c r="F942" s="1"/>
      <c r="G942" s="1"/>
      <c r="H942" s="1"/>
      <c r="I942" s="4"/>
      <c r="J942" s="4"/>
      <c r="K942" s="4"/>
      <c r="L942" s="1"/>
      <c r="M942" s="1"/>
      <c r="N942" s="1"/>
      <c r="O942" s="1"/>
      <c r="P942" s="1"/>
      <c r="Q942" s="1"/>
      <c r="R942" s="1"/>
      <c r="S942" s="1"/>
      <c r="T942" s="1"/>
      <c r="U942" s="1"/>
      <c r="V942" s="1"/>
      <c r="W942" s="1"/>
      <c r="X942" s="1"/>
      <c r="Y942" s="1"/>
    </row>
    <row r="943" spans="1:25" ht="15.75" customHeight="1">
      <c r="A943" s="1"/>
      <c r="B943" s="1"/>
      <c r="C943" s="1"/>
      <c r="D943" s="1"/>
      <c r="E943" s="1"/>
      <c r="F943" s="1"/>
      <c r="G943" s="1"/>
      <c r="H943" s="1"/>
      <c r="I943" s="4"/>
      <c r="J943" s="4"/>
      <c r="K943" s="4"/>
      <c r="L943" s="1"/>
      <c r="M943" s="1"/>
      <c r="N943" s="1"/>
      <c r="O943" s="1"/>
      <c r="P943" s="1"/>
      <c r="Q943" s="1"/>
      <c r="R943" s="1"/>
      <c r="S943" s="1"/>
      <c r="T943" s="1"/>
      <c r="U943" s="1"/>
      <c r="V943" s="1"/>
      <c r="W943" s="1"/>
      <c r="X943" s="1"/>
      <c r="Y943" s="1"/>
    </row>
    <row r="944" spans="1:25" ht="15.75" customHeight="1">
      <c r="A944" s="1"/>
      <c r="B944" s="1"/>
      <c r="C944" s="1"/>
      <c r="D944" s="1"/>
      <c r="E944" s="1"/>
      <c r="F944" s="1"/>
      <c r="G944" s="1"/>
      <c r="H944" s="1"/>
      <c r="I944" s="4"/>
      <c r="J944" s="4"/>
      <c r="K944" s="4"/>
      <c r="L944" s="1"/>
      <c r="M944" s="1"/>
      <c r="N944" s="1"/>
      <c r="O944" s="1"/>
      <c r="P944" s="1"/>
      <c r="Q944" s="1"/>
      <c r="R944" s="1"/>
      <c r="S944" s="1"/>
      <c r="T944" s="1"/>
      <c r="U944" s="1"/>
      <c r="V944" s="1"/>
      <c r="W944" s="1"/>
      <c r="X944" s="1"/>
      <c r="Y944" s="1"/>
    </row>
    <row r="945" spans="1:25" ht="15.75" customHeight="1">
      <c r="A945" s="1"/>
      <c r="B945" s="1"/>
      <c r="C945" s="1"/>
      <c r="D945" s="1"/>
      <c r="E945" s="1"/>
      <c r="F945" s="1"/>
      <c r="G945" s="1"/>
      <c r="H945" s="1"/>
      <c r="I945" s="4"/>
      <c r="J945" s="4"/>
      <c r="K945" s="4"/>
      <c r="L945" s="1"/>
      <c r="M945" s="1"/>
      <c r="N945" s="1"/>
      <c r="O945" s="1"/>
      <c r="P945" s="1"/>
      <c r="Q945" s="1"/>
      <c r="R945" s="1"/>
      <c r="S945" s="1"/>
      <c r="T945" s="1"/>
      <c r="U945" s="1"/>
      <c r="V945" s="1"/>
      <c r="W945" s="1"/>
      <c r="X945" s="1"/>
      <c r="Y945" s="1"/>
    </row>
    <row r="946" spans="1:25" ht="15.75" customHeight="1">
      <c r="A946" s="1"/>
      <c r="B946" s="1"/>
      <c r="C946" s="1"/>
      <c r="D946" s="1"/>
      <c r="E946" s="1"/>
      <c r="F946" s="1"/>
      <c r="G946" s="1"/>
      <c r="H946" s="1"/>
      <c r="I946" s="4"/>
      <c r="J946" s="4"/>
      <c r="K946" s="4"/>
      <c r="L946" s="1"/>
      <c r="M946" s="1"/>
      <c r="N946" s="1"/>
      <c r="O946" s="1"/>
      <c r="P946" s="1"/>
      <c r="Q946" s="1"/>
      <c r="R946" s="1"/>
      <c r="S946" s="1"/>
      <c r="T946" s="1"/>
      <c r="U946" s="1"/>
      <c r="V946" s="1"/>
      <c r="W946" s="1"/>
      <c r="X946" s="1"/>
      <c r="Y946" s="1"/>
    </row>
    <row r="947" spans="1:25" ht="15.75" customHeight="1">
      <c r="A947" s="1"/>
      <c r="B947" s="1"/>
      <c r="C947" s="1"/>
      <c r="D947" s="1"/>
      <c r="E947" s="1"/>
      <c r="F947" s="1"/>
      <c r="G947" s="1"/>
      <c r="H947" s="1"/>
      <c r="I947" s="4"/>
      <c r="J947" s="4"/>
      <c r="K947" s="4"/>
      <c r="L947" s="1"/>
      <c r="M947" s="1"/>
      <c r="N947" s="1"/>
      <c r="O947" s="1"/>
      <c r="P947" s="1"/>
      <c r="Q947" s="1"/>
      <c r="R947" s="1"/>
      <c r="S947" s="1"/>
      <c r="T947" s="1"/>
      <c r="U947" s="1"/>
      <c r="V947" s="1"/>
      <c r="W947" s="1"/>
      <c r="X947" s="1"/>
      <c r="Y947" s="1"/>
    </row>
    <row r="948" spans="1:25" ht="15.75" customHeight="1">
      <c r="A948" s="1"/>
      <c r="B948" s="1"/>
      <c r="C948" s="1"/>
      <c r="D948" s="1"/>
      <c r="E948" s="1"/>
      <c r="F948" s="1"/>
      <c r="G948" s="1"/>
      <c r="H948" s="1"/>
      <c r="I948" s="4"/>
      <c r="J948" s="4"/>
      <c r="K948" s="4"/>
      <c r="L948" s="1"/>
      <c r="M948" s="1"/>
      <c r="N948" s="1"/>
      <c r="O948" s="1"/>
      <c r="P948" s="1"/>
      <c r="Q948" s="1"/>
      <c r="R948" s="1"/>
      <c r="S948" s="1"/>
      <c r="T948" s="1"/>
      <c r="U948" s="1"/>
      <c r="V948" s="1"/>
      <c r="W948" s="1"/>
      <c r="X948" s="1"/>
      <c r="Y948" s="1"/>
    </row>
    <row r="949" spans="1:25" ht="15.75" customHeight="1">
      <c r="A949" s="1"/>
      <c r="B949" s="1"/>
      <c r="C949" s="1"/>
      <c r="D949" s="1"/>
      <c r="E949" s="1"/>
      <c r="F949" s="1"/>
      <c r="G949" s="1"/>
      <c r="H949" s="1"/>
      <c r="I949" s="4"/>
      <c r="J949" s="4"/>
      <c r="K949" s="4"/>
      <c r="L949" s="1"/>
      <c r="M949" s="1"/>
      <c r="N949" s="1"/>
      <c r="O949" s="1"/>
      <c r="P949" s="1"/>
      <c r="Q949" s="1"/>
      <c r="R949" s="1"/>
      <c r="S949" s="1"/>
      <c r="T949" s="1"/>
      <c r="U949" s="1"/>
      <c r="V949" s="1"/>
      <c r="W949" s="1"/>
      <c r="X949" s="1"/>
      <c r="Y949" s="1"/>
    </row>
    <row r="950" spans="1:25" ht="15.75" customHeight="1">
      <c r="A950" s="1"/>
      <c r="B950" s="1"/>
      <c r="C950" s="1"/>
      <c r="D950" s="1"/>
      <c r="E950" s="1"/>
      <c r="F950" s="1"/>
      <c r="G950" s="1"/>
      <c r="H950" s="1"/>
      <c r="I950" s="4"/>
      <c r="J950" s="4"/>
      <c r="K950" s="4"/>
      <c r="L950" s="1"/>
      <c r="M950" s="1"/>
      <c r="N950" s="1"/>
      <c r="O950" s="1"/>
      <c r="P950" s="1"/>
      <c r="Q950" s="1"/>
      <c r="R950" s="1"/>
      <c r="S950" s="1"/>
      <c r="T950" s="1"/>
      <c r="U950" s="1"/>
      <c r="V950" s="1"/>
      <c r="W950" s="1"/>
      <c r="X950" s="1"/>
      <c r="Y950" s="1"/>
    </row>
    <row r="951" spans="1:25" ht="15.75" customHeight="1">
      <c r="A951" s="1"/>
      <c r="B951" s="1"/>
      <c r="C951" s="1"/>
      <c r="D951" s="1"/>
      <c r="E951" s="1"/>
      <c r="F951" s="1"/>
      <c r="G951" s="1"/>
      <c r="H951" s="1"/>
      <c r="I951" s="4"/>
      <c r="J951" s="4"/>
      <c r="K951" s="4"/>
      <c r="L951" s="1"/>
      <c r="M951" s="1"/>
      <c r="N951" s="1"/>
      <c r="O951" s="1"/>
      <c r="P951" s="1"/>
      <c r="Q951" s="1"/>
      <c r="R951" s="1"/>
      <c r="S951" s="1"/>
      <c r="T951" s="1"/>
      <c r="U951" s="1"/>
      <c r="V951" s="1"/>
      <c r="W951" s="1"/>
      <c r="X951" s="1"/>
      <c r="Y951" s="1"/>
    </row>
    <row r="952" spans="1:25" ht="15.75" customHeight="1">
      <c r="A952" s="1"/>
      <c r="B952" s="1"/>
      <c r="C952" s="1"/>
      <c r="D952" s="1"/>
      <c r="E952" s="1"/>
      <c r="F952" s="1"/>
      <c r="G952" s="1"/>
      <c r="H952" s="1"/>
      <c r="I952" s="4"/>
      <c r="J952" s="4"/>
      <c r="K952" s="4"/>
      <c r="L952" s="1"/>
      <c r="M952" s="1"/>
      <c r="N952" s="1"/>
      <c r="O952" s="1"/>
      <c r="P952" s="1"/>
      <c r="Q952" s="1"/>
      <c r="R952" s="1"/>
      <c r="S952" s="1"/>
      <c r="T952" s="1"/>
      <c r="U952" s="1"/>
      <c r="V952" s="1"/>
      <c r="W952" s="1"/>
      <c r="X952" s="1"/>
      <c r="Y952" s="1"/>
    </row>
    <row r="953" spans="1:25" ht="15.75" customHeight="1">
      <c r="A953" s="1"/>
      <c r="B953" s="1"/>
      <c r="C953" s="1"/>
      <c r="D953" s="1"/>
      <c r="E953" s="1"/>
      <c r="F953" s="1"/>
      <c r="G953" s="1"/>
      <c r="H953" s="1"/>
      <c r="I953" s="4"/>
      <c r="J953" s="4"/>
      <c r="K953" s="4"/>
      <c r="L953" s="1"/>
      <c r="M953" s="1"/>
      <c r="N953" s="1"/>
      <c r="O953" s="1"/>
      <c r="P953" s="1"/>
      <c r="Q953" s="1"/>
      <c r="R953" s="1"/>
      <c r="S953" s="1"/>
      <c r="T953" s="1"/>
      <c r="U953" s="1"/>
      <c r="V953" s="1"/>
      <c r="W953" s="1"/>
      <c r="X953" s="1"/>
      <c r="Y953" s="1"/>
    </row>
    <row r="954" spans="1:25" ht="15.75" customHeight="1">
      <c r="A954" s="1"/>
      <c r="B954" s="1"/>
      <c r="C954" s="1"/>
      <c r="D954" s="1"/>
      <c r="E954" s="1"/>
      <c r="F954" s="1"/>
      <c r="G954" s="1"/>
      <c r="H954" s="1"/>
      <c r="I954" s="4"/>
      <c r="J954" s="4"/>
      <c r="K954" s="4"/>
      <c r="L954" s="1"/>
      <c r="M954" s="1"/>
      <c r="N954" s="1"/>
      <c r="O954" s="1"/>
      <c r="P954" s="1"/>
      <c r="Q954" s="1"/>
      <c r="R954" s="1"/>
      <c r="S954" s="1"/>
      <c r="T954" s="1"/>
      <c r="U954" s="1"/>
      <c r="V954" s="1"/>
      <c r="W954" s="1"/>
      <c r="X954" s="1"/>
      <c r="Y954" s="1"/>
    </row>
    <row r="955" spans="1:25" ht="15.75" customHeight="1">
      <c r="A955" s="1"/>
      <c r="B955" s="1"/>
      <c r="C955" s="1"/>
      <c r="D955" s="1"/>
      <c r="E955" s="1"/>
      <c r="F955" s="1"/>
      <c r="G955" s="1"/>
      <c r="H955" s="1"/>
      <c r="I955" s="4"/>
      <c r="J955" s="4"/>
      <c r="K955" s="4"/>
      <c r="L955" s="1"/>
      <c r="M955" s="1"/>
      <c r="N955" s="1"/>
      <c r="O955" s="1"/>
      <c r="P955" s="1"/>
      <c r="Q955" s="1"/>
      <c r="R955" s="1"/>
      <c r="S955" s="1"/>
      <c r="T955" s="1"/>
      <c r="U955" s="1"/>
      <c r="V955" s="1"/>
      <c r="W955" s="1"/>
      <c r="X955" s="1"/>
      <c r="Y955" s="1"/>
    </row>
    <row r="956" spans="1:25" ht="15.75" customHeight="1">
      <c r="A956" s="1"/>
      <c r="B956" s="1"/>
      <c r="C956" s="1"/>
      <c r="D956" s="1"/>
      <c r="E956" s="1"/>
      <c r="F956" s="1"/>
      <c r="G956" s="1"/>
      <c r="H956" s="1"/>
      <c r="I956" s="4"/>
      <c r="J956" s="4"/>
      <c r="K956" s="4"/>
      <c r="L956" s="1"/>
      <c r="M956" s="1"/>
      <c r="N956" s="1"/>
      <c r="O956" s="1"/>
      <c r="P956" s="1"/>
      <c r="Q956" s="1"/>
      <c r="R956" s="1"/>
      <c r="S956" s="1"/>
      <c r="T956" s="1"/>
      <c r="U956" s="1"/>
      <c r="V956" s="1"/>
      <c r="W956" s="1"/>
      <c r="X956" s="1"/>
      <c r="Y956" s="1"/>
    </row>
    <row r="957" spans="1:25" ht="15.75" customHeight="1">
      <c r="A957" s="1"/>
      <c r="B957" s="1"/>
      <c r="C957" s="1"/>
      <c r="D957" s="1"/>
      <c r="E957" s="1"/>
      <c r="F957" s="1"/>
      <c r="G957" s="1"/>
      <c r="H957" s="1"/>
      <c r="I957" s="4"/>
      <c r="J957" s="4"/>
      <c r="K957" s="4"/>
      <c r="L957" s="1"/>
      <c r="M957" s="1"/>
      <c r="N957" s="1"/>
      <c r="O957" s="1"/>
      <c r="P957" s="1"/>
      <c r="Q957" s="1"/>
      <c r="R957" s="1"/>
      <c r="S957" s="1"/>
      <c r="T957" s="1"/>
      <c r="U957" s="1"/>
      <c r="V957" s="1"/>
      <c r="W957" s="1"/>
      <c r="X957" s="1"/>
      <c r="Y957" s="1"/>
    </row>
    <row r="958" spans="1:25" ht="15.75" customHeight="1">
      <c r="A958" s="1"/>
      <c r="B958" s="1"/>
      <c r="C958" s="1"/>
      <c r="D958" s="1"/>
      <c r="E958" s="1"/>
      <c r="F958" s="1"/>
      <c r="G958" s="1"/>
      <c r="H958" s="1"/>
      <c r="I958" s="4"/>
      <c r="J958" s="4"/>
      <c r="K958" s="4"/>
      <c r="L958" s="1"/>
      <c r="M958" s="1"/>
      <c r="N958" s="1"/>
      <c r="O958" s="1"/>
      <c r="P958" s="1"/>
      <c r="Q958" s="1"/>
      <c r="R958" s="1"/>
      <c r="S958" s="1"/>
      <c r="T958" s="1"/>
      <c r="U958" s="1"/>
      <c r="V958" s="1"/>
      <c r="W958" s="1"/>
      <c r="X958" s="1"/>
      <c r="Y958" s="1"/>
    </row>
    <row r="959" spans="1:25" ht="15.75" customHeight="1">
      <c r="A959" s="1"/>
      <c r="B959" s="1"/>
      <c r="C959" s="1"/>
      <c r="D959" s="1"/>
      <c r="E959" s="1"/>
      <c r="F959" s="1"/>
      <c r="G959" s="1"/>
      <c r="H959" s="1"/>
      <c r="I959" s="4"/>
      <c r="J959" s="4"/>
      <c r="K959" s="4"/>
      <c r="L959" s="1"/>
      <c r="M959" s="1"/>
      <c r="N959" s="1"/>
      <c r="O959" s="1"/>
      <c r="P959" s="1"/>
      <c r="Q959" s="1"/>
      <c r="R959" s="1"/>
      <c r="S959" s="1"/>
      <c r="T959" s="1"/>
      <c r="U959" s="1"/>
      <c r="V959" s="1"/>
      <c r="W959" s="1"/>
      <c r="X959" s="1"/>
      <c r="Y959" s="1"/>
    </row>
    <row r="960" spans="1:25" ht="15.75" customHeight="1">
      <c r="A960" s="1"/>
      <c r="B960" s="1"/>
      <c r="C960" s="1"/>
      <c r="D960" s="1"/>
      <c r="E960" s="1"/>
      <c r="F960" s="1"/>
      <c r="G960" s="1"/>
      <c r="H960" s="1"/>
      <c r="I960" s="4"/>
      <c r="J960" s="4"/>
      <c r="K960" s="4"/>
      <c r="L960" s="1"/>
      <c r="M960" s="1"/>
      <c r="N960" s="1"/>
      <c r="O960" s="1"/>
      <c r="P960" s="1"/>
      <c r="Q960" s="1"/>
      <c r="R960" s="1"/>
      <c r="S960" s="1"/>
      <c r="T960" s="1"/>
      <c r="U960" s="1"/>
      <c r="V960" s="1"/>
      <c r="W960" s="1"/>
      <c r="X960" s="1"/>
      <c r="Y960" s="1"/>
    </row>
    <row r="961" spans="1:25" ht="15.75" customHeight="1">
      <c r="A961" s="1"/>
      <c r="B961" s="1"/>
      <c r="C961" s="1"/>
      <c r="D961" s="1"/>
      <c r="E961" s="1"/>
      <c r="F961" s="1"/>
      <c r="G961" s="1"/>
      <c r="H961" s="1"/>
      <c r="I961" s="4"/>
      <c r="J961" s="4"/>
      <c r="K961" s="4"/>
      <c r="L961" s="1"/>
      <c r="M961" s="1"/>
      <c r="N961" s="1"/>
      <c r="O961" s="1"/>
      <c r="P961" s="1"/>
      <c r="Q961" s="1"/>
      <c r="R961" s="1"/>
      <c r="S961" s="1"/>
      <c r="T961" s="1"/>
      <c r="U961" s="1"/>
      <c r="V961" s="1"/>
      <c r="W961" s="1"/>
      <c r="X961" s="1"/>
      <c r="Y961" s="1"/>
    </row>
    <row r="962" spans="1:25" ht="15.75" customHeight="1">
      <c r="A962" s="1"/>
      <c r="B962" s="1"/>
      <c r="C962" s="1"/>
      <c r="D962" s="1"/>
      <c r="E962" s="1"/>
      <c r="F962" s="1"/>
      <c r="G962" s="1"/>
      <c r="H962" s="1"/>
      <c r="I962" s="4"/>
      <c r="J962" s="4"/>
      <c r="K962" s="4"/>
      <c r="L962" s="1"/>
      <c r="M962" s="1"/>
      <c r="N962" s="1"/>
      <c r="O962" s="1"/>
      <c r="P962" s="1"/>
      <c r="Q962" s="1"/>
      <c r="R962" s="1"/>
      <c r="S962" s="1"/>
      <c r="T962" s="1"/>
      <c r="U962" s="1"/>
      <c r="V962" s="1"/>
      <c r="W962" s="1"/>
      <c r="X962" s="1"/>
      <c r="Y962" s="1"/>
    </row>
    <row r="963" spans="1:25" ht="15.75" customHeight="1">
      <c r="A963" s="1"/>
      <c r="B963" s="1"/>
      <c r="C963" s="1"/>
      <c r="D963" s="1"/>
      <c r="E963" s="1"/>
      <c r="F963" s="1"/>
      <c r="G963" s="1"/>
      <c r="H963" s="1"/>
      <c r="I963" s="4"/>
      <c r="J963" s="4"/>
      <c r="K963" s="4"/>
      <c r="L963" s="1"/>
      <c r="M963" s="1"/>
      <c r="N963" s="1"/>
      <c r="O963" s="1"/>
      <c r="P963" s="1"/>
      <c r="Q963" s="1"/>
      <c r="R963" s="1"/>
      <c r="S963" s="1"/>
      <c r="T963" s="1"/>
      <c r="U963" s="1"/>
      <c r="V963" s="1"/>
      <c r="W963" s="1"/>
      <c r="X963" s="1"/>
      <c r="Y963" s="1"/>
    </row>
    <row r="964" spans="1:25" ht="15.75" customHeight="1">
      <c r="A964" s="1"/>
      <c r="B964" s="1"/>
      <c r="C964" s="1"/>
      <c r="D964" s="1"/>
      <c r="E964" s="1"/>
      <c r="F964" s="1"/>
      <c r="G964" s="1"/>
      <c r="H964" s="1"/>
      <c r="I964" s="4"/>
      <c r="J964" s="4"/>
      <c r="K964" s="4"/>
      <c r="L964" s="1"/>
      <c r="M964" s="1"/>
      <c r="N964" s="1"/>
      <c r="O964" s="1"/>
      <c r="P964" s="1"/>
      <c r="Q964" s="1"/>
      <c r="R964" s="1"/>
      <c r="S964" s="1"/>
      <c r="T964" s="1"/>
      <c r="U964" s="1"/>
      <c r="V964" s="1"/>
      <c r="W964" s="1"/>
      <c r="X964" s="1"/>
      <c r="Y964" s="1"/>
    </row>
    <row r="965" spans="1:25" ht="15.75" customHeight="1">
      <c r="A965" s="1"/>
      <c r="B965" s="1"/>
      <c r="C965" s="1"/>
      <c r="D965" s="1"/>
      <c r="E965" s="1"/>
      <c r="F965" s="1"/>
      <c r="G965" s="1"/>
      <c r="H965" s="1"/>
      <c r="I965" s="4"/>
      <c r="J965" s="4"/>
      <c r="K965" s="4"/>
      <c r="L965" s="1"/>
      <c r="M965" s="1"/>
      <c r="N965" s="1"/>
      <c r="O965" s="1"/>
      <c r="P965" s="1"/>
      <c r="Q965" s="1"/>
      <c r="R965" s="1"/>
      <c r="S965" s="1"/>
      <c r="T965" s="1"/>
      <c r="U965" s="1"/>
      <c r="V965" s="1"/>
      <c r="W965" s="1"/>
      <c r="X965" s="1"/>
      <c r="Y965" s="1"/>
    </row>
    <row r="966" spans="1:25" ht="15.75" customHeight="1">
      <c r="A966" s="1"/>
      <c r="B966" s="1"/>
      <c r="C966" s="1"/>
      <c r="D966" s="1"/>
      <c r="E966" s="1"/>
      <c r="F966" s="1"/>
      <c r="G966" s="1"/>
      <c r="H966" s="1"/>
      <c r="I966" s="4"/>
      <c r="J966" s="4"/>
      <c r="K966" s="4"/>
      <c r="L966" s="1"/>
      <c r="M966" s="1"/>
      <c r="N966" s="1"/>
      <c r="O966" s="1"/>
      <c r="P966" s="1"/>
      <c r="Q966" s="1"/>
      <c r="R966" s="1"/>
      <c r="S966" s="1"/>
      <c r="T966" s="1"/>
      <c r="U966" s="1"/>
      <c r="V966" s="1"/>
      <c r="W966" s="1"/>
      <c r="X966" s="1"/>
      <c r="Y966" s="1"/>
    </row>
    <row r="967" spans="1:25" ht="15.75" customHeight="1">
      <c r="A967" s="1"/>
      <c r="B967" s="1"/>
      <c r="C967" s="1"/>
      <c r="D967" s="1"/>
      <c r="E967" s="1"/>
      <c r="F967" s="1"/>
      <c r="G967" s="1"/>
      <c r="H967" s="1"/>
      <c r="I967" s="4"/>
      <c r="J967" s="4"/>
      <c r="K967" s="4"/>
      <c r="L967" s="1"/>
      <c r="M967" s="1"/>
      <c r="N967" s="1"/>
      <c r="O967" s="1"/>
      <c r="P967" s="1"/>
      <c r="Q967" s="1"/>
      <c r="R967" s="1"/>
      <c r="S967" s="1"/>
      <c r="T967" s="1"/>
      <c r="U967" s="1"/>
      <c r="V967" s="1"/>
      <c r="W967" s="1"/>
      <c r="X967" s="1"/>
      <c r="Y967" s="1"/>
    </row>
    <row r="968" spans="1:25" ht="15.75" customHeight="1">
      <c r="A968" s="1"/>
      <c r="B968" s="1"/>
      <c r="C968" s="1"/>
      <c r="D968" s="1"/>
      <c r="E968" s="1"/>
      <c r="F968" s="1"/>
      <c r="G968" s="1"/>
      <c r="H968" s="1"/>
      <c r="I968" s="4"/>
      <c r="J968" s="4"/>
      <c r="K968" s="4"/>
      <c r="L968" s="1"/>
      <c r="M968" s="1"/>
      <c r="N968" s="1"/>
      <c r="O968" s="1"/>
      <c r="P968" s="1"/>
      <c r="Q968" s="1"/>
      <c r="R968" s="1"/>
      <c r="S968" s="1"/>
      <c r="T968" s="1"/>
      <c r="U968" s="1"/>
      <c r="V968" s="1"/>
      <c r="W968" s="1"/>
      <c r="X968" s="1"/>
      <c r="Y968" s="1"/>
    </row>
    <row r="969" spans="1:25" ht="15.75" customHeight="1">
      <c r="A969" s="1"/>
      <c r="B969" s="1"/>
      <c r="C969" s="1"/>
      <c r="D969" s="1"/>
      <c r="E969" s="1"/>
      <c r="F969" s="1"/>
      <c r="G969" s="1"/>
      <c r="H969" s="1"/>
      <c r="I969" s="4"/>
      <c r="J969" s="4"/>
      <c r="K969" s="4"/>
      <c r="L969" s="1"/>
      <c r="M969" s="1"/>
      <c r="N969" s="1"/>
      <c r="O969" s="1"/>
      <c r="P969" s="1"/>
      <c r="Q969" s="1"/>
      <c r="R969" s="1"/>
      <c r="S969" s="1"/>
      <c r="T969" s="1"/>
      <c r="U969" s="1"/>
      <c r="V969" s="1"/>
      <c r="W969" s="1"/>
      <c r="X969" s="1"/>
      <c r="Y969" s="1"/>
    </row>
    <row r="970" spans="1:25" ht="15.75" customHeight="1">
      <c r="A970" s="1"/>
      <c r="B970" s="1"/>
      <c r="C970" s="1"/>
      <c r="D970" s="1"/>
      <c r="E970" s="1"/>
      <c r="F970" s="1"/>
      <c r="G970" s="1"/>
      <c r="H970" s="1"/>
      <c r="I970" s="4"/>
      <c r="J970" s="4"/>
      <c r="K970" s="4"/>
      <c r="L970" s="1"/>
      <c r="M970" s="1"/>
      <c r="N970" s="1"/>
      <c r="O970" s="1"/>
      <c r="P970" s="1"/>
      <c r="Q970" s="1"/>
      <c r="R970" s="1"/>
      <c r="S970" s="1"/>
      <c r="T970" s="1"/>
      <c r="U970" s="1"/>
      <c r="V970" s="1"/>
      <c r="W970" s="1"/>
      <c r="X970" s="1"/>
      <c r="Y970" s="1"/>
    </row>
    <row r="971" spans="1:25" ht="15.75" customHeight="1">
      <c r="A971" s="1"/>
      <c r="B971" s="1"/>
      <c r="C971" s="1"/>
      <c r="D971" s="1"/>
      <c r="E971" s="1"/>
      <c r="F971" s="1"/>
      <c r="G971" s="1"/>
      <c r="H971" s="1"/>
      <c r="I971" s="4"/>
      <c r="J971" s="4"/>
      <c r="K971" s="4"/>
      <c r="L971" s="1"/>
      <c r="M971" s="1"/>
      <c r="N971" s="1"/>
      <c r="O971" s="1"/>
      <c r="P971" s="1"/>
      <c r="Q971" s="1"/>
      <c r="R971" s="1"/>
      <c r="S971" s="1"/>
      <c r="T971" s="1"/>
      <c r="U971" s="1"/>
      <c r="V971" s="1"/>
      <c r="W971" s="1"/>
      <c r="X971" s="1"/>
      <c r="Y971" s="1"/>
    </row>
    <row r="972" spans="1:25" ht="15.75" customHeight="1">
      <c r="A972" s="1"/>
      <c r="B972" s="1"/>
      <c r="C972" s="1"/>
      <c r="D972" s="1"/>
      <c r="E972" s="1"/>
      <c r="F972" s="1"/>
      <c r="G972" s="1"/>
      <c r="H972" s="1"/>
      <c r="I972" s="4"/>
      <c r="J972" s="4"/>
      <c r="K972" s="4"/>
      <c r="L972" s="1"/>
      <c r="M972" s="1"/>
      <c r="N972" s="1"/>
      <c r="O972" s="1"/>
      <c r="P972" s="1"/>
      <c r="Q972" s="1"/>
      <c r="R972" s="1"/>
      <c r="S972" s="1"/>
      <c r="T972" s="1"/>
      <c r="U972" s="1"/>
      <c r="V972" s="1"/>
      <c r="W972" s="1"/>
      <c r="X972" s="1"/>
      <c r="Y972" s="1"/>
    </row>
    <row r="973" spans="1:25" ht="15.75" customHeight="1">
      <c r="A973" s="1"/>
      <c r="B973" s="1"/>
      <c r="C973" s="1"/>
      <c r="D973" s="1"/>
      <c r="E973" s="1"/>
      <c r="F973" s="1"/>
      <c r="G973" s="1"/>
      <c r="H973" s="1"/>
      <c r="I973" s="4"/>
      <c r="J973" s="4"/>
      <c r="K973" s="4"/>
      <c r="L973" s="1"/>
      <c r="M973" s="1"/>
      <c r="N973" s="1"/>
      <c r="O973" s="1"/>
      <c r="P973" s="1"/>
      <c r="Q973" s="1"/>
      <c r="R973" s="1"/>
      <c r="S973" s="1"/>
      <c r="T973" s="1"/>
      <c r="U973" s="1"/>
      <c r="V973" s="1"/>
      <c r="W973" s="1"/>
      <c r="X973" s="1"/>
      <c r="Y973" s="1"/>
    </row>
    <row r="974" spans="1:25" ht="15.75" customHeight="1">
      <c r="A974" s="1"/>
      <c r="B974" s="1"/>
      <c r="C974" s="1"/>
      <c r="D974" s="1"/>
      <c r="E974" s="1"/>
      <c r="F974" s="1"/>
      <c r="G974" s="1"/>
      <c r="H974" s="1"/>
      <c r="I974" s="4"/>
      <c r="J974" s="4"/>
      <c r="K974" s="4"/>
      <c r="L974" s="1"/>
      <c r="M974" s="1"/>
      <c r="N974" s="1"/>
      <c r="O974" s="1"/>
      <c r="P974" s="1"/>
      <c r="Q974" s="1"/>
      <c r="R974" s="1"/>
      <c r="S974" s="1"/>
      <c r="T974" s="1"/>
      <c r="U974" s="1"/>
      <c r="V974" s="1"/>
      <c r="W974" s="1"/>
      <c r="X974" s="1"/>
      <c r="Y974" s="1"/>
    </row>
    <row r="975" spans="1:25" ht="15.75" customHeight="1">
      <c r="A975" s="1"/>
      <c r="B975" s="1"/>
      <c r="C975" s="1"/>
      <c r="D975" s="1"/>
      <c r="E975" s="1"/>
      <c r="F975" s="1"/>
      <c r="G975" s="1"/>
      <c r="H975" s="1"/>
      <c r="I975" s="4"/>
      <c r="J975" s="4"/>
      <c r="K975" s="4"/>
      <c r="L975" s="1"/>
      <c r="M975" s="1"/>
      <c r="N975" s="1"/>
      <c r="O975" s="1"/>
      <c r="P975" s="1"/>
      <c r="Q975" s="1"/>
      <c r="R975" s="1"/>
      <c r="S975" s="1"/>
      <c r="T975" s="1"/>
      <c r="U975" s="1"/>
      <c r="V975" s="1"/>
      <c r="W975" s="1"/>
      <c r="X975" s="1"/>
      <c r="Y975" s="1"/>
    </row>
    <row r="976" spans="1:25" ht="15.75" customHeight="1">
      <c r="A976" s="1"/>
      <c r="B976" s="1"/>
      <c r="C976" s="1"/>
      <c r="D976" s="1"/>
      <c r="E976" s="1"/>
      <c r="F976" s="1"/>
      <c r="G976" s="1"/>
      <c r="H976" s="1"/>
      <c r="I976" s="4"/>
      <c r="J976" s="4"/>
      <c r="K976" s="4"/>
      <c r="L976" s="1"/>
      <c r="M976" s="1"/>
      <c r="N976" s="1"/>
      <c r="O976" s="1"/>
      <c r="P976" s="1"/>
      <c r="Q976" s="1"/>
      <c r="R976" s="1"/>
      <c r="S976" s="1"/>
      <c r="T976" s="1"/>
      <c r="U976" s="1"/>
      <c r="V976" s="1"/>
      <c r="W976" s="1"/>
      <c r="X976" s="1"/>
      <c r="Y976" s="1"/>
    </row>
    <row r="977" spans="1:25" ht="15.75" customHeight="1">
      <c r="A977" s="1"/>
      <c r="B977" s="1"/>
      <c r="C977" s="1"/>
      <c r="D977" s="1"/>
      <c r="E977" s="1"/>
      <c r="F977" s="1"/>
      <c r="G977" s="1"/>
      <c r="H977" s="1"/>
      <c r="I977" s="4"/>
      <c r="J977" s="4"/>
      <c r="K977" s="4"/>
      <c r="L977" s="1"/>
      <c r="M977" s="1"/>
      <c r="N977" s="1"/>
      <c r="O977" s="1"/>
      <c r="P977" s="1"/>
      <c r="Q977" s="1"/>
      <c r="R977" s="1"/>
      <c r="S977" s="1"/>
      <c r="T977" s="1"/>
      <c r="U977" s="1"/>
      <c r="V977" s="1"/>
      <c r="W977" s="1"/>
      <c r="X977" s="1"/>
      <c r="Y977" s="1"/>
    </row>
    <row r="978" spans="1:25" ht="15.75" customHeight="1">
      <c r="A978" s="1"/>
      <c r="B978" s="1"/>
      <c r="C978" s="1"/>
      <c r="D978" s="1"/>
      <c r="E978" s="1"/>
      <c r="F978" s="1"/>
      <c r="G978" s="1"/>
      <c r="H978" s="1"/>
      <c r="I978" s="4"/>
      <c r="J978" s="4"/>
      <c r="K978" s="4"/>
      <c r="L978" s="1"/>
      <c r="M978" s="1"/>
      <c r="N978" s="1"/>
      <c r="O978" s="1"/>
      <c r="P978" s="1"/>
      <c r="Q978" s="1"/>
      <c r="R978" s="1"/>
      <c r="S978" s="1"/>
      <c r="T978" s="1"/>
      <c r="U978" s="1"/>
      <c r="V978" s="1"/>
      <c r="W978" s="1"/>
      <c r="X978" s="1"/>
      <c r="Y978" s="1"/>
    </row>
    <row r="979" spans="1:25" ht="15.75" customHeight="1">
      <c r="A979" s="1"/>
      <c r="B979" s="1"/>
      <c r="C979" s="1"/>
      <c r="D979" s="1"/>
      <c r="E979" s="1"/>
      <c r="F979" s="1"/>
      <c r="G979" s="1"/>
      <c r="H979" s="1"/>
      <c r="I979" s="4"/>
      <c r="J979" s="4"/>
      <c r="K979" s="4"/>
      <c r="L979" s="1"/>
      <c r="M979" s="1"/>
      <c r="N979" s="1"/>
      <c r="O979" s="1"/>
      <c r="P979" s="1"/>
      <c r="Q979" s="1"/>
      <c r="R979" s="1"/>
      <c r="S979" s="1"/>
      <c r="T979" s="1"/>
      <c r="U979" s="1"/>
      <c r="V979" s="1"/>
      <c r="W979" s="1"/>
      <c r="X979" s="1"/>
      <c r="Y979" s="1"/>
    </row>
    <row r="980" spans="1:25" ht="15.75" customHeight="1">
      <c r="A980" s="1"/>
      <c r="B980" s="1"/>
      <c r="C980" s="1"/>
      <c r="D980" s="1"/>
      <c r="E980" s="1"/>
      <c r="F980" s="1"/>
      <c r="G980" s="1"/>
      <c r="H980" s="1"/>
      <c r="I980" s="4"/>
      <c r="J980" s="4"/>
      <c r="K980" s="4"/>
      <c r="L980" s="1"/>
      <c r="M980" s="1"/>
      <c r="N980" s="1"/>
      <c r="O980" s="1"/>
      <c r="P980" s="1"/>
      <c r="Q980" s="1"/>
      <c r="R980" s="1"/>
      <c r="S980" s="1"/>
      <c r="T980" s="1"/>
      <c r="U980" s="1"/>
      <c r="V980" s="1"/>
      <c r="W980" s="1"/>
      <c r="X980" s="1"/>
      <c r="Y980" s="1"/>
    </row>
    <row r="981" spans="1:25" ht="15.75" customHeight="1">
      <c r="A981" s="1"/>
      <c r="B981" s="1"/>
      <c r="C981" s="1"/>
      <c r="D981" s="1"/>
      <c r="E981" s="1"/>
      <c r="F981" s="1"/>
      <c r="G981" s="1"/>
      <c r="H981" s="1"/>
      <c r="I981" s="4"/>
      <c r="J981" s="4"/>
      <c r="K981" s="4"/>
      <c r="L981" s="1"/>
      <c r="M981" s="1"/>
      <c r="N981" s="1"/>
      <c r="O981" s="1"/>
      <c r="P981" s="1"/>
      <c r="Q981" s="1"/>
      <c r="R981" s="1"/>
      <c r="S981" s="1"/>
      <c r="T981" s="1"/>
      <c r="U981" s="1"/>
      <c r="V981" s="1"/>
      <c r="W981" s="1"/>
      <c r="X981" s="1"/>
      <c r="Y981" s="1"/>
    </row>
    <row r="982" spans="1:25" ht="15.75" customHeight="1">
      <c r="A982" s="1"/>
      <c r="B982" s="1"/>
      <c r="C982" s="1"/>
      <c r="D982" s="1"/>
      <c r="E982" s="1"/>
      <c r="F982" s="1"/>
      <c r="G982" s="1"/>
      <c r="H982" s="1"/>
      <c r="I982" s="4"/>
      <c r="J982" s="4"/>
      <c r="K982" s="4"/>
      <c r="L982" s="1"/>
      <c r="M982" s="1"/>
      <c r="N982" s="1"/>
      <c r="O982" s="1"/>
      <c r="P982" s="1"/>
      <c r="Q982" s="1"/>
      <c r="R982" s="1"/>
      <c r="S982" s="1"/>
      <c r="T982" s="1"/>
      <c r="U982" s="1"/>
      <c r="V982" s="1"/>
      <c r="W982" s="1"/>
      <c r="X982" s="1"/>
      <c r="Y982" s="1"/>
    </row>
    <row r="983" spans="1:25" ht="15.75" customHeight="1">
      <c r="A983" s="1"/>
      <c r="B983" s="1"/>
      <c r="C983" s="1"/>
      <c r="D983" s="1"/>
      <c r="E983" s="1"/>
      <c r="F983" s="1"/>
      <c r="G983" s="1"/>
      <c r="H983" s="1"/>
      <c r="I983" s="4"/>
      <c r="J983" s="4"/>
      <c r="K983" s="4"/>
      <c r="L983" s="1"/>
      <c r="M983" s="1"/>
      <c r="N983" s="1"/>
      <c r="O983" s="1"/>
      <c r="P983" s="1"/>
      <c r="Q983" s="1"/>
      <c r="R983" s="1"/>
      <c r="S983" s="1"/>
      <c r="T983" s="1"/>
      <c r="U983" s="1"/>
      <c r="V983" s="1"/>
      <c r="W983" s="1"/>
      <c r="X983" s="1"/>
      <c r="Y983" s="1"/>
    </row>
    <row r="984" spans="1:25" ht="15.75" customHeight="1">
      <c r="A984" s="1"/>
      <c r="B984" s="1"/>
      <c r="C984" s="1"/>
      <c r="D984" s="1"/>
      <c r="E984" s="1"/>
      <c r="F984" s="1"/>
      <c r="G984" s="1"/>
      <c r="H984" s="1"/>
      <c r="I984" s="4"/>
      <c r="J984" s="4"/>
      <c r="K984" s="4"/>
      <c r="L984" s="1"/>
      <c r="M984" s="1"/>
      <c r="N984" s="1"/>
      <c r="O984" s="1"/>
      <c r="P984" s="1"/>
      <c r="Q984" s="1"/>
      <c r="R984" s="1"/>
      <c r="S984" s="1"/>
      <c r="T984" s="1"/>
      <c r="U984" s="1"/>
      <c r="V984" s="1"/>
      <c r="W984" s="1"/>
      <c r="X984" s="1"/>
      <c r="Y984" s="1"/>
    </row>
    <row r="985" spans="1:25" ht="15.75" customHeight="1">
      <c r="A985" s="1"/>
      <c r="B985" s="1"/>
      <c r="C985" s="1"/>
      <c r="D985" s="1"/>
      <c r="E985" s="1"/>
      <c r="F985" s="1"/>
      <c r="G985" s="1"/>
      <c r="H985" s="1"/>
      <c r="I985" s="4"/>
      <c r="J985" s="4"/>
      <c r="K985" s="4"/>
      <c r="L985" s="1"/>
      <c r="M985" s="1"/>
      <c r="N985" s="1"/>
      <c r="O985" s="1"/>
      <c r="P985" s="1"/>
      <c r="Q985" s="1"/>
      <c r="R985" s="1"/>
      <c r="S985" s="1"/>
      <c r="T985" s="1"/>
      <c r="U985" s="1"/>
      <c r="V985" s="1"/>
      <c r="W985" s="1"/>
      <c r="X985" s="1"/>
      <c r="Y985" s="1"/>
    </row>
    <row r="986" spans="1:25" ht="15.75" customHeight="1">
      <c r="A986" s="1"/>
      <c r="B986" s="1"/>
      <c r="C986" s="1"/>
      <c r="D986" s="1"/>
      <c r="E986" s="1"/>
      <c r="F986" s="1"/>
      <c r="G986" s="1"/>
      <c r="H986" s="1"/>
      <c r="I986" s="4"/>
      <c r="J986" s="4"/>
      <c r="K986" s="4"/>
      <c r="L986" s="1"/>
      <c r="M986" s="1"/>
      <c r="N986" s="1"/>
      <c r="O986" s="1"/>
      <c r="P986" s="1"/>
      <c r="Q986" s="1"/>
      <c r="R986" s="1"/>
      <c r="S986" s="1"/>
      <c r="T986" s="1"/>
      <c r="U986" s="1"/>
      <c r="V986" s="1"/>
      <c r="W986" s="1"/>
      <c r="X986" s="1"/>
      <c r="Y986" s="1"/>
    </row>
    <row r="987" spans="1:25" ht="15.75" customHeight="1">
      <c r="A987" s="1"/>
      <c r="B987" s="1"/>
      <c r="C987" s="1"/>
      <c r="D987" s="1"/>
      <c r="E987" s="1"/>
      <c r="F987" s="1"/>
      <c r="G987" s="1"/>
      <c r="H987" s="1"/>
      <c r="I987" s="4"/>
      <c r="J987" s="4"/>
      <c r="K987" s="4"/>
      <c r="L987" s="1"/>
      <c r="M987" s="1"/>
      <c r="N987" s="1"/>
      <c r="O987" s="1"/>
      <c r="P987" s="1"/>
      <c r="Q987" s="1"/>
      <c r="R987" s="1"/>
      <c r="S987" s="1"/>
      <c r="T987" s="1"/>
      <c r="U987" s="1"/>
      <c r="V987" s="1"/>
      <c r="W987" s="1"/>
      <c r="X987" s="1"/>
      <c r="Y987" s="1"/>
    </row>
    <row r="988" spans="1:25" ht="15.75" customHeight="1">
      <c r="A988" s="1"/>
      <c r="B988" s="1"/>
      <c r="C988" s="1"/>
      <c r="D988" s="1"/>
      <c r="E988" s="1"/>
      <c r="F988" s="1"/>
      <c r="G988" s="1"/>
      <c r="H988" s="1"/>
      <c r="I988" s="4"/>
      <c r="J988" s="4"/>
      <c r="K988" s="4"/>
      <c r="L988" s="1"/>
      <c r="M988" s="1"/>
      <c r="N988" s="1"/>
      <c r="O988" s="1"/>
      <c r="P988" s="1"/>
      <c r="Q988" s="1"/>
      <c r="R988" s="1"/>
      <c r="S988" s="1"/>
      <c r="T988" s="1"/>
      <c r="U988" s="1"/>
      <c r="V988" s="1"/>
      <c r="W988" s="1"/>
      <c r="X988" s="1"/>
      <c r="Y988" s="1"/>
    </row>
    <row r="989" spans="1:25" ht="15.75" customHeight="1">
      <c r="A989" s="1"/>
      <c r="B989" s="1"/>
      <c r="C989" s="1"/>
      <c r="D989" s="1"/>
      <c r="E989" s="1"/>
      <c r="F989" s="1"/>
      <c r="G989" s="1"/>
      <c r="H989" s="1"/>
      <c r="I989" s="4"/>
      <c r="J989" s="4"/>
      <c r="K989" s="4"/>
      <c r="L989" s="1"/>
      <c r="M989" s="1"/>
      <c r="N989" s="1"/>
      <c r="O989" s="1"/>
      <c r="P989" s="1"/>
      <c r="Q989" s="1"/>
      <c r="R989" s="1"/>
      <c r="S989" s="1"/>
      <c r="T989" s="1"/>
      <c r="U989" s="1"/>
      <c r="V989" s="1"/>
      <c r="W989" s="1"/>
      <c r="X989" s="1"/>
      <c r="Y989" s="1"/>
    </row>
    <row r="990" spans="1:25" ht="15.75" customHeight="1">
      <c r="A990" s="1"/>
      <c r="B990" s="1"/>
      <c r="C990" s="1"/>
      <c r="D990" s="1"/>
      <c r="E990" s="1"/>
      <c r="F990" s="1"/>
      <c r="G990" s="1"/>
      <c r="H990" s="1"/>
      <c r="I990" s="4"/>
      <c r="J990" s="4"/>
      <c r="K990" s="4"/>
      <c r="L990" s="1"/>
      <c r="M990" s="1"/>
      <c r="N990" s="1"/>
      <c r="O990" s="1"/>
      <c r="P990" s="1"/>
      <c r="Q990" s="1"/>
      <c r="R990" s="1"/>
      <c r="S990" s="1"/>
      <c r="T990" s="1"/>
      <c r="U990" s="1"/>
      <c r="V990" s="1"/>
      <c r="W990" s="1"/>
      <c r="X990" s="1"/>
      <c r="Y990" s="1"/>
    </row>
    <row r="991" spans="1:25" ht="15.75" customHeight="1">
      <c r="A991" s="1"/>
      <c r="B991" s="1"/>
      <c r="C991" s="1"/>
      <c r="D991" s="1"/>
      <c r="E991" s="1"/>
      <c r="F991" s="1"/>
      <c r="G991" s="1"/>
      <c r="H991" s="1"/>
      <c r="I991" s="4"/>
      <c r="J991" s="4"/>
      <c r="K991" s="4"/>
      <c r="L991" s="1"/>
      <c r="M991" s="1"/>
      <c r="N991" s="1"/>
      <c r="O991" s="1"/>
      <c r="P991" s="1"/>
      <c r="Q991" s="1"/>
      <c r="R991" s="1"/>
      <c r="S991" s="1"/>
      <c r="T991" s="1"/>
      <c r="U991" s="1"/>
      <c r="V991" s="1"/>
      <c r="W991" s="1"/>
      <c r="X991" s="1"/>
      <c r="Y991" s="1"/>
    </row>
    <row r="992" spans="1:25" ht="15.75" customHeight="1">
      <c r="A992" s="1"/>
      <c r="B992" s="1"/>
      <c r="C992" s="1"/>
      <c r="D992" s="1"/>
      <c r="E992" s="1"/>
      <c r="F992" s="1"/>
      <c r="G992" s="1"/>
      <c r="H992" s="1"/>
      <c r="I992" s="4"/>
      <c r="J992" s="4"/>
      <c r="K992" s="4"/>
      <c r="L992" s="1"/>
      <c r="M992" s="1"/>
      <c r="N992" s="1"/>
      <c r="O992" s="1"/>
      <c r="P992" s="1"/>
      <c r="Q992" s="1"/>
      <c r="R992" s="1"/>
      <c r="S992" s="1"/>
      <c r="T992" s="1"/>
      <c r="U992" s="1"/>
      <c r="V992" s="1"/>
      <c r="W992" s="1"/>
      <c r="X992" s="1"/>
      <c r="Y992" s="1"/>
    </row>
    <row r="993" spans="1:25" ht="15.75" customHeight="1">
      <c r="A993" s="1"/>
      <c r="B993" s="1"/>
      <c r="C993" s="1"/>
      <c r="D993" s="1"/>
      <c r="E993" s="1"/>
      <c r="F993" s="1"/>
      <c r="G993" s="1"/>
      <c r="H993" s="1"/>
      <c r="I993" s="4"/>
      <c r="J993" s="4"/>
      <c r="K993" s="4"/>
      <c r="L993" s="1"/>
      <c r="M993" s="1"/>
      <c r="N993" s="1"/>
      <c r="O993" s="1"/>
      <c r="P993" s="1"/>
      <c r="Q993" s="1"/>
      <c r="R993" s="1"/>
      <c r="S993" s="1"/>
      <c r="T993" s="1"/>
      <c r="U993" s="1"/>
      <c r="V993" s="1"/>
      <c r="W993" s="1"/>
      <c r="X993" s="1"/>
      <c r="Y993" s="1"/>
    </row>
    <row r="994" spans="1:25" ht="15.75" customHeight="1">
      <c r="A994" s="1"/>
      <c r="B994" s="1"/>
      <c r="C994" s="1"/>
      <c r="D994" s="1"/>
      <c r="E994" s="1"/>
      <c r="F994" s="1"/>
      <c r="G994" s="1"/>
      <c r="H994" s="1"/>
      <c r="I994" s="4"/>
      <c r="J994" s="4"/>
      <c r="K994" s="4"/>
      <c r="L994" s="1"/>
      <c r="M994" s="1"/>
      <c r="N994" s="1"/>
      <c r="O994" s="1"/>
      <c r="P994" s="1"/>
      <c r="Q994" s="1"/>
      <c r="R994" s="1"/>
      <c r="S994" s="1"/>
      <c r="T994" s="1"/>
      <c r="U994" s="1"/>
      <c r="V994" s="1"/>
      <c r="W994" s="1"/>
      <c r="X994" s="1"/>
      <c r="Y994" s="1"/>
    </row>
    <row r="995" spans="1:25" ht="15.75" customHeight="1">
      <c r="A995" s="1"/>
      <c r="B995" s="1"/>
      <c r="C995" s="1"/>
      <c r="D995" s="1"/>
      <c r="E995" s="1"/>
      <c r="F995" s="1"/>
      <c r="G995" s="1"/>
      <c r="H995" s="1"/>
      <c r="I995" s="4"/>
      <c r="J995" s="4"/>
      <c r="K995" s="4"/>
      <c r="L995" s="1"/>
      <c r="M995" s="1"/>
      <c r="N995" s="1"/>
      <c r="O995" s="1"/>
      <c r="P995" s="1"/>
      <c r="Q995" s="1"/>
      <c r="R995" s="1"/>
      <c r="S995" s="1"/>
      <c r="T995" s="1"/>
      <c r="U995" s="1"/>
      <c r="V995" s="1"/>
      <c r="W995" s="1"/>
      <c r="X995" s="1"/>
      <c r="Y995" s="1"/>
    </row>
    <row r="996" spans="1:25" ht="15.75" customHeight="1">
      <c r="A996" s="1"/>
      <c r="B996" s="1"/>
      <c r="C996" s="1"/>
      <c r="D996" s="1"/>
      <c r="E996" s="1"/>
      <c r="F996" s="1"/>
      <c r="G996" s="1"/>
      <c r="H996" s="1"/>
      <c r="I996" s="4"/>
      <c r="J996" s="4"/>
      <c r="K996" s="4"/>
      <c r="L996" s="1"/>
      <c r="M996" s="1"/>
      <c r="N996" s="1"/>
      <c r="O996" s="1"/>
      <c r="P996" s="1"/>
      <c r="Q996" s="1"/>
      <c r="R996" s="1"/>
      <c r="S996" s="1"/>
      <c r="T996" s="1"/>
      <c r="U996" s="1"/>
      <c r="V996" s="1"/>
      <c r="W996" s="1"/>
      <c r="X996" s="1"/>
      <c r="Y996" s="1"/>
    </row>
    <row r="997" spans="1:25" ht="15.75" customHeight="1">
      <c r="A997" s="1"/>
      <c r="B997" s="1"/>
      <c r="C997" s="1"/>
      <c r="D997" s="1"/>
      <c r="E997" s="1"/>
      <c r="F997" s="1"/>
      <c r="G997" s="1"/>
      <c r="H997" s="1"/>
      <c r="I997" s="4"/>
      <c r="J997" s="4"/>
      <c r="K997" s="4"/>
      <c r="L997" s="1"/>
      <c r="M997" s="1"/>
      <c r="N997" s="1"/>
      <c r="O997" s="1"/>
      <c r="P997" s="1"/>
      <c r="Q997" s="1"/>
      <c r="R997" s="1"/>
      <c r="S997" s="1"/>
      <c r="T997" s="1"/>
      <c r="U997" s="1"/>
      <c r="V997" s="1"/>
      <c r="W997" s="1"/>
      <c r="X997" s="1"/>
      <c r="Y997" s="1"/>
    </row>
  </sheetData>
  <mergeCells count="111">
    <mergeCell ref="D64:G64"/>
    <mergeCell ref="D65:G65"/>
    <mergeCell ref="D66:G66"/>
    <mergeCell ref="D67:G67"/>
    <mergeCell ref="D68:G68"/>
    <mergeCell ref="K79:N79"/>
    <mergeCell ref="D57:G57"/>
    <mergeCell ref="D58:G58"/>
    <mergeCell ref="D59:G59"/>
    <mergeCell ref="D60:G60"/>
    <mergeCell ref="D61:G61"/>
    <mergeCell ref="D62:G62"/>
    <mergeCell ref="K57:N57"/>
    <mergeCell ref="K58:N58"/>
    <mergeCell ref="K59:N59"/>
    <mergeCell ref="K60:N60"/>
    <mergeCell ref="K61:N61"/>
    <mergeCell ref="K62:N62"/>
    <mergeCell ref="D78:G78"/>
    <mergeCell ref="D79:G79"/>
    <mergeCell ref="K73:N73"/>
    <mergeCell ref="K74:N74"/>
    <mergeCell ref="D70:G70"/>
    <mergeCell ref="D71:G71"/>
    <mergeCell ref="D72:G72"/>
    <mergeCell ref="K72:N72"/>
    <mergeCell ref="D73:G73"/>
    <mergeCell ref="D74:G74"/>
    <mergeCell ref="K70:N70"/>
    <mergeCell ref="K71:N71"/>
    <mergeCell ref="D80:G80"/>
    <mergeCell ref="D75:G75"/>
    <mergeCell ref="K75:N75"/>
    <mergeCell ref="D76:G76"/>
    <mergeCell ref="K76:N76"/>
    <mergeCell ref="D77:G77"/>
    <mergeCell ref="K77:N77"/>
    <mergeCell ref="K78:N78"/>
    <mergeCell ref="K80:N80"/>
    <mergeCell ref="K67:N67"/>
    <mergeCell ref="K68:N68"/>
    <mergeCell ref="K69:N69"/>
    <mergeCell ref="J28:K28"/>
    <mergeCell ref="K45:N45"/>
    <mergeCell ref="K46:N46"/>
    <mergeCell ref="J29:K29"/>
    <mergeCell ref="J30:K30"/>
    <mergeCell ref="L30:M30"/>
    <mergeCell ref="A32:Q32"/>
    <mergeCell ref="A44:N44"/>
    <mergeCell ref="D45:G45"/>
    <mergeCell ref="D46:G46"/>
    <mergeCell ref="A30:D30"/>
    <mergeCell ref="A40:B40"/>
    <mergeCell ref="A41:B41"/>
    <mergeCell ref="D69:G69"/>
    <mergeCell ref="D47:G47"/>
    <mergeCell ref="K47:N47"/>
    <mergeCell ref="D48:G48"/>
    <mergeCell ref="K48:N48"/>
    <mergeCell ref="D49:G49"/>
    <mergeCell ref="K49:N49"/>
    <mergeCell ref="K50:N50"/>
    <mergeCell ref="A14:I14"/>
    <mergeCell ref="A15:A16"/>
    <mergeCell ref="B15:B16"/>
    <mergeCell ref="I15:I16"/>
    <mergeCell ref="E15:F15"/>
    <mergeCell ref="G15:H15"/>
    <mergeCell ref="K64:N64"/>
    <mergeCell ref="K65:N65"/>
    <mergeCell ref="K66:N66"/>
    <mergeCell ref="D50:G50"/>
    <mergeCell ref="D51:G51"/>
    <mergeCell ref="D52:G52"/>
    <mergeCell ref="D53:G53"/>
    <mergeCell ref="D54:G54"/>
    <mergeCell ref="D55:G55"/>
    <mergeCell ref="D56:G56"/>
    <mergeCell ref="K51:N51"/>
    <mergeCell ref="K52:N52"/>
    <mergeCell ref="K53:N53"/>
    <mergeCell ref="K54:N54"/>
    <mergeCell ref="K55:N55"/>
    <mergeCell ref="K56:N56"/>
    <mergeCell ref="K63:N63"/>
    <mergeCell ref="D63:G63"/>
    <mergeCell ref="J27:K27"/>
    <mergeCell ref="A1:N1"/>
    <mergeCell ref="B2:N2"/>
    <mergeCell ref="A3:N3"/>
    <mergeCell ref="A5:N5"/>
    <mergeCell ref="C6:N6"/>
    <mergeCell ref="C7:N7"/>
    <mergeCell ref="C8:N8"/>
    <mergeCell ref="C15:C16"/>
    <mergeCell ref="D15:D16"/>
    <mergeCell ref="A19:H19"/>
    <mergeCell ref="A20:A21"/>
    <mergeCell ref="B20:C20"/>
    <mergeCell ref="D20:D21"/>
    <mergeCell ref="E20:F20"/>
    <mergeCell ref="G20:G21"/>
    <mergeCell ref="H20:H21"/>
    <mergeCell ref="J23:M23"/>
    <mergeCell ref="J24:K26"/>
    <mergeCell ref="L24:M26"/>
    <mergeCell ref="C9:N9"/>
    <mergeCell ref="C10:N10"/>
    <mergeCell ref="C11:N11"/>
    <mergeCell ref="C12:N12"/>
  </mergeCells>
  <printOptions verticalCentered="1"/>
  <pageMargins left="0.78740157480314998" right="0.39370078740157499" top="0.39370078740157499" bottom="0.39370078740157499" header="0" footer="0"/>
  <pageSetup paperSize="9" orientation="landscape"/>
  <rowBreaks count="3" manualBreakCount="3">
    <brk id="68" man="1"/>
    <brk id="41" man="1"/>
    <brk id="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126" workbookViewId="0">
      <selection activeCell="A60" sqref="A60:A186"/>
    </sheetView>
  </sheetViews>
  <sheetFormatPr defaultColWidth="14.44140625" defaultRowHeight="15" customHeight="1"/>
  <cols>
    <col min="1" max="1" width="9.109375" customWidth="1"/>
    <col min="2" max="2" width="24.5546875" customWidth="1"/>
    <col min="3" max="3" width="54.5546875" customWidth="1"/>
    <col min="4" max="26" width="9" customWidth="1"/>
  </cols>
  <sheetData>
    <row r="1" spans="1:3" ht="22.5" customHeight="1">
      <c r="A1" s="373" t="s">
        <v>65</v>
      </c>
      <c r="B1" s="374"/>
      <c r="C1" s="374"/>
    </row>
    <row r="2" spans="1:3" ht="21" customHeight="1">
      <c r="A2" s="375" t="str">
        <f>'CO-PO Mapping'!A1:N1</f>
        <v xml:space="preserve">Robotics </v>
      </c>
      <c r="B2" s="374"/>
      <c r="C2" s="374"/>
    </row>
    <row r="3" spans="1:3" ht="18.75" customHeight="1">
      <c r="A3" s="376" t="s">
        <v>66</v>
      </c>
      <c r="B3" s="374"/>
      <c r="C3" s="374"/>
    </row>
    <row r="4" spans="1:3" ht="20.25" customHeight="1">
      <c r="A4" s="376"/>
      <c r="B4" s="374"/>
      <c r="C4" s="374"/>
    </row>
    <row r="5" spans="1:3" ht="32.25" customHeight="1">
      <c r="A5" s="345" t="s">
        <v>40</v>
      </c>
      <c r="B5" s="345" t="s">
        <v>67</v>
      </c>
      <c r="C5" s="377" t="s">
        <v>68</v>
      </c>
    </row>
    <row r="6" spans="1:3" ht="15.75" customHeight="1">
      <c r="A6" s="346"/>
      <c r="B6" s="346"/>
      <c r="C6" s="378"/>
    </row>
    <row r="7" spans="1:3" ht="15" customHeight="1">
      <c r="A7" s="39">
        <v>1</v>
      </c>
      <c r="B7" s="40"/>
      <c r="C7" s="41"/>
    </row>
    <row r="8" spans="1:3" ht="15.6">
      <c r="A8" s="39">
        <v>2</v>
      </c>
      <c r="B8" s="40"/>
      <c r="C8" s="41"/>
    </row>
    <row r="9" spans="1:3" ht="15.6">
      <c r="A9" s="39">
        <v>3</v>
      </c>
      <c r="B9" s="40"/>
      <c r="C9" s="41"/>
    </row>
    <row r="10" spans="1:3" ht="15.6">
      <c r="A10" s="39">
        <v>4</v>
      </c>
      <c r="B10" s="40"/>
      <c r="C10" s="41"/>
    </row>
    <row r="11" spans="1:3" ht="15.6">
      <c r="A11" s="39">
        <v>5</v>
      </c>
      <c r="B11" s="40"/>
      <c r="C11" s="41"/>
    </row>
    <row r="12" spans="1:3" ht="15.6">
      <c r="A12" s="39">
        <v>6</v>
      </c>
      <c r="B12" s="40"/>
      <c r="C12" s="41"/>
    </row>
    <row r="13" spans="1:3" ht="15.6">
      <c r="A13" s="39">
        <v>7</v>
      </c>
      <c r="B13" s="40"/>
      <c r="C13" s="41"/>
    </row>
    <row r="14" spans="1:3" ht="15.6">
      <c r="A14" s="39">
        <v>8</v>
      </c>
      <c r="B14" s="40"/>
      <c r="C14" s="41"/>
    </row>
    <row r="15" spans="1:3" ht="15.6">
      <c r="A15" s="39">
        <v>9</v>
      </c>
      <c r="B15" s="40"/>
      <c r="C15" s="41"/>
    </row>
    <row r="16" spans="1:3" ht="15.6">
      <c r="A16" s="39">
        <v>10</v>
      </c>
      <c r="B16" s="40"/>
      <c r="C16" s="41"/>
    </row>
    <row r="17" spans="1:26" ht="15.6">
      <c r="A17" s="39">
        <v>11</v>
      </c>
      <c r="B17" s="40"/>
      <c r="C17" s="41"/>
    </row>
    <row r="18" spans="1:26" ht="15.6">
      <c r="A18" s="39">
        <v>12</v>
      </c>
      <c r="B18" s="40"/>
      <c r="C18" s="41"/>
    </row>
    <row r="19" spans="1:26" ht="15.6">
      <c r="A19" s="39">
        <v>13</v>
      </c>
      <c r="B19" s="40"/>
      <c r="C19" s="41"/>
    </row>
    <row r="20" spans="1:26" ht="15.6">
      <c r="A20" s="39">
        <v>14</v>
      </c>
      <c r="B20" s="40"/>
      <c r="C20" s="41"/>
    </row>
    <row r="21" spans="1:26" ht="15.75" customHeight="1">
      <c r="A21" s="39">
        <v>15</v>
      </c>
      <c r="B21" s="40"/>
      <c r="C21" s="41"/>
    </row>
    <row r="22" spans="1:26" ht="15.75" customHeight="1">
      <c r="A22" s="39">
        <v>16</v>
      </c>
      <c r="B22" s="40"/>
      <c r="C22" s="41"/>
    </row>
    <row r="23" spans="1:26" ht="15.75" customHeight="1">
      <c r="A23" s="39">
        <v>17</v>
      </c>
      <c r="B23" s="40"/>
      <c r="C23" s="41"/>
    </row>
    <row r="24" spans="1:26" ht="15.75" customHeight="1">
      <c r="A24" s="39">
        <v>18</v>
      </c>
      <c r="B24" s="40"/>
      <c r="C24" s="41"/>
    </row>
    <row r="25" spans="1:26" ht="15.75" customHeight="1">
      <c r="A25" s="39">
        <v>19</v>
      </c>
      <c r="B25" s="40"/>
      <c r="C25" s="41"/>
    </row>
    <row r="26" spans="1:26" ht="15.75" customHeight="1">
      <c r="A26" s="39">
        <v>20</v>
      </c>
      <c r="B26" s="40"/>
      <c r="C26" s="41"/>
    </row>
    <row r="27" spans="1:26" ht="15.75" customHeight="1">
      <c r="A27" s="39">
        <v>21</v>
      </c>
      <c r="B27" s="40"/>
      <c r="C27" s="42"/>
      <c r="D27" s="43"/>
      <c r="E27" s="43"/>
      <c r="F27" s="43"/>
      <c r="G27" s="43"/>
      <c r="H27" s="43"/>
      <c r="I27" s="43"/>
      <c r="J27" s="43"/>
      <c r="K27" s="43"/>
      <c r="L27" s="43"/>
      <c r="M27" s="43"/>
      <c r="N27" s="43"/>
      <c r="O27" s="43"/>
      <c r="P27" s="43"/>
      <c r="Q27" s="43"/>
      <c r="R27" s="43"/>
      <c r="S27" s="43"/>
      <c r="T27" s="43"/>
      <c r="U27" s="43"/>
      <c r="V27" s="43"/>
      <c r="W27" s="43"/>
      <c r="X27" s="43"/>
      <c r="Y27" s="43"/>
      <c r="Z27" s="43"/>
    </row>
    <row r="28" spans="1:26" ht="15.75" customHeight="1">
      <c r="A28" s="39">
        <v>22</v>
      </c>
      <c r="B28" s="40"/>
      <c r="C28" s="41"/>
    </row>
    <row r="29" spans="1:26" ht="15.75" customHeight="1">
      <c r="A29" s="39">
        <v>23</v>
      </c>
      <c r="B29" s="40"/>
      <c r="C29" s="41"/>
    </row>
    <row r="30" spans="1:26" ht="15.75" customHeight="1">
      <c r="A30" s="39">
        <v>24</v>
      </c>
      <c r="B30" s="40"/>
      <c r="C30" s="41"/>
    </row>
    <row r="31" spans="1:26" ht="15.75" customHeight="1">
      <c r="A31" s="39">
        <v>25</v>
      </c>
      <c r="B31" s="40"/>
      <c r="C31" s="41"/>
    </row>
    <row r="32" spans="1:26" ht="15.75" customHeight="1">
      <c r="A32" s="39">
        <v>26</v>
      </c>
      <c r="B32" s="40"/>
      <c r="C32" s="41"/>
    </row>
    <row r="33" spans="1:3" ht="15.75" customHeight="1">
      <c r="A33" s="39">
        <v>27</v>
      </c>
      <c r="B33" s="40"/>
      <c r="C33" s="41"/>
    </row>
    <row r="34" spans="1:3" ht="15.75" customHeight="1">
      <c r="A34" s="39">
        <v>28</v>
      </c>
      <c r="B34" s="40"/>
      <c r="C34" s="41"/>
    </row>
    <row r="35" spans="1:3" ht="15.75" customHeight="1">
      <c r="A35" s="39">
        <v>29</v>
      </c>
      <c r="B35" s="40"/>
      <c r="C35" s="41"/>
    </row>
    <row r="36" spans="1:3" ht="15.75" customHeight="1">
      <c r="A36" s="39">
        <v>30</v>
      </c>
      <c r="B36" s="40"/>
      <c r="C36" s="41"/>
    </row>
    <row r="37" spans="1:3" ht="15.75" customHeight="1">
      <c r="A37" s="39">
        <v>31</v>
      </c>
      <c r="B37" s="40"/>
      <c r="C37" s="41"/>
    </row>
    <row r="38" spans="1:3" ht="15.75" customHeight="1">
      <c r="A38" s="39">
        <v>32</v>
      </c>
      <c r="B38" s="40"/>
      <c r="C38" s="41"/>
    </row>
    <row r="39" spans="1:3" ht="15.75" customHeight="1">
      <c r="A39" s="39">
        <v>33</v>
      </c>
      <c r="B39" s="40"/>
      <c r="C39" s="41"/>
    </row>
    <row r="40" spans="1:3" ht="15.75" customHeight="1">
      <c r="A40" s="39">
        <v>34</v>
      </c>
      <c r="B40" s="40"/>
      <c r="C40" s="41"/>
    </row>
    <row r="41" spans="1:3" ht="15.75" customHeight="1">
      <c r="A41" s="39">
        <v>35</v>
      </c>
      <c r="B41" s="40"/>
      <c r="C41" s="41"/>
    </row>
    <row r="42" spans="1:3" ht="15.75" customHeight="1">
      <c r="A42" s="39">
        <v>36</v>
      </c>
      <c r="B42" s="40"/>
      <c r="C42" s="41"/>
    </row>
    <row r="43" spans="1:3" ht="15.75" customHeight="1">
      <c r="A43" s="39">
        <v>37</v>
      </c>
      <c r="B43" s="40"/>
      <c r="C43" s="41"/>
    </row>
    <row r="44" spans="1:3" ht="15.75" customHeight="1">
      <c r="A44" s="39">
        <v>38</v>
      </c>
      <c r="B44" s="40"/>
      <c r="C44" s="41"/>
    </row>
    <row r="45" spans="1:3" ht="15.75" customHeight="1">
      <c r="A45" s="39">
        <v>39</v>
      </c>
      <c r="B45" s="40"/>
      <c r="C45" s="41"/>
    </row>
    <row r="46" spans="1:3" ht="15.75" customHeight="1">
      <c r="A46" s="39">
        <v>40</v>
      </c>
      <c r="B46" s="40"/>
      <c r="C46" s="41"/>
    </row>
    <row r="47" spans="1:3" ht="15.75" customHeight="1">
      <c r="A47" s="39">
        <v>41</v>
      </c>
      <c r="B47" s="40"/>
      <c r="C47" s="41"/>
    </row>
    <row r="48" spans="1:3" ht="15.75" customHeight="1">
      <c r="A48" s="39">
        <v>42</v>
      </c>
      <c r="B48" s="40"/>
      <c r="C48" s="41"/>
    </row>
    <row r="49" spans="1:3" ht="15.75" customHeight="1">
      <c r="A49" s="39">
        <v>43</v>
      </c>
      <c r="B49" s="40"/>
      <c r="C49" s="41"/>
    </row>
    <row r="50" spans="1:3" ht="15.75" customHeight="1">
      <c r="A50" s="39">
        <v>44</v>
      </c>
      <c r="B50" s="40"/>
      <c r="C50" s="41"/>
    </row>
    <row r="51" spans="1:3" ht="15.75" customHeight="1">
      <c r="A51" s="39">
        <v>45</v>
      </c>
      <c r="B51" s="40"/>
      <c r="C51" s="41"/>
    </row>
    <row r="52" spans="1:3" ht="15.75" customHeight="1">
      <c r="A52" s="39">
        <v>46</v>
      </c>
      <c r="B52" s="40"/>
      <c r="C52" s="41"/>
    </row>
    <row r="53" spans="1:3" ht="15.75" customHeight="1">
      <c r="A53" s="39">
        <v>47</v>
      </c>
      <c r="B53" s="40"/>
      <c r="C53" s="41"/>
    </row>
    <row r="54" spans="1:3" ht="15.75" customHeight="1">
      <c r="A54" s="39">
        <v>48</v>
      </c>
      <c r="B54" s="40"/>
      <c r="C54" s="41"/>
    </row>
    <row r="55" spans="1:3" ht="15.75" customHeight="1">
      <c r="A55" s="39">
        <v>49</v>
      </c>
      <c r="B55" s="40"/>
      <c r="C55" s="41"/>
    </row>
    <row r="56" spans="1:3" ht="15.75" customHeight="1">
      <c r="A56" s="39">
        <v>50</v>
      </c>
      <c r="B56" s="40"/>
      <c r="C56" s="41"/>
    </row>
    <row r="57" spans="1:3" ht="15.75" customHeight="1">
      <c r="A57" s="39">
        <v>51</v>
      </c>
      <c r="B57" s="40"/>
      <c r="C57" s="41"/>
    </row>
    <row r="58" spans="1:3" ht="15.75" customHeight="1">
      <c r="A58" s="39">
        <v>52</v>
      </c>
      <c r="B58" s="40"/>
      <c r="C58" s="41"/>
    </row>
    <row r="59" spans="1:3" ht="15.75" customHeight="1">
      <c r="A59" s="39">
        <v>53</v>
      </c>
      <c r="B59" s="40"/>
      <c r="C59" s="41"/>
    </row>
    <row r="60" spans="1:3" ht="15.75" customHeight="1">
      <c r="A60" s="39">
        <v>54</v>
      </c>
      <c r="B60" s="40"/>
      <c r="C60" s="41"/>
    </row>
    <row r="61" spans="1:3" ht="15.75" customHeight="1">
      <c r="A61" s="39">
        <v>55</v>
      </c>
      <c r="B61" s="40"/>
      <c r="C61" s="41"/>
    </row>
    <row r="62" spans="1:3" ht="15.75" customHeight="1">
      <c r="A62" s="39">
        <v>56</v>
      </c>
      <c r="B62" s="44"/>
      <c r="C62" s="45"/>
    </row>
    <row r="63" spans="1:3" ht="15.75" customHeight="1">
      <c r="A63" s="39">
        <v>57</v>
      </c>
      <c r="B63" s="44"/>
      <c r="C63" s="45"/>
    </row>
    <row r="64" spans="1:3" ht="15.75" customHeight="1">
      <c r="A64" s="39">
        <v>58</v>
      </c>
      <c r="B64" s="44"/>
      <c r="C64" s="45"/>
    </row>
    <row r="65" spans="1:3" ht="15.75" customHeight="1">
      <c r="A65" s="39">
        <v>59</v>
      </c>
      <c r="B65" s="44"/>
      <c r="C65" s="45"/>
    </row>
    <row r="66" spans="1:3" ht="15.75" customHeight="1">
      <c r="A66" s="39">
        <v>60</v>
      </c>
      <c r="B66" s="44"/>
      <c r="C66" s="45"/>
    </row>
    <row r="67" spans="1:3" ht="15.75" customHeight="1">
      <c r="A67" s="39">
        <v>61</v>
      </c>
      <c r="B67" s="44"/>
      <c r="C67" s="45"/>
    </row>
    <row r="68" spans="1:3" ht="15.75" customHeight="1">
      <c r="A68" s="39">
        <v>62</v>
      </c>
      <c r="B68" s="44"/>
      <c r="C68" s="45"/>
    </row>
    <row r="69" spans="1:3" ht="15.75" customHeight="1">
      <c r="A69" s="39">
        <v>63</v>
      </c>
      <c r="B69" s="44"/>
      <c r="C69" s="45"/>
    </row>
    <row r="70" spans="1:3" ht="15.75" customHeight="1">
      <c r="A70" s="39">
        <v>64</v>
      </c>
      <c r="B70" s="44"/>
      <c r="C70" s="45"/>
    </row>
    <row r="71" spans="1:3" ht="15.75" customHeight="1">
      <c r="A71" s="39">
        <v>65</v>
      </c>
      <c r="B71" s="44"/>
      <c r="C71" s="45"/>
    </row>
    <row r="72" spans="1:3" ht="15.75" customHeight="1">
      <c r="A72" s="39">
        <v>66</v>
      </c>
      <c r="B72" s="44"/>
      <c r="C72" s="45"/>
    </row>
    <row r="73" spans="1:3" ht="15.75" customHeight="1">
      <c r="A73" s="39">
        <v>67</v>
      </c>
      <c r="B73" s="44"/>
      <c r="C73" s="45"/>
    </row>
    <row r="74" spans="1:3" ht="15.75" customHeight="1">
      <c r="A74" s="39">
        <v>68</v>
      </c>
      <c r="B74" s="46"/>
      <c r="C74" s="45"/>
    </row>
    <row r="75" spans="1:3" ht="15.75" customHeight="1">
      <c r="A75" s="39">
        <v>69</v>
      </c>
      <c r="B75" s="46"/>
      <c r="C75" s="45"/>
    </row>
    <row r="76" spans="1:3" ht="15.75" customHeight="1">
      <c r="A76" s="39">
        <v>70</v>
      </c>
      <c r="B76" s="46"/>
      <c r="C76" s="45"/>
    </row>
    <row r="77" spans="1:3" ht="15.75" customHeight="1">
      <c r="A77" s="39">
        <v>71</v>
      </c>
      <c r="B77" s="46"/>
      <c r="C77" s="45"/>
    </row>
    <row r="78" spans="1:3" ht="15.75" customHeight="1">
      <c r="A78" s="39">
        <v>72</v>
      </c>
      <c r="B78" s="46"/>
      <c r="C78" s="45"/>
    </row>
    <row r="79" spans="1:3" ht="15.75" customHeight="1">
      <c r="A79" s="39">
        <v>73</v>
      </c>
      <c r="B79" s="46"/>
      <c r="C79" s="45"/>
    </row>
    <row r="80" spans="1:3" ht="15.75" customHeight="1">
      <c r="A80" s="39">
        <v>74</v>
      </c>
      <c r="B80" s="46"/>
      <c r="C80" s="45"/>
    </row>
    <row r="81" spans="1:3" ht="15.75" customHeight="1">
      <c r="A81" s="39">
        <v>75</v>
      </c>
      <c r="B81" s="46"/>
      <c r="C81" s="45"/>
    </row>
    <row r="82" spans="1:3" ht="15.75" customHeight="1">
      <c r="A82" s="39">
        <v>76</v>
      </c>
      <c r="B82" s="46"/>
      <c r="C82" s="45"/>
    </row>
    <row r="83" spans="1:3" ht="15.75" customHeight="1">
      <c r="A83" s="39">
        <v>77</v>
      </c>
      <c r="B83" s="46"/>
      <c r="C83" s="45"/>
    </row>
    <row r="84" spans="1:3" ht="15.75" customHeight="1">
      <c r="A84" s="39">
        <v>78</v>
      </c>
      <c r="B84" s="46"/>
      <c r="C84" s="45"/>
    </row>
    <row r="85" spans="1:3" ht="15.75" customHeight="1">
      <c r="A85" s="39">
        <v>79</v>
      </c>
      <c r="B85" s="46"/>
      <c r="C85" s="45"/>
    </row>
    <row r="86" spans="1:3" ht="15.75" customHeight="1">
      <c r="A86" s="39">
        <v>80</v>
      </c>
      <c r="B86" s="46"/>
      <c r="C86" s="45"/>
    </row>
    <row r="87" spans="1:3" ht="15.75" customHeight="1">
      <c r="A87" s="39">
        <v>81</v>
      </c>
      <c r="B87" s="46"/>
      <c r="C87" s="45"/>
    </row>
    <row r="88" spans="1:3" ht="15.75" customHeight="1">
      <c r="A88" s="39">
        <v>82</v>
      </c>
      <c r="B88" s="46"/>
      <c r="C88" s="45"/>
    </row>
    <row r="89" spans="1:3" ht="15.75" customHeight="1">
      <c r="A89" s="39">
        <v>83</v>
      </c>
      <c r="B89" s="46"/>
      <c r="C89" s="45"/>
    </row>
    <row r="90" spans="1:3" ht="15.75" customHeight="1">
      <c r="A90" s="39">
        <v>84</v>
      </c>
      <c r="B90" s="46"/>
      <c r="C90" s="45"/>
    </row>
    <row r="91" spans="1:3" ht="15.75" customHeight="1">
      <c r="A91" s="39">
        <v>85</v>
      </c>
      <c r="B91" s="46"/>
      <c r="C91" s="45"/>
    </row>
    <row r="92" spans="1:3" ht="15.75" customHeight="1">
      <c r="A92" s="39">
        <v>86</v>
      </c>
      <c r="B92" s="46"/>
      <c r="C92" s="45"/>
    </row>
    <row r="93" spans="1:3" ht="15.75" customHeight="1">
      <c r="A93" s="39">
        <v>87</v>
      </c>
      <c r="B93" s="46"/>
      <c r="C93" s="45"/>
    </row>
    <row r="94" spans="1:3" ht="15.75" customHeight="1">
      <c r="A94" s="39">
        <v>88</v>
      </c>
      <c r="B94" s="46"/>
      <c r="C94" s="45"/>
    </row>
    <row r="95" spans="1:3" ht="15.75" customHeight="1">
      <c r="A95" s="39">
        <v>89</v>
      </c>
      <c r="B95" s="46"/>
      <c r="C95" s="45"/>
    </row>
    <row r="96" spans="1:3" ht="15.75" customHeight="1">
      <c r="A96" s="39">
        <v>90</v>
      </c>
      <c r="B96" s="47"/>
      <c r="C96" s="48"/>
    </row>
    <row r="97" spans="1:3" ht="15.75" customHeight="1">
      <c r="A97" s="39">
        <v>91</v>
      </c>
      <c r="B97" s="47"/>
      <c r="C97" s="48"/>
    </row>
    <row r="98" spans="1:3" ht="15.75" customHeight="1">
      <c r="A98" s="39">
        <v>92</v>
      </c>
      <c r="B98" s="47"/>
      <c r="C98" s="48"/>
    </row>
    <row r="99" spans="1:3" ht="15.75" customHeight="1">
      <c r="A99" s="39">
        <v>93</v>
      </c>
      <c r="B99" s="47"/>
      <c r="C99" s="48"/>
    </row>
    <row r="100" spans="1:3" ht="15.75" customHeight="1">
      <c r="A100" s="39">
        <v>94</v>
      </c>
      <c r="B100" s="47"/>
      <c r="C100" s="48"/>
    </row>
    <row r="101" spans="1:3" ht="15.75" customHeight="1">
      <c r="A101" s="39">
        <v>95</v>
      </c>
      <c r="B101" s="47"/>
      <c r="C101" s="48"/>
    </row>
    <row r="102" spans="1:3" ht="15.75" customHeight="1">
      <c r="A102" s="39">
        <v>96</v>
      </c>
      <c r="B102" s="47"/>
      <c r="C102" s="48"/>
    </row>
    <row r="103" spans="1:3" ht="15.75" customHeight="1">
      <c r="A103" s="39">
        <v>97</v>
      </c>
      <c r="B103" s="47"/>
      <c r="C103" s="48"/>
    </row>
    <row r="104" spans="1:3" ht="15.75" customHeight="1">
      <c r="A104" s="39">
        <v>98</v>
      </c>
      <c r="B104" s="47"/>
      <c r="C104" s="48"/>
    </row>
    <row r="105" spans="1:3" ht="15.75" customHeight="1">
      <c r="A105" s="39">
        <v>99</v>
      </c>
      <c r="B105" s="47"/>
      <c r="C105" s="48"/>
    </row>
    <row r="106" spans="1:3" ht="15.75" customHeight="1">
      <c r="A106" s="39">
        <v>100</v>
      </c>
      <c r="B106" s="47"/>
      <c r="C106" s="48"/>
    </row>
    <row r="107" spans="1:3" ht="15.75" customHeight="1">
      <c r="A107" s="39">
        <v>101</v>
      </c>
      <c r="B107" s="47"/>
      <c r="C107" s="48"/>
    </row>
    <row r="108" spans="1:3" ht="15.75" customHeight="1">
      <c r="A108" s="39">
        <v>102</v>
      </c>
      <c r="B108" s="47"/>
      <c r="C108" s="48"/>
    </row>
    <row r="109" spans="1:3" ht="15.75" customHeight="1">
      <c r="A109" s="39">
        <v>103</v>
      </c>
      <c r="B109" s="47"/>
      <c r="C109" s="48"/>
    </row>
    <row r="110" spans="1:3" ht="15.75" customHeight="1">
      <c r="A110" s="39">
        <v>104</v>
      </c>
      <c r="B110" s="49"/>
      <c r="C110" s="50"/>
    </row>
    <row r="111" spans="1:3" ht="15.75" customHeight="1">
      <c r="A111" s="39">
        <v>105</v>
      </c>
      <c r="B111" s="47"/>
      <c r="C111" s="48"/>
    </row>
    <row r="112" spans="1:3" ht="15.75" customHeight="1">
      <c r="A112" s="39">
        <v>106</v>
      </c>
      <c r="B112" s="47"/>
      <c r="C112" s="48"/>
    </row>
    <row r="113" spans="1:3" ht="15.75" customHeight="1">
      <c r="A113" s="39">
        <v>107</v>
      </c>
      <c r="B113" s="47"/>
      <c r="C113" s="48"/>
    </row>
    <row r="114" spans="1:3" ht="15.75" customHeight="1">
      <c r="A114" s="39">
        <v>108</v>
      </c>
      <c r="B114" s="47"/>
      <c r="C114" s="48"/>
    </row>
    <row r="115" spans="1:3" ht="15.75" customHeight="1">
      <c r="A115" s="39">
        <v>109</v>
      </c>
      <c r="B115" s="47"/>
      <c r="C115" s="48"/>
    </row>
    <row r="116" spans="1:3" ht="15.75" customHeight="1">
      <c r="A116" s="39">
        <v>110</v>
      </c>
      <c r="B116" s="47"/>
      <c r="C116" s="48"/>
    </row>
    <row r="117" spans="1:3" ht="15.75" customHeight="1">
      <c r="A117" s="39">
        <v>111</v>
      </c>
      <c r="B117" s="47"/>
      <c r="C117" s="48"/>
    </row>
    <row r="118" spans="1:3" ht="15.75" customHeight="1">
      <c r="A118" s="39">
        <v>112</v>
      </c>
      <c r="B118" s="47"/>
      <c r="C118" s="48"/>
    </row>
    <row r="119" spans="1:3" ht="15.75" customHeight="1">
      <c r="A119" s="39">
        <v>113</v>
      </c>
      <c r="B119" s="47"/>
      <c r="C119" s="48"/>
    </row>
    <row r="120" spans="1:3" ht="15.75" customHeight="1">
      <c r="A120" s="39">
        <v>114</v>
      </c>
      <c r="B120" s="47"/>
      <c r="C120" s="48"/>
    </row>
    <row r="121" spans="1:3" ht="15.75" customHeight="1">
      <c r="A121" s="39">
        <v>115</v>
      </c>
      <c r="B121" s="47"/>
      <c r="C121" s="48"/>
    </row>
    <row r="122" spans="1:3" ht="15.75" customHeight="1">
      <c r="A122" s="39">
        <v>116</v>
      </c>
      <c r="B122" s="47"/>
      <c r="C122" s="48"/>
    </row>
    <row r="123" spans="1:3" ht="15.75" customHeight="1">
      <c r="A123" s="39">
        <v>117</v>
      </c>
      <c r="B123" s="47"/>
      <c r="C123" s="48"/>
    </row>
    <row r="124" spans="1:3" ht="15.75" customHeight="1">
      <c r="A124" s="39">
        <v>118</v>
      </c>
      <c r="B124" s="47"/>
      <c r="C124" s="48"/>
    </row>
    <row r="125" spans="1:3" ht="15.75" customHeight="1">
      <c r="A125" s="39">
        <v>119</v>
      </c>
      <c r="B125" s="47"/>
      <c r="C125" s="48"/>
    </row>
    <row r="126" spans="1:3" ht="15.75" customHeight="1">
      <c r="A126" s="39">
        <v>120</v>
      </c>
      <c r="B126" s="47"/>
      <c r="C126" s="48"/>
    </row>
    <row r="127" spans="1:3" ht="15.75" customHeight="1">
      <c r="A127" s="39">
        <v>121</v>
      </c>
      <c r="B127" s="47"/>
      <c r="C127" s="48"/>
    </row>
    <row r="128" spans="1:3" ht="15.75" customHeight="1">
      <c r="A128" s="39">
        <v>122</v>
      </c>
      <c r="B128" s="47"/>
      <c r="C128" s="48"/>
    </row>
    <row r="129" spans="1:3" ht="15.75" customHeight="1">
      <c r="A129" s="39">
        <v>123</v>
      </c>
      <c r="B129" s="47"/>
      <c r="C129" s="48"/>
    </row>
    <row r="130" spans="1:3" ht="15.75" customHeight="1">
      <c r="A130" s="39">
        <v>124</v>
      </c>
      <c r="B130" s="47"/>
      <c r="C130" s="48"/>
    </row>
    <row r="131" spans="1:3" ht="15.75" customHeight="1">
      <c r="A131" s="39">
        <v>125</v>
      </c>
      <c r="B131" s="47"/>
      <c r="C131" s="48"/>
    </row>
    <row r="132" spans="1:3" ht="15.75" customHeight="1">
      <c r="A132" s="39">
        <v>126</v>
      </c>
      <c r="B132" s="47"/>
      <c r="C132" s="48"/>
    </row>
    <row r="133" spans="1:3" ht="15.75" customHeight="1">
      <c r="A133" s="39">
        <v>127</v>
      </c>
      <c r="B133" s="47"/>
      <c r="C133" s="48"/>
    </row>
    <row r="134" spans="1:3" ht="15.75" customHeight="1">
      <c r="A134" s="39">
        <v>128</v>
      </c>
      <c r="B134" s="47"/>
      <c r="C134" s="48"/>
    </row>
    <row r="135" spans="1:3" ht="15.75" customHeight="1">
      <c r="A135" s="39">
        <v>129</v>
      </c>
      <c r="B135" s="47"/>
      <c r="C135" s="48"/>
    </row>
    <row r="136" spans="1:3" ht="15.75" customHeight="1">
      <c r="A136" s="39">
        <v>130</v>
      </c>
      <c r="B136" s="47"/>
      <c r="C136" s="48"/>
    </row>
    <row r="137" spans="1:3" ht="15.75" customHeight="1">
      <c r="A137" s="39">
        <v>131</v>
      </c>
      <c r="B137" s="47"/>
      <c r="C137" s="48"/>
    </row>
    <row r="138" spans="1:3" ht="15.75" customHeight="1">
      <c r="A138" s="39">
        <v>132</v>
      </c>
      <c r="B138" s="47"/>
      <c r="C138" s="48"/>
    </row>
    <row r="139" spans="1:3" ht="15.75" customHeight="1">
      <c r="A139" s="39">
        <v>133</v>
      </c>
      <c r="B139" s="47"/>
      <c r="C139" s="48"/>
    </row>
    <row r="140" spans="1:3" ht="15.75" customHeight="1">
      <c r="A140" s="39">
        <v>134</v>
      </c>
      <c r="B140" s="47"/>
      <c r="C140" s="48"/>
    </row>
    <row r="141" spans="1:3" ht="15.75" customHeight="1">
      <c r="A141" s="39">
        <v>135</v>
      </c>
      <c r="B141" s="47"/>
      <c r="C141" s="48"/>
    </row>
    <row r="142" spans="1:3" ht="15.75" customHeight="1">
      <c r="A142" s="39">
        <v>136</v>
      </c>
      <c r="B142" s="47"/>
      <c r="C142" s="48"/>
    </row>
    <row r="143" spans="1:3" ht="15.75" customHeight="1">
      <c r="A143" s="39">
        <v>137</v>
      </c>
      <c r="B143" s="47"/>
      <c r="C143" s="48"/>
    </row>
    <row r="144" spans="1:3" ht="15.75" customHeight="1">
      <c r="A144" s="39">
        <v>138</v>
      </c>
      <c r="B144" s="47"/>
      <c r="C144" s="48"/>
    </row>
    <row r="145" spans="1:3" ht="15.75" customHeight="1">
      <c r="A145" s="39">
        <v>139</v>
      </c>
      <c r="B145" s="47"/>
      <c r="C145" s="48"/>
    </row>
    <row r="146" spans="1:3" ht="15.75" customHeight="1">
      <c r="A146" s="39">
        <v>140</v>
      </c>
      <c r="B146" s="47"/>
      <c r="C146" s="48"/>
    </row>
    <row r="147" spans="1:3" ht="15.75" customHeight="1">
      <c r="A147" s="39">
        <v>141</v>
      </c>
      <c r="B147" s="47"/>
      <c r="C147" s="48"/>
    </row>
    <row r="148" spans="1:3" ht="15.75" customHeight="1">
      <c r="A148" s="39">
        <v>142</v>
      </c>
      <c r="B148" s="47"/>
      <c r="C148" s="48"/>
    </row>
    <row r="149" spans="1:3" ht="15.75" customHeight="1">
      <c r="A149" s="39">
        <v>143</v>
      </c>
      <c r="B149" s="47"/>
      <c r="C149" s="48"/>
    </row>
    <row r="150" spans="1:3" ht="15.75" customHeight="1">
      <c r="A150" s="39">
        <v>144</v>
      </c>
      <c r="B150" s="47"/>
      <c r="C150" s="48"/>
    </row>
    <row r="151" spans="1:3" ht="15.75" customHeight="1">
      <c r="A151" s="39">
        <v>145</v>
      </c>
      <c r="B151" s="47"/>
      <c r="C151" s="48"/>
    </row>
    <row r="152" spans="1:3" ht="15.75" customHeight="1">
      <c r="A152" s="39">
        <v>146</v>
      </c>
      <c r="B152" s="47"/>
      <c r="C152" s="48"/>
    </row>
    <row r="153" spans="1:3" ht="15.75" customHeight="1">
      <c r="A153" s="39">
        <v>147</v>
      </c>
      <c r="B153" s="47"/>
      <c r="C153" s="48"/>
    </row>
    <row r="154" spans="1:3" ht="15.75" customHeight="1">
      <c r="A154" s="39">
        <v>148</v>
      </c>
      <c r="B154" s="47"/>
      <c r="C154" s="48"/>
    </row>
    <row r="155" spans="1:3" ht="15.75" customHeight="1">
      <c r="A155" s="39">
        <v>149</v>
      </c>
      <c r="B155" s="47"/>
      <c r="C155" s="48"/>
    </row>
    <row r="156" spans="1:3" ht="15.75" customHeight="1">
      <c r="A156" s="39">
        <v>150</v>
      </c>
      <c r="B156" s="47"/>
      <c r="C156" s="48"/>
    </row>
    <row r="157" spans="1:3" ht="15.75" customHeight="1">
      <c r="A157" s="39">
        <v>151</v>
      </c>
      <c r="B157" s="47"/>
      <c r="C157" s="48"/>
    </row>
    <row r="158" spans="1:3" ht="15.75" customHeight="1">
      <c r="A158" s="39">
        <v>152</v>
      </c>
      <c r="B158" s="47"/>
      <c r="C158" s="48"/>
    </row>
    <row r="159" spans="1:3" ht="15.75" customHeight="1">
      <c r="A159" s="39">
        <v>153</v>
      </c>
      <c r="B159" s="47"/>
      <c r="C159" s="48"/>
    </row>
    <row r="160" spans="1:3" ht="15.75" customHeight="1">
      <c r="A160" s="39">
        <v>154</v>
      </c>
      <c r="B160" s="47"/>
      <c r="C160" s="48"/>
    </row>
    <row r="161" spans="1:3" ht="15.75" customHeight="1">
      <c r="A161" s="39">
        <v>155</v>
      </c>
      <c r="B161" s="47"/>
      <c r="C161" s="48"/>
    </row>
    <row r="162" spans="1:3" ht="15.75" customHeight="1">
      <c r="A162" s="39">
        <v>156</v>
      </c>
      <c r="B162" s="47"/>
      <c r="C162" s="48"/>
    </row>
    <row r="163" spans="1:3" ht="15.75" customHeight="1">
      <c r="A163" s="39">
        <v>157</v>
      </c>
      <c r="B163" s="47"/>
      <c r="C163" s="48"/>
    </row>
    <row r="164" spans="1:3" ht="15.75" customHeight="1">
      <c r="A164" s="39">
        <v>158</v>
      </c>
      <c r="B164" s="47"/>
      <c r="C164" s="48"/>
    </row>
    <row r="165" spans="1:3" ht="15.75" customHeight="1">
      <c r="A165" s="39">
        <v>159</v>
      </c>
      <c r="B165" s="47"/>
      <c r="C165" s="48"/>
    </row>
    <row r="166" spans="1:3" ht="15.75" customHeight="1">
      <c r="A166" s="39">
        <v>160</v>
      </c>
      <c r="B166" s="47"/>
      <c r="C166" s="48"/>
    </row>
    <row r="167" spans="1:3" ht="15.75" customHeight="1">
      <c r="A167" s="39">
        <v>161</v>
      </c>
      <c r="B167" s="47"/>
      <c r="C167" s="48"/>
    </row>
    <row r="168" spans="1:3" ht="15.75" customHeight="1">
      <c r="A168" s="39">
        <v>162</v>
      </c>
      <c r="B168" s="47"/>
      <c r="C168" s="48"/>
    </row>
    <row r="169" spans="1:3" ht="15.75" customHeight="1">
      <c r="A169" s="39">
        <v>163</v>
      </c>
      <c r="B169" s="47"/>
      <c r="C169" s="48"/>
    </row>
    <row r="170" spans="1:3" ht="15.75" customHeight="1">
      <c r="A170" s="39">
        <v>164</v>
      </c>
      <c r="B170" s="47"/>
      <c r="C170" s="48"/>
    </row>
    <row r="171" spans="1:3" ht="15.75" customHeight="1">
      <c r="A171" s="39">
        <v>165</v>
      </c>
      <c r="B171" s="47"/>
      <c r="C171" s="48"/>
    </row>
    <row r="172" spans="1:3" ht="15.75" customHeight="1">
      <c r="A172" s="39">
        <v>166</v>
      </c>
      <c r="B172" s="47"/>
      <c r="C172" s="48"/>
    </row>
    <row r="173" spans="1:3" ht="15.75" customHeight="1">
      <c r="A173" s="39">
        <v>167</v>
      </c>
      <c r="B173" s="47"/>
      <c r="C173" s="48"/>
    </row>
    <row r="174" spans="1:3" ht="15.75" customHeight="1">
      <c r="A174" s="39">
        <v>168</v>
      </c>
      <c r="B174" s="47"/>
      <c r="C174" s="48"/>
    </row>
    <row r="175" spans="1:3" ht="15.75" customHeight="1">
      <c r="A175" s="39">
        <v>169</v>
      </c>
      <c r="B175" s="47"/>
      <c r="C175" s="48"/>
    </row>
    <row r="176" spans="1:3" ht="15.75" customHeight="1">
      <c r="A176" s="39">
        <v>170</v>
      </c>
      <c r="B176" s="47"/>
      <c r="C176" s="48"/>
    </row>
    <row r="177" spans="1:3" ht="15.75" customHeight="1">
      <c r="A177" s="39">
        <v>171</v>
      </c>
      <c r="B177" s="47"/>
      <c r="C177" s="48"/>
    </row>
    <row r="178" spans="1:3" ht="15.75" customHeight="1">
      <c r="A178" s="39">
        <v>172</v>
      </c>
      <c r="B178" s="47"/>
      <c r="C178" s="48"/>
    </row>
    <row r="179" spans="1:3" ht="15.75" customHeight="1">
      <c r="A179" s="39">
        <v>173</v>
      </c>
      <c r="B179" s="47"/>
      <c r="C179" s="48"/>
    </row>
    <row r="180" spans="1:3" ht="15.75" customHeight="1">
      <c r="A180" s="39">
        <v>174</v>
      </c>
      <c r="B180" s="47"/>
      <c r="C180" s="48"/>
    </row>
    <row r="181" spans="1:3" ht="15.75" customHeight="1">
      <c r="A181" s="39">
        <v>175</v>
      </c>
      <c r="B181" s="47"/>
      <c r="C181" s="48"/>
    </row>
    <row r="182" spans="1:3" ht="15.75" customHeight="1">
      <c r="A182" s="39">
        <v>176</v>
      </c>
      <c r="B182" s="47"/>
      <c r="C182" s="48"/>
    </row>
    <row r="183" spans="1:3" ht="15.75" customHeight="1">
      <c r="A183" s="39">
        <v>177</v>
      </c>
      <c r="B183" s="47"/>
      <c r="C183" s="48"/>
    </row>
    <row r="184" spans="1:3" ht="15.75" customHeight="1">
      <c r="A184" s="39">
        <v>178</v>
      </c>
      <c r="B184" s="47"/>
      <c r="C184" s="48"/>
    </row>
    <row r="185" spans="1:3" ht="15.75" customHeight="1">
      <c r="A185" s="39">
        <v>179</v>
      </c>
      <c r="B185" s="47"/>
      <c r="C185" s="48"/>
    </row>
    <row r="186" spans="1:3" ht="15.75" customHeight="1">
      <c r="A186" s="39">
        <v>180</v>
      </c>
      <c r="B186" s="47"/>
      <c r="C186" s="48"/>
    </row>
    <row r="187" spans="1:3" ht="15.75" customHeight="1">
      <c r="A187" s="39"/>
      <c r="B187" s="51"/>
      <c r="C187" s="52"/>
    </row>
    <row r="188" spans="1:3" ht="15.75" customHeight="1">
      <c r="A188" s="39"/>
      <c r="B188" s="51"/>
      <c r="C188" s="52"/>
    </row>
    <row r="189" spans="1:3" ht="15.75" customHeight="1">
      <c r="A189" s="39"/>
      <c r="B189" s="51"/>
      <c r="C189" s="52"/>
    </row>
    <row r="190" spans="1:3" ht="15.75" customHeight="1">
      <c r="A190" s="39"/>
      <c r="B190" s="51"/>
      <c r="C190" s="52"/>
    </row>
    <row r="191" spans="1:3" ht="15.75" customHeight="1">
      <c r="A191" s="39"/>
      <c r="B191" s="51"/>
      <c r="C191" s="52"/>
    </row>
    <row r="192" spans="1:3" ht="15.75" customHeight="1">
      <c r="A192" s="39"/>
      <c r="B192" s="51"/>
      <c r="C192" s="52"/>
    </row>
    <row r="193" spans="1:3" ht="15.75" customHeight="1">
      <c r="A193" s="39"/>
      <c r="B193" s="51"/>
      <c r="C193" s="52"/>
    </row>
    <row r="194" spans="1:3" ht="15.75" customHeight="1">
      <c r="A194" s="39"/>
      <c r="B194" s="51"/>
      <c r="C194" s="52"/>
    </row>
    <row r="195" spans="1:3" ht="15.75" customHeight="1">
      <c r="A195" s="39"/>
      <c r="B195" s="51"/>
      <c r="C195" s="52"/>
    </row>
    <row r="196" spans="1:3" ht="15.75" customHeight="1">
      <c r="A196" s="39"/>
      <c r="B196" s="51"/>
      <c r="C196" s="52"/>
    </row>
    <row r="197" spans="1:3" ht="15.75" customHeight="1">
      <c r="A197" s="39"/>
      <c r="B197" s="51"/>
      <c r="C197" s="52"/>
    </row>
    <row r="198" spans="1:3" ht="15.75" customHeight="1">
      <c r="A198" s="39"/>
      <c r="B198" s="51"/>
      <c r="C198" s="52"/>
    </row>
    <row r="199" spans="1:3" ht="15.75" customHeight="1">
      <c r="A199" s="39"/>
      <c r="B199" s="51"/>
      <c r="C199" s="52"/>
    </row>
    <row r="200" spans="1:3" ht="15.75" customHeight="1">
      <c r="A200" s="39"/>
      <c r="B200" s="51"/>
      <c r="C200" s="52"/>
    </row>
    <row r="201" spans="1:3" ht="15.75" customHeight="1">
      <c r="A201" s="39"/>
      <c r="B201" s="51"/>
      <c r="C201" s="52"/>
    </row>
    <row r="202" spans="1:3" ht="15.75" customHeight="1">
      <c r="A202" s="39"/>
      <c r="B202" s="51"/>
      <c r="C202" s="52"/>
    </row>
    <row r="203" spans="1:3" ht="15.75" customHeight="1">
      <c r="A203" s="39"/>
      <c r="B203" s="51"/>
      <c r="C203" s="52"/>
    </row>
    <row r="204" spans="1:3" ht="15.75" customHeight="1">
      <c r="A204" s="39"/>
      <c r="B204" s="51"/>
      <c r="C204" s="52"/>
    </row>
    <row r="205" spans="1:3" ht="15.75" customHeight="1">
      <c r="A205" s="39"/>
      <c r="B205" s="51"/>
      <c r="C205" s="52"/>
    </row>
    <row r="206" spans="1:3" ht="15.75" customHeight="1">
      <c r="A206" s="39"/>
      <c r="B206" s="51"/>
      <c r="C206" s="52"/>
    </row>
    <row r="207" spans="1:3" ht="15.75" customHeight="1">
      <c r="C207" s="53"/>
    </row>
    <row r="208" spans="1:3" ht="15.75" customHeight="1">
      <c r="C208" s="53"/>
    </row>
    <row r="209" spans="3:3" ht="15.75" customHeight="1">
      <c r="C209" s="53"/>
    </row>
    <row r="210" spans="3:3" ht="15.75" customHeight="1">
      <c r="C210" s="53"/>
    </row>
    <row r="211" spans="3:3" ht="15.75" customHeight="1">
      <c r="C211" s="53"/>
    </row>
    <row r="212" spans="3:3" ht="15.75" customHeight="1">
      <c r="C212" s="53"/>
    </row>
    <row r="213" spans="3:3" ht="15.75" customHeight="1">
      <c r="C213" s="53"/>
    </row>
    <row r="214" spans="3:3" ht="15.75" customHeight="1">
      <c r="C214" s="53"/>
    </row>
    <row r="215" spans="3:3" ht="15.75" customHeight="1">
      <c r="C215" s="53"/>
    </row>
    <row r="216" spans="3:3" ht="15.75" customHeight="1">
      <c r="C216" s="53"/>
    </row>
    <row r="217" spans="3:3" ht="15.75" customHeight="1">
      <c r="C217" s="53"/>
    </row>
    <row r="218" spans="3:3" ht="15.75" customHeight="1">
      <c r="C218" s="53"/>
    </row>
    <row r="219" spans="3:3" ht="15.75" customHeight="1">
      <c r="C219" s="53"/>
    </row>
    <row r="220" spans="3:3" ht="15.75" customHeight="1">
      <c r="C220" s="53"/>
    </row>
    <row r="221" spans="3:3" ht="15.75" customHeight="1">
      <c r="C221" s="53"/>
    </row>
    <row r="222" spans="3:3" ht="15.75" customHeight="1">
      <c r="C222" s="53"/>
    </row>
    <row r="223" spans="3:3" ht="15.75" customHeight="1">
      <c r="C223" s="53"/>
    </row>
    <row r="224" spans="3:3" ht="15.75" customHeight="1">
      <c r="C224" s="53"/>
    </row>
    <row r="225" spans="3:3" ht="15.75" customHeight="1">
      <c r="C225" s="53"/>
    </row>
    <row r="226" spans="3:3" ht="15.75" customHeight="1">
      <c r="C226" s="53"/>
    </row>
    <row r="227" spans="3:3" ht="15.75" customHeight="1">
      <c r="C227" s="53"/>
    </row>
    <row r="228" spans="3:3" ht="15.75" customHeight="1">
      <c r="C228" s="53"/>
    </row>
    <row r="229" spans="3:3" ht="15.75" customHeight="1">
      <c r="C229" s="53"/>
    </row>
    <row r="230" spans="3:3" ht="15.75" customHeight="1">
      <c r="C230" s="53"/>
    </row>
    <row r="231" spans="3:3" ht="15.75" customHeight="1">
      <c r="C231" s="53"/>
    </row>
    <row r="232" spans="3:3" ht="15.75" customHeight="1">
      <c r="C232" s="53"/>
    </row>
    <row r="233" spans="3:3" ht="15.75" customHeight="1">
      <c r="C233" s="53"/>
    </row>
    <row r="234" spans="3:3" ht="15.75" customHeight="1">
      <c r="C234" s="53"/>
    </row>
    <row r="235" spans="3:3" ht="15.75" customHeight="1">
      <c r="C235" s="53"/>
    </row>
    <row r="236" spans="3:3" ht="15.75" customHeight="1">
      <c r="C236" s="53"/>
    </row>
    <row r="237" spans="3:3" ht="15.75" customHeight="1">
      <c r="C237" s="53"/>
    </row>
    <row r="238" spans="3:3" ht="15.75" customHeight="1">
      <c r="C238" s="53"/>
    </row>
    <row r="239" spans="3:3" ht="15.75" customHeight="1">
      <c r="C239" s="53"/>
    </row>
    <row r="240" spans="3:3" ht="15.75" customHeight="1">
      <c r="C240" s="53"/>
    </row>
    <row r="241" spans="3:3" ht="15.75" customHeight="1">
      <c r="C241" s="53"/>
    </row>
    <row r="242" spans="3:3" ht="15.75" customHeight="1">
      <c r="C242" s="53"/>
    </row>
    <row r="243" spans="3:3" ht="15.75" customHeight="1">
      <c r="C243" s="53"/>
    </row>
    <row r="244" spans="3:3" ht="15.75" customHeight="1">
      <c r="C244" s="53"/>
    </row>
    <row r="245" spans="3:3" ht="15.75" customHeight="1">
      <c r="C245" s="53"/>
    </row>
    <row r="246" spans="3:3" ht="15.75" customHeight="1">
      <c r="C246" s="53"/>
    </row>
    <row r="247" spans="3:3" ht="15.75" customHeight="1">
      <c r="C247" s="53"/>
    </row>
    <row r="248" spans="3:3" ht="15.75" customHeight="1">
      <c r="C248" s="53"/>
    </row>
    <row r="249" spans="3:3" ht="15.75" customHeight="1">
      <c r="C249" s="53"/>
    </row>
    <row r="250" spans="3:3" ht="15.75" customHeight="1">
      <c r="C250" s="53"/>
    </row>
    <row r="251" spans="3:3" ht="15.75" customHeight="1">
      <c r="C251" s="53"/>
    </row>
    <row r="252" spans="3:3" ht="15.75" customHeight="1">
      <c r="C252" s="53"/>
    </row>
    <row r="253" spans="3:3" ht="15.75" customHeight="1">
      <c r="C253" s="53"/>
    </row>
    <row r="254" spans="3:3" ht="15.75" customHeight="1">
      <c r="C254" s="53"/>
    </row>
    <row r="255" spans="3:3" ht="15.75" customHeight="1">
      <c r="C255" s="53"/>
    </row>
    <row r="256" spans="3:3" ht="15.75" customHeight="1">
      <c r="C256" s="53"/>
    </row>
    <row r="257" spans="3:3" ht="15.75" customHeight="1">
      <c r="C257" s="53"/>
    </row>
    <row r="258" spans="3:3" ht="15.75" customHeight="1">
      <c r="C258" s="53"/>
    </row>
    <row r="259" spans="3:3" ht="15.75" customHeight="1">
      <c r="C259" s="53"/>
    </row>
    <row r="260" spans="3:3" ht="15.75" customHeight="1">
      <c r="C260" s="53"/>
    </row>
    <row r="261" spans="3:3" ht="15.75" customHeight="1">
      <c r="C261" s="53"/>
    </row>
    <row r="262" spans="3:3" ht="15.75" customHeight="1">
      <c r="C262" s="53"/>
    </row>
    <row r="263" spans="3:3" ht="15.75" customHeight="1">
      <c r="C263" s="53"/>
    </row>
    <row r="264" spans="3:3" ht="15.75" customHeight="1">
      <c r="C264" s="53"/>
    </row>
    <row r="265" spans="3:3" ht="15.75" customHeight="1">
      <c r="C265" s="53"/>
    </row>
    <row r="266" spans="3:3" ht="15.75" customHeight="1">
      <c r="C266" s="53"/>
    </row>
    <row r="267" spans="3:3" ht="15.75" customHeight="1">
      <c r="C267" s="53"/>
    </row>
    <row r="268" spans="3:3" ht="15.75" customHeight="1">
      <c r="C268" s="53"/>
    </row>
    <row r="269" spans="3:3" ht="15.75" customHeight="1">
      <c r="C269" s="53"/>
    </row>
    <row r="270" spans="3:3" ht="15.75" customHeight="1">
      <c r="C270" s="53"/>
    </row>
    <row r="271" spans="3:3" ht="15.75" customHeight="1">
      <c r="C271" s="53"/>
    </row>
    <row r="272" spans="3:3" ht="15.75" customHeight="1">
      <c r="C272" s="53"/>
    </row>
    <row r="273" spans="3:3" ht="15.75" customHeight="1">
      <c r="C273" s="53"/>
    </row>
    <row r="274" spans="3:3" ht="15.75" customHeight="1">
      <c r="C274" s="53"/>
    </row>
    <row r="275" spans="3:3" ht="15.75" customHeight="1">
      <c r="C275" s="53"/>
    </row>
    <row r="276" spans="3:3" ht="15.75" customHeight="1">
      <c r="C276" s="53"/>
    </row>
    <row r="277" spans="3:3" ht="15.75" customHeight="1">
      <c r="C277" s="53"/>
    </row>
    <row r="278" spans="3:3" ht="15.75" customHeight="1">
      <c r="C278" s="53"/>
    </row>
    <row r="279" spans="3:3" ht="15.75" customHeight="1">
      <c r="C279" s="53"/>
    </row>
    <row r="280" spans="3:3" ht="15.75" customHeight="1">
      <c r="C280" s="53"/>
    </row>
    <row r="281" spans="3:3" ht="15.75" customHeight="1">
      <c r="C281" s="53"/>
    </row>
    <row r="282" spans="3:3" ht="15.75" customHeight="1">
      <c r="C282" s="53"/>
    </row>
    <row r="283" spans="3:3" ht="15.75" customHeight="1">
      <c r="C283" s="53"/>
    </row>
    <row r="284" spans="3:3" ht="15.75" customHeight="1">
      <c r="C284" s="53"/>
    </row>
    <row r="285" spans="3:3" ht="15.75" customHeight="1">
      <c r="C285" s="53"/>
    </row>
    <row r="286" spans="3:3" ht="15.75" customHeight="1">
      <c r="C286" s="53"/>
    </row>
    <row r="287" spans="3:3" ht="15.75" customHeight="1">
      <c r="C287" s="53"/>
    </row>
    <row r="288" spans="3:3" ht="15.75" customHeight="1">
      <c r="C288" s="53"/>
    </row>
    <row r="289" spans="3:3" ht="15.75" customHeight="1">
      <c r="C289" s="53"/>
    </row>
    <row r="290" spans="3:3" ht="15.75" customHeight="1">
      <c r="C290" s="53"/>
    </row>
    <row r="291" spans="3:3" ht="15.75" customHeight="1">
      <c r="C291" s="53"/>
    </row>
    <row r="292" spans="3:3" ht="15.75" customHeight="1">
      <c r="C292" s="53"/>
    </row>
    <row r="293" spans="3:3" ht="15.75" customHeight="1">
      <c r="C293" s="53"/>
    </row>
    <row r="294" spans="3:3" ht="15.75" customHeight="1">
      <c r="C294" s="53"/>
    </row>
    <row r="295" spans="3:3" ht="15.75" customHeight="1">
      <c r="C295" s="53"/>
    </row>
    <row r="296" spans="3:3" ht="15.75" customHeight="1">
      <c r="C296" s="53"/>
    </row>
    <row r="297" spans="3:3" ht="15.75" customHeight="1">
      <c r="C297" s="53"/>
    </row>
    <row r="298" spans="3:3" ht="15.75" customHeight="1">
      <c r="C298" s="53"/>
    </row>
    <row r="299" spans="3:3" ht="15.75" customHeight="1">
      <c r="C299" s="53"/>
    </row>
    <row r="300" spans="3:3" ht="15.75" customHeight="1">
      <c r="C300" s="53"/>
    </row>
    <row r="301" spans="3:3" ht="15.75" customHeight="1">
      <c r="C301" s="53"/>
    </row>
    <row r="302" spans="3:3" ht="15.75" customHeight="1">
      <c r="C302" s="53"/>
    </row>
    <row r="303" spans="3:3" ht="15.75" customHeight="1">
      <c r="C303" s="53"/>
    </row>
    <row r="304" spans="3:3" ht="15.75" customHeight="1">
      <c r="C304" s="53"/>
    </row>
    <row r="305" spans="3:3" ht="15.75" customHeight="1">
      <c r="C305" s="53"/>
    </row>
    <row r="306" spans="3:3" ht="15.75" customHeight="1">
      <c r="C306" s="53"/>
    </row>
    <row r="307" spans="3:3" ht="15.75" customHeight="1">
      <c r="C307" s="53"/>
    </row>
    <row r="308" spans="3:3" ht="15.75" customHeight="1">
      <c r="C308" s="53"/>
    </row>
    <row r="309" spans="3:3" ht="15.75" customHeight="1">
      <c r="C309" s="53"/>
    </row>
    <row r="310" spans="3:3" ht="15.75" customHeight="1">
      <c r="C310" s="53"/>
    </row>
    <row r="311" spans="3:3" ht="15.75" customHeight="1">
      <c r="C311" s="53"/>
    </row>
    <row r="312" spans="3:3" ht="15.75" customHeight="1">
      <c r="C312" s="53"/>
    </row>
    <row r="313" spans="3:3" ht="15.75" customHeight="1">
      <c r="C313" s="53"/>
    </row>
    <row r="314" spans="3:3" ht="15.75" customHeight="1">
      <c r="C314" s="53"/>
    </row>
    <row r="315" spans="3:3" ht="15.75" customHeight="1">
      <c r="C315" s="53"/>
    </row>
    <row r="316" spans="3:3" ht="15.75" customHeight="1">
      <c r="C316" s="53"/>
    </row>
    <row r="317" spans="3:3" ht="15.75" customHeight="1">
      <c r="C317" s="53"/>
    </row>
    <row r="318" spans="3:3" ht="15.75" customHeight="1">
      <c r="C318" s="53"/>
    </row>
    <row r="319" spans="3:3" ht="15.75" customHeight="1">
      <c r="C319" s="53"/>
    </row>
    <row r="320" spans="3:3" ht="15.75" customHeight="1">
      <c r="C320" s="53"/>
    </row>
    <row r="321" spans="3:3" ht="15.75" customHeight="1">
      <c r="C321" s="53"/>
    </row>
    <row r="322" spans="3:3" ht="15.75" customHeight="1">
      <c r="C322" s="53"/>
    </row>
    <row r="323" spans="3:3" ht="15.75" customHeight="1">
      <c r="C323" s="53"/>
    </row>
    <row r="324" spans="3:3" ht="15.75" customHeight="1">
      <c r="C324" s="53"/>
    </row>
    <row r="325" spans="3:3" ht="15.75" customHeight="1">
      <c r="C325" s="53"/>
    </row>
    <row r="326" spans="3:3" ht="15.75" customHeight="1">
      <c r="C326" s="53"/>
    </row>
    <row r="327" spans="3:3" ht="15.75" customHeight="1">
      <c r="C327" s="53"/>
    </row>
    <row r="328" spans="3:3" ht="15.75" customHeight="1">
      <c r="C328" s="53"/>
    </row>
    <row r="329" spans="3:3" ht="15.75" customHeight="1">
      <c r="C329" s="53"/>
    </row>
    <row r="330" spans="3:3" ht="15.75" customHeight="1">
      <c r="C330" s="53"/>
    </row>
    <row r="331" spans="3:3" ht="15.75" customHeight="1">
      <c r="C331" s="53"/>
    </row>
    <row r="332" spans="3:3" ht="15.75" customHeight="1">
      <c r="C332" s="53"/>
    </row>
    <row r="333" spans="3:3" ht="15.75" customHeight="1">
      <c r="C333" s="53"/>
    </row>
    <row r="334" spans="3:3" ht="15.75" customHeight="1">
      <c r="C334" s="53"/>
    </row>
    <row r="335" spans="3:3" ht="15.75" customHeight="1">
      <c r="C335" s="53"/>
    </row>
    <row r="336" spans="3:3" ht="15.75" customHeight="1">
      <c r="C336" s="53"/>
    </row>
    <row r="337" spans="3:3" ht="15.75" customHeight="1">
      <c r="C337" s="53"/>
    </row>
    <row r="338" spans="3:3" ht="15.75" customHeight="1">
      <c r="C338" s="53"/>
    </row>
    <row r="339" spans="3:3" ht="15.75" customHeight="1">
      <c r="C339" s="53"/>
    </row>
    <row r="340" spans="3:3" ht="15.75" customHeight="1">
      <c r="C340" s="53"/>
    </row>
    <row r="341" spans="3:3" ht="15.75" customHeight="1">
      <c r="C341" s="53"/>
    </row>
    <row r="342" spans="3:3" ht="15.75" customHeight="1">
      <c r="C342" s="53"/>
    </row>
    <row r="343" spans="3:3" ht="15.75" customHeight="1">
      <c r="C343" s="53"/>
    </row>
    <row r="344" spans="3:3" ht="15.75" customHeight="1">
      <c r="C344" s="53"/>
    </row>
    <row r="345" spans="3:3" ht="15.75" customHeight="1">
      <c r="C345" s="53"/>
    </row>
    <row r="346" spans="3:3" ht="15.75" customHeight="1">
      <c r="C346" s="53"/>
    </row>
    <row r="347" spans="3:3" ht="15.75" customHeight="1">
      <c r="C347" s="53"/>
    </row>
    <row r="348" spans="3:3" ht="15.75" customHeight="1">
      <c r="C348" s="53"/>
    </row>
    <row r="349" spans="3:3" ht="15.75" customHeight="1">
      <c r="C349" s="53"/>
    </row>
    <row r="350" spans="3:3" ht="15.75" customHeight="1">
      <c r="C350" s="53"/>
    </row>
    <row r="351" spans="3:3" ht="15.75" customHeight="1">
      <c r="C351" s="53"/>
    </row>
    <row r="352" spans="3:3" ht="15.75" customHeight="1">
      <c r="C352" s="53"/>
    </row>
    <row r="353" spans="3:3" ht="15.75" customHeight="1">
      <c r="C353" s="53"/>
    </row>
    <row r="354" spans="3:3" ht="15.75" customHeight="1">
      <c r="C354" s="53"/>
    </row>
    <row r="355" spans="3:3" ht="15.75" customHeight="1">
      <c r="C355" s="53"/>
    </row>
    <row r="356" spans="3:3" ht="15.75" customHeight="1">
      <c r="C356" s="53"/>
    </row>
    <row r="357" spans="3:3" ht="15.75" customHeight="1">
      <c r="C357" s="53"/>
    </row>
    <row r="358" spans="3:3" ht="15.75" customHeight="1">
      <c r="C358" s="53"/>
    </row>
    <row r="359" spans="3:3" ht="15.75" customHeight="1">
      <c r="C359" s="53"/>
    </row>
    <row r="360" spans="3:3" ht="15.75" customHeight="1">
      <c r="C360" s="53"/>
    </row>
    <row r="361" spans="3:3" ht="15.75" customHeight="1">
      <c r="C361" s="53"/>
    </row>
    <row r="362" spans="3:3" ht="15.75" customHeight="1">
      <c r="C362" s="53"/>
    </row>
    <row r="363" spans="3:3" ht="15.75" customHeight="1">
      <c r="C363" s="53"/>
    </row>
    <row r="364" spans="3:3" ht="15.75" customHeight="1">
      <c r="C364" s="53"/>
    </row>
    <row r="365" spans="3:3" ht="15.75" customHeight="1">
      <c r="C365" s="53"/>
    </row>
    <row r="366" spans="3:3" ht="15.75" customHeight="1">
      <c r="C366" s="53"/>
    </row>
    <row r="367" spans="3:3" ht="15.75" customHeight="1">
      <c r="C367" s="53"/>
    </row>
    <row r="368" spans="3:3" ht="15.75" customHeight="1">
      <c r="C368" s="53"/>
    </row>
    <row r="369" spans="3:3" ht="15.75" customHeight="1">
      <c r="C369" s="53"/>
    </row>
    <row r="370" spans="3:3" ht="15.75" customHeight="1">
      <c r="C370" s="53"/>
    </row>
    <row r="371" spans="3:3" ht="15.75" customHeight="1">
      <c r="C371" s="53"/>
    </row>
    <row r="372" spans="3:3" ht="15.75" customHeight="1">
      <c r="C372" s="53"/>
    </row>
    <row r="373" spans="3:3" ht="15.75" customHeight="1">
      <c r="C373" s="53"/>
    </row>
    <row r="374" spans="3:3" ht="15.75" customHeight="1">
      <c r="C374" s="53"/>
    </row>
    <row r="375" spans="3:3" ht="15.75" customHeight="1">
      <c r="C375" s="53"/>
    </row>
    <row r="376" spans="3:3" ht="15.75" customHeight="1">
      <c r="C376" s="53"/>
    </row>
    <row r="377" spans="3:3" ht="15.75" customHeight="1">
      <c r="C377" s="53"/>
    </row>
    <row r="378" spans="3:3" ht="15.75" customHeight="1">
      <c r="C378" s="53"/>
    </row>
    <row r="379" spans="3:3" ht="15.75" customHeight="1">
      <c r="C379" s="53"/>
    </row>
    <row r="380" spans="3:3" ht="15.75" customHeight="1">
      <c r="C380" s="53"/>
    </row>
    <row r="381" spans="3:3" ht="15.75" customHeight="1">
      <c r="C381" s="53"/>
    </row>
    <row r="382" spans="3:3" ht="15.75" customHeight="1">
      <c r="C382" s="53"/>
    </row>
    <row r="383" spans="3:3" ht="15.75" customHeight="1">
      <c r="C383" s="53"/>
    </row>
    <row r="384" spans="3:3" ht="15.75" customHeight="1">
      <c r="C384" s="53"/>
    </row>
    <row r="385" spans="3:3" ht="15.75" customHeight="1">
      <c r="C385" s="53"/>
    </row>
    <row r="386" spans="3:3" ht="15.75" customHeight="1">
      <c r="C386" s="53"/>
    </row>
    <row r="387" spans="3:3" ht="15.75" customHeight="1">
      <c r="C387" s="53"/>
    </row>
    <row r="388" spans="3:3" ht="15.75" customHeight="1">
      <c r="C388" s="53"/>
    </row>
    <row r="389" spans="3:3" ht="15.75" customHeight="1">
      <c r="C389" s="53"/>
    </row>
    <row r="390" spans="3:3" ht="15.75" customHeight="1">
      <c r="C390" s="53"/>
    </row>
    <row r="391" spans="3:3" ht="15.75" customHeight="1">
      <c r="C391" s="53"/>
    </row>
    <row r="392" spans="3:3" ht="15.75" customHeight="1">
      <c r="C392" s="53"/>
    </row>
    <row r="393" spans="3:3" ht="15.75" customHeight="1">
      <c r="C393" s="53"/>
    </row>
    <row r="394" spans="3:3" ht="15.75" customHeight="1">
      <c r="C394" s="53"/>
    </row>
    <row r="395" spans="3:3" ht="15.75" customHeight="1">
      <c r="C395" s="53"/>
    </row>
    <row r="396" spans="3:3" ht="15.75" customHeight="1">
      <c r="C396" s="53"/>
    </row>
    <row r="397" spans="3:3" ht="15.75" customHeight="1">
      <c r="C397" s="53"/>
    </row>
    <row r="398" spans="3:3" ht="15.75" customHeight="1">
      <c r="C398" s="53"/>
    </row>
    <row r="399" spans="3:3" ht="15.75" customHeight="1">
      <c r="C399" s="53"/>
    </row>
    <row r="400" spans="3:3" ht="15.75" customHeight="1">
      <c r="C400" s="53"/>
    </row>
    <row r="401" spans="3:3" ht="15.75" customHeight="1">
      <c r="C401" s="53"/>
    </row>
    <row r="402" spans="3:3" ht="15.75" customHeight="1">
      <c r="C402" s="53"/>
    </row>
    <row r="403" spans="3:3" ht="15.75" customHeight="1">
      <c r="C403" s="53"/>
    </row>
    <row r="404" spans="3:3" ht="15.75" customHeight="1">
      <c r="C404" s="53"/>
    </row>
    <row r="405" spans="3:3" ht="15.75" customHeight="1">
      <c r="C405" s="53"/>
    </row>
    <row r="406" spans="3:3" ht="15.75" customHeight="1">
      <c r="C406" s="53"/>
    </row>
    <row r="407" spans="3:3" ht="15.75" customHeight="1">
      <c r="C407" s="53"/>
    </row>
    <row r="408" spans="3:3" ht="15.75" customHeight="1">
      <c r="C408" s="53"/>
    </row>
    <row r="409" spans="3:3" ht="15.75" customHeight="1">
      <c r="C409" s="53"/>
    </row>
    <row r="410" spans="3:3" ht="15.75" customHeight="1">
      <c r="C410" s="53"/>
    </row>
    <row r="411" spans="3:3" ht="15.75" customHeight="1">
      <c r="C411" s="53"/>
    </row>
    <row r="412" spans="3:3" ht="15.75" customHeight="1">
      <c r="C412" s="53"/>
    </row>
    <row r="413" spans="3:3" ht="15.75" customHeight="1">
      <c r="C413" s="53"/>
    </row>
    <row r="414" spans="3:3" ht="15.75" customHeight="1">
      <c r="C414" s="53"/>
    </row>
    <row r="415" spans="3:3" ht="15.75" customHeight="1">
      <c r="C415" s="53"/>
    </row>
    <row r="416" spans="3:3" ht="15.75" customHeight="1">
      <c r="C416" s="53"/>
    </row>
    <row r="417" spans="3:3" ht="15.75" customHeight="1">
      <c r="C417" s="53"/>
    </row>
    <row r="418" spans="3:3" ht="15.75" customHeight="1">
      <c r="C418" s="53"/>
    </row>
    <row r="419" spans="3:3" ht="15.75" customHeight="1">
      <c r="C419" s="53"/>
    </row>
    <row r="420" spans="3:3" ht="15.75" customHeight="1">
      <c r="C420" s="53"/>
    </row>
    <row r="421" spans="3:3" ht="15.75" customHeight="1">
      <c r="C421" s="53"/>
    </row>
    <row r="422" spans="3:3" ht="15.75" customHeight="1">
      <c r="C422" s="53"/>
    </row>
    <row r="423" spans="3:3" ht="15.75" customHeight="1">
      <c r="C423" s="53"/>
    </row>
    <row r="424" spans="3:3" ht="15.75" customHeight="1">
      <c r="C424" s="53"/>
    </row>
    <row r="425" spans="3:3" ht="15.75" customHeight="1">
      <c r="C425" s="53"/>
    </row>
    <row r="426" spans="3:3" ht="15.75" customHeight="1">
      <c r="C426" s="53"/>
    </row>
    <row r="427" spans="3:3" ht="15.75" customHeight="1">
      <c r="C427" s="53"/>
    </row>
    <row r="428" spans="3:3" ht="15.75" customHeight="1">
      <c r="C428" s="53"/>
    </row>
    <row r="429" spans="3:3" ht="15.75" customHeight="1">
      <c r="C429" s="53"/>
    </row>
    <row r="430" spans="3:3" ht="15.75" customHeight="1">
      <c r="C430" s="53"/>
    </row>
    <row r="431" spans="3:3" ht="15.75" customHeight="1">
      <c r="C431" s="53"/>
    </row>
    <row r="432" spans="3:3" ht="15.75" customHeight="1">
      <c r="C432" s="53"/>
    </row>
    <row r="433" spans="3:3" ht="15.75" customHeight="1">
      <c r="C433" s="53"/>
    </row>
    <row r="434" spans="3:3" ht="15.75" customHeight="1">
      <c r="C434" s="53"/>
    </row>
    <row r="435" spans="3:3" ht="15.75" customHeight="1">
      <c r="C435" s="53"/>
    </row>
    <row r="436" spans="3:3" ht="15.75" customHeight="1">
      <c r="C436" s="53"/>
    </row>
    <row r="437" spans="3:3" ht="15.75" customHeight="1">
      <c r="C437" s="53"/>
    </row>
    <row r="438" spans="3:3" ht="15.75" customHeight="1">
      <c r="C438" s="53"/>
    </row>
    <row r="439" spans="3:3" ht="15.75" customHeight="1">
      <c r="C439" s="53"/>
    </row>
    <row r="440" spans="3:3" ht="15.75" customHeight="1">
      <c r="C440" s="53"/>
    </row>
    <row r="441" spans="3:3" ht="15.75" customHeight="1">
      <c r="C441" s="53"/>
    </row>
    <row r="442" spans="3:3" ht="15.75" customHeight="1">
      <c r="C442" s="53"/>
    </row>
    <row r="443" spans="3:3" ht="15.75" customHeight="1">
      <c r="C443" s="53"/>
    </row>
    <row r="444" spans="3:3" ht="15.75" customHeight="1">
      <c r="C444" s="53"/>
    </row>
    <row r="445" spans="3:3" ht="15.75" customHeight="1">
      <c r="C445" s="53"/>
    </row>
    <row r="446" spans="3:3" ht="15.75" customHeight="1">
      <c r="C446" s="53"/>
    </row>
    <row r="447" spans="3:3" ht="15.75" customHeight="1">
      <c r="C447" s="53"/>
    </row>
    <row r="448" spans="3:3" ht="15.75" customHeight="1">
      <c r="C448" s="53"/>
    </row>
    <row r="449" spans="3:3" ht="15.75" customHeight="1">
      <c r="C449" s="53"/>
    </row>
    <row r="450" spans="3:3" ht="15.75" customHeight="1">
      <c r="C450" s="53"/>
    </row>
    <row r="451" spans="3:3" ht="15.75" customHeight="1">
      <c r="C451" s="53"/>
    </row>
    <row r="452" spans="3:3" ht="15.75" customHeight="1">
      <c r="C452" s="53"/>
    </row>
    <row r="453" spans="3:3" ht="15.75" customHeight="1">
      <c r="C453" s="53"/>
    </row>
    <row r="454" spans="3:3" ht="15.75" customHeight="1">
      <c r="C454" s="53"/>
    </row>
    <row r="455" spans="3:3" ht="15.75" customHeight="1">
      <c r="C455" s="53"/>
    </row>
    <row r="456" spans="3:3" ht="15.75" customHeight="1">
      <c r="C456" s="53"/>
    </row>
    <row r="457" spans="3:3" ht="15.75" customHeight="1">
      <c r="C457" s="53"/>
    </row>
    <row r="458" spans="3:3" ht="15.75" customHeight="1">
      <c r="C458" s="53"/>
    </row>
    <row r="459" spans="3:3" ht="15.75" customHeight="1">
      <c r="C459" s="53"/>
    </row>
    <row r="460" spans="3:3" ht="15.75" customHeight="1">
      <c r="C460" s="53"/>
    </row>
    <row r="461" spans="3:3" ht="15.75" customHeight="1">
      <c r="C461" s="53"/>
    </row>
    <row r="462" spans="3:3" ht="15.75" customHeight="1">
      <c r="C462" s="53"/>
    </row>
    <row r="463" spans="3:3" ht="15.75" customHeight="1">
      <c r="C463" s="53"/>
    </row>
    <row r="464" spans="3:3" ht="15.75" customHeight="1">
      <c r="C464" s="53"/>
    </row>
    <row r="465" spans="3:3" ht="15.75" customHeight="1">
      <c r="C465" s="53"/>
    </row>
    <row r="466" spans="3:3" ht="15.75" customHeight="1">
      <c r="C466" s="53"/>
    </row>
    <row r="467" spans="3:3" ht="15.75" customHeight="1">
      <c r="C467" s="53"/>
    </row>
    <row r="468" spans="3:3" ht="15.75" customHeight="1">
      <c r="C468" s="53"/>
    </row>
    <row r="469" spans="3:3" ht="15.75" customHeight="1">
      <c r="C469" s="53"/>
    </row>
    <row r="470" spans="3:3" ht="15.75" customHeight="1">
      <c r="C470" s="53"/>
    </row>
    <row r="471" spans="3:3" ht="15.75" customHeight="1">
      <c r="C471" s="53"/>
    </row>
    <row r="472" spans="3:3" ht="15.75" customHeight="1">
      <c r="C472" s="53"/>
    </row>
    <row r="473" spans="3:3" ht="15.75" customHeight="1">
      <c r="C473" s="53"/>
    </row>
    <row r="474" spans="3:3" ht="15.75" customHeight="1">
      <c r="C474" s="53"/>
    </row>
    <row r="475" spans="3:3" ht="15.75" customHeight="1">
      <c r="C475" s="53"/>
    </row>
    <row r="476" spans="3:3" ht="15.75" customHeight="1">
      <c r="C476" s="53"/>
    </row>
    <row r="477" spans="3:3" ht="15.75" customHeight="1">
      <c r="C477" s="53"/>
    </row>
    <row r="478" spans="3:3" ht="15.75" customHeight="1">
      <c r="C478" s="53"/>
    </row>
    <row r="479" spans="3:3" ht="15.75" customHeight="1">
      <c r="C479" s="53"/>
    </row>
    <row r="480" spans="3:3" ht="15.75" customHeight="1">
      <c r="C480" s="53"/>
    </row>
    <row r="481" spans="3:3" ht="15.75" customHeight="1">
      <c r="C481" s="53"/>
    </row>
    <row r="482" spans="3:3" ht="15.75" customHeight="1">
      <c r="C482" s="53"/>
    </row>
    <row r="483" spans="3:3" ht="15.75" customHeight="1">
      <c r="C483" s="53"/>
    </row>
    <row r="484" spans="3:3" ht="15.75" customHeight="1">
      <c r="C484" s="53"/>
    </row>
    <row r="485" spans="3:3" ht="15.75" customHeight="1">
      <c r="C485" s="53"/>
    </row>
    <row r="486" spans="3:3" ht="15.75" customHeight="1">
      <c r="C486" s="53"/>
    </row>
    <row r="487" spans="3:3" ht="15.75" customHeight="1">
      <c r="C487" s="53"/>
    </row>
    <row r="488" spans="3:3" ht="15.75" customHeight="1">
      <c r="C488" s="53"/>
    </row>
    <row r="489" spans="3:3" ht="15.75" customHeight="1">
      <c r="C489" s="53"/>
    </row>
    <row r="490" spans="3:3" ht="15.75" customHeight="1">
      <c r="C490" s="53"/>
    </row>
    <row r="491" spans="3:3" ht="15.75" customHeight="1">
      <c r="C491" s="53"/>
    </row>
    <row r="492" spans="3:3" ht="15.75" customHeight="1">
      <c r="C492" s="53"/>
    </row>
    <row r="493" spans="3:3" ht="15.75" customHeight="1">
      <c r="C493" s="53"/>
    </row>
    <row r="494" spans="3:3" ht="15.75" customHeight="1">
      <c r="C494" s="53"/>
    </row>
    <row r="495" spans="3:3" ht="15.75" customHeight="1">
      <c r="C495" s="53"/>
    </row>
    <row r="496" spans="3:3" ht="15.75" customHeight="1">
      <c r="C496" s="53"/>
    </row>
    <row r="497" spans="3:3" ht="15.75" customHeight="1">
      <c r="C497" s="53"/>
    </row>
    <row r="498" spans="3:3" ht="15.75" customHeight="1">
      <c r="C498" s="53"/>
    </row>
    <row r="499" spans="3:3" ht="15.75" customHeight="1">
      <c r="C499" s="53"/>
    </row>
    <row r="500" spans="3:3" ht="15.75" customHeight="1">
      <c r="C500" s="53"/>
    </row>
    <row r="501" spans="3:3" ht="15.75" customHeight="1">
      <c r="C501" s="53"/>
    </row>
    <row r="502" spans="3:3" ht="15.75" customHeight="1">
      <c r="C502" s="53"/>
    </row>
    <row r="503" spans="3:3" ht="15.75" customHeight="1">
      <c r="C503" s="53"/>
    </row>
    <row r="504" spans="3:3" ht="15.75" customHeight="1">
      <c r="C504" s="53"/>
    </row>
    <row r="505" spans="3:3" ht="15.75" customHeight="1">
      <c r="C505" s="53"/>
    </row>
    <row r="506" spans="3:3" ht="15.75" customHeight="1">
      <c r="C506" s="53"/>
    </row>
    <row r="507" spans="3:3" ht="15.75" customHeight="1">
      <c r="C507" s="53"/>
    </row>
    <row r="508" spans="3:3" ht="15.75" customHeight="1">
      <c r="C508" s="53"/>
    </row>
    <row r="509" spans="3:3" ht="15.75" customHeight="1">
      <c r="C509" s="53"/>
    </row>
    <row r="510" spans="3:3" ht="15.75" customHeight="1">
      <c r="C510" s="53"/>
    </row>
    <row r="511" spans="3:3" ht="15.75" customHeight="1">
      <c r="C511" s="53"/>
    </row>
    <row r="512" spans="3:3" ht="15.75" customHeight="1">
      <c r="C512" s="53"/>
    </row>
    <row r="513" spans="3:3" ht="15.75" customHeight="1">
      <c r="C513" s="53"/>
    </row>
    <row r="514" spans="3:3" ht="15.75" customHeight="1">
      <c r="C514" s="53"/>
    </row>
    <row r="515" spans="3:3" ht="15.75" customHeight="1">
      <c r="C515" s="53"/>
    </row>
    <row r="516" spans="3:3" ht="15.75" customHeight="1">
      <c r="C516" s="53"/>
    </row>
    <row r="517" spans="3:3" ht="15.75" customHeight="1">
      <c r="C517" s="53"/>
    </row>
    <row r="518" spans="3:3" ht="15.75" customHeight="1">
      <c r="C518" s="53"/>
    </row>
    <row r="519" spans="3:3" ht="15.75" customHeight="1">
      <c r="C519" s="53"/>
    </row>
    <row r="520" spans="3:3" ht="15.75" customHeight="1">
      <c r="C520" s="53"/>
    </row>
    <row r="521" spans="3:3" ht="15.75" customHeight="1">
      <c r="C521" s="53"/>
    </row>
    <row r="522" spans="3:3" ht="15.75" customHeight="1">
      <c r="C522" s="53"/>
    </row>
    <row r="523" spans="3:3" ht="15.75" customHeight="1">
      <c r="C523" s="53"/>
    </row>
    <row r="524" spans="3:3" ht="15.75" customHeight="1">
      <c r="C524" s="53"/>
    </row>
    <row r="525" spans="3:3" ht="15.75" customHeight="1">
      <c r="C525" s="53"/>
    </row>
    <row r="526" spans="3:3" ht="15.75" customHeight="1">
      <c r="C526" s="53"/>
    </row>
    <row r="527" spans="3:3" ht="15.75" customHeight="1">
      <c r="C527" s="53"/>
    </row>
    <row r="528" spans="3:3" ht="15.75" customHeight="1">
      <c r="C528" s="53"/>
    </row>
    <row r="529" spans="3:3" ht="15.75" customHeight="1">
      <c r="C529" s="53"/>
    </row>
    <row r="530" spans="3:3" ht="15.75" customHeight="1">
      <c r="C530" s="53"/>
    </row>
    <row r="531" spans="3:3" ht="15.75" customHeight="1">
      <c r="C531" s="53"/>
    </row>
    <row r="532" spans="3:3" ht="15.75" customHeight="1">
      <c r="C532" s="53"/>
    </row>
    <row r="533" spans="3:3" ht="15.75" customHeight="1">
      <c r="C533" s="53"/>
    </row>
    <row r="534" spans="3:3" ht="15.75" customHeight="1">
      <c r="C534" s="53"/>
    </row>
    <row r="535" spans="3:3" ht="15.75" customHeight="1">
      <c r="C535" s="53"/>
    </row>
    <row r="536" spans="3:3" ht="15.75" customHeight="1">
      <c r="C536" s="53"/>
    </row>
    <row r="537" spans="3:3" ht="15.75" customHeight="1">
      <c r="C537" s="53"/>
    </row>
    <row r="538" spans="3:3" ht="15.75" customHeight="1">
      <c r="C538" s="53"/>
    </row>
    <row r="539" spans="3:3" ht="15.75" customHeight="1">
      <c r="C539" s="53"/>
    </row>
    <row r="540" spans="3:3" ht="15.75" customHeight="1">
      <c r="C540" s="53"/>
    </row>
    <row r="541" spans="3:3" ht="15.75" customHeight="1">
      <c r="C541" s="53"/>
    </row>
    <row r="542" spans="3:3" ht="15.75" customHeight="1">
      <c r="C542" s="53"/>
    </row>
    <row r="543" spans="3:3" ht="15.75" customHeight="1">
      <c r="C543" s="53"/>
    </row>
    <row r="544" spans="3:3" ht="15.75" customHeight="1">
      <c r="C544" s="53"/>
    </row>
    <row r="545" spans="3:3" ht="15.75" customHeight="1">
      <c r="C545" s="53"/>
    </row>
    <row r="546" spans="3:3" ht="15.75" customHeight="1">
      <c r="C546" s="53"/>
    </row>
    <row r="547" spans="3:3" ht="15.75" customHeight="1">
      <c r="C547" s="53"/>
    </row>
    <row r="548" spans="3:3" ht="15.75" customHeight="1">
      <c r="C548" s="53"/>
    </row>
    <row r="549" spans="3:3" ht="15.75" customHeight="1">
      <c r="C549" s="53"/>
    </row>
    <row r="550" spans="3:3" ht="15.75" customHeight="1">
      <c r="C550" s="53"/>
    </row>
    <row r="551" spans="3:3" ht="15.75" customHeight="1">
      <c r="C551" s="53"/>
    </row>
    <row r="552" spans="3:3" ht="15.75" customHeight="1">
      <c r="C552" s="53"/>
    </row>
    <row r="553" spans="3:3" ht="15.75" customHeight="1">
      <c r="C553" s="53"/>
    </row>
    <row r="554" spans="3:3" ht="15.75" customHeight="1">
      <c r="C554" s="53"/>
    </row>
    <row r="555" spans="3:3" ht="15.75" customHeight="1">
      <c r="C555" s="53"/>
    </row>
    <row r="556" spans="3:3" ht="15.75" customHeight="1">
      <c r="C556" s="53"/>
    </row>
    <row r="557" spans="3:3" ht="15.75" customHeight="1">
      <c r="C557" s="53"/>
    </row>
    <row r="558" spans="3:3" ht="15.75" customHeight="1">
      <c r="C558" s="53"/>
    </row>
    <row r="559" spans="3:3" ht="15.75" customHeight="1">
      <c r="C559" s="53"/>
    </row>
    <row r="560" spans="3:3" ht="15.75" customHeight="1">
      <c r="C560" s="53"/>
    </row>
    <row r="561" spans="3:3" ht="15.75" customHeight="1">
      <c r="C561" s="53"/>
    </row>
    <row r="562" spans="3:3" ht="15.75" customHeight="1">
      <c r="C562" s="53"/>
    </row>
    <row r="563" spans="3:3" ht="15.75" customHeight="1">
      <c r="C563" s="53"/>
    </row>
    <row r="564" spans="3:3" ht="15.75" customHeight="1">
      <c r="C564" s="53"/>
    </row>
    <row r="565" spans="3:3" ht="15.75" customHeight="1">
      <c r="C565" s="53"/>
    </row>
    <row r="566" spans="3:3" ht="15.75" customHeight="1">
      <c r="C566" s="53"/>
    </row>
    <row r="567" spans="3:3" ht="15.75" customHeight="1">
      <c r="C567" s="53"/>
    </row>
    <row r="568" spans="3:3" ht="15.75" customHeight="1">
      <c r="C568" s="53"/>
    </row>
    <row r="569" spans="3:3" ht="15.75" customHeight="1">
      <c r="C569" s="53"/>
    </row>
    <row r="570" spans="3:3" ht="15.75" customHeight="1">
      <c r="C570" s="53"/>
    </row>
    <row r="571" spans="3:3" ht="15.75" customHeight="1">
      <c r="C571" s="53"/>
    </row>
    <row r="572" spans="3:3" ht="15.75" customHeight="1">
      <c r="C572" s="53"/>
    </row>
    <row r="573" spans="3:3" ht="15.75" customHeight="1">
      <c r="C573" s="53"/>
    </row>
    <row r="574" spans="3:3" ht="15.75" customHeight="1">
      <c r="C574" s="53"/>
    </row>
    <row r="575" spans="3:3" ht="15.75" customHeight="1">
      <c r="C575" s="53"/>
    </row>
    <row r="576" spans="3:3" ht="15.75" customHeight="1">
      <c r="C576" s="53"/>
    </row>
    <row r="577" spans="3:3" ht="15.75" customHeight="1">
      <c r="C577" s="53"/>
    </row>
    <row r="578" spans="3:3" ht="15.75" customHeight="1">
      <c r="C578" s="53"/>
    </row>
    <row r="579" spans="3:3" ht="15.75" customHeight="1">
      <c r="C579" s="53"/>
    </row>
    <row r="580" spans="3:3" ht="15.75" customHeight="1">
      <c r="C580" s="53"/>
    </row>
    <row r="581" spans="3:3" ht="15.75" customHeight="1">
      <c r="C581" s="53"/>
    </row>
    <row r="582" spans="3:3" ht="15.75" customHeight="1">
      <c r="C582" s="53"/>
    </row>
    <row r="583" spans="3:3" ht="15.75" customHeight="1">
      <c r="C583" s="53"/>
    </row>
    <row r="584" spans="3:3" ht="15.75" customHeight="1">
      <c r="C584" s="53"/>
    </row>
    <row r="585" spans="3:3" ht="15.75" customHeight="1">
      <c r="C585" s="53"/>
    </row>
    <row r="586" spans="3:3" ht="15.75" customHeight="1">
      <c r="C586" s="53"/>
    </row>
    <row r="587" spans="3:3" ht="15.75" customHeight="1">
      <c r="C587" s="53"/>
    </row>
    <row r="588" spans="3:3" ht="15.75" customHeight="1">
      <c r="C588" s="53"/>
    </row>
    <row r="589" spans="3:3" ht="15.75" customHeight="1">
      <c r="C589" s="53"/>
    </row>
    <row r="590" spans="3:3" ht="15.75" customHeight="1">
      <c r="C590" s="53"/>
    </row>
    <row r="591" spans="3:3" ht="15.75" customHeight="1">
      <c r="C591" s="53"/>
    </row>
    <row r="592" spans="3:3" ht="15.75" customHeight="1">
      <c r="C592" s="53"/>
    </row>
    <row r="593" spans="3:3" ht="15.75" customHeight="1">
      <c r="C593" s="53"/>
    </row>
    <row r="594" spans="3:3" ht="15.75" customHeight="1">
      <c r="C594" s="53"/>
    </row>
    <row r="595" spans="3:3" ht="15.75" customHeight="1">
      <c r="C595" s="53"/>
    </row>
    <row r="596" spans="3:3" ht="15.75" customHeight="1">
      <c r="C596" s="53"/>
    </row>
    <row r="597" spans="3:3" ht="15.75" customHeight="1">
      <c r="C597" s="53"/>
    </row>
    <row r="598" spans="3:3" ht="15.75" customHeight="1">
      <c r="C598" s="53"/>
    </row>
    <row r="599" spans="3:3" ht="15.75" customHeight="1">
      <c r="C599" s="53"/>
    </row>
    <row r="600" spans="3:3" ht="15.75" customHeight="1">
      <c r="C600" s="53"/>
    </row>
    <row r="601" spans="3:3" ht="15.75" customHeight="1">
      <c r="C601" s="53"/>
    </row>
    <row r="602" spans="3:3" ht="15.75" customHeight="1">
      <c r="C602" s="53"/>
    </row>
    <row r="603" spans="3:3" ht="15.75" customHeight="1">
      <c r="C603" s="53"/>
    </row>
    <row r="604" spans="3:3" ht="15.75" customHeight="1">
      <c r="C604" s="53"/>
    </row>
    <row r="605" spans="3:3" ht="15.75" customHeight="1">
      <c r="C605" s="53"/>
    </row>
    <row r="606" spans="3:3" ht="15.75" customHeight="1">
      <c r="C606" s="53"/>
    </row>
    <row r="607" spans="3:3" ht="15.75" customHeight="1">
      <c r="C607" s="53"/>
    </row>
    <row r="608" spans="3:3" ht="15.75" customHeight="1">
      <c r="C608" s="53"/>
    </row>
    <row r="609" spans="3:3" ht="15.75" customHeight="1">
      <c r="C609" s="53"/>
    </row>
    <row r="610" spans="3:3" ht="15.75" customHeight="1">
      <c r="C610" s="53"/>
    </row>
    <row r="611" spans="3:3" ht="15.75" customHeight="1">
      <c r="C611" s="53"/>
    </row>
    <row r="612" spans="3:3" ht="15.75" customHeight="1">
      <c r="C612" s="53"/>
    </row>
    <row r="613" spans="3:3" ht="15.75" customHeight="1">
      <c r="C613" s="53"/>
    </row>
    <row r="614" spans="3:3" ht="15.75" customHeight="1">
      <c r="C614" s="53"/>
    </row>
    <row r="615" spans="3:3" ht="15.75" customHeight="1">
      <c r="C615" s="53"/>
    </row>
    <row r="616" spans="3:3" ht="15.75" customHeight="1">
      <c r="C616" s="53"/>
    </row>
    <row r="617" spans="3:3" ht="15.75" customHeight="1">
      <c r="C617" s="53"/>
    </row>
    <row r="618" spans="3:3" ht="15.75" customHeight="1">
      <c r="C618" s="53"/>
    </row>
    <row r="619" spans="3:3" ht="15.75" customHeight="1">
      <c r="C619" s="53"/>
    </row>
    <row r="620" spans="3:3" ht="15.75" customHeight="1">
      <c r="C620" s="53"/>
    </row>
    <row r="621" spans="3:3" ht="15.75" customHeight="1">
      <c r="C621" s="53"/>
    </row>
    <row r="622" spans="3:3" ht="15.75" customHeight="1">
      <c r="C622" s="53"/>
    </row>
    <row r="623" spans="3:3" ht="15.75" customHeight="1">
      <c r="C623" s="53"/>
    </row>
    <row r="624" spans="3:3" ht="15.75" customHeight="1">
      <c r="C624" s="53"/>
    </row>
    <row r="625" spans="3:3" ht="15.75" customHeight="1">
      <c r="C625" s="53"/>
    </row>
    <row r="626" spans="3:3" ht="15.75" customHeight="1">
      <c r="C626" s="53"/>
    </row>
    <row r="627" spans="3:3" ht="15.75" customHeight="1">
      <c r="C627" s="53"/>
    </row>
    <row r="628" spans="3:3" ht="15.75" customHeight="1">
      <c r="C628" s="53"/>
    </row>
    <row r="629" spans="3:3" ht="15.75" customHeight="1">
      <c r="C629" s="53"/>
    </row>
    <row r="630" spans="3:3" ht="15.75" customHeight="1">
      <c r="C630" s="53"/>
    </row>
    <row r="631" spans="3:3" ht="15.75" customHeight="1">
      <c r="C631" s="53"/>
    </row>
    <row r="632" spans="3:3" ht="15.75" customHeight="1">
      <c r="C632" s="53"/>
    </row>
    <row r="633" spans="3:3" ht="15.75" customHeight="1">
      <c r="C633" s="53"/>
    </row>
    <row r="634" spans="3:3" ht="15.75" customHeight="1">
      <c r="C634" s="53"/>
    </row>
    <row r="635" spans="3:3" ht="15.75" customHeight="1">
      <c r="C635" s="53"/>
    </row>
    <row r="636" spans="3:3" ht="15.75" customHeight="1">
      <c r="C636" s="53"/>
    </row>
    <row r="637" spans="3:3" ht="15.75" customHeight="1">
      <c r="C637" s="53"/>
    </row>
    <row r="638" spans="3:3" ht="15.75" customHeight="1">
      <c r="C638" s="53"/>
    </row>
    <row r="639" spans="3:3" ht="15.75" customHeight="1">
      <c r="C639" s="53"/>
    </row>
    <row r="640" spans="3:3" ht="15.75" customHeight="1">
      <c r="C640" s="53"/>
    </row>
    <row r="641" spans="3:3" ht="15.75" customHeight="1">
      <c r="C641" s="53"/>
    </row>
    <row r="642" spans="3:3" ht="15.75" customHeight="1">
      <c r="C642" s="53"/>
    </row>
    <row r="643" spans="3:3" ht="15.75" customHeight="1">
      <c r="C643" s="53"/>
    </row>
    <row r="644" spans="3:3" ht="15.75" customHeight="1">
      <c r="C644" s="53"/>
    </row>
    <row r="645" spans="3:3" ht="15.75" customHeight="1">
      <c r="C645" s="53"/>
    </row>
    <row r="646" spans="3:3" ht="15.75" customHeight="1">
      <c r="C646" s="53"/>
    </row>
    <row r="647" spans="3:3" ht="15.75" customHeight="1">
      <c r="C647" s="53"/>
    </row>
    <row r="648" spans="3:3" ht="15.75" customHeight="1">
      <c r="C648" s="53"/>
    </row>
    <row r="649" spans="3:3" ht="15.75" customHeight="1">
      <c r="C649" s="53"/>
    </row>
    <row r="650" spans="3:3" ht="15.75" customHeight="1">
      <c r="C650" s="53"/>
    </row>
    <row r="651" spans="3:3" ht="15.75" customHeight="1">
      <c r="C651" s="53"/>
    </row>
    <row r="652" spans="3:3" ht="15.75" customHeight="1">
      <c r="C652" s="53"/>
    </row>
    <row r="653" spans="3:3" ht="15.75" customHeight="1">
      <c r="C653" s="53"/>
    </row>
    <row r="654" spans="3:3" ht="15.75" customHeight="1">
      <c r="C654" s="53"/>
    </row>
    <row r="655" spans="3:3" ht="15.75" customHeight="1">
      <c r="C655" s="53"/>
    </row>
    <row r="656" spans="3:3" ht="15.75" customHeight="1">
      <c r="C656" s="53"/>
    </row>
    <row r="657" spans="3:3" ht="15.75" customHeight="1">
      <c r="C657" s="53"/>
    </row>
    <row r="658" spans="3:3" ht="15.75" customHeight="1">
      <c r="C658" s="53"/>
    </row>
    <row r="659" spans="3:3" ht="15.75" customHeight="1">
      <c r="C659" s="53"/>
    </row>
    <row r="660" spans="3:3" ht="15.75" customHeight="1">
      <c r="C660" s="53"/>
    </row>
    <row r="661" spans="3:3" ht="15.75" customHeight="1">
      <c r="C661" s="53"/>
    </row>
    <row r="662" spans="3:3" ht="15.75" customHeight="1">
      <c r="C662" s="53"/>
    </row>
    <row r="663" spans="3:3" ht="15.75" customHeight="1">
      <c r="C663" s="53"/>
    </row>
    <row r="664" spans="3:3" ht="15.75" customHeight="1">
      <c r="C664" s="53"/>
    </row>
    <row r="665" spans="3:3" ht="15.75" customHeight="1">
      <c r="C665" s="53"/>
    </row>
    <row r="666" spans="3:3" ht="15.75" customHeight="1">
      <c r="C666" s="53"/>
    </row>
    <row r="667" spans="3:3" ht="15.75" customHeight="1">
      <c r="C667" s="53"/>
    </row>
    <row r="668" spans="3:3" ht="15.75" customHeight="1">
      <c r="C668" s="53"/>
    </row>
    <row r="669" spans="3:3" ht="15.75" customHeight="1">
      <c r="C669" s="53"/>
    </row>
    <row r="670" spans="3:3" ht="15.75" customHeight="1">
      <c r="C670" s="53"/>
    </row>
    <row r="671" spans="3:3" ht="15.75" customHeight="1">
      <c r="C671" s="53"/>
    </row>
    <row r="672" spans="3:3" ht="15.75" customHeight="1">
      <c r="C672" s="53"/>
    </row>
    <row r="673" spans="3:3" ht="15.75" customHeight="1">
      <c r="C673" s="53"/>
    </row>
    <row r="674" spans="3:3" ht="15.75" customHeight="1">
      <c r="C674" s="53"/>
    </row>
    <row r="675" spans="3:3" ht="15.75" customHeight="1">
      <c r="C675" s="53"/>
    </row>
    <row r="676" spans="3:3" ht="15.75" customHeight="1">
      <c r="C676" s="53"/>
    </row>
    <row r="677" spans="3:3" ht="15.75" customHeight="1">
      <c r="C677" s="53"/>
    </row>
    <row r="678" spans="3:3" ht="15.75" customHeight="1">
      <c r="C678" s="53"/>
    </row>
    <row r="679" spans="3:3" ht="15.75" customHeight="1">
      <c r="C679" s="53"/>
    </row>
    <row r="680" spans="3:3" ht="15.75" customHeight="1">
      <c r="C680" s="53"/>
    </row>
    <row r="681" spans="3:3" ht="15.75" customHeight="1">
      <c r="C681" s="53"/>
    </row>
    <row r="682" spans="3:3" ht="15.75" customHeight="1">
      <c r="C682" s="53"/>
    </row>
    <row r="683" spans="3:3" ht="15.75" customHeight="1">
      <c r="C683" s="53"/>
    </row>
    <row r="684" spans="3:3" ht="15.75" customHeight="1">
      <c r="C684" s="53"/>
    </row>
    <row r="685" spans="3:3" ht="15.75" customHeight="1">
      <c r="C685" s="53"/>
    </row>
    <row r="686" spans="3:3" ht="15.75" customHeight="1">
      <c r="C686" s="53"/>
    </row>
    <row r="687" spans="3:3" ht="15.75" customHeight="1">
      <c r="C687" s="53"/>
    </row>
    <row r="688" spans="3:3" ht="15.75" customHeight="1">
      <c r="C688" s="53"/>
    </row>
    <row r="689" spans="3:3" ht="15.75" customHeight="1">
      <c r="C689" s="53"/>
    </row>
    <row r="690" spans="3:3" ht="15.75" customHeight="1">
      <c r="C690" s="53"/>
    </row>
    <row r="691" spans="3:3" ht="15.75" customHeight="1">
      <c r="C691" s="53"/>
    </row>
    <row r="692" spans="3:3" ht="15.75" customHeight="1">
      <c r="C692" s="53"/>
    </row>
    <row r="693" spans="3:3" ht="15.75" customHeight="1">
      <c r="C693" s="53"/>
    </row>
    <row r="694" spans="3:3" ht="15.75" customHeight="1">
      <c r="C694" s="53"/>
    </row>
    <row r="695" spans="3:3" ht="15.75" customHeight="1">
      <c r="C695" s="53"/>
    </row>
    <row r="696" spans="3:3" ht="15.75" customHeight="1">
      <c r="C696" s="53"/>
    </row>
    <row r="697" spans="3:3" ht="15.75" customHeight="1">
      <c r="C697" s="53"/>
    </row>
    <row r="698" spans="3:3" ht="15.75" customHeight="1">
      <c r="C698" s="53"/>
    </row>
    <row r="699" spans="3:3" ht="15.75" customHeight="1">
      <c r="C699" s="53"/>
    </row>
    <row r="700" spans="3:3" ht="15.75" customHeight="1">
      <c r="C700" s="53"/>
    </row>
    <row r="701" spans="3:3" ht="15.75" customHeight="1">
      <c r="C701" s="53"/>
    </row>
    <row r="702" spans="3:3" ht="15.75" customHeight="1">
      <c r="C702" s="53"/>
    </row>
    <row r="703" spans="3:3" ht="15.75" customHeight="1">
      <c r="C703" s="53"/>
    </row>
    <row r="704" spans="3:3" ht="15.75" customHeight="1">
      <c r="C704" s="53"/>
    </row>
    <row r="705" spans="3:3" ht="15.75" customHeight="1">
      <c r="C705" s="53"/>
    </row>
    <row r="706" spans="3:3" ht="15.75" customHeight="1">
      <c r="C706" s="53"/>
    </row>
    <row r="707" spans="3:3" ht="15.75" customHeight="1">
      <c r="C707" s="53"/>
    </row>
    <row r="708" spans="3:3" ht="15.75" customHeight="1">
      <c r="C708" s="53"/>
    </row>
    <row r="709" spans="3:3" ht="15.75" customHeight="1">
      <c r="C709" s="53"/>
    </row>
    <row r="710" spans="3:3" ht="15.75" customHeight="1">
      <c r="C710" s="53"/>
    </row>
    <row r="711" spans="3:3" ht="15.75" customHeight="1">
      <c r="C711" s="53"/>
    </row>
    <row r="712" spans="3:3" ht="15.75" customHeight="1">
      <c r="C712" s="53"/>
    </row>
    <row r="713" spans="3:3" ht="15.75" customHeight="1">
      <c r="C713" s="53"/>
    </row>
    <row r="714" spans="3:3" ht="15.75" customHeight="1">
      <c r="C714" s="53"/>
    </row>
    <row r="715" spans="3:3" ht="15.75" customHeight="1">
      <c r="C715" s="53"/>
    </row>
    <row r="716" spans="3:3" ht="15.75" customHeight="1">
      <c r="C716" s="53"/>
    </row>
    <row r="717" spans="3:3" ht="15.75" customHeight="1">
      <c r="C717" s="53"/>
    </row>
    <row r="718" spans="3:3" ht="15.75" customHeight="1">
      <c r="C718" s="53"/>
    </row>
    <row r="719" spans="3:3" ht="15.75" customHeight="1">
      <c r="C719" s="53"/>
    </row>
    <row r="720" spans="3:3" ht="15.75" customHeight="1">
      <c r="C720" s="53"/>
    </row>
    <row r="721" spans="3:3" ht="15.75" customHeight="1">
      <c r="C721" s="53"/>
    </row>
    <row r="722" spans="3:3" ht="15.75" customHeight="1">
      <c r="C722" s="53"/>
    </row>
    <row r="723" spans="3:3" ht="15.75" customHeight="1">
      <c r="C723" s="53"/>
    </row>
    <row r="724" spans="3:3" ht="15.75" customHeight="1">
      <c r="C724" s="53"/>
    </row>
    <row r="725" spans="3:3" ht="15.75" customHeight="1">
      <c r="C725" s="53"/>
    </row>
    <row r="726" spans="3:3" ht="15.75" customHeight="1">
      <c r="C726" s="53"/>
    </row>
    <row r="727" spans="3:3" ht="15.75" customHeight="1">
      <c r="C727" s="53"/>
    </row>
    <row r="728" spans="3:3" ht="15.75" customHeight="1">
      <c r="C728" s="53"/>
    </row>
    <row r="729" spans="3:3" ht="15.75" customHeight="1">
      <c r="C729" s="53"/>
    </row>
    <row r="730" spans="3:3" ht="15.75" customHeight="1">
      <c r="C730" s="53"/>
    </row>
    <row r="731" spans="3:3" ht="15.75" customHeight="1">
      <c r="C731" s="53"/>
    </row>
    <row r="732" spans="3:3" ht="15.75" customHeight="1">
      <c r="C732" s="53"/>
    </row>
    <row r="733" spans="3:3" ht="15.75" customHeight="1">
      <c r="C733" s="53"/>
    </row>
    <row r="734" spans="3:3" ht="15.75" customHeight="1">
      <c r="C734" s="53"/>
    </row>
    <row r="735" spans="3:3" ht="15.75" customHeight="1">
      <c r="C735" s="53"/>
    </row>
    <row r="736" spans="3:3" ht="15.75" customHeight="1">
      <c r="C736" s="53"/>
    </row>
    <row r="737" spans="3:3" ht="15.75" customHeight="1">
      <c r="C737" s="53"/>
    </row>
    <row r="738" spans="3:3" ht="15.75" customHeight="1">
      <c r="C738" s="53"/>
    </row>
    <row r="739" spans="3:3" ht="15.75" customHeight="1">
      <c r="C739" s="53"/>
    </row>
    <row r="740" spans="3:3" ht="15.75" customHeight="1">
      <c r="C740" s="53"/>
    </row>
    <row r="741" spans="3:3" ht="15.75" customHeight="1">
      <c r="C741" s="53"/>
    </row>
    <row r="742" spans="3:3" ht="15.75" customHeight="1">
      <c r="C742" s="53"/>
    </row>
    <row r="743" spans="3:3" ht="15.75" customHeight="1">
      <c r="C743" s="53"/>
    </row>
    <row r="744" spans="3:3" ht="15.75" customHeight="1">
      <c r="C744" s="53"/>
    </row>
    <row r="745" spans="3:3" ht="15.75" customHeight="1">
      <c r="C745" s="53"/>
    </row>
    <row r="746" spans="3:3" ht="15.75" customHeight="1">
      <c r="C746" s="53"/>
    </row>
    <row r="747" spans="3:3" ht="15.75" customHeight="1">
      <c r="C747" s="53"/>
    </row>
    <row r="748" spans="3:3" ht="15.75" customHeight="1">
      <c r="C748" s="53"/>
    </row>
    <row r="749" spans="3:3" ht="15.75" customHeight="1">
      <c r="C749" s="53"/>
    </row>
    <row r="750" spans="3:3" ht="15.75" customHeight="1">
      <c r="C750" s="53"/>
    </row>
    <row r="751" spans="3:3" ht="15.75" customHeight="1">
      <c r="C751" s="53"/>
    </row>
    <row r="752" spans="3:3" ht="15.75" customHeight="1">
      <c r="C752" s="53"/>
    </row>
    <row r="753" spans="3:3" ht="15.75" customHeight="1">
      <c r="C753" s="53"/>
    </row>
    <row r="754" spans="3:3" ht="15.75" customHeight="1">
      <c r="C754" s="53"/>
    </row>
    <row r="755" spans="3:3" ht="15.75" customHeight="1">
      <c r="C755" s="53"/>
    </row>
    <row r="756" spans="3:3" ht="15.75" customHeight="1">
      <c r="C756" s="53"/>
    </row>
    <row r="757" spans="3:3" ht="15.75" customHeight="1">
      <c r="C757" s="53"/>
    </row>
    <row r="758" spans="3:3" ht="15.75" customHeight="1">
      <c r="C758" s="53"/>
    </row>
    <row r="759" spans="3:3" ht="15.75" customHeight="1">
      <c r="C759" s="53"/>
    </row>
    <row r="760" spans="3:3" ht="15.75" customHeight="1">
      <c r="C760" s="53"/>
    </row>
    <row r="761" spans="3:3" ht="15.75" customHeight="1">
      <c r="C761" s="53"/>
    </row>
    <row r="762" spans="3:3" ht="15.75" customHeight="1">
      <c r="C762" s="53"/>
    </row>
    <row r="763" spans="3:3" ht="15.75" customHeight="1">
      <c r="C763" s="53"/>
    </row>
    <row r="764" spans="3:3" ht="15.75" customHeight="1">
      <c r="C764" s="53"/>
    </row>
    <row r="765" spans="3:3" ht="15.75" customHeight="1">
      <c r="C765" s="53"/>
    </row>
    <row r="766" spans="3:3" ht="15.75" customHeight="1">
      <c r="C766" s="53"/>
    </row>
    <row r="767" spans="3:3" ht="15.75" customHeight="1">
      <c r="C767" s="53"/>
    </row>
    <row r="768" spans="3:3" ht="15.75" customHeight="1">
      <c r="C768" s="53"/>
    </row>
    <row r="769" spans="3:3" ht="15.75" customHeight="1">
      <c r="C769" s="53"/>
    </row>
    <row r="770" spans="3:3" ht="15.75" customHeight="1">
      <c r="C770" s="53"/>
    </row>
    <row r="771" spans="3:3" ht="15.75" customHeight="1">
      <c r="C771" s="53"/>
    </row>
    <row r="772" spans="3:3" ht="15.75" customHeight="1">
      <c r="C772" s="53"/>
    </row>
    <row r="773" spans="3:3" ht="15.75" customHeight="1">
      <c r="C773" s="53"/>
    </row>
    <row r="774" spans="3:3" ht="15.75" customHeight="1">
      <c r="C774" s="53"/>
    </row>
    <row r="775" spans="3:3" ht="15.75" customHeight="1">
      <c r="C775" s="53"/>
    </row>
    <row r="776" spans="3:3" ht="15.75" customHeight="1">
      <c r="C776" s="53"/>
    </row>
    <row r="777" spans="3:3" ht="15.75" customHeight="1">
      <c r="C777" s="53"/>
    </row>
    <row r="778" spans="3:3" ht="15.75" customHeight="1">
      <c r="C778" s="53"/>
    </row>
    <row r="779" spans="3:3" ht="15.75" customHeight="1">
      <c r="C779" s="53"/>
    </row>
    <row r="780" spans="3:3" ht="15.75" customHeight="1">
      <c r="C780" s="53"/>
    </row>
    <row r="781" spans="3:3" ht="15.75" customHeight="1">
      <c r="C781" s="53"/>
    </row>
    <row r="782" spans="3:3" ht="15.75" customHeight="1">
      <c r="C782" s="53"/>
    </row>
    <row r="783" spans="3:3" ht="15.75" customHeight="1">
      <c r="C783" s="53"/>
    </row>
    <row r="784" spans="3:3" ht="15.75" customHeight="1">
      <c r="C784" s="53"/>
    </row>
    <row r="785" spans="3:3" ht="15.75" customHeight="1">
      <c r="C785" s="53"/>
    </row>
    <row r="786" spans="3:3" ht="15.75" customHeight="1">
      <c r="C786" s="53"/>
    </row>
    <row r="787" spans="3:3" ht="15.75" customHeight="1">
      <c r="C787" s="53"/>
    </row>
    <row r="788" spans="3:3" ht="15.75" customHeight="1">
      <c r="C788" s="53"/>
    </row>
    <row r="789" spans="3:3" ht="15.75" customHeight="1">
      <c r="C789" s="53"/>
    </row>
    <row r="790" spans="3:3" ht="15.75" customHeight="1">
      <c r="C790" s="53"/>
    </row>
    <row r="791" spans="3:3" ht="15.75" customHeight="1">
      <c r="C791" s="53"/>
    </row>
    <row r="792" spans="3:3" ht="15.75" customHeight="1">
      <c r="C792" s="53"/>
    </row>
    <row r="793" spans="3:3" ht="15.75" customHeight="1">
      <c r="C793" s="53"/>
    </row>
    <row r="794" spans="3:3" ht="15.75" customHeight="1">
      <c r="C794" s="53"/>
    </row>
    <row r="795" spans="3:3" ht="15.75" customHeight="1">
      <c r="C795" s="53"/>
    </row>
    <row r="796" spans="3:3" ht="15.75" customHeight="1">
      <c r="C796" s="53"/>
    </row>
    <row r="797" spans="3:3" ht="15.75" customHeight="1">
      <c r="C797" s="53"/>
    </row>
    <row r="798" spans="3:3" ht="15.75" customHeight="1">
      <c r="C798" s="53"/>
    </row>
    <row r="799" spans="3:3" ht="15.75" customHeight="1">
      <c r="C799" s="53"/>
    </row>
    <row r="800" spans="3:3" ht="15.75" customHeight="1">
      <c r="C800" s="53"/>
    </row>
    <row r="801" spans="3:3" ht="15.75" customHeight="1">
      <c r="C801" s="53"/>
    </row>
    <row r="802" spans="3:3" ht="15.75" customHeight="1">
      <c r="C802" s="53"/>
    </row>
    <row r="803" spans="3:3" ht="15.75" customHeight="1">
      <c r="C803" s="53"/>
    </row>
    <row r="804" spans="3:3" ht="15.75" customHeight="1">
      <c r="C804" s="53"/>
    </row>
    <row r="805" spans="3:3" ht="15.75" customHeight="1">
      <c r="C805" s="53"/>
    </row>
    <row r="806" spans="3:3" ht="15.75" customHeight="1">
      <c r="C806" s="53"/>
    </row>
    <row r="807" spans="3:3" ht="15.75" customHeight="1">
      <c r="C807" s="53"/>
    </row>
    <row r="808" spans="3:3" ht="15.75" customHeight="1">
      <c r="C808" s="53"/>
    </row>
    <row r="809" spans="3:3" ht="15.75" customHeight="1">
      <c r="C809" s="53"/>
    </row>
    <row r="810" spans="3:3" ht="15.75" customHeight="1">
      <c r="C810" s="53"/>
    </row>
    <row r="811" spans="3:3" ht="15.75" customHeight="1">
      <c r="C811" s="53"/>
    </row>
    <row r="812" spans="3:3" ht="15.75" customHeight="1">
      <c r="C812" s="53"/>
    </row>
    <row r="813" spans="3:3" ht="15.75" customHeight="1">
      <c r="C813" s="53"/>
    </row>
    <row r="814" spans="3:3" ht="15.75" customHeight="1">
      <c r="C814" s="53"/>
    </row>
    <row r="815" spans="3:3" ht="15.75" customHeight="1">
      <c r="C815" s="53"/>
    </row>
    <row r="816" spans="3:3" ht="15.75" customHeight="1">
      <c r="C816" s="53"/>
    </row>
    <row r="817" spans="3:3" ht="15.75" customHeight="1">
      <c r="C817" s="53"/>
    </row>
    <row r="818" spans="3:3" ht="15.75" customHeight="1">
      <c r="C818" s="53"/>
    </row>
    <row r="819" spans="3:3" ht="15.75" customHeight="1">
      <c r="C819" s="53"/>
    </row>
    <row r="820" spans="3:3" ht="15.75" customHeight="1">
      <c r="C820" s="53"/>
    </row>
    <row r="821" spans="3:3" ht="15.75" customHeight="1">
      <c r="C821" s="53"/>
    </row>
    <row r="822" spans="3:3" ht="15.75" customHeight="1">
      <c r="C822" s="53"/>
    </row>
    <row r="823" spans="3:3" ht="15.75" customHeight="1">
      <c r="C823" s="53"/>
    </row>
    <row r="824" spans="3:3" ht="15.75" customHeight="1">
      <c r="C824" s="53"/>
    </row>
    <row r="825" spans="3:3" ht="15.75" customHeight="1">
      <c r="C825" s="53"/>
    </row>
    <row r="826" spans="3:3" ht="15.75" customHeight="1">
      <c r="C826" s="53"/>
    </row>
    <row r="827" spans="3:3" ht="15.75" customHeight="1">
      <c r="C827" s="53"/>
    </row>
    <row r="828" spans="3:3" ht="15.75" customHeight="1">
      <c r="C828" s="53"/>
    </row>
    <row r="829" spans="3:3" ht="15.75" customHeight="1">
      <c r="C829" s="53"/>
    </row>
    <row r="830" spans="3:3" ht="15.75" customHeight="1">
      <c r="C830" s="53"/>
    </row>
    <row r="831" spans="3:3" ht="15.75" customHeight="1">
      <c r="C831" s="53"/>
    </row>
    <row r="832" spans="3:3" ht="15.75" customHeight="1">
      <c r="C832" s="53"/>
    </row>
    <row r="833" spans="3:3" ht="15.75" customHeight="1">
      <c r="C833" s="53"/>
    </row>
    <row r="834" spans="3:3" ht="15.75" customHeight="1">
      <c r="C834" s="53"/>
    </row>
    <row r="835" spans="3:3" ht="15.75" customHeight="1">
      <c r="C835" s="53"/>
    </row>
    <row r="836" spans="3:3" ht="15.75" customHeight="1">
      <c r="C836" s="53"/>
    </row>
    <row r="837" spans="3:3" ht="15.75" customHeight="1">
      <c r="C837" s="53"/>
    </row>
    <row r="838" spans="3:3" ht="15.75" customHeight="1">
      <c r="C838" s="53"/>
    </row>
    <row r="839" spans="3:3" ht="15.75" customHeight="1">
      <c r="C839" s="53"/>
    </row>
    <row r="840" spans="3:3" ht="15.75" customHeight="1">
      <c r="C840" s="53"/>
    </row>
    <row r="841" spans="3:3" ht="15.75" customHeight="1">
      <c r="C841" s="53"/>
    </row>
    <row r="842" spans="3:3" ht="15.75" customHeight="1">
      <c r="C842" s="53"/>
    </row>
    <row r="843" spans="3:3" ht="15.75" customHeight="1">
      <c r="C843" s="53"/>
    </row>
    <row r="844" spans="3:3" ht="15.75" customHeight="1">
      <c r="C844" s="53"/>
    </row>
    <row r="845" spans="3:3" ht="15.75" customHeight="1">
      <c r="C845" s="53"/>
    </row>
    <row r="846" spans="3:3" ht="15.75" customHeight="1">
      <c r="C846" s="53"/>
    </row>
    <row r="847" spans="3:3" ht="15.75" customHeight="1">
      <c r="C847" s="53"/>
    </row>
    <row r="848" spans="3:3" ht="15.75" customHeight="1">
      <c r="C848" s="53"/>
    </row>
    <row r="849" spans="3:3" ht="15.75" customHeight="1">
      <c r="C849" s="53"/>
    </row>
    <row r="850" spans="3:3" ht="15.75" customHeight="1">
      <c r="C850" s="53"/>
    </row>
    <row r="851" spans="3:3" ht="15.75" customHeight="1">
      <c r="C851" s="53"/>
    </row>
    <row r="852" spans="3:3" ht="15.75" customHeight="1">
      <c r="C852" s="53"/>
    </row>
    <row r="853" spans="3:3" ht="15.75" customHeight="1">
      <c r="C853" s="53"/>
    </row>
    <row r="854" spans="3:3" ht="15.75" customHeight="1">
      <c r="C854" s="53"/>
    </row>
    <row r="855" spans="3:3" ht="15.75" customHeight="1">
      <c r="C855" s="53"/>
    </row>
    <row r="856" spans="3:3" ht="15.75" customHeight="1">
      <c r="C856" s="53"/>
    </row>
    <row r="857" spans="3:3" ht="15.75" customHeight="1">
      <c r="C857" s="53"/>
    </row>
    <row r="858" spans="3:3" ht="15.75" customHeight="1">
      <c r="C858" s="53"/>
    </row>
    <row r="859" spans="3:3" ht="15.75" customHeight="1">
      <c r="C859" s="53"/>
    </row>
    <row r="860" spans="3:3" ht="15.75" customHeight="1">
      <c r="C860" s="53"/>
    </row>
    <row r="861" spans="3:3" ht="15.75" customHeight="1">
      <c r="C861" s="53"/>
    </row>
    <row r="862" spans="3:3" ht="15.75" customHeight="1">
      <c r="C862" s="53"/>
    </row>
    <row r="863" spans="3:3" ht="15.75" customHeight="1">
      <c r="C863" s="53"/>
    </row>
    <row r="864" spans="3:3" ht="15.75" customHeight="1">
      <c r="C864" s="53"/>
    </row>
    <row r="865" spans="3:3" ht="15.75" customHeight="1">
      <c r="C865" s="53"/>
    </row>
    <row r="866" spans="3:3" ht="15.75" customHeight="1">
      <c r="C866" s="53"/>
    </row>
    <row r="867" spans="3:3" ht="15.75" customHeight="1">
      <c r="C867" s="53"/>
    </row>
    <row r="868" spans="3:3" ht="15.75" customHeight="1">
      <c r="C868" s="53"/>
    </row>
    <row r="869" spans="3:3" ht="15.75" customHeight="1">
      <c r="C869" s="53"/>
    </row>
    <row r="870" spans="3:3" ht="15.75" customHeight="1">
      <c r="C870" s="53"/>
    </row>
    <row r="871" spans="3:3" ht="15.75" customHeight="1">
      <c r="C871" s="53"/>
    </row>
    <row r="872" spans="3:3" ht="15.75" customHeight="1">
      <c r="C872" s="53"/>
    </row>
    <row r="873" spans="3:3" ht="15.75" customHeight="1">
      <c r="C873" s="53"/>
    </row>
    <row r="874" spans="3:3" ht="15.75" customHeight="1">
      <c r="C874" s="53"/>
    </row>
    <row r="875" spans="3:3" ht="15.75" customHeight="1">
      <c r="C875" s="53"/>
    </row>
    <row r="876" spans="3:3" ht="15.75" customHeight="1">
      <c r="C876" s="53"/>
    </row>
    <row r="877" spans="3:3" ht="15.75" customHeight="1">
      <c r="C877" s="53"/>
    </row>
    <row r="878" spans="3:3" ht="15.75" customHeight="1">
      <c r="C878" s="53"/>
    </row>
    <row r="879" spans="3:3" ht="15.75" customHeight="1">
      <c r="C879" s="53"/>
    </row>
    <row r="880" spans="3:3" ht="15.75" customHeight="1">
      <c r="C880" s="53"/>
    </row>
    <row r="881" spans="3:3" ht="15.75" customHeight="1">
      <c r="C881" s="53"/>
    </row>
    <row r="882" spans="3:3" ht="15.75" customHeight="1">
      <c r="C882" s="53"/>
    </row>
    <row r="883" spans="3:3" ht="15.75" customHeight="1">
      <c r="C883" s="53"/>
    </row>
    <row r="884" spans="3:3" ht="15.75" customHeight="1">
      <c r="C884" s="53"/>
    </row>
    <row r="885" spans="3:3" ht="15.75" customHeight="1">
      <c r="C885" s="53"/>
    </row>
    <row r="886" spans="3:3" ht="15.75" customHeight="1">
      <c r="C886" s="53"/>
    </row>
    <row r="887" spans="3:3" ht="15.75" customHeight="1">
      <c r="C887" s="53"/>
    </row>
    <row r="888" spans="3:3" ht="15.75" customHeight="1">
      <c r="C888" s="53"/>
    </row>
    <row r="889" spans="3:3" ht="15.75" customHeight="1">
      <c r="C889" s="53"/>
    </row>
    <row r="890" spans="3:3" ht="15.75" customHeight="1">
      <c r="C890" s="53"/>
    </row>
    <row r="891" spans="3:3" ht="15.75" customHeight="1">
      <c r="C891" s="53"/>
    </row>
    <row r="892" spans="3:3" ht="15.75" customHeight="1">
      <c r="C892" s="53"/>
    </row>
    <row r="893" spans="3:3" ht="15.75" customHeight="1">
      <c r="C893" s="53"/>
    </row>
    <row r="894" spans="3:3" ht="15.75" customHeight="1">
      <c r="C894" s="53"/>
    </row>
    <row r="895" spans="3:3" ht="15.75" customHeight="1">
      <c r="C895" s="53"/>
    </row>
    <row r="896" spans="3:3" ht="15.75" customHeight="1">
      <c r="C896" s="53"/>
    </row>
    <row r="897" spans="3:3" ht="15.75" customHeight="1">
      <c r="C897" s="53"/>
    </row>
    <row r="898" spans="3:3" ht="15.75" customHeight="1">
      <c r="C898" s="53"/>
    </row>
    <row r="899" spans="3:3" ht="15.75" customHeight="1">
      <c r="C899" s="53"/>
    </row>
    <row r="900" spans="3:3" ht="15.75" customHeight="1">
      <c r="C900" s="53"/>
    </row>
    <row r="901" spans="3:3" ht="15.75" customHeight="1">
      <c r="C901" s="53"/>
    </row>
    <row r="902" spans="3:3" ht="15.75" customHeight="1">
      <c r="C902" s="53"/>
    </row>
    <row r="903" spans="3:3" ht="15.75" customHeight="1">
      <c r="C903" s="53"/>
    </row>
    <row r="904" spans="3:3" ht="15.75" customHeight="1">
      <c r="C904" s="53"/>
    </row>
    <row r="905" spans="3:3" ht="15.75" customHeight="1">
      <c r="C905" s="53"/>
    </row>
    <row r="906" spans="3:3" ht="15.75" customHeight="1">
      <c r="C906" s="53"/>
    </row>
    <row r="907" spans="3:3" ht="15.75" customHeight="1">
      <c r="C907" s="53"/>
    </row>
    <row r="908" spans="3:3" ht="15.75" customHeight="1">
      <c r="C908" s="53"/>
    </row>
    <row r="909" spans="3:3" ht="15.75" customHeight="1">
      <c r="C909" s="53"/>
    </row>
    <row r="910" spans="3:3" ht="15.75" customHeight="1">
      <c r="C910" s="53"/>
    </row>
    <row r="911" spans="3:3" ht="15.75" customHeight="1">
      <c r="C911" s="53"/>
    </row>
    <row r="912" spans="3:3" ht="15.75" customHeight="1">
      <c r="C912" s="53"/>
    </row>
    <row r="913" spans="3:3" ht="15.75" customHeight="1">
      <c r="C913" s="53"/>
    </row>
    <row r="914" spans="3:3" ht="15.75" customHeight="1">
      <c r="C914" s="53"/>
    </row>
    <row r="915" spans="3:3" ht="15.75" customHeight="1">
      <c r="C915" s="53"/>
    </row>
    <row r="916" spans="3:3" ht="15.75" customHeight="1">
      <c r="C916" s="53"/>
    </row>
    <row r="917" spans="3:3" ht="15.75" customHeight="1">
      <c r="C917" s="53"/>
    </row>
    <row r="918" spans="3:3" ht="15.75" customHeight="1">
      <c r="C918" s="53"/>
    </row>
    <row r="919" spans="3:3" ht="15.75" customHeight="1">
      <c r="C919" s="53"/>
    </row>
    <row r="920" spans="3:3" ht="15.75" customHeight="1">
      <c r="C920" s="53"/>
    </row>
    <row r="921" spans="3:3" ht="15.75" customHeight="1">
      <c r="C921" s="53"/>
    </row>
    <row r="922" spans="3:3" ht="15.75" customHeight="1">
      <c r="C922" s="53"/>
    </row>
    <row r="923" spans="3:3" ht="15.75" customHeight="1">
      <c r="C923" s="53"/>
    </row>
    <row r="924" spans="3:3" ht="15.75" customHeight="1">
      <c r="C924" s="53"/>
    </row>
    <row r="925" spans="3:3" ht="15.75" customHeight="1">
      <c r="C925" s="53"/>
    </row>
    <row r="926" spans="3:3" ht="15.75" customHeight="1">
      <c r="C926" s="53"/>
    </row>
    <row r="927" spans="3:3" ht="15.75" customHeight="1">
      <c r="C927" s="53"/>
    </row>
    <row r="928" spans="3:3" ht="15.75" customHeight="1">
      <c r="C928" s="53"/>
    </row>
    <row r="929" spans="3:3" ht="15.75" customHeight="1">
      <c r="C929" s="53"/>
    </row>
    <row r="930" spans="3:3" ht="15.75" customHeight="1">
      <c r="C930" s="53"/>
    </row>
    <row r="931" spans="3:3" ht="15.75" customHeight="1">
      <c r="C931" s="53"/>
    </row>
    <row r="932" spans="3:3" ht="15.75" customHeight="1">
      <c r="C932" s="53"/>
    </row>
    <row r="933" spans="3:3" ht="15.75" customHeight="1">
      <c r="C933" s="53"/>
    </row>
    <row r="934" spans="3:3" ht="15.75" customHeight="1">
      <c r="C934" s="53"/>
    </row>
    <row r="935" spans="3:3" ht="15.75" customHeight="1">
      <c r="C935" s="53"/>
    </row>
    <row r="936" spans="3:3" ht="15.75" customHeight="1">
      <c r="C936" s="53"/>
    </row>
    <row r="937" spans="3:3" ht="15.75" customHeight="1">
      <c r="C937" s="53"/>
    </row>
    <row r="938" spans="3:3" ht="15.75" customHeight="1">
      <c r="C938" s="53"/>
    </row>
    <row r="939" spans="3:3" ht="15.75" customHeight="1">
      <c r="C939" s="53"/>
    </row>
    <row r="940" spans="3:3" ht="15.75" customHeight="1">
      <c r="C940" s="53"/>
    </row>
    <row r="941" spans="3:3" ht="15.75" customHeight="1">
      <c r="C941" s="53"/>
    </row>
    <row r="942" spans="3:3" ht="15.75" customHeight="1">
      <c r="C942" s="53"/>
    </row>
    <row r="943" spans="3:3" ht="15.75" customHeight="1">
      <c r="C943" s="53"/>
    </row>
    <row r="944" spans="3:3" ht="15.75" customHeight="1">
      <c r="C944" s="53"/>
    </row>
    <row r="945" spans="3:3" ht="15.75" customHeight="1">
      <c r="C945" s="53"/>
    </row>
    <row r="946" spans="3:3" ht="15.75" customHeight="1">
      <c r="C946" s="53"/>
    </row>
    <row r="947" spans="3:3" ht="15.75" customHeight="1">
      <c r="C947" s="53"/>
    </row>
    <row r="948" spans="3:3" ht="15.75" customHeight="1">
      <c r="C948" s="53"/>
    </row>
    <row r="949" spans="3:3" ht="15.75" customHeight="1">
      <c r="C949" s="53"/>
    </row>
    <row r="950" spans="3:3" ht="15.75" customHeight="1">
      <c r="C950" s="53"/>
    </row>
    <row r="951" spans="3:3" ht="15.75" customHeight="1">
      <c r="C951" s="53"/>
    </row>
    <row r="952" spans="3:3" ht="15.75" customHeight="1">
      <c r="C952" s="53"/>
    </row>
    <row r="953" spans="3:3" ht="15.75" customHeight="1">
      <c r="C953" s="53"/>
    </row>
    <row r="954" spans="3:3" ht="15.75" customHeight="1">
      <c r="C954" s="53"/>
    </row>
    <row r="955" spans="3:3" ht="15.75" customHeight="1">
      <c r="C955" s="53"/>
    </row>
    <row r="956" spans="3:3" ht="15.75" customHeight="1">
      <c r="C956" s="53"/>
    </row>
    <row r="957" spans="3:3" ht="15.75" customHeight="1">
      <c r="C957" s="53"/>
    </row>
    <row r="958" spans="3:3" ht="15.75" customHeight="1">
      <c r="C958" s="53"/>
    </row>
    <row r="959" spans="3:3" ht="15.75" customHeight="1">
      <c r="C959" s="53"/>
    </row>
    <row r="960" spans="3:3" ht="15.75" customHeight="1">
      <c r="C960" s="53"/>
    </row>
    <row r="961" spans="3:3" ht="15.75" customHeight="1">
      <c r="C961" s="53"/>
    </row>
    <row r="962" spans="3:3" ht="15.75" customHeight="1">
      <c r="C962" s="53"/>
    </row>
    <row r="963" spans="3:3" ht="15.75" customHeight="1">
      <c r="C963" s="53"/>
    </row>
    <row r="964" spans="3:3" ht="15.75" customHeight="1">
      <c r="C964" s="53"/>
    </row>
    <row r="965" spans="3:3" ht="15.75" customHeight="1">
      <c r="C965" s="53"/>
    </row>
    <row r="966" spans="3:3" ht="15.75" customHeight="1">
      <c r="C966" s="53"/>
    </row>
    <row r="967" spans="3:3" ht="15.75" customHeight="1">
      <c r="C967" s="53"/>
    </row>
    <row r="968" spans="3:3" ht="15.75" customHeight="1">
      <c r="C968" s="53"/>
    </row>
    <row r="969" spans="3:3" ht="15.75" customHeight="1">
      <c r="C969" s="53"/>
    </row>
    <row r="970" spans="3:3" ht="15.75" customHeight="1">
      <c r="C970" s="53"/>
    </row>
    <row r="971" spans="3:3" ht="15.75" customHeight="1">
      <c r="C971" s="53"/>
    </row>
    <row r="972" spans="3:3" ht="15.75" customHeight="1">
      <c r="C972" s="53"/>
    </row>
    <row r="973" spans="3:3" ht="15.75" customHeight="1">
      <c r="C973" s="53"/>
    </row>
    <row r="974" spans="3:3" ht="15.75" customHeight="1">
      <c r="C974" s="53"/>
    </row>
    <row r="975" spans="3:3" ht="15.75" customHeight="1">
      <c r="C975" s="53"/>
    </row>
    <row r="976" spans="3:3" ht="15.75" customHeight="1">
      <c r="C976" s="53"/>
    </row>
    <row r="977" spans="3:3" ht="15.75" customHeight="1">
      <c r="C977" s="53"/>
    </row>
    <row r="978" spans="3:3" ht="15.75" customHeight="1">
      <c r="C978" s="53"/>
    </row>
    <row r="979" spans="3:3" ht="15.75" customHeight="1">
      <c r="C979" s="53"/>
    </row>
    <row r="980" spans="3:3" ht="15.75" customHeight="1">
      <c r="C980" s="53"/>
    </row>
    <row r="981" spans="3:3" ht="15.75" customHeight="1">
      <c r="C981" s="53"/>
    </row>
    <row r="982" spans="3:3" ht="15.75" customHeight="1">
      <c r="C982" s="53"/>
    </row>
    <row r="983" spans="3:3" ht="15.75" customHeight="1">
      <c r="C983" s="53"/>
    </row>
    <row r="984" spans="3:3" ht="15.75" customHeight="1">
      <c r="C984" s="53"/>
    </row>
    <row r="985" spans="3:3" ht="15.75" customHeight="1">
      <c r="C985" s="53"/>
    </row>
    <row r="986" spans="3:3" ht="15.75" customHeight="1">
      <c r="C986" s="53"/>
    </row>
    <row r="987" spans="3:3" ht="15.75" customHeight="1">
      <c r="C987" s="53"/>
    </row>
    <row r="988" spans="3:3" ht="15.75" customHeight="1">
      <c r="C988" s="53"/>
    </row>
    <row r="989" spans="3:3" ht="15.75" customHeight="1">
      <c r="C989" s="53"/>
    </row>
    <row r="990" spans="3:3" ht="15.75" customHeight="1">
      <c r="C990" s="53"/>
    </row>
    <row r="991" spans="3:3" ht="15.75" customHeight="1">
      <c r="C991" s="53"/>
    </row>
    <row r="992" spans="3:3" ht="15.75" customHeight="1">
      <c r="C992" s="53"/>
    </row>
    <row r="993" spans="3:3" ht="15.75" customHeight="1">
      <c r="C993" s="53"/>
    </row>
    <row r="994" spans="3:3" ht="15.75" customHeight="1">
      <c r="C994" s="53"/>
    </row>
    <row r="995" spans="3:3" ht="15.75" customHeight="1">
      <c r="C995" s="53"/>
    </row>
    <row r="996" spans="3:3" ht="15.75" customHeight="1">
      <c r="C996" s="53"/>
    </row>
    <row r="997" spans="3:3" ht="15.75" customHeight="1">
      <c r="C997" s="53"/>
    </row>
    <row r="998" spans="3:3" ht="15.75" customHeight="1">
      <c r="C998" s="53"/>
    </row>
    <row r="999" spans="3:3" ht="15.75" customHeight="1">
      <c r="C999" s="53"/>
    </row>
    <row r="1000" spans="3:3" ht="15.75" customHeight="1">
      <c r="C1000" s="53"/>
    </row>
  </sheetData>
  <mergeCells count="7">
    <mergeCell ref="A1:C1"/>
    <mergeCell ref="A2:C2"/>
    <mergeCell ref="A3:C3"/>
    <mergeCell ref="A4:C4"/>
    <mergeCell ref="A5:A6"/>
    <mergeCell ref="B5:B6"/>
    <mergeCell ref="C5:C6"/>
  </mergeCells>
  <printOptions horizontalCentered="1"/>
  <pageMargins left="0.70866141732283505" right="0.70866141732283505" top="0.74803149606299202" bottom="0.74803149606299202" header="0" footer="0"/>
  <pageSetup paperSize="9" orientation="landscape"/>
  <rowBreaks count="2" manualBreakCount="2">
    <brk id="59" man="1"/>
    <brk id="3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pane ySplit="7" topLeftCell="A152" activePane="bottomLeft" state="frozen"/>
      <selection pane="bottomLeft" activeCell="G47" sqref="G47"/>
    </sheetView>
  </sheetViews>
  <sheetFormatPr defaultColWidth="14.44140625" defaultRowHeight="15" customHeight="1"/>
  <cols>
    <col min="1" max="1" width="9.109375" customWidth="1"/>
    <col min="2" max="2" width="24.5546875" customWidth="1"/>
    <col min="3" max="3" width="50.5546875" customWidth="1"/>
    <col min="4" max="4" width="7.6640625" customWidth="1"/>
    <col min="5" max="5" width="7.5546875" customWidth="1"/>
    <col min="6" max="9" width="7.109375" customWidth="1"/>
    <col min="10" max="10" width="7.6640625" customWidth="1"/>
    <col min="11" max="16" width="6.33203125" customWidth="1"/>
    <col min="17" max="17" width="14.109375" customWidth="1"/>
    <col min="18" max="26" width="9" customWidth="1"/>
  </cols>
  <sheetData>
    <row r="1" spans="1:17" ht="22.5" customHeight="1">
      <c r="A1" s="373" t="s">
        <v>65</v>
      </c>
      <c r="B1" s="374"/>
      <c r="C1" s="374"/>
      <c r="D1" s="374"/>
      <c r="E1" s="374"/>
      <c r="F1" s="374"/>
      <c r="G1" s="374"/>
      <c r="H1" s="374"/>
      <c r="I1" s="374"/>
      <c r="J1" s="374"/>
      <c r="K1" s="54"/>
      <c r="L1" s="54"/>
      <c r="M1" s="54"/>
      <c r="N1" s="54"/>
      <c r="O1" s="54"/>
      <c r="P1" s="54"/>
      <c r="Q1" s="54"/>
    </row>
    <row r="2" spans="1:17" ht="21" customHeight="1">
      <c r="A2" s="375" t="str">
        <f>'CO-PO Mapping'!A1:N1</f>
        <v xml:space="preserve">Robotics </v>
      </c>
      <c r="B2" s="374"/>
      <c r="C2" s="374"/>
      <c r="D2" s="374"/>
      <c r="E2" s="374"/>
      <c r="F2" s="374"/>
      <c r="G2" s="374"/>
      <c r="H2" s="374"/>
      <c r="I2" s="374"/>
      <c r="J2" s="374"/>
      <c r="K2" s="55"/>
      <c r="L2" s="55"/>
      <c r="M2" s="55"/>
      <c r="N2" s="55"/>
      <c r="O2" s="55"/>
      <c r="P2" s="55"/>
      <c r="Q2" s="55"/>
    </row>
    <row r="3" spans="1:17" ht="18.75" customHeight="1">
      <c r="A3" s="375" t="s">
        <v>69</v>
      </c>
      <c r="B3" s="374"/>
      <c r="C3" s="374"/>
      <c r="D3" s="374"/>
      <c r="E3" s="374"/>
      <c r="F3" s="374"/>
      <c r="G3" s="374"/>
      <c r="H3" s="374"/>
      <c r="I3" s="374"/>
      <c r="J3" s="374"/>
      <c r="K3" s="9"/>
      <c r="L3" s="9"/>
      <c r="M3" s="9"/>
      <c r="N3" s="9"/>
      <c r="O3" s="9"/>
      <c r="P3" s="9"/>
      <c r="Q3" s="9"/>
    </row>
    <row r="4" spans="1:17" ht="18.75" customHeight="1">
      <c r="A4" s="375" t="s">
        <v>70</v>
      </c>
      <c r="B4" s="374"/>
      <c r="C4" s="37" t="str">
        <f>'CO-PO Mapping'!B2</f>
        <v>English</v>
      </c>
      <c r="D4" s="380" t="s">
        <v>71</v>
      </c>
      <c r="E4" s="374"/>
      <c r="F4" s="380">
        <f>'CO-PO Mapping'!A2</f>
        <v>3110002</v>
      </c>
      <c r="G4" s="374"/>
      <c r="H4" s="380"/>
      <c r="I4" s="374"/>
      <c r="J4" s="374"/>
      <c r="K4" s="9"/>
      <c r="L4" s="9"/>
      <c r="M4" s="9"/>
      <c r="N4" s="9"/>
      <c r="O4" s="9"/>
      <c r="P4" s="9"/>
      <c r="Q4" s="9"/>
    </row>
    <row r="5" spans="1:17" ht="33.75" customHeight="1">
      <c r="A5" s="376"/>
      <c r="B5" s="374"/>
      <c r="C5" s="374"/>
      <c r="D5" s="379" t="s">
        <v>72</v>
      </c>
      <c r="E5" s="342"/>
      <c r="F5" s="342"/>
      <c r="G5" s="342"/>
      <c r="H5" s="342"/>
      <c r="I5" s="342"/>
      <c r="J5" s="340"/>
      <c r="K5" s="9"/>
      <c r="L5" s="9"/>
      <c r="M5" s="9"/>
      <c r="N5" s="9"/>
      <c r="O5" s="9"/>
      <c r="P5" s="9"/>
      <c r="Q5" s="9"/>
    </row>
    <row r="6" spans="1:17" ht="32.25" customHeight="1">
      <c r="A6" s="345" t="s">
        <v>40</v>
      </c>
      <c r="B6" s="345" t="s">
        <v>67</v>
      </c>
      <c r="C6" s="348" t="s">
        <v>68</v>
      </c>
      <c r="D6" s="57" t="s">
        <v>29</v>
      </c>
      <c r="E6" s="57" t="s">
        <v>30</v>
      </c>
      <c r="F6" s="57" t="s">
        <v>32</v>
      </c>
      <c r="G6" s="57" t="s">
        <v>35</v>
      </c>
      <c r="H6" s="57" t="s">
        <v>36</v>
      </c>
      <c r="I6" s="57" t="s">
        <v>37</v>
      </c>
      <c r="J6" s="57" t="s">
        <v>73</v>
      </c>
      <c r="K6" s="58" t="s">
        <v>74</v>
      </c>
      <c r="L6" s="58" t="s">
        <v>30</v>
      </c>
      <c r="M6" s="58" t="s">
        <v>32</v>
      </c>
      <c r="N6" s="58" t="s">
        <v>35</v>
      </c>
      <c r="O6" s="58" t="s">
        <v>36</v>
      </c>
      <c r="P6" s="58" t="s">
        <v>37</v>
      </c>
      <c r="Q6" s="58" t="s">
        <v>75</v>
      </c>
    </row>
    <row r="7" spans="1:17" ht="15.75" customHeight="1">
      <c r="A7" s="346"/>
      <c r="B7" s="346"/>
      <c r="C7" s="352"/>
      <c r="D7" s="59"/>
      <c r="E7" s="59"/>
      <c r="F7" s="59"/>
      <c r="G7" s="59"/>
      <c r="H7" s="59"/>
      <c r="I7" s="59"/>
      <c r="J7" s="60">
        <f>SUM(D7:I7)</f>
        <v>0</v>
      </c>
      <c r="K7" s="61" t="str">
        <f t="shared" ref="K7:M7" si="0">IF(D7=0,"",D7)</f>
        <v/>
      </c>
      <c r="L7" s="61" t="str">
        <f t="shared" si="0"/>
        <v/>
      </c>
      <c r="M7" s="61" t="str">
        <f t="shared" si="0"/>
        <v/>
      </c>
      <c r="N7" s="61">
        <f>IF('CO-PO Mapping'!A10="",0,IF(G7=0,0,G7))</f>
        <v>0</v>
      </c>
      <c r="O7" s="61">
        <f>IF('CO-PO Mapping'!A11="",0,IF(H7=0,0,H7))</f>
        <v>0</v>
      </c>
      <c r="P7" s="61">
        <f>IF('CO-PO Mapping'!A12="",0,IF(I7=0,0,I7))</f>
        <v>0</v>
      </c>
      <c r="Q7" s="61">
        <f t="shared" ref="Q7:Q207" si="1">SUM(K7:P7)</f>
        <v>0</v>
      </c>
    </row>
    <row r="8" spans="1:17" ht="15" customHeight="1">
      <c r="A8" s="62">
        <f>'Students Details'!A7</f>
        <v>1</v>
      </c>
      <c r="B8" s="63" t="str">
        <f>IF('Students Details'!B7="","",'Students Details'!B7)</f>
        <v/>
      </c>
      <c r="C8" s="64" t="str">
        <f>IF('Students Details'!C7="","",'Students Details'!C7)</f>
        <v/>
      </c>
      <c r="D8" s="65"/>
      <c r="E8" s="65"/>
      <c r="F8" s="65"/>
      <c r="G8" s="66"/>
      <c r="H8" s="66"/>
      <c r="I8" s="66"/>
      <c r="J8" s="67">
        <f t="shared" ref="J8:J39" si="2">SUM(D8:H8)</f>
        <v>0</v>
      </c>
      <c r="K8" s="61">
        <f t="shared" ref="K8:M8" si="3">D8</f>
        <v>0</v>
      </c>
      <c r="L8" s="61">
        <f t="shared" si="3"/>
        <v>0</v>
      </c>
      <c r="M8" s="61">
        <f t="shared" si="3"/>
        <v>0</v>
      </c>
      <c r="N8" s="61">
        <f>IF('CO-PO Mapping'!$A$10="",0,G8)</f>
        <v>0</v>
      </c>
      <c r="O8" s="61">
        <f>IF('CO-PO Mapping'!$A$11="",0,H8)</f>
        <v>0</v>
      </c>
      <c r="P8" s="61">
        <f>IF('CO-PO Mapping'!$A$12="",0,I8)</f>
        <v>0</v>
      </c>
      <c r="Q8" s="68">
        <f t="shared" si="1"/>
        <v>0</v>
      </c>
    </row>
    <row r="9" spans="1:17" ht="15.6">
      <c r="A9" s="62">
        <f>'Students Details'!A8</f>
        <v>2</v>
      </c>
      <c r="B9" s="63" t="str">
        <f>IF('Students Details'!B8="","",'Students Details'!B8)</f>
        <v/>
      </c>
      <c r="C9" s="64" t="str">
        <f>IF('Students Details'!C8="","",'Students Details'!C8)</f>
        <v/>
      </c>
      <c r="D9" s="65"/>
      <c r="E9" s="65"/>
      <c r="F9" s="69"/>
      <c r="G9" s="70"/>
      <c r="H9" s="70"/>
      <c r="I9" s="70"/>
      <c r="J9" s="67">
        <f t="shared" si="2"/>
        <v>0</v>
      </c>
      <c r="K9" s="61">
        <f t="shared" ref="K9:M9" si="4">D9</f>
        <v>0</v>
      </c>
      <c r="L9" s="61">
        <f t="shared" si="4"/>
        <v>0</v>
      </c>
      <c r="M9" s="61">
        <f t="shared" si="4"/>
        <v>0</v>
      </c>
      <c r="N9" s="61">
        <f>IF('CO-PO Mapping'!$A$10="",0,G9)</f>
        <v>0</v>
      </c>
      <c r="O9" s="61">
        <f>IF('CO-PO Mapping'!$A$11="",0,H9)</f>
        <v>0</v>
      </c>
      <c r="P9" s="61">
        <f>IF('CO-PO Mapping'!$A$12="",0,I9)</f>
        <v>0</v>
      </c>
      <c r="Q9" s="68">
        <f t="shared" si="1"/>
        <v>0</v>
      </c>
    </row>
    <row r="10" spans="1:17" ht="15.6">
      <c r="A10" s="62">
        <f>'Students Details'!A9</f>
        <v>3</v>
      </c>
      <c r="B10" s="63" t="str">
        <f>IF('Students Details'!B9="","",'Students Details'!B9)</f>
        <v/>
      </c>
      <c r="C10" s="64" t="str">
        <f>IF('Students Details'!C9="","",'Students Details'!C9)</f>
        <v/>
      </c>
      <c r="D10" s="65"/>
      <c r="E10" s="65"/>
      <c r="F10" s="65"/>
      <c r="G10" s="66"/>
      <c r="H10" s="66"/>
      <c r="I10" s="66"/>
      <c r="J10" s="67">
        <f t="shared" si="2"/>
        <v>0</v>
      </c>
      <c r="K10" s="61">
        <f t="shared" ref="K10:M10" si="5">D10</f>
        <v>0</v>
      </c>
      <c r="L10" s="61">
        <f t="shared" si="5"/>
        <v>0</v>
      </c>
      <c r="M10" s="61">
        <f t="shared" si="5"/>
        <v>0</v>
      </c>
      <c r="N10" s="61">
        <f>IF('CO-PO Mapping'!$A$10="",0,G10)</f>
        <v>0</v>
      </c>
      <c r="O10" s="61">
        <f>IF('CO-PO Mapping'!$A$11="",0,H10)</f>
        <v>0</v>
      </c>
      <c r="P10" s="61">
        <f>IF('CO-PO Mapping'!$A$12="",0,I10)</f>
        <v>0</v>
      </c>
      <c r="Q10" s="68">
        <f t="shared" si="1"/>
        <v>0</v>
      </c>
    </row>
    <row r="11" spans="1:17" ht="15.6">
      <c r="A11" s="62">
        <f>'Students Details'!A10</f>
        <v>4</v>
      </c>
      <c r="B11" s="63" t="str">
        <f>IF('Students Details'!B10="","",'Students Details'!B10)</f>
        <v/>
      </c>
      <c r="C11" s="64" t="str">
        <f>IF('Students Details'!C10="","",'Students Details'!C10)</f>
        <v/>
      </c>
      <c r="D11" s="65"/>
      <c r="E11" s="65"/>
      <c r="F11" s="69"/>
      <c r="G11" s="70"/>
      <c r="H11" s="70"/>
      <c r="I11" s="70"/>
      <c r="J11" s="67">
        <f t="shared" si="2"/>
        <v>0</v>
      </c>
      <c r="K11" s="61">
        <f t="shared" ref="K11:M11" si="6">D11</f>
        <v>0</v>
      </c>
      <c r="L11" s="61">
        <f t="shared" si="6"/>
        <v>0</v>
      </c>
      <c r="M11" s="61">
        <f t="shared" si="6"/>
        <v>0</v>
      </c>
      <c r="N11" s="61">
        <f>IF('CO-PO Mapping'!$A$10="",0,G11)</f>
        <v>0</v>
      </c>
      <c r="O11" s="61">
        <f>IF('CO-PO Mapping'!$A$11="",0,H11)</f>
        <v>0</v>
      </c>
      <c r="P11" s="61">
        <f>IF('CO-PO Mapping'!$A$12="",0,I11)</f>
        <v>0</v>
      </c>
      <c r="Q11" s="68">
        <f t="shared" si="1"/>
        <v>0</v>
      </c>
    </row>
    <row r="12" spans="1:17" ht="15.6">
      <c r="A12" s="62">
        <f>'Students Details'!A11</f>
        <v>5</v>
      </c>
      <c r="B12" s="63" t="str">
        <f>IF('Students Details'!B11="","",'Students Details'!B11)</f>
        <v/>
      </c>
      <c r="C12" s="64" t="str">
        <f>IF('Students Details'!C11="","",'Students Details'!C11)</f>
        <v/>
      </c>
      <c r="D12" s="65"/>
      <c r="E12" s="65"/>
      <c r="F12" s="65"/>
      <c r="G12" s="66"/>
      <c r="H12" s="66"/>
      <c r="I12" s="66"/>
      <c r="J12" s="67">
        <f t="shared" si="2"/>
        <v>0</v>
      </c>
      <c r="K12" s="61">
        <f t="shared" ref="K12:M12" si="7">D12</f>
        <v>0</v>
      </c>
      <c r="L12" s="61">
        <f t="shared" si="7"/>
        <v>0</v>
      </c>
      <c r="M12" s="61">
        <f t="shared" si="7"/>
        <v>0</v>
      </c>
      <c r="N12" s="61">
        <f>IF('CO-PO Mapping'!$A$10="",0,G12)</f>
        <v>0</v>
      </c>
      <c r="O12" s="61">
        <f>IF('CO-PO Mapping'!$A$11="",0,H12)</f>
        <v>0</v>
      </c>
      <c r="P12" s="61">
        <f>IF('CO-PO Mapping'!$A$12="",0,I12)</f>
        <v>0</v>
      </c>
      <c r="Q12" s="68">
        <f t="shared" si="1"/>
        <v>0</v>
      </c>
    </row>
    <row r="13" spans="1:17" ht="15.6">
      <c r="A13" s="62">
        <f>'Students Details'!A12</f>
        <v>6</v>
      </c>
      <c r="B13" s="63" t="str">
        <f>IF('Students Details'!B12="","",'Students Details'!B12)</f>
        <v/>
      </c>
      <c r="C13" s="64" t="str">
        <f>IF('Students Details'!C12="","",'Students Details'!C12)</f>
        <v/>
      </c>
      <c r="D13" s="65"/>
      <c r="E13" s="65"/>
      <c r="F13" s="69"/>
      <c r="G13" s="70"/>
      <c r="H13" s="70"/>
      <c r="I13" s="70"/>
      <c r="J13" s="67">
        <f t="shared" si="2"/>
        <v>0</v>
      </c>
      <c r="K13" s="61">
        <f t="shared" ref="K13:M13" si="8">D13</f>
        <v>0</v>
      </c>
      <c r="L13" s="61">
        <f t="shared" si="8"/>
        <v>0</v>
      </c>
      <c r="M13" s="61">
        <f t="shared" si="8"/>
        <v>0</v>
      </c>
      <c r="N13" s="61">
        <f>IF('CO-PO Mapping'!$A$10="",0,G13)</f>
        <v>0</v>
      </c>
      <c r="O13" s="61">
        <f>IF('CO-PO Mapping'!$A$11="",0,H13)</f>
        <v>0</v>
      </c>
      <c r="P13" s="61">
        <f>IF('CO-PO Mapping'!$A$12="",0,I13)</f>
        <v>0</v>
      </c>
      <c r="Q13" s="68">
        <f t="shared" si="1"/>
        <v>0</v>
      </c>
    </row>
    <row r="14" spans="1:17" ht="15.6">
      <c r="A14" s="62">
        <f>'Students Details'!A13</f>
        <v>7</v>
      </c>
      <c r="B14" s="63" t="str">
        <f>IF('Students Details'!B13="","",'Students Details'!B13)</f>
        <v/>
      </c>
      <c r="C14" s="64" t="str">
        <f>IF('Students Details'!C13="","",'Students Details'!C13)</f>
        <v/>
      </c>
      <c r="D14" s="65"/>
      <c r="E14" s="65"/>
      <c r="F14" s="65"/>
      <c r="G14" s="66"/>
      <c r="H14" s="66"/>
      <c r="I14" s="66"/>
      <c r="J14" s="67">
        <f t="shared" si="2"/>
        <v>0</v>
      </c>
      <c r="K14" s="61">
        <f t="shared" ref="K14:M14" si="9">D14</f>
        <v>0</v>
      </c>
      <c r="L14" s="61">
        <f t="shared" si="9"/>
        <v>0</v>
      </c>
      <c r="M14" s="61">
        <f t="shared" si="9"/>
        <v>0</v>
      </c>
      <c r="N14" s="61">
        <f>IF('CO-PO Mapping'!$A$10="",0,G14)</f>
        <v>0</v>
      </c>
      <c r="O14" s="61">
        <f>IF('CO-PO Mapping'!$A$11="",0,H14)</f>
        <v>0</v>
      </c>
      <c r="P14" s="61">
        <f>IF('CO-PO Mapping'!$A$12="",0,I14)</f>
        <v>0</v>
      </c>
      <c r="Q14" s="68">
        <f t="shared" si="1"/>
        <v>0</v>
      </c>
    </row>
    <row r="15" spans="1:17" ht="15.6">
      <c r="A15" s="62">
        <f>'Students Details'!A14</f>
        <v>8</v>
      </c>
      <c r="B15" s="63" t="str">
        <f>IF('Students Details'!B14="","",'Students Details'!B14)</f>
        <v/>
      </c>
      <c r="C15" s="64" t="str">
        <f>IF('Students Details'!C14="","",'Students Details'!C14)</f>
        <v/>
      </c>
      <c r="D15" s="65"/>
      <c r="E15" s="65"/>
      <c r="F15" s="69"/>
      <c r="G15" s="70"/>
      <c r="H15" s="70"/>
      <c r="I15" s="70"/>
      <c r="J15" s="67">
        <f t="shared" si="2"/>
        <v>0</v>
      </c>
      <c r="K15" s="61">
        <f t="shared" ref="K15:M15" si="10">D15</f>
        <v>0</v>
      </c>
      <c r="L15" s="61">
        <f t="shared" si="10"/>
        <v>0</v>
      </c>
      <c r="M15" s="61">
        <f t="shared" si="10"/>
        <v>0</v>
      </c>
      <c r="N15" s="61">
        <f>IF('CO-PO Mapping'!$A$10="",0,G15)</f>
        <v>0</v>
      </c>
      <c r="O15" s="61">
        <f>IF('CO-PO Mapping'!$A$11="",0,H15)</f>
        <v>0</v>
      </c>
      <c r="P15" s="61">
        <f>IF('CO-PO Mapping'!$A$12="",0,I15)</f>
        <v>0</v>
      </c>
      <c r="Q15" s="68">
        <f t="shared" si="1"/>
        <v>0</v>
      </c>
    </row>
    <row r="16" spans="1:17" ht="15.6">
      <c r="A16" s="62">
        <f>'Students Details'!A15</f>
        <v>9</v>
      </c>
      <c r="B16" s="63" t="str">
        <f>IF('Students Details'!B15="","",'Students Details'!B15)</f>
        <v/>
      </c>
      <c r="C16" s="64" t="str">
        <f>IF('Students Details'!C15="","",'Students Details'!C15)</f>
        <v/>
      </c>
      <c r="D16" s="65"/>
      <c r="E16" s="65"/>
      <c r="F16" s="65"/>
      <c r="G16" s="66"/>
      <c r="H16" s="66"/>
      <c r="I16" s="66"/>
      <c r="J16" s="67">
        <f t="shared" si="2"/>
        <v>0</v>
      </c>
      <c r="K16" s="61">
        <f t="shared" ref="K16:M16" si="11">D16</f>
        <v>0</v>
      </c>
      <c r="L16" s="61">
        <f t="shared" si="11"/>
        <v>0</v>
      </c>
      <c r="M16" s="61">
        <f t="shared" si="11"/>
        <v>0</v>
      </c>
      <c r="N16" s="61">
        <f>IF('CO-PO Mapping'!$A$10="",0,G16)</f>
        <v>0</v>
      </c>
      <c r="O16" s="61">
        <f>IF('CO-PO Mapping'!$A$11="",0,H16)</f>
        <v>0</v>
      </c>
      <c r="P16" s="61">
        <f>IF('CO-PO Mapping'!$A$12="",0,I16)</f>
        <v>0</v>
      </c>
      <c r="Q16" s="68">
        <f t="shared" si="1"/>
        <v>0</v>
      </c>
    </row>
    <row r="17" spans="1:26" ht="15.6">
      <c r="A17" s="62">
        <f>'Students Details'!A16</f>
        <v>10</v>
      </c>
      <c r="B17" s="63" t="str">
        <f>IF('Students Details'!B16="","",'Students Details'!B16)</f>
        <v/>
      </c>
      <c r="C17" s="64" t="str">
        <f>IF('Students Details'!C16="","",'Students Details'!C16)</f>
        <v/>
      </c>
      <c r="D17" s="65"/>
      <c r="E17" s="65"/>
      <c r="F17" s="69"/>
      <c r="G17" s="70"/>
      <c r="H17" s="70"/>
      <c r="I17" s="70"/>
      <c r="J17" s="67">
        <f t="shared" si="2"/>
        <v>0</v>
      </c>
      <c r="K17" s="61">
        <f t="shared" ref="K17:M17" si="12">D17</f>
        <v>0</v>
      </c>
      <c r="L17" s="61">
        <f t="shared" si="12"/>
        <v>0</v>
      </c>
      <c r="M17" s="61">
        <f t="shared" si="12"/>
        <v>0</v>
      </c>
      <c r="N17" s="61">
        <f>IF('CO-PO Mapping'!$A$10="",0,G17)</f>
        <v>0</v>
      </c>
      <c r="O17" s="61">
        <f>IF('CO-PO Mapping'!$A$11="",0,H17)</f>
        <v>0</v>
      </c>
      <c r="P17" s="61">
        <f>IF('CO-PO Mapping'!$A$12="",0,I17)</f>
        <v>0</v>
      </c>
      <c r="Q17" s="68">
        <f t="shared" si="1"/>
        <v>0</v>
      </c>
    </row>
    <row r="18" spans="1:26" ht="15.6">
      <c r="A18" s="62">
        <f>'Students Details'!A17</f>
        <v>11</v>
      </c>
      <c r="B18" s="63" t="str">
        <f>IF('Students Details'!B17="","",'Students Details'!B17)</f>
        <v/>
      </c>
      <c r="C18" s="64" t="str">
        <f>IF('Students Details'!C17="","",'Students Details'!C17)</f>
        <v/>
      </c>
      <c r="D18" s="65"/>
      <c r="E18" s="65"/>
      <c r="F18" s="65"/>
      <c r="G18" s="70"/>
      <c r="H18" s="70"/>
      <c r="I18" s="70"/>
      <c r="J18" s="67">
        <f t="shared" si="2"/>
        <v>0</v>
      </c>
      <c r="K18" s="61">
        <f t="shared" ref="K18:M18" si="13">D18</f>
        <v>0</v>
      </c>
      <c r="L18" s="61">
        <f t="shared" si="13"/>
        <v>0</v>
      </c>
      <c r="M18" s="61">
        <f t="shared" si="13"/>
        <v>0</v>
      </c>
      <c r="N18" s="61">
        <f>IF('CO-PO Mapping'!$A$10="",0,G18)</f>
        <v>0</v>
      </c>
      <c r="O18" s="61">
        <f>IF('CO-PO Mapping'!$A$11="",0,H18)</f>
        <v>0</v>
      </c>
      <c r="P18" s="61">
        <f>IF('CO-PO Mapping'!$A$12="",0,I18)</f>
        <v>0</v>
      </c>
      <c r="Q18" s="68">
        <f t="shared" si="1"/>
        <v>0</v>
      </c>
    </row>
    <row r="19" spans="1:26" ht="15.6">
      <c r="A19" s="62">
        <f>'Students Details'!A18</f>
        <v>12</v>
      </c>
      <c r="B19" s="63" t="str">
        <f>IF('Students Details'!B18="","",'Students Details'!B18)</f>
        <v/>
      </c>
      <c r="C19" s="64" t="str">
        <f>IF('Students Details'!C18="","",'Students Details'!C18)</f>
        <v/>
      </c>
      <c r="D19" s="65"/>
      <c r="E19" s="65"/>
      <c r="F19" s="69"/>
      <c r="G19" s="70"/>
      <c r="H19" s="70"/>
      <c r="I19" s="70"/>
      <c r="J19" s="67">
        <f t="shared" si="2"/>
        <v>0</v>
      </c>
      <c r="K19" s="61">
        <f t="shared" ref="K19:M19" si="14">D19</f>
        <v>0</v>
      </c>
      <c r="L19" s="61">
        <f t="shared" si="14"/>
        <v>0</v>
      </c>
      <c r="M19" s="61">
        <f t="shared" si="14"/>
        <v>0</v>
      </c>
      <c r="N19" s="61">
        <f>IF('CO-PO Mapping'!$A$10="",0,G19)</f>
        <v>0</v>
      </c>
      <c r="O19" s="61">
        <f>IF('CO-PO Mapping'!$A$11="",0,H19)</f>
        <v>0</v>
      </c>
      <c r="P19" s="61">
        <f>IF('CO-PO Mapping'!$A$12="",0,I19)</f>
        <v>0</v>
      </c>
      <c r="Q19" s="68">
        <f t="shared" si="1"/>
        <v>0</v>
      </c>
    </row>
    <row r="20" spans="1:26" ht="15.6">
      <c r="A20" s="62">
        <f>'Students Details'!A19</f>
        <v>13</v>
      </c>
      <c r="B20" s="63" t="str">
        <f>IF('Students Details'!B19="","",'Students Details'!B19)</f>
        <v/>
      </c>
      <c r="C20" s="64" t="str">
        <f>IF('Students Details'!C19="","",'Students Details'!C19)</f>
        <v/>
      </c>
      <c r="D20" s="65"/>
      <c r="E20" s="65"/>
      <c r="F20" s="65"/>
      <c r="G20" s="70"/>
      <c r="H20" s="70"/>
      <c r="I20" s="70"/>
      <c r="J20" s="67">
        <f t="shared" si="2"/>
        <v>0</v>
      </c>
      <c r="K20" s="61">
        <f t="shared" ref="K20:M20" si="15">D20</f>
        <v>0</v>
      </c>
      <c r="L20" s="61">
        <f t="shared" si="15"/>
        <v>0</v>
      </c>
      <c r="M20" s="61">
        <f t="shared" si="15"/>
        <v>0</v>
      </c>
      <c r="N20" s="61">
        <f>IF('CO-PO Mapping'!$A$10="",0,G20)</f>
        <v>0</v>
      </c>
      <c r="O20" s="61">
        <f>IF('CO-PO Mapping'!$A$11="",0,H20)</f>
        <v>0</v>
      </c>
      <c r="P20" s="61">
        <f>IF('CO-PO Mapping'!$A$12="",0,I20)</f>
        <v>0</v>
      </c>
      <c r="Q20" s="68">
        <f t="shared" si="1"/>
        <v>0</v>
      </c>
    </row>
    <row r="21" spans="1:26" ht="15.75" customHeight="1">
      <c r="A21" s="62">
        <f>'Students Details'!A20</f>
        <v>14</v>
      </c>
      <c r="B21" s="63" t="str">
        <f>IF('Students Details'!B20="","",'Students Details'!B20)</f>
        <v/>
      </c>
      <c r="C21" s="64" t="str">
        <f>IF('Students Details'!C20="","",'Students Details'!C20)</f>
        <v/>
      </c>
      <c r="D21" s="65"/>
      <c r="E21" s="65"/>
      <c r="F21" s="69"/>
      <c r="G21" s="70"/>
      <c r="H21" s="70"/>
      <c r="I21" s="70"/>
      <c r="J21" s="67">
        <f t="shared" si="2"/>
        <v>0</v>
      </c>
      <c r="K21" s="61">
        <f t="shared" ref="K21:M21" si="16">D21</f>
        <v>0</v>
      </c>
      <c r="L21" s="61">
        <f t="shared" si="16"/>
        <v>0</v>
      </c>
      <c r="M21" s="61">
        <f t="shared" si="16"/>
        <v>0</v>
      </c>
      <c r="N21" s="61">
        <f>IF('CO-PO Mapping'!$A$10="",0,G21)</f>
        <v>0</v>
      </c>
      <c r="O21" s="61">
        <f>IF('CO-PO Mapping'!$A$11="",0,H21)</f>
        <v>0</v>
      </c>
      <c r="P21" s="61">
        <f>IF('CO-PO Mapping'!$A$12="",0,I21)</f>
        <v>0</v>
      </c>
      <c r="Q21" s="68">
        <f t="shared" si="1"/>
        <v>0</v>
      </c>
    </row>
    <row r="22" spans="1:26" ht="15.75" customHeight="1">
      <c r="A22" s="62">
        <f>'Students Details'!A21</f>
        <v>15</v>
      </c>
      <c r="B22" s="63" t="str">
        <f>IF('Students Details'!B21="","",'Students Details'!B21)</f>
        <v/>
      </c>
      <c r="C22" s="64" t="str">
        <f>IF('Students Details'!C21="","",'Students Details'!C21)</f>
        <v/>
      </c>
      <c r="D22" s="65"/>
      <c r="E22" s="65"/>
      <c r="F22" s="65"/>
      <c r="G22" s="70"/>
      <c r="H22" s="70"/>
      <c r="I22" s="70"/>
      <c r="J22" s="67">
        <f t="shared" si="2"/>
        <v>0</v>
      </c>
      <c r="K22" s="61">
        <f t="shared" ref="K22:M22" si="17">D22</f>
        <v>0</v>
      </c>
      <c r="L22" s="61">
        <f t="shared" si="17"/>
        <v>0</v>
      </c>
      <c r="M22" s="61">
        <f t="shared" si="17"/>
        <v>0</v>
      </c>
      <c r="N22" s="61">
        <f>IF('CO-PO Mapping'!$A$10="",0,G22)</f>
        <v>0</v>
      </c>
      <c r="O22" s="61">
        <f>IF('CO-PO Mapping'!$A$11="",0,H22)</f>
        <v>0</v>
      </c>
      <c r="P22" s="61">
        <f>IF('CO-PO Mapping'!$A$12="",0,I22)</f>
        <v>0</v>
      </c>
      <c r="Q22" s="68">
        <f t="shared" si="1"/>
        <v>0</v>
      </c>
    </row>
    <row r="23" spans="1:26" ht="15.75" customHeight="1">
      <c r="A23" s="62">
        <f>'Students Details'!A22</f>
        <v>16</v>
      </c>
      <c r="B23" s="63" t="str">
        <f>IF('Students Details'!B22="","",'Students Details'!B22)</f>
        <v/>
      </c>
      <c r="C23" s="64" t="str">
        <f>IF('Students Details'!C22="","",'Students Details'!C22)</f>
        <v/>
      </c>
      <c r="D23" s="65"/>
      <c r="E23" s="65"/>
      <c r="F23" s="69"/>
      <c r="G23" s="70"/>
      <c r="H23" s="70"/>
      <c r="I23" s="70"/>
      <c r="J23" s="67">
        <f t="shared" si="2"/>
        <v>0</v>
      </c>
      <c r="K23" s="61">
        <f t="shared" ref="K23:M23" si="18">D23</f>
        <v>0</v>
      </c>
      <c r="L23" s="61">
        <f t="shared" si="18"/>
        <v>0</v>
      </c>
      <c r="M23" s="61">
        <f t="shared" si="18"/>
        <v>0</v>
      </c>
      <c r="N23" s="61">
        <f>IF('CO-PO Mapping'!$A$10="",0,G23)</f>
        <v>0</v>
      </c>
      <c r="O23" s="61">
        <f>IF('CO-PO Mapping'!$A$11="",0,H23)</f>
        <v>0</v>
      </c>
      <c r="P23" s="61">
        <f>IF('CO-PO Mapping'!$A$12="",0,I23)</f>
        <v>0</v>
      </c>
      <c r="Q23" s="68">
        <f t="shared" si="1"/>
        <v>0</v>
      </c>
    </row>
    <row r="24" spans="1:26" ht="15.75" customHeight="1">
      <c r="A24" s="62">
        <f>'Students Details'!A23</f>
        <v>17</v>
      </c>
      <c r="B24" s="63" t="str">
        <f>IF('Students Details'!B23="","",'Students Details'!B23)</f>
        <v/>
      </c>
      <c r="C24" s="64" t="str">
        <f>IF('Students Details'!C23="","",'Students Details'!C23)</f>
        <v/>
      </c>
      <c r="D24" s="65"/>
      <c r="E24" s="65"/>
      <c r="F24" s="65"/>
      <c r="G24" s="70"/>
      <c r="H24" s="70"/>
      <c r="I24" s="70"/>
      <c r="J24" s="67">
        <f t="shared" si="2"/>
        <v>0</v>
      </c>
      <c r="K24" s="61">
        <f t="shared" ref="K24:M24" si="19">D24</f>
        <v>0</v>
      </c>
      <c r="L24" s="61">
        <f t="shared" si="19"/>
        <v>0</v>
      </c>
      <c r="M24" s="61">
        <f t="shared" si="19"/>
        <v>0</v>
      </c>
      <c r="N24" s="61">
        <f>IF('CO-PO Mapping'!$A$10="",0,G24)</f>
        <v>0</v>
      </c>
      <c r="O24" s="61">
        <f>IF('CO-PO Mapping'!$A$11="",0,H24)</f>
        <v>0</v>
      </c>
      <c r="P24" s="61">
        <f>IF('CO-PO Mapping'!$A$12="",0,I24)</f>
        <v>0</v>
      </c>
      <c r="Q24" s="68">
        <f t="shared" si="1"/>
        <v>0</v>
      </c>
    </row>
    <row r="25" spans="1:26" ht="15.75" customHeight="1">
      <c r="A25" s="62">
        <f>'Students Details'!A24</f>
        <v>18</v>
      </c>
      <c r="B25" s="63" t="str">
        <f>IF('Students Details'!B24="","",'Students Details'!B24)</f>
        <v/>
      </c>
      <c r="C25" s="64" t="str">
        <f>IF('Students Details'!C24="","",'Students Details'!C24)</f>
        <v/>
      </c>
      <c r="D25" s="65"/>
      <c r="E25" s="65"/>
      <c r="F25" s="69"/>
      <c r="G25" s="70"/>
      <c r="H25" s="70"/>
      <c r="I25" s="70"/>
      <c r="J25" s="67">
        <f t="shared" si="2"/>
        <v>0</v>
      </c>
      <c r="K25" s="61">
        <f t="shared" ref="K25:M25" si="20">D25</f>
        <v>0</v>
      </c>
      <c r="L25" s="61">
        <f t="shared" si="20"/>
        <v>0</v>
      </c>
      <c r="M25" s="61">
        <f t="shared" si="20"/>
        <v>0</v>
      </c>
      <c r="N25" s="61">
        <f>IF('CO-PO Mapping'!$A$10="",0,G25)</f>
        <v>0</v>
      </c>
      <c r="O25" s="61">
        <f>IF('CO-PO Mapping'!$A$11="",0,H25)</f>
        <v>0</v>
      </c>
      <c r="P25" s="61">
        <f>IF('CO-PO Mapping'!$A$12="",0,I25)</f>
        <v>0</v>
      </c>
      <c r="Q25" s="68">
        <f t="shared" si="1"/>
        <v>0</v>
      </c>
    </row>
    <row r="26" spans="1:26" ht="15.75" customHeight="1">
      <c r="A26" s="62">
        <f>'Students Details'!A25</f>
        <v>19</v>
      </c>
      <c r="B26" s="63" t="str">
        <f>IF('Students Details'!B25="","",'Students Details'!B25)</f>
        <v/>
      </c>
      <c r="C26" s="64" t="str">
        <f>IF('Students Details'!C25="","",'Students Details'!C25)</f>
        <v/>
      </c>
      <c r="D26" s="65"/>
      <c r="E26" s="65"/>
      <c r="F26" s="65"/>
      <c r="G26" s="70"/>
      <c r="H26" s="70"/>
      <c r="I26" s="70"/>
      <c r="J26" s="67">
        <f t="shared" si="2"/>
        <v>0</v>
      </c>
      <c r="K26" s="61">
        <f t="shared" ref="K26:M26" si="21">D26</f>
        <v>0</v>
      </c>
      <c r="L26" s="61">
        <f t="shared" si="21"/>
        <v>0</v>
      </c>
      <c r="M26" s="61">
        <f t="shared" si="21"/>
        <v>0</v>
      </c>
      <c r="N26" s="61">
        <f>IF('CO-PO Mapping'!$A$10="",0,G26)</f>
        <v>0</v>
      </c>
      <c r="O26" s="61">
        <f>IF('CO-PO Mapping'!$A$11="",0,H26)</f>
        <v>0</v>
      </c>
      <c r="P26" s="61">
        <f>IF('CO-PO Mapping'!$A$12="",0,I26)</f>
        <v>0</v>
      </c>
      <c r="Q26" s="68">
        <f t="shared" si="1"/>
        <v>0</v>
      </c>
    </row>
    <row r="27" spans="1:26" ht="15.75" customHeight="1">
      <c r="A27" s="62">
        <f>'Students Details'!A26</f>
        <v>20</v>
      </c>
      <c r="B27" s="63" t="str">
        <f>IF('Students Details'!B26="","",'Students Details'!B26)</f>
        <v/>
      </c>
      <c r="C27" s="64" t="str">
        <f>IF('Students Details'!C26="","",'Students Details'!C26)</f>
        <v/>
      </c>
      <c r="D27" s="65"/>
      <c r="E27" s="65"/>
      <c r="F27" s="69"/>
      <c r="G27" s="70"/>
      <c r="H27" s="70"/>
      <c r="I27" s="70"/>
      <c r="J27" s="67">
        <f t="shared" si="2"/>
        <v>0</v>
      </c>
      <c r="K27" s="61">
        <f t="shared" ref="K27:M27" si="22">D27</f>
        <v>0</v>
      </c>
      <c r="L27" s="61">
        <f t="shared" si="22"/>
        <v>0</v>
      </c>
      <c r="M27" s="61">
        <f t="shared" si="22"/>
        <v>0</v>
      </c>
      <c r="N27" s="61">
        <f>IF('CO-PO Mapping'!$A$10="",0,G27)</f>
        <v>0</v>
      </c>
      <c r="O27" s="61">
        <f>IF('CO-PO Mapping'!$A$11="",0,H27)</f>
        <v>0</v>
      </c>
      <c r="P27" s="61">
        <f>IF('CO-PO Mapping'!$A$12="",0,I27)</f>
        <v>0</v>
      </c>
      <c r="Q27" s="68">
        <f t="shared" si="1"/>
        <v>0</v>
      </c>
    </row>
    <row r="28" spans="1:26" ht="15.75" customHeight="1">
      <c r="A28" s="62">
        <f>'Students Details'!A27</f>
        <v>21</v>
      </c>
      <c r="B28" s="63" t="str">
        <f>IF('Students Details'!B27="","",'Students Details'!B27)</f>
        <v/>
      </c>
      <c r="C28" s="64" t="str">
        <f>IF('Students Details'!C27="","",'Students Details'!C27)</f>
        <v/>
      </c>
      <c r="D28" s="65"/>
      <c r="E28" s="65"/>
      <c r="F28" s="65"/>
      <c r="G28" s="70"/>
      <c r="H28" s="70"/>
      <c r="I28" s="70"/>
      <c r="J28" s="67">
        <f t="shared" si="2"/>
        <v>0</v>
      </c>
      <c r="K28" s="61">
        <f t="shared" ref="K28:M28" si="23">D28</f>
        <v>0</v>
      </c>
      <c r="L28" s="61">
        <f t="shared" si="23"/>
        <v>0</v>
      </c>
      <c r="M28" s="61">
        <f t="shared" si="23"/>
        <v>0</v>
      </c>
      <c r="N28" s="61">
        <f>IF('CO-PO Mapping'!$A$10="",0,G28)</f>
        <v>0</v>
      </c>
      <c r="O28" s="61">
        <f>IF('CO-PO Mapping'!$A$11="",0,H28)</f>
        <v>0</v>
      </c>
      <c r="P28" s="61">
        <f>IF('CO-PO Mapping'!$A$12="",0,I28)</f>
        <v>0</v>
      </c>
      <c r="Q28" s="68">
        <f t="shared" si="1"/>
        <v>0</v>
      </c>
      <c r="R28" s="43"/>
      <c r="S28" s="43"/>
      <c r="T28" s="43"/>
      <c r="U28" s="43"/>
      <c r="V28" s="43"/>
      <c r="W28" s="43"/>
      <c r="X28" s="43"/>
      <c r="Y28" s="43"/>
      <c r="Z28" s="43"/>
    </row>
    <row r="29" spans="1:26" ht="15.75" customHeight="1">
      <c r="A29" s="62">
        <f>'Students Details'!A28</f>
        <v>22</v>
      </c>
      <c r="B29" s="63" t="str">
        <f>IF('Students Details'!B28="","",'Students Details'!B28)</f>
        <v/>
      </c>
      <c r="C29" s="64" t="str">
        <f>IF('Students Details'!C28="","",'Students Details'!C28)</f>
        <v/>
      </c>
      <c r="D29" s="65"/>
      <c r="E29" s="65"/>
      <c r="F29" s="69"/>
      <c r="G29" s="70"/>
      <c r="H29" s="70"/>
      <c r="I29" s="70"/>
      <c r="J29" s="67">
        <f t="shared" si="2"/>
        <v>0</v>
      </c>
      <c r="K29" s="61">
        <f t="shared" ref="K29:M29" si="24">D29</f>
        <v>0</v>
      </c>
      <c r="L29" s="61">
        <f t="shared" si="24"/>
        <v>0</v>
      </c>
      <c r="M29" s="61">
        <f t="shared" si="24"/>
        <v>0</v>
      </c>
      <c r="N29" s="61">
        <f>IF('CO-PO Mapping'!$A$10="",0,G29)</f>
        <v>0</v>
      </c>
      <c r="O29" s="61">
        <f>IF('CO-PO Mapping'!$A$11="",0,H29)</f>
        <v>0</v>
      </c>
      <c r="P29" s="61">
        <f>IF('CO-PO Mapping'!$A$12="",0,I29)</f>
        <v>0</v>
      </c>
      <c r="Q29" s="68">
        <f t="shared" si="1"/>
        <v>0</v>
      </c>
    </row>
    <row r="30" spans="1:26" ht="15.75" customHeight="1">
      <c r="A30" s="62">
        <f>'Students Details'!A29</f>
        <v>23</v>
      </c>
      <c r="B30" s="63" t="str">
        <f>IF('Students Details'!B29="","",'Students Details'!B29)</f>
        <v/>
      </c>
      <c r="C30" s="64" t="str">
        <f>IF('Students Details'!C29="","",'Students Details'!C29)</f>
        <v/>
      </c>
      <c r="D30" s="65"/>
      <c r="E30" s="65"/>
      <c r="F30" s="65"/>
      <c r="G30" s="70"/>
      <c r="H30" s="70"/>
      <c r="I30" s="70"/>
      <c r="J30" s="67">
        <f t="shared" si="2"/>
        <v>0</v>
      </c>
      <c r="K30" s="61">
        <f t="shared" ref="K30:M30" si="25">D30</f>
        <v>0</v>
      </c>
      <c r="L30" s="61">
        <f t="shared" si="25"/>
        <v>0</v>
      </c>
      <c r="M30" s="61">
        <f t="shared" si="25"/>
        <v>0</v>
      </c>
      <c r="N30" s="61">
        <f>IF('CO-PO Mapping'!$A$10="",0,G30)</f>
        <v>0</v>
      </c>
      <c r="O30" s="61">
        <f>IF('CO-PO Mapping'!$A$11="",0,H30)</f>
        <v>0</v>
      </c>
      <c r="P30" s="61">
        <f>IF('CO-PO Mapping'!$A$12="",0,I30)</f>
        <v>0</v>
      </c>
      <c r="Q30" s="68">
        <f t="shared" si="1"/>
        <v>0</v>
      </c>
    </row>
    <row r="31" spans="1:26" ht="15.75" customHeight="1">
      <c r="A31" s="62">
        <f>'Students Details'!A30</f>
        <v>24</v>
      </c>
      <c r="B31" s="63" t="str">
        <f>IF('Students Details'!B30="","",'Students Details'!B30)</f>
        <v/>
      </c>
      <c r="C31" s="64" t="str">
        <f>IF('Students Details'!C30="","",'Students Details'!C30)</f>
        <v/>
      </c>
      <c r="D31" s="65"/>
      <c r="E31" s="65"/>
      <c r="F31" s="69"/>
      <c r="G31" s="70"/>
      <c r="H31" s="70"/>
      <c r="I31" s="70"/>
      <c r="J31" s="67">
        <f t="shared" si="2"/>
        <v>0</v>
      </c>
      <c r="K31" s="61">
        <f t="shared" ref="K31:M31" si="26">D31</f>
        <v>0</v>
      </c>
      <c r="L31" s="61">
        <f t="shared" si="26"/>
        <v>0</v>
      </c>
      <c r="M31" s="61">
        <f t="shared" si="26"/>
        <v>0</v>
      </c>
      <c r="N31" s="61">
        <f>IF('CO-PO Mapping'!$A$10="",0,G31)</f>
        <v>0</v>
      </c>
      <c r="O31" s="61">
        <f>IF('CO-PO Mapping'!$A$11="",0,H31)</f>
        <v>0</v>
      </c>
      <c r="P31" s="61">
        <f>IF('CO-PO Mapping'!$A$12="",0,I31)</f>
        <v>0</v>
      </c>
      <c r="Q31" s="68">
        <f t="shared" si="1"/>
        <v>0</v>
      </c>
    </row>
    <row r="32" spans="1:26" ht="15.75" customHeight="1">
      <c r="A32" s="62">
        <f>'Students Details'!A31</f>
        <v>25</v>
      </c>
      <c r="B32" s="63" t="str">
        <f>IF('Students Details'!B31="","",'Students Details'!B31)</f>
        <v/>
      </c>
      <c r="C32" s="64" t="str">
        <f>IF('Students Details'!C31="","",'Students Details'!C31)</f>
        <v/>
      </c>
      <c r="D32" s="65"/>
      <c r="E32" s="65"/>
      <c r="F32" s="65"/>
      <c r="G32" s="70"/>
      <c r="H32" s="70"/>
      <c r="I32" s="70"/>
      <c r="J32" s="67">
        <f t="shared" si="2"/>
        <v>0</v>
      </c>
      <c r="K32" s="61">
        <f t="shared" ref="K32:M32" si="27">D32</f>
        <v>0</v>
      </c>
      <c r="L32" s="61">
        <f t="shared" si="27"/>
        <v>0</v>
      </c>
      <c r="M32" s="61">
        <f t="shared" si="27"/>
        <v>0</v>
      </c>
      <c r="N32" s="61">
        <f>IF('CO-PO Mapping'!$A$10="",0,G32)</f>
        <v>0</v>
      </c>
      <c r="O32" s="61">
        <f>IF('CO-PO Mapping'!$A$11="",0,H32)</f>
        <v>0</v>
      </c>
      <c r="P32" s="61">
        <f>IF('CO-PO Mapping'!$A$12="",0,I32)</f>
        <v>0</v>
      </c>
      <c r="Q32" s="68">
        <f t="shared" si="1"/>
        <v>0</v>
      </c>
    </row>
    <row r="33" spans="1:17" ht="15.75" customHeight="1">
      <c r="A33" s="62">
        <f>'Students Details'!A32</f>
        <v>26</v>
      </c>
      <c r="B33" s="63" t="str">
        <f>IF('Students Details'!B32="","",'Students Details'!B32)</f>
        <v/>
      </c>
      <c r="C33" s="64" t="str">
        <f>IF('Students Details'!C32="","",'Students Details'!C32)</f>
        <v/>
      </c>
      <c r="D33" s="65"/>
      <c r="E33" s="65"/>
      <c r="F33" s="69"/>
      <c r="G33" s="70"/>
      <c r="H33" s="70"/>
      <c r="I33" s="70"/>
      <c r="J33" s="67">
        <f t="shared" si="2"/>
        <v>0</v>
      </c>
      <c r="K33" s="61">
        <f t="shared" ref="K33:M33" si="28">D33</f>
        <v>0</v>
      </c>
      <c r="L33" s="61">
        <f t="shared" si="28"/>
        <v>0</v>
      </c>
      <c r="M33" s="61">
        <f t="shared" si="28"/>
        <v>0</v>
      </c>
      <c r="N33" s="61">
        <f>IF('CO-PO Mapping'!$A$10="",0,G33)</f>
        <v>0</v>
      </c>
      <c r="O33" s="61">
        <f>IF('CO-PO Mapping'!$A$11="",0,H33)</f>
        <v>0</v>
      </c>
      <c r="P33" s="61">
        <f>IF('CO-PO Mapping'!$A$12="",0,I33)</f>
        <v>0</v>
      </c>
      <c r="Q33" s="68">
        <f t="shared" si="1"/>
        <v>0</v>
      </c>
    </row>
    <row r="34" spans="1:17" ht="15.75" customHeight="1">
      <c r="A34" s="62">
        <f>'Students Details'!A33</f>
        <v>27</v>
      </c>
      <c r="B34" s="63" t="str">
        <f>IF('Students Details'!B33="","",'Students Details'!B33)</f>
        <v/>
      </c>
      <c r="C34" s="64" t="str">
        <f>IF('Students Details'!C33="","",'Students Details'!C33)</f>
        <v/>
      </c>
      <c r="D34" s="65"/>
      <c r="E34" s="65"/>
      <c r="F34" s="65"/>
      <c r="G34" s="70"/>
      <c r="H34" s="70"/>
      <c r="I34" s="70"/>
      <c r="J34" s="67">
        <f t="shared" si="2"/>
        <v>0</v>
      </c>
      <c r="K34" s="61">
        <f t="shared" ref="K34:M34" si="29">D34</f>
        <v>0</v>
      </c>
      <c r="L34" s="61">
        <f t="shared" si="29"/>
        <v>0</v>
      </c>
      <c r="M34" s="61">
        <f t="shared" si="29"/>
        <v>0</v>
      </c>
      <c r="N34" s="61">
        <f>IF('CO-PO Mapping'!$A$10="",0,G34)</f>
        <v>0</v>
      </c>
      <c r="O34" s="61">
        <f>IF('CO-PO Mapping'!$A$11="",0,H34)</f>
        <v>0</v>
      </c>
      <c r="P34" s="61">
        <f>IF('CO-PO Mapping'!$A$12="",0,I34)</f>
        <v>0</v>
      </c>
      <c r="Q34" s="68">
        <f t="shared" si="1"/>
        <v>0</v>
      </c>
    </row>
    <row r="35" spans="1:17" ht="15.75" customHeight="1">
      <c r="A35" s="62">
        <f>'Students Details'!A34</f>
        <v>28</v>
      </c>
      <c r="B35" s="63" t="str">
        <f>IF('Students Details'!B34="","",'Students Details'!B34)</f>
        <v/>
      </c>
      <c r="C35" s="64" t="str">
        <f>IF('Students Details'!C34="","",'Students Details'!C34)</f>
        <v/>
      </c>
      <c r="D35" s="65"/>
      <c r="E35" s="65"/>
      <c r="F35" s="69"/>
      <c r="G35" s="70"/>
      <c r="H35" s="70"/>
      <c r="I35" s="70"/>
      <c r="J35" s="67">
        <f t="shared" si="2"/>
        <v>0</v>
      </c>
      <c r="K35" s="61">
        <f t="shared" ref="K35:M35" si="30">D35</f>
        <v>0</v>
      </c>
      <c r="L35" s="61">
        <f t="shared" si="30"/>
        <v>0</v>
      </c>
      <c r="M35" s="61">
        <f t="shared" si="30"/>
        <v>0</v>
      </c>
      <c r="N35" s="61">
        <f>IF('CO-PO Mapping'!$A$10="",0,G35)</f>
        <v>0</v>
      </c>
      <c r="O35" s="61">
        <f>IF('CO-PO Mapping'!$A$11="",0,H35)</f>
        <v>0</v>
      </c>
      <c r="P35" s="61">
        <f>IF('CO-PO Mapping'!$A$12="",0,I35)</f>
        <v>0</v>
      </c>
      <c r="Q35" s="68">
        <f t="shared" si="1"/>
        <v>0</v>
      </c>
    </row>
    <row r="36" spans="1:17" ht="15.75" customHeight="1">
      <c r="A36" s="62">
        <f>'Students Details'!A35</f>
        <v>29</v>
      </c>
      <c r="B36" s="63" t="str">
        <f>IF('Students Details'!B35="","",'Students Details'!B35)</f>
        <v/>
      </c>
      <c r="C36" s="64" t="str">
        <f>IF('Students Details'!C35="","",'Students Details'!C35)</f>
        <v/>
      </c>
      <c r="D36" s="65"/>
      <c r="E36" s="65"/>
      <c r="F36" s="65"/>
      <c r="G36" s="70"/>
      <c r="H36" s="70"/>
      <c r="I36" s="70"/>
      <c r="J36" s="67">
        <f t="shared" si="2"/>
        <v>0</v>
      </c>
      <c r="K36" s="61">
        <f t="shared" ref="K36:M36" si="31">D36</f>
        <v>0</v>
      </c>
      <c r="L36" s="61">
        <f t="shared" si="31"/>
        <v>0</v>
      </c>
      <c r="M36" s="61">
        <f t="shared" si="31"/>
        <v>0</v>
      </c>
      <c r="N36" s="61">
        <f>IF('CO-PO Mapping'!$A$10="",0,G36)</f>
        <v>0</v>
      </c>
      <c r="O36" s="61">
        <f>IF('CO-PO Mapping'!$A$11="",0,H36)</f>
        <v>0</v>
      </c>
      <c r="P36" s="61">
        <f>IF('CO-PO Mapping'!$A$12="",0,I36)</f>
        <v>0</v>
      </c>
      <c r="Q36" s="68">
        <f t="shared" si="1"/>
        <v>0</v>
      </c>
    </row>
    <row r="37" spans="1:17" ht="15.75" customHeight="1">
      <c r="A37" s="62">
        <f>'Students Details'!A36</f>
        <v>30</v>
      </c>
      <c r="B37" s="63" t="str">
        <f>IF('Students Details'!B36="","",'Students Details'!B36)</f>
        <v/>
      </c>
      <c r="C37" s="64" t="str">
        <f>IF('Students Details'!C36="","",'Students Details'!C36)</f>
        <v/>
      </c>
      <c r="D37" s="65"/>
      <c r="E37" s="65"/>
      <c r="F37" s="69"/>
      <c r="G37" s="70"/>
      <c r="H37" s="70"/>
      <c r="I37" s="70"/>
      <c r="J37" s="67">
        <f t="shared" si="2"/>
        <v>0</v>
      </c>
      <c r="K37" s="61">
        <f t="shared" ref="K37:M37" si="32">D37</f>
        <v>0</v>
      </c>
      <c r="L37" s="61">
        <f t="shared" si="32"/>
        <v>0</v>
      </c>
      <c r="M37" s="61">
        <f t="shared" si="32"/>
        <v>0</v>
      </c>
      <c r="N37" s="61">
        <f>IF('CO-PO Mapping'!$A$10="",0,G37)</f>
        <v>0</v>
      </c>
      <c r="O37" s="61">
        <f>IF('CO-PO Mapping'!$A$11="",0,H37)</f>
        <v>0</v>
      </c>
      <c r="P37" s="61">
        <f>IF('CO-PO Mapping'!$A$12="",0,I37)</f>
        <v>0</v>
      </c>
      <c r="Q37" s="68">
        <f t="shared" si="1"/>
        <v>0</v>
      </c>
    </row>
    <row r="38" spans="1:17" ht="15.75" customHeight="1">
      <c r="A38" s="62">
        <f>'Students Details'!A37</f>
        <v>31</v>
      </c>
      <c r="B38" s="63" t="str">
        <f>IF('Students Details'!B37="","",'Students Details'!B37)</f>
        <v/>
      </c>
      <c r="C38" s="64" t="str">
        <f>IF('Students Details'!C37="","",'Students Details'!C37)</f>
        <v/>
      </c>
      <c r="D38" s="65"/>
      <c r="E38" s="65"/>
      <c r="F38" s="65"/>
      <c r="G38" s="70"/>
      <c r="H38" s="70"/>
      <c r="I38" s="70"/>
      <c r="J38" s="67">
        <f t="shared" si="2"/>
        <v>0</v>
      </c>
      <c r="K38" s="61">
        <f t="shared" ref="K38:M38" si="33">D38</f>
        <v>0</v>
      </c>
      <c r="L38" s="61">
        <f t="shared" si="33"/>
        <v>0</v>
      </c>
      <c r="M38" s="61">
        <f t="shared" si="33"/>
        <v>0</v>
      </c>
      <c r="N38" s="61">
        <f>IF('CO-PO Mapping'!$A$10="",0,G38)</f>
        <v>0</v>
      </c>
      <c r="O38" s="61">
        <f>IF('CO-PO Mapping'!$A$11="",0,H38)</f>
        <v>0</v>
      </c>
      <c r="P38" s="61">
        <f>IF('CO-PO Mapping'!$A$12="",0,I38)</f>
        <v>0</v>
      </c>
      <c r="Q38" s="68">
        <f t="shared" si="1"/>
        <v>0</v>
      </c>
    </row>
    <row r="39" spans="1:17" ht="15.75" customHeight="1">
      <c r="A39" s="62">
        <f>'Students Details'!A38</f>
        <v>32</v>
      </c>
      <c r="B39" s="63" t="str">
        <f>IF('Students Details'!B38="","",'Students Details'!B38)</f>
        <v/>
      </c>
      <c r="C39" s="64" t="str">
        <f>IF('Students Details'!C38="","",'Students Details'!C38)</f>
        <v/>
      </c>
      <c r="D39" s="65"/>
      <c r="E39" s="65"/>
      <c r="F39" s="69"/>
      <c r="G39" s="70"/>
      <c r="H39" s="70"/>
      <c r="I39" s="70"/>
      <c r="J39" s="67">
        <f t="shared" si="2"/>
        <v>0</v>
      </c>
      <c r="K39" s="61">
        <f t="shared" ref="K39:M39" si="34">D39</f>
        <v>0</v>
      </c>
      <c r="L39" s="61">
        <f t="shared" si="34"/>
        <v>0</v>
      </c>
      <c r="M39" s="61">
        <f t="shared" si="34"/>
        <v>0</v>
      </c>
      <c r="N39" s="61">
        <f>IF('CO-PO Mapping'!$A$10="",0,G39)</f>
        <v>0</v>
      </c>
      <c r="O39" s="61">
        <f>IF('CO-PO Mapping'!$A$11="",0,H39)</f>
        <v>0</v>
      </c>
      <c r="P39" s="61">
        <f>IF('CO-PO Mapping'!$A$12="",0,I39)</f>
        <v>0</v>
      </c>
      <c r="Q39" s="68">
        <f t="shared" si="1"/>
        <v>0</v>
      </c>
    </row>
    <row r="40" spans="1:17" ht="15.75" customHeight="1">
      <c r="A40" s="62">
        <f>'Students Details'!A39</f>
        <v>33</v>
      </c>
      <c r="B40" s="63" t="str">
        <f>IF('Students Details'!B39="","",'Students Details'!B39)</f>
        <v/>
      </c>
      <c r="C40" s="64" t="str">
        <f>IF('Students Details'!C39="","",'Students Details'!C39)</f>
        <v/>
      </c>
      <c r="D40" s="65"/>
      <c r="E40" s="65"/>
      <c r="F40" s="65"/>
      <c r="G40" s="70"/>
      <c r="H40" s="70"/>
      <c r="I40" s="70"/>
      <c r="J40" s="67">
        <f t="shared" ref="J40:J207" si="35">SUM(D40:I40)</f>
        <v>0</v>
      </c>
      <c r="K40" s="61">
        <f t="shared" ref="K40:M40" si="36">D40</f>
        <v>0</v>
      </c>
      <c r="L40" s="61">
        <f t="shared" si="36"/>
        <v>0</v>
      </c>
      <c r="M40" s="61">
        <f t="shared" si="36"/>
        <v>0</v>
      </c>
      <c r="N40" s="61">
        <f>IF('CO-PO Mapping'!$A$10="",0,G40)</f>
        <v>0</v>
      </c>
      <c r="O40" s="61">
        <f>IF('CO-PO Mapping'!$A$11="",0,H40)</f>
        <v>0</v>
      </c>
      <c r="P40" s="61">
        <f>IF('CO-PO Mapping'!$A$12="",0,I40)</f>
        <v>0</v>
      </c>
      <c r="Q40" s="68">
        <f t="shared" si="1"/>
        <v>0</v>
      </c>
    </row>
    <row r="41" spans="1:17" ht="15.75" customHeight="1">
      <c r="A41" s="62">
        <f>'Students Details'!A40</f>
        <v>34</v>
      </c>
      <c r="B41" s="63" t="str">
        <f>IF('Students Details'!B40="","",'Students Details'!B40)</f>
        <v/>
      </c>
      <c r="C41" s="64" t="str">
        <f>IF('Students Details'!C40="","",'Students Details'!C40)</f>
        <v/>
      </c>
      <c r="D41" s="65"/>
      <c r="E41" s="65"/>
      <c r="F41" s="69"/>
      <c r="G41" s="70"/>
      <c r="H41" s="70"/>
      <c r="I41" s="70"/>
      <c r="J41" s="67">
        <f t="shared" si="35"/>
        <v>0</v>
      </c>
      <c r="K41" s="61">
        <f t="shared" ref="K41:M41" si="37">D41</f>
        <v>0</v>
      </c>
      <c r="L41" s="61">
        <f t="shared" si="37"/>
        <v>0</v>
      </c>
      <c r="M41" s="61">
        <f t="shared" si="37"/>
        <v>0</v>
      </c>
      <c r="N41" s="61">
        <f>IF('CO-PO Mapping'!$A$10="",0,G41)</f>
        <v>0</v>
      </c>
      <c r="O41" s="61">
        <f>IF('CO-PO Mapping'!$A$11="",0,H41)</f>
        <v>0</v>
      </c>
      <c r="P41" s="61">
        <f>IF('CO-PO Mapping'!$A$12="",0,I41)</f>
        <v>0</v>
      </c>
      <c r="Q41" s="68">
        <f t="shared" si="1"/>
        <v>0</v>
      </c>
    </row>
    <row r="42" spans="1:17" ht="15.75" customHeight="1">
      <c r="A42" s="62">
        <f>'Students Details'!A41</f>
        <v>35</v>
      </c>
      <c r="B42" s="63" t="str">
        <f>IF('Students Details'!B41="","",'Students Details'!B41)</f>
        <v/>
      </c>
      <c r="C42" s="64" t="str">
        <f>IF('Students Details'!C41="","",'Students Details'!C41)</f>
        <v/>
      </c>
      <c r="D42" s="65"/>
      <c r="E42" s="65"/>
      <c r="F42" s="65"/>
      <c r="G42" s="70"/>
      <c r="H42" s="70"/>
      <c r="I42" s="70"/>
      <c r="J42" s="67">
        <f t="shared" si="35"/>
        <v>0</v>
      </c>
      <c r="K42" s="61">
        <f t="shared" ref="K42:M42" si="38">D42</f>
        <v>0</v>
      </c>
      <c r="L42" s="61">
        <f t="shared" si="38"/>
        <v>0</v>
      </c>
      <c r="M42" s="61">
        <f t="shared" si="38"/>
        <v>0</v>
      </c>
      <c r="N42" s="61">
        <f>IF('CO-PO Mapping'!$A$10="",0,G42)</f>
        <v>0</v>
      </c>
      <c r="O42" s="61">
        <f>IF('CO-PO Mapping'!$A$11="",0,H42)</f>
        <v>0</v>
      </c>
      <c r="P42" s="61">
        <f>IF('CO-PO Mapping'!$A$12="",0,I42)</f>
        <v>0</v>
      </c>
      <c r="Q42" s="68">
        <f t="shared" si="1"/>
        <v>0</v>
      </c>
    </row>
    <row r="43" spans="1:17" ht="15.75" customHeight="1">
      <c r="A43" s="62">
        <f>'Students Details'!A42</f>
        <v>36</v>
      </c>
      <c r="B43" s="63" t="str">
        <f>IF('Students Details'!B42="","",'Students Details'!B42)</f>
        <v/>
      </c>
      <c r="C43" s="64" t="str">
        <f>IF('Students Details'!C42="","",'Students Details'!C42)</f>
        <v/>
      </c>
      <c r="D43" s="65"/>
      <c r="E43" s="65"/>
      <c r="F43" s="69"/>
      <c r="G43" s="70"/>
      <c r="H43" s="70"/>
      <c r="I43" s="70"/>
      <c r="J43" s="67">
        <f t="shared" si="35"/>
        <v>0</v>
      </c>
      <c r="K43" s="61">
        <f t="shared" ref="K43:M43" si="39">D43</f>
        <v>0</v>
      </c>
      <c r="L43" s="61">
        <f t="shared" si="39"/>
        <v>0</v>
      </c>
      <c r="M43" s="61">
        <f t="shared" si="39"/>
        <v>0</v>
      </c>
      <c r="N43" s="61">
        <f>IF('CO-PO Mapping'!$A$10="",0,G43)</f>
        <v>0</v>
      </c>
      <c r="O43" s="61">
        <f>IF('CO-PO Mapping'!$A$11="",0,H43)</f>
        <v>0</v>
      </c>
      <c r="P43" s="61">
        <f>IF('CO-PO Mapping'!$A$12="",0,I43)</f>
        <v>0</v>
      </c>
      <c r="Q43" s="68">
        <f t="shared" si="1"/>
        <v>0</v>
      </c>
    </row>
    <row r="44" spans="1:17" ht="15.75" customHeight="1">
      <c r="A44" s="62">
        <f>'Students Details'!A43</f>
        <v>37</v>
      </c>
      <c r="B44" s="63" t="str">
        <f>IF('Students Details'!B43="","",'Students Details'!B43)</f>
        <v/>
      </c>
      <c r="C44" s="64" t="str">
        <f>IF('Students Details'!C43="","",'Students Details'!C43)</f>
        <v/>
      </c>
      <c r="D44" s="65"/>
      <c r="E44" s="65"/>
      <c r="F44" s="65"/>
      <c r="G44" s="70"/>
      <c r="H44" s="70"/>
      <c r="I44" s="70"/>
      <c r="J44" s="67">
        <f t="shared" si="35"/>
        <v>0</v>
      </c>
      <c r="K44" s="61">
        <f t="shared" ref="K44:M44" si="40">D44</f>
        <v>0</v>
      </c>
      <c r="L44" s="61">
        <f t="shared" si="40"/>
        <v>0</v>
      </c>
      <c r="M44" s="61">
        <f t="shared" si="40"/>
        <v>0</v>
      </c>
      <c r="N44" s="61">
        <f>IF('CO-PO Mapping'!$A$10="",0,G44)</f>
        <v>0</v>
      </c>
      <c r="O44" s="61">
        <f>IF('CO-PO Mapping'!$A$11="",0,H44)</f>
        <v>0</v>
      </c>
      <c r="P44" s="61">
        <f>IF('CO-PO Mapping'!$A$12="",0,I44)</f>
        <v>0</v>
      </c>
      <c r="Q44" s="68">
        <f t="shared" si="1"/>
        <v>0</v>
      </c>
    </row>
    <row r="45" spans="1:17" ht="15.75" customHeight="1">
      <c r="A45" s="62">
        <f>'Students Details'!A44</f>
        <v>38</v>
      </c>
      <c r="B45" s="63" t="str">
        <f>IF('Students Details'!B44="","",'Students Details'!B44)</f>
        <v/>
      </c>
      <c r="C45" s="64" t="str">
        <f>IF('Students Details'!C44="","",'Students Details'!C44)</f>
        <v/>
      </c>
      <c r="D45" s="65"/>
      <c r="E45" s="65"/>
      <c r="F45" s="69"/>
      <c r="G45" s="70"/>
      <c r="H45" s="70"/>
      <c r="I45" s="70"/>
      <c r="J45" s="67">
        <f t="shared" si="35"/>
        <v>0</v>
      </c>
      <c r="K45" s="61">
        <f t="shared" ref="K45:M45" si="41">D45</f>
        <v>0</v>
      </c>
      <c r="L45" s="61">
        <f t="shared" si="41"/>
        <v>0</v>
      </c>
      <c r="M45" s="61">
        <f t="shared" si="41"/>
        <v>0</v>
      </c>
      <c r="N45" s="61">
        <f>IF('CO-PO Mapping'!$A$10="",0,G45)</f>
        <v>0</v>
      </c>
      <c r="O45" s="61">
        <f>IF('CO-PO Mapping'!$A$11="",0,H45)</f>
        <v>0</v>
      </c>
      <c r="P45" s="61">
        <f>IF('CO-PO Mapping'!$A$12="",0,I45)</f>
        <v>0</v>
      </c>
      <c r="Q45" s="68">
        <f t="shared" si="1"/>
        <v>0</v>
      </c>
    </row>
    <row r="46" spans="1:17" ht="15.75" customHeight="1">
      <c r="A46" s="62">
        <f>'Students Details'!A45</f>
        <v>39</v>
      </c>
      <c r="B46" s="63" t="str">
        <f>IF('Students Details'!B45="","",'Students Details'!B45)</f>
        <v/>
      </c>
      <c r="C46" s="64" t="str">
        <f>IF('Students Details'!C45="","",'Students Details'!C45)</f>
        <v/>
      </c>
      <c r="D46" s="65"/>
      <c r="E46" s="65"/>
      <c r="F46" s="65"/>
      <c r="G46" s="70"/>
      <c r="H46" s="70"/>
      <c r="I46" s="70"/>
      <c r="J46" s="67">
        <f t="shared" si="35"/>
        <v>0</v>
      </c>
      <c r="K46" s="61">
        <f t="shared" ref="K46:M46" si="42">D46</f>
        <v>0</v>
      </c>
      <c r="L46" s="61">
        <f t="shared" si="42"/>
        <v>0</v>
      </c>
      <c r="M46" s="61">
        <f t="shared" si="42"/>
        <v>0</v>
      </c>
      <c r="N46" s="61">
        <f>IF('CO-PO Mapping'!$A$10="",0,G46)</f>
        <v>0</v>
      </c>
      <c r="O46" s="61">
        <f>IF('CO-PO Mapping'!$A$11="",0,H46)</f>
        <v>0</v>
      </c>
      <c r="P46" s="61">
        <f>IF('CO-PO Mapping'!$A$12="",0,I46)</f>
        <v>0</v>
      </c>
      <c r="Q46" s="68">
        <f t="shared" si="1"/>
        <v>0</v>
      </c>
    </row>
    <row r="47" spans="1:17" ht="15.75" customHeight="1">
      <c r="A47" s="62">
        <f>'Students Details'!A46</f>
        <v>40</v>
      </c>
      <c r="B47" s="63" t="str">
        <f>IF('Students Details'!B46="","",'Students Details'!B46)</f>
        <v/>
      </c>
      <c r="C47" s="64" t="str">
        <f>IF('Students Details'!C46="","",'Students Details'!C46)</f>
        <v/>
      </c>
      <c r="D47" s="65"/>
      <c r="E47" s="65"/>
      <c r="F47" s="69"/>
      <c r="G47" s="70"/>
      <c r="H47" s="70"/>
      <c r="I47" s="70"/>
      <c r="J47" s="67">
        <f t="shared" si="35"/>
        <v>0</v>
      </c>
      <c r="K47" s="61">
        <f t="shared" ref="K47:M47" si="43">D47</f>
        <v>0</v>
      </c>
      <c r="L47" s="61">
        <f t="shared" si="43"/>
        <v>0</v>
      </c>
      <c r="M47" s="61">
        <f t="shared" si="43"/>
        <v>0</v>
      </c>
      <c r="N47" s="61">
        <f>IF('CO-PO Mapping'!$A$10="",0,G47)</f>
        <v>0</v>
      </c>
      <c r="O47" s="61">
        <f>IF('CO-PO Mapping'!$A$11="",0,H47)</f>
        <v>0</v>
      </c>
      <c r="P47" s="61">
        <f>IF('CO-PO Mapping'!$A$12="",0,I47)</f>
        <v>0</v>
      </c>
      <c r="Q47" s="68">
        <f t="shared" si="1"/>
        <v>0</v>
      </c>
    </row>
    <row r="48" spans="1:17" ht="15.75" customHeight="1">
      <c r="A48" s="62">
        <f>'Students Details'!A47</f>
        <v>41</v>
      </c>
      <c r="B48" s="63" t="str">
        <f>IF('Students Details'!B47="","",'Students Details'!B47)</f>
        <v/>
      </c>
      <c r="C48" s="64" t="str">
        <f>IF('Students Details'!C47="","",'Students Details'!C47)</f>
        <v/>
      </c>
      <c r="D48" s="65"/>
      <c r="E48" s="65"/>
      <c r="F48" s="65"/>
      <c r="G48" s="70"/>
      <c r="H48" s="70"/>
      <c r="I48" s="70"/>
      <c r="J48" s="67">
        <f t="shared" si="35"/>
        <v>0</v>
      </c>
      <c r="K48" s="61">
        <f t="shared" ref="K48:M48" si="44">D48</f>
        <v>0</v>
      </c>
      <c r="L48" s="61">
        <f t="shared" si="44"/>
        <v>0</v>
      </c>
      <c r="M48" s="61">
        <f t="shared" si="44"/>
        <v>0</v>
      </c>
      <c r="N48" s="61">
        <f>IF('CO-PO Mapping'!$A$10="",0,G48)</f>
        <v>0</v>
      </c>
      <c r="O48" s="61">
        <f>IF('CO-PO Mapping'!$A$11="",0,H48)</f>
        <v>0</v>
      </c>
      <c r="P48" s="61">
        <f>IF('CO-PO Mapping'!$A$12="",0,I48)</f>
        <v>0</v>
      </c>
      <c r="Q48" s="68">
        <f t="shared" si="1"/>
        <v>0</v>
      </c>
    </row>
    <row r="49" spans="1:17" ht="15.75" customHeight="1">
      <c r="A49" s="62">
        <f>'Students Details'!A48</f>
        <v>42</v>
      </c>
      <c r="B49" s="63" t="str">
        <f>IF('Students Details'!B48="","",'Students Details'!B48)</f>
        <v/>
      </c>
      <c r="C49" s="64" t="str">
        <f>IF('Students Details'!C48="","",'Students Details'!C48)</f>
        <v/>
      </c>
      <c r="D49" s="65"/>
      <c r="E49" s="65"/>
      <c r="F49" s="69"/>
      <c r="G49" s="70"/>
      <c r="H49" s="70"/>
      <c r="I49" s="70"/>
      <c r="J49" s="67">
        <f t="shared" si="35"/>
        <v>0</v>
      </c>
      <c r="K49" s="61">
        <f t="shared" ref="K49:M49" si="45">D49</f>
        <v>0</v>
      </c>
      <c r="L49" s="61">
        <f t="shared" si="45"/>
        <v>0</v>
      </c>
      <c r="M49" s="61">
        <f t="shared" si="45"/>
        <v>0</v>
      </c>
      <c r="N49" s="61">
        <f>IF('CO-PO Mapping'!$A$10="",0,G49)</f>
        <v>0</v>
      </c>
      <c r="O49" s="61">
        <f>IF('CO-PO Mapping'!$A$11="",0,H49)</f>
        <v>0</v>
      </c>
      <c r="P49" s="61">
        <f>IF('CO-PO Mapping'!$A$12="",0,I49)</f>
        <v>0</v>
      </c>
      <c r="Q49" s="68">
        <f t="shared" si="1"/>
        <v>0</v>
      </c>
    </row>
    <row r="50" spans="1:17" ht="15.75" customHeight="1">
      <c r="A50" s="62">
        <f>'Students Details'!A49</f>
        <v>43</v>
      </c>
      <c r="B50" s="63" t="str">
        <f>IF('Students Details'!B49="","",'Students Details'!B49)</f>
        <v/>
      </c>
      <c r="C50" s="64" t="str">
        <f>IF('Students Details'!C49="","",'Students Details'!C49)</f>
        <v/>
      </c>
      <c r="D50" s="65"/>
      <c r="E50" s="65"/>
      <c r="F50" s="65"/>
      <c r="G50" s="70"/>
      <c r="H50" s="70"/>
      <c r="I50" s="70"/>
      <c r="J50" s="67">
        <f t="shared" si="35"/>
        <v>0</v>
      </c>
      <c r="K50" s="61">
        <f t="shared" ref="K50:M50" si="46">D50</f>
        <v>0</v>
      </c>
      <c r="L50" s="61">
        <f t="shared" si="46"/>
        <v>0</v>
      </c>
      <c r="M50" s="61">
        <f t="shared" si="46"/>
        <v>0</v>
      </c>
      <c r="N50" s="61">
        <f>IF('CO-PO Mapping'!$A$10="",0,G50)</f>
        <v>0</v>
      </c>
      <c r="O50" s="61">
        <f>IF('CO-PO Mapping'!$A$11="",0,H50)</f>
        <v>0</v>
      </c>
      <c r="P50" s="61">
        <f>IF('CO-PO Mapping'!$A$12="",0,I50)</f>
        <v>0</v>
      </c>
      <c r="Q50" s="68">
        <f t="shared" si="1"/>
        <v>0</v>
      </c>
    </row>
    <row r="51" spans="1:17" ht="15.75" customHeight="1">
      <c r="A51" s="62">
        <f>'Students Details'!A50</f>
        <v>44</v>
      </c>
      <c r="B51" s="63" t="str">
        <f>IF('Students Details'!B50="","",'Students Details'!B50)</f>
        <v/>
      </c>
      <c r="C51" s="64" t="str">
        <f>IF('Students Details'!C50="","",'Students Details'!C50)</f>
        <v/>
      </c>
      <c r="D51" s="65"/>
      <c r="E51" s="65"/>
      <c r="F51" s="69"/>
      <c r="G51" s="70"/>
      <c r="H51" s="70"/>
      <c r="I51" s="70"/>
      <c r="J51" s="67">
        <f t="shared" si="35"/>
        <v>0</v>
      </c>
      <c r="K51" s="61">
        <f t="shared" ref="K51:M51" si="47">D51</f>
        <v>0</v>
      </c>
      <c r="L51" s="61">
        <f t="shared" si="47"/>
        <v>0</v>
      </c>
      <c r="M51" s="61">
        <f t="shared" si="47"/>
        <v>0</v>
      </c>
      <c r="N51" s="61">
        <f>IF('CO-PO Mapping'!$A$10="",0,G51)</f>
        <v>0</v>
      </c>
      <c r="O51" s="61">
        <f>IF('CO-PO Mapping'!$A$11="",0,H51)</f>
        <v>0</v>
      </c>
      <c r="P51" s="61">
        <f>IF('CO-PO Mapping'!$A$12="",0,I51)</f>
        <v>0</v>
      </c>
      <c r="Q51" s="68">
        <f t="shared" si="1"/>
        <v>0</v>
      </c>
    </row>
    <row r="52" spans="1:17" ht="15.75" customHeight="1">
      <c r="A52" s="62">
        <f>'Students Details'!A51</f>
        <v>45</v>
      </c>
      <c r="B52" s="63" t="str">
        <f>IF('Students Details'!B51="","",'Students Details'!B51)</f>
        <v/>
      </c>
      <c r="C52" s="64" t="str">
        <f>IF('Students Details'!C51="","",'Students Details'!C51)</f>
        <v/>
      </c>
      <c r="D52" s="65"/>
      <c r="E52" s="65"/>
      <c r="F52" s="65"/>
      <c r="G52" s="70"/>
      <c r="H52" s="70"/>
      <c r="I52" s="70"/>
      <c r="J52" s="67">
        <f t="shared" si="35"/>
        <v>0</v>
      </c>
      <c r="K52" s="61">
        <f t="shared" ref="K52:M52" si="48">D52</f>
        <v>0</v>
      </c>
      <c r="L52" s="61">
        <f t="shared" si="48"/>
        <v>0</v>
      </c>
      <c r="M52" s="61">
        <f t="shared" si="48"/>
        <v>0</v>
      </c>
      <c r="N52" s="61">
        <f>IF('CO-PO Mapping'!$A$10="",0,G52)</f>
        <v>0</v>
      </c>
      <c r="O52" s="61">
        <f>IF('CO-PO Mapping'!$A$11="",0,H52)</f>
        <v>0</v>
      </c>
      <c r="P52" s="61">
        <f>IF('CO-PO Mapping'!$A$12="",0,I52)</f>
        <v>0</v>
      </c>
      <c r="Q52" s="68">
        <f t="shared" si="1"/>
        <v>0</v>
      </c>
    </row>
    <row r="53" spans="1:17" ht="15.75" customHeight="1">
      <c r="A53" s="62">
        <f>'Students Details'!A52</f>
        <v>46</v>
      </c>
      <c r="B53" s="63" t="str">
        <f>IF('Students Details'!B52="","",'Students Details'!B52)</f>
        <v/>
      </c>
      <c r="C53" s="64" t="str">
        <f>IF('Students Details'!C52="","",'Students Details'!C52)</f>
        <v/>
      </c>
      <c r="D53" s="66"/>
      <c r="E53" s="66"/>
      <c r="F53" s="70"/>
      <c r="G53" s="70"/>
      <c r="H53" s="70"/>
      <c r="I53" s="70"/>
      <c r="J53" s="67">
        <f t="shared" si="35"/>
        <v>0</v>
      </c>
      <c r="K53" s="61">
        <f t="shared" ref="K53:M53" si="49">D53</f>
        <v>0</v>
      </c>
      <c r="L53" s="61">
        <f t="shared" si="49"/>
        <v>0</v>
      </c>
      <c r="M53" s="61">
        <f t="shared" si="49"/>
        <v>0</v>
      </c>
      <c r="N53" s="61">
        <f>IF('CO-PO Mapping'!$A$10="",0,G53)</f>
        <v>0</v>
      </c>
      <c r="O53" s="61">
        <f>IF('CO-PO Mapping'!$A$11="",0,H53)</f>
        <v>0</v>
      </c>
      <c r="P53" s="61">
        <f>IF('CO-PO Mapping'!$A$12="",0,I53)</f>
        <v>0</v>
      </c>
      <c r="Q53" s="68">
        <f t="shared" si="1"/>
        <v>0</v>
      </c>
    </row>
    <row r="54" spans="1:17" ht="15.75" customHeight="1">
      <c r="A54" s="62">
        <f>'Students Details'!A53</f>
        <v>47</v>
      </c>
      <c r="B54" s="63" t="str">
        <f>IF('Students Details'!B53="","",'Students Details'!B53)</f>
        <v/>
      </c>
      <c r="C54" s="64" t="str">
        <f>IF('Students Details'!C53="","",'Students Details'!C53)</f>
        <v/>
      </c>
      <c r="D54" s="65"/>
      <c r="E54" s="65"/>
      <c r="F54" s="65"/>
      <c r="G54" s="70"/>
      <c r="H54" s="70"/>
      <c r="I54" s="70"/>
      <c r="J54" s="67">
        <f t="shared" si="35"/>
        <v>0</v>
      </c>
      <c r="K54" s="61">
        <f t="shared" ref="K54:M54" si="50">D54</f>
        <v>0</v>
      </c>
      <c r="L54" s="61">
        <f t="shared" si="50"/>
        <v>0</v>
      </c>
      <c r="M54" s="61">
        <f t="shared" si="50"/>
        <v>0</v>
      </c>
      <c r="N54" s="61">
        <f>IF('CO-PO Mapping'!$A$10="",0,G54)</f>
        <v>0</v>
      </c>
      <c r="O54" s="61">
        <f>IF('CO-PO Mapping'!$A$11="",0,H54)</f>
        <v>0</v>
      </c>
      <c r="P54" s="61">
        <f>IF('CO-PO Mapping'!$A$12="",0,I54)</f>
        <v>0</v>
      </c>
      <c r="Q54" s="68">
        <f t="shared" si="1"/>
        <v>0</v>
      </c>
    </row>
    <row r="55" spans="1:17" ht="15.75" customHeight="1">
      <c r="A55" s="62">
        <f>'Students Details'!A54</f>
        <v>48</v>
      </c>
      <c r="B55" s="63" t="str">
        <f>IF('Students Details'!B54="","",'Students Details'!B54)</f>
        <v/>
      </c>
      <c r="C55" s="64" t="str">
        <f>IF('Students Details'!C54="","",'Students Details'!C54)</f>
        <v/>
      </c>
      <c r="D55" s="65"/>
      <c r="E55" s="65"/>
      <c r="F55" s="69"/>
      <c r="G55" s="70"/>
      <c r="H55" s="70"/>
      <c r="I55" s="70"/>
      <c r="J55" s="67">
        <f t="shared" si="35"/>
        <v>0</v>
      </c>
      <c r="K55" s="61">
        <f t="shared" ref="K55:M55" si="51">D55</f>
        <v>0</v>
      </c>
      <c r="L55" s="61">
        <f t="shared" si="51"/>
        <v>0</v>
      </c>
      <c r="M55" s="61">
        <f t="shared" si="51"/>
        <v>0</v>
      </c>
      <c r="N55" s="61">
        <f>IF('CO-PO Mapping'!$A$10="",0,G55)</f>
        <v>0</v>
      </c>
      <c r="O55" s="61">
        <f>IF('CO-PO Mapping'!$A$11="",0,H55)</f>
        <v>0</v>
      </c>
      <c r="P55" s="61">
        <f>IF('CO-PO Mapping'!$A$12="",0,I55)</f>
        <v>0</v>
      </c>
      <c r="Q55" s="68">
        <f t="shared" si="1"/>
        <v>0</v>
      </c>
    </row>
    <row r="56" spans="1:17" ht="15.75" customHeight="1">
      <c r="A56" s="62">
        <f>'Students Details'!A55</f>
        <v>49</v>
      </c>
      <c r="B56" s="63" t="str">
        <f>IF('Students Details'!B55="","",'Students Details'!B55)</f>
        <v/>
      </c>
      <c r="C56" s="64" t="str">
        <f>IF('Students Details'!C55="","",'Students Details'!C55)</f>
        <v/>
      </c>
      <c r="D56" s="65"/>
      <c r="E56" s="65"/>
      <c r="F56" s="65"/>
      <c r="G56" s="70"/>
      <c r="H56" s="70"/>
      <c r="I56" s="70"/>
      <c r="J56" s="67">
        <f t="shared" si="35"/>
        <v>0</v>
      </c>
      <c r="K56" s="61">
        <f t="shared" ref="K56:M56" si="52">D56</f>
        <v>0</v>
      </c>
      <c r="L56" s="61">
        <f t="shared" si="52"/>
        <v>0</v>
      </c>
      <c r="M56" s="61">
        <f t="shared" si="52"/>
        <v>0</v>
      </c>
      <c r="N56" s="61">
        <f>IF('CO-PO Mapping'!$A$10="",0,G56)</f>
        <v>0</v>
      </c>
      <c r="O56" s="61">
        <f>IF('CO-PO Mapping'!$A$11="",0,H56)</f>
        <v>0</v>
      </c>
      <c r="P56" s="61">
        <f>IF('CO-PO Mapping'!$A$12="",0,I56)</f>
        <v>0</v>
      </c>
      <c r="Q56" s="68">
        <f t="shared" si="1"/>
        <v>0</v>
      </c>
    </row>
    <row r="57" spans="1:17" ht="15.75" customHeight="1">
      <c r="A57" s="62">
        <f>'Students Details'!A56</f>
        <v>50</v>
      </c>
      <c r="B57" s="63" t="str">
        <f>IF('Students Details'!B56="","",'Students Details'!B56)</f>
        <v/>
      </c>
      <c r="C57" s="64" t="str">
        <f>IF('Students Details'!C56="","",'Students Details'!C56)</f>
        <v/>
      </c>
      <c r="D57" s="65"/>
      <c r="E57" s="65"/>
      <c r="F57" s="69"/>
      <c r="G57" s="70"/>
      <c r="H57" s="70"/>
      <c r="I57" s="70"/>
      <c r="J57" s="67">
        <f t="shared" si="35"/>
        <v>0</v>
      </c>
      <c r="K57" s="61">
        <f t="shared" ref="K57:M57" si="53">D57</f>
        <v>0</v>
      </c>
      <c r="L57" s="61">
        <f t="shared" si="53"/>
        <v>0</v>
      </c>
      <c r="M57" s="61">
        <f t="shared" si="53"/>
        <v>0</v>
      </c>
      <c r="N57" s="61">
        <f>IF('CO-PO Mapping'!$A$10="",0,G57)</f>
        <v>0</v>
      </c>
      <c r="O57" s="61">
        <f>IF('CO-PO Mapping'!$A$11="",0,H57)</f>
        <v>0</v>
      </c>
      <c r="P57" s="61">
        <f>IF('CO-PO Mapping'!$A$12="",0,I57)</f>
        <v>0</v>
      </c>
      <c r="Q57" s="68">
        <f t="shared" si="1"/>
        <v>0</v>
      </c>
    </row>
    <row r="58" spans="1:17" ht="15.75" customHeight="1">
      <c r="A58" s="62">
        <f>'Students Details'!A57</f>
        <v>51</v>
      </c>
      <c r="B58" s="63" t="str">
        <f>IF('Students Details'!B57="","",'Students Details'!B57)</f>
        <v/>
      </c>
      <c r="C58" s="64" t="str">
        <f>IF('Students Details'!C57="","",'Students Details'!C57)</f>
        <v/>
      </c>
      <c r="D58" s="65"/>
      <c r="E58" s="65"/>
      <c r="F58" s="65"/>
      <c r="G58" s="70"/>
      <c r="H58" s="70"/>
      <c r="I58" s="70"/>
      <c r="J58" s="67">
        <f t="shared" si="35"/>
        <v>0</v>
      </c>
      <c r="K58" s="61">
        <f t="shared" ref="K58:M58" si="54">D58</f>
        <v>0</v>
      </c>
      <c r="L58" s="61">
        <f t="shared" si="54"/>
        <v>0</v>
      </c>
      <c r="M58" s="61">
        <f t="shared" si="54"/>
        <v>0</v>
      </c>
      <c r="N58" s="61">
        <f>IF('CO-PO Mapping'!$A$10="",0,G58)</f>
        <v>0</v>
      </c>
      <c r="O58" s="61">
        <f>IF('CO-PO Mapping'!$A$11="",0,H58)</f>
        <v>0</v>
      </c>
      <c r="P58" s="61">
        <f>IF('CO-PO Mapping'!$A$12="",0,I58)</f>
        <v>0</v>
      </c>
      <c r="Q58" s="68">
        <f t="shared" si="1"/>
        <v>0</v>
      </c>
    </row>
    <row r="59" spans="1:17" ht="15.75" customHeight="1">
      <c r="A59" s="62">
        <f>'Students Details'!A58</f>
        <v>52</v>
      </c>
      <c r="B59" s="63" t="str">
        <f>IF('Students Details'!B58="","",'Students Details'!B58)</f>
        <v/>
      </c>
      <c r="C59" s="64" t="str">
        <f>IF('Students Details'!C58="","",'Students Details'!C58)</f>
        <v/>
      </c>
      <c r="D59" s="65"/>
      <c r="E59" s="65"/>
      <c r="F59" s="69"/>
      <c r="G59" s="70"/>
      <c r="H59" s="70"/>
      <c r="I59" s="70"/>
      <c r="J59" s="67">
        <f t="shared" si="35"/>
        <v>0</v>
      </c>
      <c r="K59" s="61">
        <f t="shared" ref="K59:M59" si="55">D59</f>
        <v>0</v>
      </c>
      <c r="L59" s="61">
        <f t="shared" si="55"/>
        <v>0</v>
      </c>
      <c r="M59" s="61">
        <f t="shared" si="55"/>
        <v>0</v>
      </c>
      <c r="N59" s="61">
        <f>IF('CO-PO Mapping'!$A$10="",0,G59)</f>
        <v>0</v>
      </c>
      <c r="O59" s="61">
        <f>IF('CO-PO Mapping'!$A$11="",0,H59)</f>
        <v>0</v>
      </c>
      <c r="P59" s="61">
        <f>IF('CO-PO Mapping'!$A$12="",0,I59)</f>
        <v>0</v>
      </c>
      <c r="Q59" s="68">
        <f t="shared" si="1"/>
        <v>0</v>
      </c>
    </row>
    <row r="60" spans="1:17" ht="15.75" customHeight="1">
      <c r="A60" s="62">
        <f>'Students Details'!A59</f>
        <v>53</v>
      </c>
      <c r="B60" s="63" t="str">
        <f>IF('Students Details'!B59="","",'Students Details'!B59)</f>
        <v/>
      </c>
      <c r="C60" s="64" t="str">
        <f>IF('Students Details'!C59="","",'Students Details'!C59)</f>
        <v/>
      </c>
      <c r="D60" s="65"/>
      <c r="E60" s="65"/>
      <c r="F60" s="65"/>
      <c r="G60" s="70"/>
      <c r="H60" s="70"/>
      <c r="I60" s="70"/>
      <c r="J60" s="67">
        <f t="shared" si="35"/>
        <v>0</v>
      </c>
      <c r="K60" s="61">
        <f t="shared" ref="K60:M60" si="56">D60</f>
        <v>0</v>
      </c>
      <c r="L60" s="61">
        <f t="shared" si="56"/>
        <v>0</v>
      </c>
      <c r="M60" s="61">
        <f t="shared" si="56"/>
        <v>0</v>
      </c>
      <c r="N60" s="61">
        <f>IF('CO-PO Mapping'!$A$10="",0,G60)</f>
        <v>0</v>
      </c>
      <c r="O60" s="61">
        <f>IF('CO-PO Mapping'!$A$11="",0,H60)</f>
        <v>0</v>
      </c>
      <c r="P60" s="61">
        <f>IF('CO-PO Mapping'!$A$12="",0,I60)</f>
        <v>0</v>
      </c>
      <c r="Q60" s="68">
        <f t="shared" si="1"/>
        <v>0</v>
      </c>
    </row>
    <row r="61" spans="1:17" ht="15.75" customHeight="1">
      <c r="A61" s="62">
        <f>'Students Details'!A60</f>
        <v>54</v>
      </c>
      <c r="B61" s="63" t="str">
        <f>IF('Students Details'!B60="","",'Students Details'!B60)</f>
        <v/>
      </c>
      <c r="C61" s="64" t="str">
        <f>IF('Students Details'!C60="","",'Students Details'!C60)</f>
        <v/>
      </c>
      <c r="D61" s="65"/>
      <c r="E61" s="65"/>
      <c r="F61" s="69"/>
      <c r="G61" s="70"/>
      <c r="H61" s="70"/>
      <c r="I61" s="70"/>
      <c r="J61" s="67">
        <f t="shared" si="35"/>
        <v>0</v>
      </c>
      <c r="K61" s="61">
        <f t="shared" ref="K61:M61" si="57">D61</f>
        <v>0</v>
      </c>
      <c r="L61" s="61">
        <f t="shared" si="57"/>
        <v>0</v>
      </c>
      <c r="M61" s="61">
        <f t="shared" si="57"/>
        <v>0</v>
      </c>
      <c r="N61" s="61">
        <f>IF('CO-PO Mapping'!$A$10="",0,G61)</f>
        <v>0</v>
      </c>
      <c r="O61" s="61">
        <f>IF('CO-PO Mapping'!$A$11="",0,H61)</f>
        <v>0</v>
      </c>
      <c r="P61" s="61">
        <f>IF('CO-PO Mapping'!$A$12="",0,I61)</f>
        <v>0</v>
      </c>
      <c r="Q61" s="68">
        <f t="shared" si="1"/>
        <v>0</v>
      </c>
    </row>
    <row r="62" spans="1:17" ht="15.75" customHeight="1">
      <c r="A62" s="62">
        <f>'Students Details'!A61</f>
        <v>55</v>
      </c>
      <c r="B62" s="63" t="str">
        <f>IF('Students Details'!B61="","",'Students Details'!B61)</f>
        <v/>
      </c>
      <c r="C62" s="64" t="str">
        <f>IF('Students Details'!C61="","",'Students Details'!C61)</f>
        <v/>
      </c>
      <c r="D62" s="65"/>
      <c r="E62" s="65"/>
      <c r="F62" s="65"/>
      <c r="G62" s="70"/>
      <c r="H62" s="70"/>
      <c r="I62" s="70"/>
      <c r="J62" s="67">
        <f t="shared" si="35"/>
        <v>0</v>
      </c>
      <c r="K62" s="61">
        <f t="shared" ref="K62:M62" si="58">D62</f>
        <v>0</v>
      </c>
      <c r="L62" s="61">
        <f t="shared" si="58"/>
        <v>0</v>
      </c>
      <c r="M62" s="61">
        <f t="shared" si="58"/>
        <v>0</v>
      </c>
      <c r="N62" s="61">
        <f>IF('CO-PO Mapping'!$A$10="",0,G62)</f>
        <v>0</v>
      </c>
      <c r="O62" s="61">
        <f>IF('CO-PO Mapping'!$A$11="",0,H62)</f>
        <v>0</v>
      </c>
      <c r="P62" s="61">
        <f>IF('CO-PO Mapping'!$A$12="",0,I62)</f>
        <v>0</v>
      </c>
      <c r="Q62" s="68">
        <f t="shared" si="1"/>
        <v>0</v>
      </c>
    </row>
    <row r="63" spans="1:17" ht="15.75" customHeight="1">
      <c r="A63" s="62">
        <f>'Students Details'!A62</f>
        <v>56</v>
      </c>
      <c r="B63" s="63" t="str">
        <f>IF('Students Details'!B62="","",'Students Details'!B62)</f>
        <v/>
      </c>
      <c r="C63" s="64" t="str">
        <f>IF('Students Details'!C62="","",'Students Details'!C62)</f>
        <v/>
      </c>
      <c r="D63" s="66"/>
      <c r="E63" s="66"/>
      <c r="F63" s="70"/>
      <c r="G63" s="70"/>
      <c r="H63" s="70"/>
      <c r="I63" s="70"/>
      <c r="J63" s="67">
        <f t="shared" si="35"/>
        <v>0</v>
      </c>
      <c r="K63" s="61">
        <f t="shared" ref="K63:M63" si="59">D63</f>
        <v>0</v>
      </c>
      <c r="L63" s="61">
        <f t="shared" si="59"/>
        <v>0</v>
      </c>
      <c r="M63" s="61">
        <f t="shared" si="59"/>
        <v>0</v>
      </c>
      <c r="N63" s="61">
        <f>IF('CO-PO Mapping'!$A$10="",0,G63)</f>
        <v>0</v>
      </c>
      <c r="O63" s="61">
        <f>IF('CO-PO Mapping'!$A$11="",0,H63)</f>
        <v>0</v>
      </c>
      <c r="P63" s="61">
        <f>IF('CO-PO Mapping'!$A$12="",0,I63)</f>
        <v>0</v>
      </c>
      <c r="Q63" s="68">
        <f t="shared" si="1"/>
        <v>0</v>
      </c>
    </row>
    <row r="64" spans="1:17" ht="15.75" customHeight="1">
      <c r="A64" s="62">
        <f>'Students Details'!A63</f>
        <v>57</v>
      </c>
      <c r="B64" s="63" t="str">
        <f>IF('Students Details'!B63="","",'Students Details'!B63)</f>
        <v/>
      </c>
      <c r="C64" s="64" t="str">
        <f>IF('Students Details'!C63="","",'Students Details'!C63)</f>
        <v/>
      </c>
      <c r="D64" s="66"/>
      <c r="E64" s="66"/>
      <c r="F64" s="66"/>
      <c r="G64" s="70"/>
      <c r="H64" s="70"/>
      <c r="I64" s="70"/>
      <c r="J64" s="67">
        <f t="shared" si="35"/>
        <v>0</v>
      </c>
      <c r="K64" s="61">
        <f t="shared" ref="K64:M64" si="60">D64</f>
        <v>0</v>
      </c>
      <c r="L64" s="61">
        <f t="shared" si="60"/>
        <v>0</v>
      </c>
      <c r="M64" s="61">
        <f t="shared" si="60"/>
        <v>0</v>
      </c>
      <c r="N64" s="61">
        <f>IF('CO-PO Mapping'!$A$10="",0,G64)</f>
        <v>0</v>
      </c>
      <c r="O64" s="61">
        <f>IF('CO-PO Mapping'!$A$11="",0,H64)</f>
        <v>0</v>
      </c>
      <c r="P64" s="61">
        <f>IF('CO-PO Mapping'!$A$12="",0,I64)</f>
        <v>0</v>
      </c>
      <c r="Q64" s="68">
        <f t="shared" si="1"/>
        <v>0</v>
      </c>
    </row>
    <row r="65" spans="1:17" ht="15.75" customHeight="1">
      <c r="A65" s="62">
        <f>'Students Details'!A64</f>
        <v>58</v>
      </c>
      <c r="B65" s="63" t="str">
        <f>IF('Students Details'!B64="","",'Students Details'!B64)</f>
        <v/>
      </c>
      <c r="C65" s="64" t="str">
        <f>IF('Students Details'!C64="","",'Students Details'!C64)</f>
        <v/>
      </c>
      <c r="D65" s="66"/>
      <c r="E65" s="66"/>
      <c r="F65" s="70"/>
      <c r="G65" s="70"/>
      <c r="H65" s="70"/>
      <c r="I65" s="70"/>
      <c r="J65" s="67">
        <f t="shared" si="35"/>
        <v>0</v>
      </c>
      <c r="K65" s="61">
        <f t="shared" ref="K65:M65" si="61">D65</f>
        <v>0</v>
      </c>
      <c r="L65" s="61">
        <f t="shared" si="61"/>
        <v>0</v>
      </c>
      <c r="M65" s="61">
        <f t="shared" si="61"/>
        <v>0</v>
      </c>
      <c r="N65" s="61">
        <f>IF('CO-PO Mapping'!$A$10="",0,G65)</f>
        <v>0</v>
      </c>
      <c r="O65" s="61">
        <f>IF('CO-PO Mapping'!$A$11="",0,H65)</f>
        <v>0</v>
      </c>
      <c r="P65" s="61">
        <f>IF('CO-PO Mapping'!$A$12="",0,I65)</f>
        <v>0</v>
      </c>
      <c r="Q65" s="68">
        <f t="shared" si="1"/>
        <v>0</v>
      </c>
    </row>
    <row r="66" spans="1:17" ht="15.75" customHeight="1">
      <c r="A66" s="62">
        <f>'Students Details'!A65</f>
        <v>59</v>
      </c>
      <c r="B66" s="63" t="str">
        <f>IF('Students Details'!B65="","",'Students Details'!B65)</f>
        <v/>
      </c>
      <c r="C66" s="64" t="str">
        <f>IF('Students Details'!C65="","",'Students Details'!C65)</f>
        <v/>
      </c>
      <c r="D66" s="66"/>
      <c r="E66" s="66"/>
      <c r="F66" s="66"/>
      <c r="G66" s="70"/>
      <c r="H66" s="70"/>
      <c r="I66" s="70"/>
      <c r="J66" s="67">
        <f t="shared" si="35"/>
        <v>0</v>
      </c>
      <c r="K66" s="61">
        <f t="shared" ref="K66:M66" si="62">D66</f>
        <v>0</v>
      </c>
      <c r="L66" s="61">
        <f t="shared" si="62"/>
        <v>0</v>
      </c>
      <c r="M66" s="61">
        <f t="shared" si="62"/>
        <v>0</v>
      </c>
      <c r="N66" s="61">
        <f>IF('CO-PO Mapping'!$A$10="",0,G66)</f>
        <v>0</v>
      </c>
      <c r="O66" s="61">
        <f>IF('CO-PO Mapping'!$A$11="",0,H66)</f>
        <v>0</v>
      </c>
      <c r="P66" s="61">
        <f>IF('CO-PO Mapping'!$A$12="",0,I66)</f>
        <v>0</v>
      </c>
      <c r="Q66" s="68">
        <f t="shared" si="1"/>
        <v>0</v>
      </c>
    </row>
    <row r="67" spans="1:17" ht="15.75" customHeight="1">
      <c r="A67" s="62">
        <f>'Students Details'!A66</f>
        <v>60</v>
      </c>
      <c r="B67" s="63" t="str">
        <f>IF('Students Details'!B66="","",'Students Details'!B66)</f>
        <v/>
      </c>
      <c r="C67" s="64" t="str">
        <f>IF('Students Details'!C66="","",'Students Details'!C66)</f>
        <v/>
      </c>
      <c r="D67" s="66"/>
      <c r="E67" s="66"/>
      <c r="F67" s="70"/>
      <c r="G67" s="70"/>
      <c r="H67" s="70"/>
      <c r="I67" s="70"/>
      <c r="J67" s="67">
        <f t="shared" si="35"/>
        <v>0</v>
      </c>
      <c r="K67" s="61">
        <f t="shared" ref="K67:M67" si="63">D67</f>
        <v>0</v>
      </c>
      <c r="L67" s="61">
        <f t="shared" si="63"/>
        <v>0</v>
      </c>
      <c r="M67" s="61">
        <f t="shared" si="63"/>
        <v>0</v>
      </c>
      <c r="N67" s="61">
        <f>IF('CO-PO Mapping'!$A$10="",0,G67)</f>
        <v>0</v>
      </c>
      <c r="O67" s="61">
        <f>IF('CO-PO Mapping'!$A$11="",0,H67)</f>
        <v>0</v>
      </c>
      <c r="P67" s="61">
        <f>IF('CO-PO Mapping'!$A$12="",0,I67)</f>
        <v>0</v>
      </c>
      <c r="Q67" s="68">
        <f t="shared" si="1"/>
        <v>0</v>
      </c>
    </row>
    <row r="68" spans="1:17" ht="15.75" customHeight="1">
      <c r="A68" s="62">
        <f>'Students Details'!A67</f>
        <v>61</v>
      </c>
      <c r="B68" s="63" t="str">
        <f>IF('Students Details'!B67="","",'Students Details'!B67)</f>
        <v/>
      </c>
      <c r="C68" s="64" t="str">
        <f>IF('Students Details'!C67="","",'Students Details'!C67)</f>
        <v/>
      </c>
      <c r="D68" s="66"/>
      <c r="E68" s="66"/>
      <c r="F68" s="66"/>
      <c r="G68" s="70"/>
      <c r="H68" s="70"/>
      <c r="I68" s="70"/>
      <c r="J68" s="67">
        <f t="shared" si="35"/>
        <v>0</v>
      </c>
      <c r="K68" s="61">
        <f t="shared" ref="K68:M68" si="64">D68</f>
        <v>0</v>
      </c>
      <c r="L68" s="61">
        <f t="shared" si="64"/>
        <v>0</v>
      </c>
      <c r="M68" s="61">
        <f t="shared" si="64"/>
        <v>0</v>
      </c>
      <c r="N68" s="61">
        <f>IF('CO-PO Mapping'!$A$10="",0,G68)</f>
        <v>0</v>
      </c>
      <c r="O68" s="61">
        <f>IF('CO-PO Mapping'!$A$11="",0,H68)</f>
        <v>0</v>
      </c>
      <c r="P68" s="61">
        <f>IF('CO-PO Mapping'!$A$12="",0,I68)</f>
        <v>0</v>
      </c>
      <c r="Q68" s="68">
        <f t="shared" si="1"/>
        <v>0</v>
      </c>
    </row>
    <row r="69" spans="1:17" ht="15.75" customHeight="1">
      <c r="A69" s="62">
        <f>'Students Details'!A68</f>
        <v>62</v>
      </c>
      <c r="B69" s="63" t="str">
        <f>IF('Students Details'!B68="","",'Students Details'!B68)</f>
        <v/>
      </c>
      <c r="C69" s="64" t="str">
        <f>IF('Students Details'!C68="","",'Students Details'!C68)</f>
        <v/>
      </c>
      <c r="D69" s="66"/>
      <c r="E69" s="66"/>
      <c r="F69" s="70"/>
      <c r="G69" s="70"/>
      <c r="H69" s="70"/>
      <c r="I69" s="70"/>
      <c r="J69" s="67">
        <f t="shared" si="35"/>
        <v>0</v>
      </c>
      <c r="K69" s="61">
        <f t="shared" ref="K69:M69" si="65">D69</f>
        <v>0</v>
      </c>
      <c r="L69" s="61">
        <f t="shared" si="65"/>
        <v>0</v>
      </c>
      <c r="M69" s="61">
        <f t="shared" si="65"/>
        <v>0</v>
      </c>
      <c r="N69" s="61">
        <f>IF('CO-PO Mapping'!$A$10="",0,G69)</f>
        <v>0</v>
      </c>
      <c r="O69" s="61">
        <f>IF('CO-PO Mapping'!$A$11="",0,H69)</f>
        <v>0</v>
      </c>
      <c r="P69" s="61">
        <f>IF('CO-PO Mapping'!$A$12="",0,I69)</f>
        <v>0</v>
      </c>
      <c r="Q69" s="68">
        <f t="shared" si="1"/>
        <v>0</v>
      </c>
    </row>
    <row r="70" spans="1:17" ht="15.75" customHeight="1">
      <c r="A70" s="62">
        <f>'Students Details'!A69</f>
        <v>63</v>
      </c>
      <c r="B70" s="63" t="str">
        <f>IF('Students Details'!B69="","",'Students Details'!B69)</f>
        <v/>
      </c>
      <c r="C70" s="64" t="str">
        <f>IF('Students Details'!C69="","",'Students Details'!C69)</f>
        <v/>
      </c>
      <c r="D70" s="66"/>
      <c r="E70" s="66"/>
      <c r="F70" s="66"/>
      <c r="G70" s="70"/>
      <c r="H70" s="70"/>
      <c r="I70" s="70"/>
      <c r="J70" s="67">
        <f t="shared" si="35"/>
        <v>0</v>
      </c>
      <c r="K70" s="61">
        <f t="shared" ref="K70:M70" si="66">D70</f>
        <v>0</v>
      </c>
      <c r="L70" s="61">
        <f t="shared" si="66"/>
        <v>0</v>
      </c>
      <c r="M70" s="61">
        <f t="shared" si="66"/>
        <v>0</v>
      </c>
      <c r="N70" s="61">
        <f>IF('CO-PO Mapping'!$A$10="",0,G70)</f>
        <v>0</v>
      </c>
      <c r="O70" s="61">
        <f>IF('CO-PO Mapping'!$A$11="",0,H70)</f>
        <v>0</v>
      </c>
      <c r="P70" s="61">
        <f>IF('CO-PO Mapping'!$A$12="",0,I70)</f>
        <v>0</v>
      </c>
      <c r="Q70" s="68">
        <f t="shared" si="1"/>
        <v>0</v>
      </c>
    </row>
    <row r="71" spans="1:17" ht="15.75" customHeight="1">
      <c r="A71" s="62">
        <f>'Students Details'!A70</f>
        <v>64</v>
      </c>
      <c r="B71" s="63" t="str">
        <f>IF('Students Details'!B70="","",'Students Details'!B70)</f>
        <v/>
      </c>
      <c r="C71" s="64" t="str">
        <f>IF('Students Details'!C70="","",'Students Details'!C70)</f>
        <v/>
      </c>
      <c r="D71" s="66"/>
      <c r="E71" s="66"/>
      <c r="F71" s="70"/>
      <c r="G71" s="70"/>
      <c r="H71" s="70"/>
      <c r="I71" s="70"/>
      <c r="J71" s="67">
        <f t="shared" si="35"/>
        <v>0</v>
      </c>
      <c r="K71" s="61">
        <f t="shared" ref="K71:M71" si="67">D71</f>
        <v>0</v>
      </c>
      <c r="L71" s="61">
        <f t="shared" si="67"/>
        <v>0</v>
      </c>
      <c r="M71" s="61">
        <f t="shared" si="67"/>
        <v>0</v>
      </c>
      <c r="N71" s="61">
        <f>IF('CO-PO Mapping'!$A$10="",0,G71)</f>
        <v>0</v>
      </c>
      <c r="O71" s="61">
        <f>IF('CO-PO Mapping'!$A$11="",0,H71)</f>
        <v>0</v>
      </c>
      <c r="P71" s="61">
        <f>IF('CO-PO Mapping'!$A$12="",0,I71)</f>
        <v>0</v>
      </c>
      <c r="Q71" s="68">
        <f t="shared" si="1"/>
        <v>0</v>
      </c>
    </row>
    <row r="72" spans="1:17" ht="15.75" customHeight="1">
      <c r="A72" s="62">
        <f>'Students Details'!A71</f>
        <v>65</v>
      </c>
      <c r="B72" s="63" t="str">
        <f>IF('Students Details'!B71="","",'Students Details'!B71)</f>
        <v/>
      </c>
      <c r="C72" s="64" t="str">
        <f>IF('Students Details'!C71="","",'Students Details'!C71)</f>
        <v/>
      </c>
      <c r="D72" s="66"/>
      <c r="E72" s="66"/>
      <c r="F72" s="70"/>
      <c r="G72" s="70"/>
      <c r="H72" s="70"/>
      <c r="I72" s="70"/>
      <c r="J72" s="67">
        <f t="shared" si="35"/>
        <v>0</v>
      </c>
      <c r="K72" s="61">
        <f t="shared" ref="K72:M72" si="68">D72</f>
        <v>0</v>
      </c>
      <c r="L72" s="61">
        <f t="shared" si="68"/>
        <v>0</v>
      </c>
      <c r="M72" s="61">
        <f t="shared" si="68"/>
        <v>0</v>
      </c>
      <c r="N72" s="61">
        <f>IF('CO-PO Mapping'!$A$10="",0,G72)</f>
        <v>0</v>
      </c>
      <c r="O72" s="61">
        <f>IF('CO-PO Mapping'!$A$11="",0,H72)</f>
        <v>0</v>
      </c>
      <c r="P72" s="61">
        <f>IF('CO-PO Mapping'!$A$12="",0,I72)</f>
        <v>0</v>
      </c>
      <c r="Q72" s="68">
        <f t="shared" si="1"/>
        <v>0</v>
      </c>
    </row>
    <row r="73" spans="1:17" ht="15.75" customHeight="1">
      <c r="A73" s="62">
        <f>'Students Details'!A72</f>
        <v>66</v>
      </c>
      <c r="B73" s="63" t="str">
        <f>IF('Students Details'!B72="","",'Students Details'!B72)</f>
        <v/>
      </c>
      <c r="C73" s="64" t="str">
        <f>IF('Students Details'!C72="","",'Students Details'!C72)</f>
        <v/>
      </c>
      <c r="D73" s="66"/>
      <c r="E73" s="66"/>
      <c r="F73" s="70"/>
      <c r="G73" s="70"/>
      <c r="H73" s="70"/>
      <c r="I73" s="70"/>
      <c r="J73" s="67">
        <f t="shared" si="35"/>
        <v>0</v>
      </c>
      <c r="K73" s="61">
        <f t="shared" ref="K73:M73" si="69">D73</f>
        <v>0</v>
      </c>
      <c r="L73" s="61">
        <f t="shared" si="69"/>
        <v>0</v>
      </c>
      <c r="M73" s="61">
        <f t="shared" si="69"/>
        <v>0</v>
      </c>
      <c r="N73" s="61">
        <f>IF('CO-PO Mapping'!$A$10="",0,G73)</f>
        <v>0</v>
      </c>
      <c r="O73" s="61">
        <f>IF('CO-PO Mapping'!$A$11="",0,H73)</f>
        <v>0</v>
      </c>
      <c r="P73" s="61">
        <f>IF('CO-PO Mapping'!$A$12="",0,I73)</f>
        <v>0</v>
      </c>
      <c r="Q73" s="68">
        <f t="shared" si="1"/>
        <v>0</v>
      </c>
    </row>
    <row r="74" spans="1:17" ht="15.75" customHeight="1">
      <c r="A74" s="62">
        <f>'Students Details'!A73</f>
        <v>67</v>
      </c>
      <c r="B74" s="63" t="str">
        <f>IF('Students Details'!B73="","",'Students Details'!B73)</f>
        <v/>
      </c>
      <c r="C74" s="64" t="str">
        <f>IF('Students Details'!C73="","",'Students Details'!C73)</f>
        <v/>
      </c>
      <c r="D74" s="66"/>
      <c r="E74" s="66"/>
      <c r="F74" s="70"/>
      <c r="G74" s="70"/>
      <c r="H74" s="70"/>
      <c r="I74" s="70"/>
      <c r="J74" s="67">
        <f t="shared" si="35"/>
        <v>0</v>
      </c>
      <c r="K74" s="61">
        <f t="shared" ref="K74:M74" si="70">D74</f>
        <v>0</v>
      </c>
      <c r="L74" s="61">
        <f t="shared" si="70"/>
        <v>0</v>
      </c>
      <c r="M74" s="61">
        <f t="shared" si="70"/>
        <v>0</v>
      </c>
      <c r="N74" s="61">
        <f>IF('CO-PO Mapping'!$A$10="",0,G74)</f>
        <v>0</v>
      </c>
      <c r="O74" s="61">
        <f>IF('CO-PO Mapping'!$A$11="",0,H74)</f>
        <v>0</v>
      </c>
      <c r="P74" s="61">
        <f>IF('CO-PO Mapping'!$A$12="",0,I74)</f>
        <v>0</v>
      </c>
      <c r="Q74" s="68">
        <f t="shared" si="1"/>
        <v>0</v>
      </c>
    </row>
    <row r="75" spans="1:17" ht="15.75" customHeight="1">
      <c r="A75" s="62">
        <f>'Students Details'!A74</f>
        <v>68</v>
      </c>
      <c r="B75" s="63" t="str">
        <f>IF('Students Details'!B74="","",'Students Details'!B74)</f>
        <v/>
      </c>
      <c r="C75" s="64" t="str">
        <f>IF('Students Details'!C74="","",'Students Details'!C74)</f>
        <v/>
      </c>
      <c r="D75" s="66"/>
      <c r="E75" s="70"/>
      <c r="F75" s="70"/>
      <c r="G75" s="70"/>
      <c r="H75" s="70"/>
      <c r="I75" s="70"/>
      <c r="J75" s="67">
        <f t="shared" si="35"/>
        <v>0</v>
      </c>
      <c r="K75" s="61">
        <f t="shared" ref="K75:M75" si="71">D75</f>
        <v>0</v>
      </c>
      <c r="L75" s="61">
        <f t="shared" si="71"/>
        <v>0</v>
      </c>
      <c r="M75" s="61">
        <f t="shared" si="71"/>
        <v>0</v>
      </c>
      <c r="N75" s="61">
        <f>IF('CO-PO Mapping'!$A$10="",0,G75)</f>
        <v>0</v>
      </c>
      <c r="O75" s="61">
        <f>IF('CO-PO Mapping'!$A$11="",0,H75)</f>
        <v>0</v>
      </c>
      <c r="P75" s="61">
        <f>IF('CO-PO Mapping'!$A$12="",0,I75)</f>
        <v>0</v>
      </c>
      <c r="Q75" s="68">
        <f t="shared" si="1"/>
        <v>0</v>
      </c>
    </row>
    <row r="76" spans="1:17" ht="15.75" customHeight="1">
      <c r="A76" s="62">
        <f>'Students Details'!A75</f>
        <v>69</v>
      </c>
      <c r="B76" s="63" t="str">
        <f>IF('Students Details'!B75="","",'Students Details'!B75)</f>
        <v/>
      </c>
      <c r="C76" s="64" t="str">
        <f>IF('Students Details'!C75="","",'Students Details'!C75)</f>
        <v/>
      </c>
      <c r="D76" s="66"/>
      <c r="E76" s="70"/>
      <c r="F76" s="70"/>
      <c r="G76" s="70"/>
      <c r="H76" s="70"/>
      <c r="I76" s="70"/>
      <c r="J76" s="67">
        <f t="shared" si="35"/>
        <v>0</v>
      </c>
      <c r="K76" s="61">
        <f t="shared" ref="K76:M76" si="72">D76</f>
        <v>0</v>
      </c>
      <c r="L76" s="61">
        <f t="shared" si="72"/>
        <v>0</v>
      </c>
      <c r="M76" s="61">
        <f t="shared" si="72"/>
        <v>0</v>
      </c>
      <c r="N76" s="61">
        <f>IF('CO-PO Mapping'!$A$10="",0,G76)</f>
        <v>0</v>
      </c>
      <c r="O76" s="61">
        <f>IF('CO-PO Mapping'!$A$11="",0,H76)</f>
        <v>0</v>
      </c>
      <c r="P76" s="61">
        <f>IF('CO-PO Mapping'!$A$12="",0,I76)</f>
        <v>0</v>
      </c>
      <c r="Q76" s="68">
        <f t="shared" si="1"/>
        <v>0</v>
      </c>
    </row>
    <row r="77" spans="1:17" ht="15.75" customHeight="1">
      <c r="A77" s="62">
        <f>'Students Details'!A76</f>
        <v>70</v>
      </c>
      <c r="B77" s="63" t="str">
        <f>IF('Students Details'!B76="","",'Students Details'!B76)</f>
        <v/>
      </c>
      <c r="C77" s="64" t="str">
        <f>IF('Students Details'!C76="","",'Students Details'!C76)</f>
        <v/>
      </c>
      <c r="D77" s="66"/>
      <c r="E77" s="70"/>
      <c r="F77" s="70"/>
      <c r="G77" s="70"/>
      <c r="H77" s="70"/>
      <c r="I77" s="70"/>
      <c r="J77" s="67">
        <f t="shared" si="35"/>
        <v>0</v>
      </c>
      <c r="K77" s="61">
        <f t="shared" ref="K77:M77" si="73">D77</f>
        <v>0</v>
      </c>
      <c r="L77" s="61">
        <f t="shared" si="73"/>
        <v>0</v>
      </c>
      <c r="M77" s="61">
        <f t="shared" si="73"/>
        <v>0</v>
      </c>
      <c r="N77" s="61">
        <f>IF('CO-PO Mapping'!$A$10="",0,G77)</f>
        <v>0</v>
      </c>
      <c r="O77" s="61">
        <f>IF('CO-PO Mapping'!$A$11="",0,H77)</f>
        <v>0</v>
      </c>
      <c r="P77" s="61">
        <f>IF('CO-PO Mapping'!$A$12="",0,I77)</f>
        <v>0</v>
      </c>
      <c r="Q77" s="68">
        <f t="shared" si="1"/>
        <v>0</v>
      </c>
    </row>
    <row r="78" spans="1:17" ht="15.75" customHeight="1">
      <c r="A78" s="62">
        <f>'Students Details'!A77</f>
        <v>71</v>
      </c>
      <c r="B78" s="63" t="str">
        <f>IF('Students Details'!B77="","",'Students Details'!B77)</f>
        <v/>
      </c>
      <c r="C78" s="64" t="str">
        <f>IF('Students Details'!C77="","",'Students Details'!C77)</f>
        <v/>
      </c>
      <c r="D78" s="70"/>
      <c r="E78" s="70"/>
      <c r="F78" s="70"/>
      <c r="G78" s="70"/>
      <c r="H78" s="70"/>
      <c r="I78" s="70"/>
      <c r="J78" s="67">
        <f t="shared" si="35"/>
        <v>0</v>
      </c>
      <c r="K78" s="61">
        <f t="shared" ref="K78:M78" si="74">D78</f>
        <v>0</v>
      </c>
      <c r="L78" s="61">
        <f t="shared" si="74"/>
        <v>0</v>
      </c>
      <c r="M78" s="61">
        <f t="shared" si="74"/>
        <v>0</v>
      </c>
      <c r="N78" s="61">
        <f>IF('CO-PO Mapping'!$A$10="",0,G78)</f>
        <v>0</v>
      </c>
      <c r="O78" s="61">
        <f>IF('CO-PO Mapping'!$A$11="",0,H78)</f>
        <v>0</v>
      </c>
      <c r="P78" s="61">
        <f>IF('CO-PO Mapping'!$A$12="",0,I78)</f>
        <v>0</v>
      </c>
      <c r="Q78" s="68">
        <f t="shared" si="1"/>
        <v>0</v>
      </c>
    </row>
    <row r="79" spans="1:17" ht="15.75" customHeight="1">
      <c r="A79" s="62">
        <f>'Students Details'!A78</f>
        <v>72</v>
      </c>
      <c r="B79" s="63" t="str">
        <f>IF('Students Details'!B78="","",'Students Details'!B78)</f>
        <v/>
      </c>
      <c r="C79" s="64" t="str">
        <f>IF('Students Details'!C78="","",'Students Details'!C78)</f>
        <v/>
      </c>
      <c r="D79" s="70"/>
      <c r="E79" s="70"/>
      <c r="F79" s="70"/>
      <c r="G79" s="70"/>
      <c r="H79" s="70"/>
      <c r="I79" s="70"/>
      <c r="J79" s="67">
        <f t="shared" si="35"/>
        <v>0</v>
      </c>
      <c r="K79" s="61">
        <f t="shared" ref="K79:M79" si="75">D79</f>
        <v>0</v>
      </c>
      <c r="L79" s="61">
        <f t="shared" si="75"/>
        <v>0</v>
      </c>
      <c r="M79" s="61">
        <f t="shared" si="75"/>
        <v>0</v>
      </c>
      <c r="N79" s="61">
        <f>IF('CO-PO Mapping'!$A$10="",0,G79)</f>
        <v>0</v>
      </c>
      <c r="O79" s="61">
        <f>IF('CO-PO Mapping'!$A$11="",0,H79)</f>
        <v>0</v>
      </c>
      <c r="P79" s="61">
        <f>IF('CO-PO Mapping'!$A$12="",0,I79)</f>
        <v>0</v>
      </c>
      <c r="Q79" s="68">
        <f t="shared" si="1"/>
        <v>0</v>
      </c>
    </row>
    <row r="80" spans="1:17" ht="15.75" customHeight="1">
      <c r="A80" s="62">
        <f>'Students Details'!A79</f>
        <v>73</v>
      </c>
      <c r="B80" s="63" t="str">
        <f>IF('Students Details'!B79="","",'Students Details'!B79)</f>
        <v/>
      </c>
      <c r="C80" s="64" t="str">
        <f>IF('Students Details'!C79="","",'Students Details'!C79)</f>
        <v/>
      </c>
      <c r="D80" s="70"/>
      <c r="E80" s="70"/>
      <c r="F80" s="70"/>
      <c r="G80" s="70"/>
      <c r="H80" s="70"/>
      <c r="I80" s="70"/>
      <c r="J80" s="67">
        <f t="shared" si="35"/>
        <v>0</v>
      </c>
      <c r="K80" s="61">
        <f t="shared" ref="K80:M80" si="76">D80</f>
        <v>0</v>
      </c>
      <c r="L80" s="61">
        <f t="shared" si="76"/>
        <v>0</v>
      </c>
      <c r="M80" s="61">
        <f t="shared" si="76"/>
        <v>0</v>
      </c>
      <c r="N80" s="61">
        <f>IF('CO-PO Mapping'!$A$10="",0,G80)</f>
        <v>0</v>
      </c>
      <c r="O80" s="61">
        <f>IF('CO-PO Mapping'!$A$11="",0,H80)</f>
        <v>0</v>
      </c>
      <c r="P80" s="61">
        <f>IF('CO-PO Mapping'!$A$12="",0,I80)</f>
        <v>0</v>
      </c>
      <c r="Q80" s="68">
        <f t="shared" si="1"/>
        <v>0</v>
      </c>
    </row>
    <row r="81" spans="1:17" ht="15.75" customHeight="1">
      <c r="A81" s="62">
        <f>'Students Details'!A80</f>
        <v>74</v>
      </c>
      <c r="B81" s="63" t="str">
        <f>IF('Students Details'!B80="","",'Students Details'!B80)</f>
        <v/>
      </c>
      <c r="C81" s="64" t="str">
        <f>IF('Students Details'!C80="","",'Students Details'!C80)</f>
        <v/>
      </c>
      <c r="D81" s="70"/>
      <c r="E81" s="70"/>
      <c r="F81" s="70"/>
      <c r="G81" s="70"/>
      <c r="H81" s="70"/>
      <c r="I81" s="70"/>
      <c r="J81" s="67">
        <f t="shared" si="35"/>
        <v>0</v>
      </c>
      <c r="K81" s="61">
        <f t="shared" ref="K81:M81" si="77">D81</f>
        <v>0</v>
      </c>
      <c r="L81" s="61">
        <f t="shared" si="77"/>
        <v>0</v>
      </c>
      <c r="M81" s="61">
        <f t="shared" si="77"/>
        <v>0</v>
      </c>
      <c r="N81" s="61">
        <f>IF('CO-PO Mapping'!$A$10="",0,G81)</f>
        <v>0</v>
      </c>
      <c r="O81" s="61">
        <f>IF('CO-PO Mapping'!$A$11="",0,H81)</f>
        <v>0</v>
      </c>
      <c r="P81" s="61">
        <f>IF('CO-PO Mapping'!$A$12="",0,I81)</f>
        <v>0</v>
      </c>
      <c r="Q81" s="68">
        <f t="shared" si="1"/>
        <v>0</v>
      </c>
    </row>
    <row r="82" spans="1:17" ht="15.75" customHeight="1">
      <c r="A82" s="62">
        <f>'Students Details'!A81</f>
        <v>75</v>
      </c>
      <c r="B82" s="63" t="str">
        <f>IF('Students Details'!B81="","",'Students Details'!B81)</f>
        <v/>
      </c>
      <c r="C82" s="64" t="str">
        <f>IF('Students Details'!C81="","",'Students Details'!C81)</f>
        <v/>
      </c>
      <c r="D82" s="70"/>
      <c r="E82" s="70"/>
      <c r="F82" s="70"/>
      <c r="G82" s="70"/>
      <c r="H82" s="70"/>
      <c r="I82" s="70"/>
      <c r="J82" s="67">
        <f t="shared" si="35"/>
        <v>0</v>
      </c>
      <c r="K82" s="61">
        <f t="shared" ref="K82:M82" si="78">D82</f>
        <v>0</v>
      </c>
      <c r="L82" s="61">
        <f t="shared" si="78"/>
        <v>0</v>
      </c>
      <c r="M82" s="61">
        <f t="shared" si="78"/>
        <v>0</v>
      </c>
      <c r="N82" s="61">
        <f>IF('CO-PO Mapping'!$A$10="",0,G82)</f>
        <v>0</v>
      </c>
      <c r="O82" s="61">
        <f>IF('CO-PO Mapping'!$A$11="",0,H82)</f>
        <v>0</v>
      </c>
      <c r="P82" s="61">
        <f>IF('CO-PO Mapping'!$A$12="",0,I82)</f>
        <v>0</v>
      </c>
      <c r="Q82" s="68">
        <f t="shared" si="1"/>
        <v>0</v>
      </c>
    </row>
    <row r="83" spans="1:17" ht="15.75" customHeight="1">
      <c r="A83" s="62">
        <f>'Students Details'!A82</f>
        <v>76</v>
      </c>
      <c r="B83" s="63" t="str">
        <f>IF('Students Details'!B82="","",'Students Details'!B82)</f>
        <v/>
      </c>
      <c r="C83" s="64" t="str">
        <f>IF('Students Details'!C82="","",'Students Details'!C82)</f>
        <v/>
      </c>
      <c r="D83" s="70"/>
      <c r="E83" s="70"/>
      <c r="F83" s="70"/>
      <c r="G83" s="70"/>
      <c r="H83" s="70"/>
      <c r="I83" s="70"/>
      <c r="J83" s="67">
        <f t="shared" si="35"/>
        <v>0</v>
      </c>
      <c r="K83" s="61">
        <f t="shared" ref="K83:M83" si="79">D83</f>
        <v>0</v>
      </c>
      <c r="L83" s="61">
        <f t="shared" si="79"/>
        <v>0</v>
      </c>
      <c r="M83" s="61">
        <f t="shared" si="79"/>
        <v>0</v>
      </c>
      <c r="N83" s="61">
        <f>IF('CO-PO Mapping'!$A$10="",0,G83)</f>
        <v>0</v>
      </c>
      <c r="O83" s="61">
        <f>IF('CO-PO Mapping'!$A$11="",0,H83)</f>
        <v>0</v>
      </c>
      <c r="P83" s="61">
        <f>IF('CO-PO Mapping'!$A$12="",0,I83)</f>
        <v>0</v>
      </c>
      <c r="Q83" s="68">
        <f t="shared" si="1"/>
        <v>0</v>
      </c>
    </row>
    <row r="84" spans="1:17" ht="15.75" customHeight="1">
      <c r="A84" s="62">
        <f>'Students Details'!A83</f>
        <v>77</v>
      </c>
      <c r="B84" s="63" t="str">
        <f>IF('Students Details'!B83="","",'Students Details'!B83)</f>
        <v/>
      </c>
      <c r="C84" s="64" t="str">
        <f>IF('Students Details'!C83="","",'Students Details'!C83)</f>
        <v/>
      </c>
      <c r="D84" s="70"/>
      <c r="E84" s="70"/>
      <c r="F84" s="70"/>
      <c r="G84" s="70"/>
      <c r="H84" s="70"/>
      <c r="I84" s="70"/>
      <c r="J84" s="67">
        <f t="shared" si="35"/>
        <v>0</v>
      </c>
      <c r="K84" s="61">
        <f t="shared" ref="K84:M84" si="80">D84</f>
        <v>0</v>
      </c>
      <c r="L84" s="61">
        <f t="shared" si="80"/>
        <v>0</v>
      </c>
      <c r="M84" s="61">
        <f t="shared" si="80"/>
        <v>0</v>
      </c>
      <c r="N84" s="61">
        <f>IF('CO-PO Mapping'!$A$10="",0,G84)</f>
        <v>0</v>
      </c>
      <c r="O84" s="61">
        <f>IF('CO-PO Mapping'!$A$11="",0,H84)</f>
        <v>0</v>
      </c>
      <c r="P84" s="61">
        <f>IF('CO-PO Mapping'!$A$12="",0,I84)</f>
        <v>0</v>
      </c>
      <c r="Q84" s="68">
        <f t="shared" si="1"/>
        <v>0</v>
      </c>
    </row>
    <row r="85" spans="1:17" ht="15.75" customHeight="1">
      <c r="A85" s="62">
        <f>'Students Details'!A84</f>
        <v>78</v>
      </c>
      <c r="B85" s="63" t="str">
        <f>IF('Students Details'!B84="","",'Students Details'!B84)</f>
        <v/>
      </c>
      <c r="C85" s="64" t="str">
        <f>IF('Students Details'!C84="","",'Students Details'!C84)</f>
        <v/>
      </c>
      <c r="D85" s="70"/>
      <c r="E85" s="70"/>
      <c r="F85" s="70"/>
      <c r="G85" s="70"/>
      <c r="H85" s="70"/>
      <c r="I85" s="70"/>
      <c r="J85" s="67">
        <f t="shared" si="35"/>
        <v>0</v>
      </c>
      <c r="K85" s="61">
        <f t="shared" ref="K85:M85" si="81">D85</f>
        <v>0</v>
      </c>
      <c r="L85" s="61">
        <f t="shared" si="81"/>
        <v>0</v>
      </c>
      <c r="M85" s="61">
        <f t="shared" si="81"/>
        <v>0</v>
      </c>
      <c r="N85" s="61">
        <f>IF('CO-PO Mapping'!$A$10="",0,G85)</f>
        <v>0</v>
      </c>
      <c r="O85" s="61">
        <f>IF('CO-PO Mapping'!$A$11="",0,H85)</f>
        <v>0</v>
      </c>
      <c r="P85" s="61">
        <f>IF('CO-PO Mapping'!$A$12="",0,I85)</f>
        <v>0</v>
      </c>
      <c r="Q85" s="68">
        <f t="shared" si="1"/>
        <v>0</v>
      </c>
    </row>
    <row r="86" spans="1:17" ht="15.75" customHeight="1">
      <c r="A86" s="62">
        <f>'Students Details'!A85</f>
        <v>79</v>
      </c>
      <c r="B86" s="63" t="str">
        <f>IF('Students Details'!B85="","",'Students Details'!B85)</f>
        <v/>
      </c>
      <c r="C86" s="64" t="str">
        <f>IF('Students Details'!C85="","",'Students Details'!C85)</f>
        <v/>
      </c>
      <c r="D86" s="70"/>
      <c r="E86" s="70"/>
      <c r="F86" s="70"/>
      <c r="G86" s="70"/>
      <c r="H86" s="70"/>
      <c r="I86" s="70"/>
      <c r="J86" s="67">
        <f t="shared" si="35"/>
        <v>0</v>
      </c>
      <c r="K86" s="61">
        <f t="shared" ref="K86:M86" si="82">D86</f>
        <v>0</v>
      </c>
      <c r="L86" s="61">
        <f t="shared" si="82"/>
        <v>0</v>
      </c>
      <c r="M86" s="61">
        <f t="shared" si="82"/>
        <v>0</v>
      </c>
      <c r="N86" s="61">
        <f>IF('CO-PO Mapping'!$A$10="",0,G86)</f>
        <v>0</v>
      </c>
      <c r="O86" s="61">
        <f>IF('CO-PO Mapping'!$A$11="",0,H86)</f>
        <v>0</v>
      </c>
      <c r="P86" s="61">
        <f>IF('CO-PO Mapping'!$A$12="",0,I86)</f>
        <v>0</v>
      </c>
      <c r="Q86" s="68">
        <f t="shared" si="1"/>
        <v>0</v>
      </c>
    </row>
    <row r="87" spans="1:17" ht="15.75" customHeight="1">
      <c r="A87" s="62">
        <f>'Students Details'!A86</f>
        <v>80</v>
      </c>
      <c r="B87" s="63" t="str">
        <f>IF('Students Details'!B86="","",'Students Details'!B86)</f>
        <v/>
      </c>
      <c r="C87" s="64" t="str">
        <f>IF('Students Details'!C86="","",'Students Details'!C86)</f>
        <v/>
      </c>
      <c r="D87" s="70"/>
      <c r="E87" s="70"/>
      <c r="F87" s="70"/>
      <c r="G87" s="70"/>
      <c r="H87" s="70"/>
      <c r="I87" s="70"/>
      <c r="J87" s="67">
        <f t="shared" si="35"/>
        <v>0</v>
      </c>
      <c r="K87" s="61">
        <f t="shared" ref="K87:M87" si="83">D87</f>
        <v>0</v>
      </c>
      <c r="L87" s="61">
        <f t="shared" si="83"/>
        <v>0</v>
      </c>
      <c r="M87" s="61">
        <f t="shared" si="83"/>
        <v>0</v>
      </c>
      <c r="N87" s="61">
        <f>IF('CO-PO Mapping'!$A$10="",0,G87)</f>
        <v>0</v>
      </c>
      <c r="O87" s="61">
        <f>IF('CO-PO Mapping'!$A$11="",0,H87)</f>
        <v>0</v>
      </c>
      <c r="P87" s="61">
        <f>IF('CO-PO Mapping'!$A$12="",0,I87)</f>
        <v>0</v>
      </c>
      <c r="Q87" s="68">
        <f t="shared" si="1"/>
        <v>0</v>
      </c>
    </row>
    <row r="88" spans="1:17" ht="15.75" customHeight="1">
      <c r="A88" s="62">
        <f>'Students Details'!A87</f>
        <v>81</v>
      </c>
      <c r="B88" s="63" t="str">
        <f>IF('Students Details'!B87="","",'Students Details'!B87)</f>
        <v/>
      </c>
      <c r="C88" s="64" t="str">
        <f>IF('Students Details'!C87="","",'Students Details'!C87)</f>
        <v/>
      </c>
      <c r="D88" s="70"/>
      <c r="E88" s="70"/>
      <c r="F88" s="70"/>
      <c r="G88" s="70"/>
      <c r="H88" s="70"/>
      <c r="I88" s="70"/>
      <c r="J88" s="67">
        <f t="shared" si="35"/>
        <v>0</v>
      </c>
      <c r="K88" s="61">
        <f t="shared" ref="K88:M88" si="84">D88</f>
        <v>0</v>
      </c>
      <c r="L88" s="61">
        <f t="shared" si="84"/>
        <v>0</v>
      </c>
      <c r="M88" s="61">
        <f t="shared" si="84"/>
        <v>0</v>
      </c>
      <c r="N88" s="61">
        <f>IF('CO-PO Mapping'!$A$10="",0,G88)</f>
        <v>0</v>
      </c>
      <c r="O88" s="61">
        <f>IF('CO-PO Mapping'!$A$11="",0,H88)</f>
        <v>0</v>
      </c>
      <c r="P88" s="61">
        <f>IF('CO-PO Mapping'!$A$12="",0,I88)</f>
        <v>0</v>
      </c>
      <c r="Q88" s="68">
        <f t="shared" si="1"/>
        <v>0</v>
      </c>
    </row>
    <row r="89" spans="1:17" ht="15.75" customHeight="1">
      <c r="A89" s="62">
        <f>'Students Details'!A88</f>
        <v>82</v>
      </c>
      <c r="B89" s="63" t="str">
        <f>IF('Students Details'!B88="","",'Students Details'!B88)</f>
        <v/>
      </c>
      <c r="C89" s="64" t="str">
        <f>IF('Students Details'!C88="","",'Students Details'!C88)</f>
        <v/>
      </c>
      <c r="D89" s="70"/>
      <c r="E89" s="70"/>
      <c r="F89" s="70"/>
      <c r="G89" s="70"/>
      <c r="H89" s="70"/>
      <c r="I89" s="70"/>
      <c r="J89" s="67">
        <f t="shared" si="35"/>
        <v>0</v>
      </c>
      <c r="K89" s="61">
        <f t="shared" ref="K89:M89" si="85">D89</f>
        <v>0</v>
      </c>
      <c r="L89" s="61">
        <f t="shared" si="85"/>
        <v>0</v>
      </c>
      <c r="M89" s="61">
        <f t="shared" si="85"/>
        <v>0</v>
      </c>
      <c r="N89" s="61">
        <f>IF('CO-PO Mapping'!$A$10="",0,G89)</f>
        <v>0</v>
      </c>
      <c r="O89" s="61">
        <f>IF('CO-PO Mapping'!$A$11="",0,H89)</f>
        <v>0</v>
      </c>
      <c r="P89" s="61">
        <f>IF('CO-PO Mapping'!$A$12="",0,I89)</f>
        <v>0</v>
      </c>
      <c r="Q89" s="68">
        <f t="shared" si="1"/>
        <v>0</v>
      </c>
    </row>
    <row r="90" spans="1:17" ht="15.75" customHeight="1">
      <c r="A90" s="62">
        <f>'Students Details'!A89</f>
        <v>83</v>
      </c>
      <c r="B90" s="63" t="str">
        <f>IF('Students Details'!B89="","",'Students Details'!B89)</f>
        <v/>
      </c>
      <c r="C90" s="64" t="str">
        <f>IF('Students Details'!C89="","",'Students Details'!C89)</f>
        <v/>
      </c>
      <c r="D90" s="70"/>
      <c r="E90" s="70"/>
      <c r="F90" s="70"/>
      <c r="G90" s="70"/>
      <c r="H90" s="70"/>
      <c r="I90" s="70"/>
      <c r="J90" s="67">
        <f t="shared" si="35"/>
        <v>0</v>
      </c>
      <c r="K90" s="61">
        <f t="shared" ref="K90:M90" si="86">D90</f>
        <v>0</v>
      </c>
      <c r="L90" s="61">
        <f t="shared" si="86"/>
        <v>0</v>
      </c>
      <c r="M90" s="61">
        <f t="shared" si="86"/>
        <v>0</v>
      </c>
      <c r="N90" s="61">
        <f>IF('CO-PO Mapping'!$A$10="",0,G90)</f>
        <v>0</v>
      </c>
      <c r="O90" s="61">
        <f>IF('CO-PO Mapping'!$A$11="",0,H90)</f>
        <v>0</v>
      </c>
      <c r="P90" s="61">
        <f>IF('CO-PO Mapping'!$A$12="",0,I90)</f>
        <v>0</v>
      </c>
      <c r="Q90" s="68">
        <f t="shared" si="1"/>
        <v>0</v>
      </c>
    </row>
    <row r="91" spans="1:17" ht="15.75" customHeight="1">
      <c r="A91" s="62">
        <f>'Students Details'!A90</f>
        <v>84</v>
      </c>
      <c r="B91" s="63" t="str">
        <f>IF('Students Details'!B90="","",'Students Details'!B90)</f>
        <v/>
      </c>
      <c r="C91" s="64" t="str">
        <f>IF('Students Details'!C90="","",'Students Details'!C90)</f>
        <v/>
      </c>
      <c r="D91" s="70"/>
      <c r="E91" s="70"/>
      <c r="F91" s="70"/>
      <c r="G91" s="70"/>
      <c r="H91" s="70"/>
      <c r="I91" s="70"/>
      <c r="J91" s="67">
        <f t="shared" si="35"/>
        <v>0</v>
      </c>
      <c r="K91" s="61">
        <f t="shared" ref="K91:M91" si="87">D91</f>
        <v>0</v>
      </c>
      <c r="L91" s="61">
        <f t="shared" si="87"/>
        <v>0</v>
      </c>
      <c r="M91" s="61">
        <f t="shared" si="87"/>
        <v>0</v>
      </c>
      <c r="N91" s="61">
        <f>IF('CO-PO Mapping'!$A$10="",0,G91)</f>
        <v>0</v>
      </c>
      <c r="O91" s="61">
        <f>IF('CO-PO Mapping'!$A$11="",0,H91)</f>
        <v>0</v>
      </c>
      <c r="P91" s="61">
        <f>IF('CO-PO Mapping'!$A$12="",0,I91)</f>
        <v>0</v>
      </c>
      <c r="Q91" s="68">
        <f t="shared" si="1"/>
        <v>0</v>
      </c>
    </row>
    <row r="92" spans="1:17" ht="15.75" customHeight="1">
      <c r="A92" s="62">
        <f>'Students Details'!A91</f>
        <v>85</v>
      </c>
      <c r="B92" s="63" t="str">
        <f>IF('Students Details'!B91="","",'Students Details'!B91)</f>
        <v/>
      </c>
      <c r="C92" s="64" t="str">
        <f>IF('Students Details'!C91="","",'Students Details'!C91)</f>
        <v/>
      </c>
      <c r="D92" s="70"/>
      <c r="E92" s="70"/>
      <c r="F92" s="70"/>
      <c r="G92" s="70"/>
      <c r="H92" s="70"/>
      <c r="I92" s="70"/>
      <c r="J92" s="67">
        <f t="shared" si="35"/>
        <v>0</v>
      </c>
      <c r="K92" s="61">
        <f t="shared" ref="K92:M92" si="88">D92</f>
        <v>0</v>
      </c>
      <c r="L92" s="61">
        <f t="shared" si="88"/>
        <v>0</v>
      </c>
      <c r="M92" s="61">
        <f t="shared" si="88"/>
        <v>0</v>
      </c>
      <c r="N92" s="61">
        <f>IF('CO-PO Mapping'!$A$10="",0,G92)</f>
        <v>0</v>
      </c>
      <c r="O92" s="61">
        <f>IF('CO-PO Mapping'!$A$11="",0,H92)</f>
        <v>0</v>
      </c>
      <c r="P92" s="61">
        <f>IF('CO-PO Mapping'!$A$12="",0,I92)</f>
        <v>0</v>
      </c>
      <c r="Q92" s="68">
        <f t="shared" si="1"/>
        <v>0</v>
      </c>
    </row>
    <row r="93" spans="1:17" ht="15.75" customHeight="1">
      <c r="A93" s="62">
        <f>'Students Details'!A92</f>
        <v>86</v>
      </c>
      <c r="B93" s="63" t="str">
        <f>IF('Students Details'!B92="","",'Students Details'!B92)</f>
        <v/>
      </c>
      <c r="C93" s="64" t="str">
        <f>IF('Students Details'!C92="","",'Students Details'!C92)</f>
        <v/>
      </c>
      <c r="D93" s="70"/>
      <c r="E93" s="70"/>
      <c r="F93" s="70"/>
      <c r="G93" s="70"/>
      <c r="H93" s="70"/>
      <c r="I93" s="70"/>
      <c r="J93" s="67">
        <f t="shared" si="35"/>
        <v>0</v>
      </c>
      <c r="K93" s="61">
        <f t="shared" ref="K93:M93" si="89">D93</f>
        <v>0</v>
      </c>
      <c r="L93" s="61">
        <f t="shared" si="89"/>
        <v>0</v>
      </c>
      <c r="M93" s="61">
        <f t="shared" si="89"/>
        <v>0</v>
      </c>
      <c r="N93" s="61">
        <f>IF('CO-PO Mapping'!$A$10="",0,G93)</f>
        <v>0</v>
      </c>
      <c r="O93" s="61">
        <f>IF('CO-PO Mapping'!$A$11="",0,H93)</f>
        <v>0</v>
      </c>
      <c r="P93" s="61">
        <f>IF('CO-PO Mapping'!$A$12="",0,I93)</f>
        <v>0</v>
      </c>
      <c r="Q93" s="68">
        <f t="shared" si="1"/>
        <v>0</v>
      </c>
    </row>
    <row r="94" spans="1:17" ht="15.75" customHeight="1">
      <c r="A94" s="62">
        <f>'Students Details'!A93</f>
        <v>87</v>
      </c>
      <c r="B94" s="63" t="str">
        <f>IF('Students Details'!B93="","",'Students Details'!B93)</f>
        <v/>
      </c>
      <c r="C94" s="64" t="str">
        <f>IF('Students Details'!C93="","",'Students Details'!C93)</f>
        <v/>
      </c>
      <c r="D94" s="70"/>
      <c r="E94" s="70"/>
      <c r="F94" s="70"/>
      <c r="G94" s="70"/>
      <c r="H94" s="70"/>
      <c r="I94" s="70"/>
      <c r="J94" s="67">
        <f t="shared" si="35"/>
        <v>0</v>
      </c>
      <c r="K94" s="61">
        <f t="shared" ref="K94:M94" si="90">D94</f>
        <v>0</v>
      </c>
      <c r="L94" s="61">
        <f t="shared" si="90"/>
        <v>0</v>
      </c>
      <c r="M94" s="61">
        <f t="shared" si="90"/>
        <v>0</v>
      </c>
      <c r="N94" s="61">
        <f>IF('CO-PO Mapping'!$A$10="",0,G94)</f>
        <v>0</v>
      </c>
      <c r="O94" s="61">
        <f>IF('CO-PO Mapping'!$A$11="",0,H94)</f>
        <v>0</v>
      </c>
      <c r="P94" s="61">
        <f>IF('CO-PO Mapping'!$A$12="",0,I94)</f>
        <v>0</v>
      </c>
      <c r="Q94" s="68">
        <f t="shared" si="1"/>
        <v>0</v>
      </c>
    </row>
    <row r="95" spans="1:17" ht="15.75" customHeight="1">
      <c r="A95" s="62">
        <f>'Students Details'!A94</f>
        <v>88</v>
      </c>
      <c r="B95" s="63" t="str">
        <f>IF('Students Details'!B94="","",'Students Details'!B94)</f>
        <v/>
      </c>
      <c r="C95" s="64" t="str">
        <f>IF('Students Details'!C94="","",'Students Details'!C94)</f>
        <v/>
      </c>
      <c r="D95" s="70"/>
      <c r="E95" s="70"/>
      <c r="F95" s="70"/>
      <c r="G95" s="70"/>
      <c r="H95" s="70"/>
      <c r="I95" s="70"/>
      <c r="J95" s="67">
        <f t="shared" si="35"/>
        <v>0</v>
      </c>
      <c r="K95" s="61">
        <f t="shared" ref="K95:M95" si="91">D95</f>
        <v>0</v>
      </c>
      <c r="L95" s="61">
        <f t="shared" si="91"/>
        <v>0</v>
      </c>
      <c r="M95" s="61">
        <f t="shared" si="91"/>
        <v>0</v>
      </c>
      <c r="N95" s="61">
        <f>IF('CO-PO Mapping'!$A$10="",0,G95)</f>
        <v>0</v>
      </c>
      <c r="O95" s="61">
        <f>IF('CO-PO Mapping'!$A$11="",0,H95)</f>
        <v>0</v>
      </c>
      <c r="P95" s="61">
        <f>IF('CO-PO Mapping'!$A$12="",0,I95)</f>
        <v>0</v>
      </c>
      <c r="Q95" s="68">
        <f t="shared" si="1"/>
        <v>0</v>
      </c>
    </row>
    <row r="96" spans="1:17" ht="15.75" customHeight="1">
      <c r="A96" s="62">
        <f>'Students Details'!A95</f>
        <v>89</v>
      </c>
      <c r="B96" s="63" t="str">
        <f>IF('Students Details'!B95="","",'Students Details'!B95)</f>
        <v/>
      </c>
      <c r="C96" s="64" t="str">
        <f>IF('Students Details'!C95="","",'Students Details'!C95)</f>
        <v/>
      </c>
      <c r="D96" s="70"/>
      <c r="E96" s="70"/>
      <c r="F96" s="70"/>
      <c r="G96" s="70"/>
      <c r="H96" s="70"/>
      <c r="I96" s="70"/>
      <c r="J96" s="67">
        <f t="shared" si="35"/>
        <v>0</v>
      </c>
      <c r="K96" s="61">
        <f t="shared" ref="K96:M96" si="92">D96</f>
        <v>0</v>
      </c>
      <c r="L96" s="61">
        <f t="shared" si="92"/>
        <v>0</v>
      </c>
      <c r="M96" s="61">
        <f t="shared" si="92"/>
        <v>0</v>
      </c>
      <c r="N96" s="61">
        <f>IF('CO-PO Mapping'!$A$10="",0,G96)</f>
        <v>0</v>
      </c>
      <c r="O96" s="61">
        <f>IF('CO-PO Mapping'!$A$11="",0,H96)</f>
        <v>0</v>
      </c>
      <c r="P96" s="61">
        <f>IF('CO-PO Mapping'!$A$12="",0,I96)</f>
        <v>0</v>
      </c>
      <c r="Q96" s="68">
        <f t="shared" si="1"/>
        <v>0</v>
      </c>
    </row>
    <row r="97" spans="1:17" ht="15.75" customHeight="1">
      <c r="A97" s="62">
        <f>'Students Details'!A96</f>
        <v>90</v>
      </c>
      <c r="B97" s="63" t="str">
        <f>IF('Students Details'!B96="","",'Students Details'!B96)</f>
        <v/>
      </c>
      <c r="C97" s="64" t="str">
        <f>IF('Students Details'!C96="","",'Students Details'!C96)</f>
        <v/>
      </c>
      <c r="D97" s="70"/>
      <c r="E97" s="70"/>
      <c r="F97" s="70"/>
      <c r="G97" s="70"/>
      <c r="H97" s="70"/>
      <c r="I97" s="70"/>
      <c r="J97" s="67">
        <f t="shared" si="35"/>
        <v>0</v>
      </c>
      <c r="K97" s="61">
        <f t="shared" ref="K97:M97" si="93">D97</f>
        <v>0</v>
      </c>
      <c r="L97" s="61">
        <f t="shared" si="93"/>
        <v>0</v>
      </c>
      <c r="M97" s="61">
        <f t="shared" si="93"/>
        <v>0</v>
      </c>
      <c r="N97" s="61">
        <f>IF('CO-PO Mapping'!$A$10="",0,G97)</f>
        <v>0</v>
      </c>
      <c r="O97" s="61">
        <f>IF('CO-PO Mapping'!$A$11="",0,H97)</f>
        <v>0</v>
      </c>
      <c r="P97" s="61">
        <f>IF('CO-PO Mapping'!$A$12="",0,I97)</f>
        <v>0</v>
      </c>
      <c r="Q97" s="68">
        <f t="shared" si="1"/>
        <v>0</v>
      </c>
    </row>
    <row r="98" spans="1:17" ht="15.75" customHeight="1">
      <c r="A98" s="62">
        <f>'Students Details'!A97</f>
        <v>91</v>
      </c>
      <c r="B98" s="63" t="str">
        <f>IF('Students Details'!B97="","",'Students Details'!B97)</f>
        <v/>
      </c>
      <c r="C98" s="64" t="str">
        <f>IF('Students Details'!C97="","",'Students Details'!C97)</f>
        <v/>
      </c>
      <c r="D98" s="70"/>
      <c r="E98" s="70"/>
      <c r="F98" s="70"/>
      <c r="G98" s="70"/>
      <c r="H98" s="70"/>
      <c r="I98" s="70"/>
      <c r="J98" s="67">
        <f t="shared" si="35"/>
        <v>0</v>
      </c>
      <c r="K98" s="61">
        <f t="shared" ref="K98:M98" si="94">D98</f>
        <v>0</v>
      </c>
      <c r="L98" s="61">
        <f t="shared" si="94"/>
        <v>0</v>
      </c>
      <c r="M98" s="61">
        <f t="shared" si="94"/>
        <v>0</v>
      </c>
      <c r="N98" s="61">
        <f>IF('CO-PO Mapping'!$A$10="",0,G98)</f>
        <v>0</v>
      </c>
      <c r="O98" s="61">
        <f>IF('CO-PO Mapping'!$A$11="",0,H98)</f>
        <v>0</v>
      </c>
      <c r="P98" s="61">
        <f>IF('CO-PO Mapping'!$A$12="",0,I98)</f>
        <v>0</v>
      </c>
      <c r="Q98" s="68">
        <f t="shared" si="1"/>
        <v>0</v>
      </c>
    </row>
    <row r="99" spans="1:17" ht="15.75" customHeight="1">
      <c r="A99" s="62">
        <f>'Students Details'!A98</f>
        <v>92</v>
      </c>
      <c r="B99" s="63" t="str">
        <f>IF('Students Details'!B98="","",'Students Details'!B98)</f>
        <v/>
      </c>
      <c r="C99" s="64" t="str">
        <f>IF('Students Details'!C98="","",'Students Details'!C98)</f>
        <v/>
      </c>
      <c r="D99" s="70"/>
      <c r="E99" s="70"/>
      <c r="F99" s="70"/>
      <c r="G99" s="70"/>
      <c r="H99" s="70"/>
      <c r="I99" s="70"/>
      <c r="J99" s="67">
        <f t="shared" si="35"/>
        <v>0</v>
      </c>
      <c r="K99" s="61">
        <f t="shared" ref="K99:M99" si="95">D99</f>
        <v>0</v>
      </c>
      <c r="L99" s="61">
        <f t="shared" si="95"/>
        <v>0</v>
      </c>
      <c r="M99" s="61">
        <f t="shared" si="95"/>
        <v>0</v>
      </c>
      <c r="N99" s="61">
        <f>IF('CO-PO Mapping'!$A$10="",0,G99)</f>
        <v>0</v>
      </c>
      <c r="O99" s="61">
        <f>IF('CO-PO Mapping'!$A$11="",0,H99)</f>
        <v>0</v>
      </c>
      <c r="P99" s="61">
        <f>IF('CO-PO Mapping'!$A$12="",0,I99)</f>
        <v>0</v>
      </c>
      <c r="Q99" s="68">
        <f t="shared" si="1"/>
        <v>0</v>
      </c>
    </row>
    <row r="100" spans="1:17" ht="15.75" customHeight="1">
      <c r="A100" s="62">
        <f>'Students Details'!A99</f>
        <v>93</v>
      </c>
      <c r="B100" s="63" t="str">
        <f>IF('Students Details'!B99="","",'Students Details'!B99)</f>
        <v/>
      </c>
      <c r="C100" s="64" t="str">
        <f>IF('Students Details'!C99="","",'Students Details'!C99)</f>
        <v/>
      </c>
      <c r="D100" s="70"/>
      <c r="E100" s="70"/>
      <c r="F100" s="70"/>
      <c r="G100" s="70"/>
      <c r="H100" s="70"/>
      <c r="I100" s="70"/>
      <c r="J100" s="67">
        <f t="shared" si="35"/>
        <v>0</v>
      </c>
      <c r="K100" s="61">
        <f t="shared" ref="K100:M100" si="96">D100</f>
        <v>0</v>
      </c>
      <c r="L100" s="61">
        <f t="shared" si="96"/>
        <v>0</v>
      </c>
      <c r="M100" s="61">
        <f t="shared" si="96"/>
        <v>0</v>
      </c>
      <c r="N100" s="61">
        <f>IF('CO-PO Mapping'!$A$10="",0,G100)</f>
        <v>0</v>
      </c>
      <c r="O100" s="61">
        <f>IF('CO-PO Mapping'!$A$11="",0,H100)</f>
        <v>0</v>
      </c>
      <c r="P100" s="61">
        <f>IF('CO-PO Mapping'!$A$12="",0,I100)</f>
        <v>0</v>
      </c>
      <c r="Q100" s="68">
        <f t="shared" si="1"/>
        <v>0</v>
      </c>
    </row>
    <row r="101" spans="1:17" ht="15.75" customHeight="1">
      <c r="A101" s="62">
        <f>'Students Details'!A100</f>
        <v>94</v>
      </c>
      <c r="B101" s="63" t="str">
        <f>IF('Students Details'!B100="","",'Students Details'!B100)</f>
        <v/>
      </c>
      <c r="C101" s="64" t="str">
        <f>IF('Students Details'!C100="","",'Students Details'!C100)</f>
        <v/>
      </c>
      <c r="D101" s="70"/>
      <c r="E101" s="70"/>
      <c r="F101" s="70"/>
      <c r="G101" s="70"/>
      <c r="H101" s="70"/>
      <c r="I101" s="70"/>
      <c r="J101" s="67">
        <f t="shared" si="35"/>
        <v>0</v>
      </c>
      <c r="K101" s="61">
        <f t="shared" ref="K101:M101" si="97">D101</f>
        <v>0</v>
      </c>
      <c r="L101" s="61">
        <f t="shared" si="97"/>
        <v>0</v>
      </c>
      <c r="M101" s="61">
        <f t="shared" si="97"/>
        <v>0</v>
      </c>
      <c r="N101" s="61">
        <f>IF('CO-PO Mapping'!$A$10="",0,G101)</f>
        <v>0</v>
      </c>
      <c r="O101" s="61">
        <f>IF('CO-PO Mapping'!$A$11="",0,H101)</f>
        <v>0</v>
      </c>
      <c r="P101" s="61">
        <f>IF('CO-PO Mapping'!$A$12="",0,I101)</f>
        <v>0</v>
      </c>
      <c r="Q101" s="68">
        <f t="shared" si="1"/>
        <v>0</v>
      </c>
    </row>
    <row r="102" spans="1:17" ht="15.75" customHeight="1">
      <c r="A102" s="62">
        <f>'Students Details'!A101</f>
        <v>95</v>
      </c>
      <c r="B102" s="63" t="str">
        <f>IF('Students Details'!B101="","",'Students Details'!B101)</f>
        <v/>
      </c>
      <c r="C102" s="64" t="str">
        <f>IF('Students Details'!C101="","",'Students Details'!C101)</f>
        <v/>
      </c>
      <c r="D102" s="70"/>
      <c r="E102" s="70"/>
      <c r="F102" s="70"/>
      <c r="G102" s="70"/>
      <c r="H102" s="70"/>
      <c r="I102" s="70"/>
      <c r="J102" s="67">
        <f t="shared" si="35"/>
        <v>0</v>
      </c>
      <c r="K102" s="61">
        <f t="shared" ref="K102:M102" si="98">D102</f>
        <v>0</v>
      </c>
      <c r="L102" s="61">
        <f t="shared" si="98"/>
        <v>0</v>
      </c>
      <c r="M102" s="61">
        <f t="shared" si="98"/>
        <v>0</v>
      </c>
      <c r="N102" s="61">
        <f>IF('CO-PO Mapping'!$A$10="",0,G102)</f>
        <v>0</v>
      </c>
      <c r="O102" s="61">
        <f>IF('CO-PO Mapping'!$A$11="",0,H102)</f>
        <v>0</v>
      </c>
      <c r="P102" s="61">
        <f>IF('CO-PO Mapping'!$A$12="",0,I102)</f>
        <v>0</v>
      </c>
      <c r="Q102" s="68">
        <f t="shared" si="1"/>
        <v>0</v>
      </c>
    </row>
    <row r="103" spans="1:17" ht="15.75" customHeight="1">
      <c r="A103" s="62">
        <f>'Students Details'!A102</f>
        <v>96</v>
      </c>
      <c r="B103" s="63" t="str">
        <f>IF('Students Details'!B102="","",'Students Details'!B102)</f>
        <v/>
      </c>
      <c r="C103" s="64" t="str">
        <f>IF('Students Details'!C102="","",'Students Details'!C102)</f>
        <v/>
      </c>
      <c r="D103" s="70"/>
      <c r="E103" s="70"/>
      <c r="F103" s="70"/>
      <c r="G103" s="70"/>
      <c r="H103" s="70"/>
      <c r="I103" s="70"/>
      <c r="J103" s="67">
        <f t="shared" si="35"/>
        <v>0</v>
      </c>
      <c r="K103" s="61">
        <f t="shared" ref="K103:M103" si="99">D103</f>
        <v>0</v>
      </c>
      <c r="L103" s="61">
        <f t="shared" si="99"/>
        <v>0</v>
      </c>
      <c r="M103" s="61">
        <f t="shared" si="99"/>
        <v>0</v>
      </c>
      <c r="N103" s="61">
        <f>IF('CO-PO Mapping'!$A$10="",0,G103)</f>
        <v>0</v>
      </c>
      <c r="O103" s="61">
        <f>IF('CO-PO Mapping'!$A$11="",0,H103)</f>
        <v>0</v>
      </c>
      <c r="P103" s="61">
        <f>IF('CO-PO Mapping'!$A$12="",0,I103)</f>
        <v>0</v>
      </c>
      <c r="Q103" s="68">
        <f t="shared" si="1"/>
        <v>0</v>
      </c>
    </row>
    <row r="104" spans="1:17" ht="15.75" customHeight="1">
      <c r="A104" s="62">
        <f>'Students Details'!A103</f>
        <v>97</v>
      </c>
      <c r="B104" s="63" t="str">
        <f>IF('Students Details'!B103="","",'Students Details'!B103)</f>
        <v/>
      </c>
      <c r="C104" s="64" t="str">
        <f>IF('Students Details'!C103="","",'Students Details'!C103)</f>
        <v/>
      </c>
      <c r="D104" s="70"/>
      <c r="E104" s="70"/>
      <c r="F104" s="70"/>
      <c r="G104" s="70"/>
      <c r="H104" s="70"/>
      <c r="I104" s="70"/>
      <c r="J104" s="67">
        <f t="shared" si="35"/>
        <v>0</v>
      </c>
      <c r="K104" s="61">
        <f t="shared" ref="K104:M104" si="100">D104</f>
        <v>0</v>
      </c>
      <c r="L104" s="61">
        <f t="shared" si="100"/>
        <v>0</v>
      </c>
      <c r="M104" s="61">
        <f t="shared" si="100"/>
        <v>0</v>
      </c>
      <c r="N104" s="61">
        <f>IF('CO-PO Mapping'!$A$10="",0,G104)</f>
        <v>0</v>
      </c>
      <c r="O104" s="61">
        <f>IF('CO-PO Mapping'!$A$11="",0,H104)</f>
        <v>0</v>
      </c>
      <c r="P104" s="61">
        <f>IF('CO-PO Mapping'!$A$12="",0,I104)</f>
        <v>0</v>
      </c>
      <c r="Q104" s="68">
        <f t="shared" si="1"/>
        <v>0</v>
      </c>
    </row>
    <row r="105" spans="1:17" ht="15.75" customHeight="1">
      <c r="A105" s="62">
        <f>'Students Details'!A104</f>
        <v>98</v>
      </c>
      <c r="B105" s="63" t="str">
        <f>IF('Students Details'!B104="","",'Students Details'!B104)</f>
        <v/>
      </c>
      <c r="C105" s="64" t="str">
        <f>IF('Students Details'!C104="","",'Students Details'!C104)</f>
        <v/>
      </c>
      <c r="D105" s="70"/>
      <c r="E105" s="70"/>
      <c r="F105" s="70"/>
      <c r="G105" s="70"/>
      <c r="H105" s="70"/>
      <c r="I105" s="70"/>
      <c r="J105" s="67">
        <f t="shared" si="35"/>
        <v>0</v>
      </c>
      <c r="K105" s="61">
        <f t="shared" ref="K105:M105" si="101">D105</f>
        <v>0</v>
      </c>
      <c r="L105" s="61">
        <f t="shared" si="101"/>
        <v>0</v>
      </c>
      <c r="M105" s="61">
        <f t="shared" si="101"/>
        <v>0</v>
      </c>
      <c r="N105" s="61">
        <f>IF('CO-PO Mapping'!$A$10="",0,G105)</f>
        <v>0</v>
      </c>
      <c r="O105" s="61">
        <f>IF('CO-PO Mapping'!$A$11="",0,H105)</f>
        <v>0</v>
      </c>
      <c r="P105" s="61">
        <f>IF('CO-PO Mapping'!$A$12="",0,I105)</f>
        <v>0</v>
      </c>
      <c r="Q105" s="68">
        <f t="shared" si="1"/>
        <v>0</v>
      </c>
    </row>
    <row r="106" spans="1:17" ht="15.75" customHeight="1">
      <c r="A106" s="62">
        <f>'Students Details'!A105</f>
        <v>99</v>
      </c>
      <c r="B106" s="63" t="str">
        <f>IF('Students Details'!B105="","",'Students Details'!B105)</f>
        <v/>
      </c>
      <c r="C106" s="64" t="str">
        <f>IF('Students Details'!C105="","",'Students Details'!C105)</f>
        <v/>
      </c>
      <c r="D106" s="70"/>
      <c r="E106" s="70"/>
      <c r="F106" s="70"/>
      <c r="G106" s="70"/>
      <c r="H106" s="70"/>
      <c r="I106" s="70"/>
      <c r="J106" s="67">
        <f t="shared" si="35"/>
        <v>0</v>
      </c>
      <c r="K106" s="61">
        <f t="shared" ref="K106:M106" si="102">D106</f>
        <v>0</v>
      </c>
      <c r="L106" s="61">
        <f t="shared" si="102"/>
        <v>0</v>
      </c>
      <c r="M106" s="61">
        <f t="shared" si="102"/>
        <v>0</v>
      </c>
      <c r="N106" s="61">
        <f>IF('CO-PO Mapping'!$A$10="",0,G106)</f>
        <v>0</v>
      </c>
      <c r="O106" s="61">
        <f>IF('CO-PO Mapping'!$A$11="",0,H106)</f>
        <v>0</v>
      </c>
      <c r="P106" s="61">
        <f>IF('CO-PO Mapping'!$A$12="",0,I106)</f>
        <v>0</v>
      </c>
      <c r="Q106" s="68">
        <f t="shared" si="1"/>
        <v>0</v>
      </c>
    </row>
    <row r="107" spans="1:17" ht="15.75" customHeight="1">
      <c r="A107" s="62">
        <f>'Students Details'!A106</f>
        <v>100</v>
      </c>
      <c r="B107" s="63" t="str">
        <f>IF('Students Details'!B106="","",'Students Details'!B106)</f>
        <v/>
      </c>
      <c r="C107" s="64" t="str">
        <f>IF('Students Details'!C106="","",'Students Details'!C106)</f>
        <v/>
      </c>
      <c r="D107" s="70"/>
      <c r="E107" s="70"/>
      <c r="F107" s="70"/>
      <c r="G107" s="70"/>
      <c r="H107" s="70"/>
      <c r="I107" s="70"/>
      <c r="J107" s="67">
        <f t="shared" si="35"/>
        <v>0</v>
      </c>
      <c r="K107" s="61">
        <f t="shared" ref="K107:M107" si="103">D107</f>
        <v>0</v>
      </c>
      <c r="L107" s="61">
        <f t="shared" si="103"/>
        <v>0</v>
      </c>
      <c r="M107" s="61">
        <f t="shared" si="103"/>
        <v>0</v>
      </c>
      <c r="N107" s="61">
        <f>IF('CO-PO Mapping'!$A$10="",0,G107)</f>
        <v>0</v>
      </c>
      <c r="O107" s="61">
        <f>IF('CO-PO Mapping'!$A$11="",0,H107)</f>
        <v>0</v>
      </c>
      <c r="P107" s="61">
        <f>IF('CO-PO Mapping'!$A$12="",0,I107)</f>
        <v>0</v>
      </c>
      <c r="Q107" s="68">
        <f t="shared" si="1"/>
        <v>0</v>
      </c>
    </row>
    <row r="108" spans="1:17" ht="15.75" customHeight="1">
      <c r="A108" s="62">
        <f>'Students Details'!A107</f>
        <v>101</v>
      </c>
      <c r="B108" s="63" t="str">
        <f>IF('Students Details'!B107="","",'Students Details'!B107)</f>
        <v/>
      </c>
      <c r="C108" s="64" t="str">
        <f>IF('Students Details'!C107="","",'Students Details'!C107)</f>
        <v/>
      </c>
      <c r="D108" s="70"/>
      <c r="E108" s="70"/>
      <c r="F108" s="70"/>
      <c r="G108" s="70"/>
      <c r="H108" s="70"/>
      <c r="I108" s="70"/>
      <c r="J108" s="67">
        <f t="shared" si="35"/>
        <v>0</v>
      </c>
      <c r="K108" s="61">
        <f t="shared" ref="K108:M108" si="104">D108</f>
        <v>0</v>
      </c>
      <c r="L108" s="61">
        <f t="shared" si="104"/>
        <v>0</v>
      </c>
      <c r="M108" s="61">
        <f t="shared" si="104"/>
        <v>0</v>
      </c>
      <c r="N108" s="61">
        <f>IF('CO-PO Mapping'!$A$10="",0,G108)</f>
        <v>0</v>
      </c>
      <c r="O108" s="61">
        <f>IF('CO-PO Mapping'!$A$11="",0,H108)</f>
        <v>0</v>
      </c>
      <c r="P108" s="61">
        <f>IF('CO-PO Mapping'!$A$12="",0,I108)</f>
        <v>0</v>
      </c>
      <c r="Q108" s="68">
        <f t="shared" si="1"/>
        <v>0</v>
      </c>
    </row>
    <row r="109" spans="1:17" ht="15.75" customHeight="1">
      <c r="A109" s="62">
        <f>'Students Details'!A108</f>
        <v>102</v>
      </c>
      <c r="B109" s="63" t="str">
        <f>IF('Students Details'!B108="","",'Students Details'!B108)</f>
        <v/>
      </c>
      <c r="C109" s="64" t="str">
        <f>IF('Students Details'!C108="","",'Students Details'!C108)</f>
        <v/>
      </c>
      <c r="D109" s="70"/>
      <c r="E109" s="70"/>
      <c r="F109" s="70"/>
      <c r="G109" s="70"/>
      <c r="H109" s="70"/>
      <c r="I109" s="70"/>
      <c r="J109" s="67">
        <f t="shared" si="35"/>
        <v>0</v>
      </c>
      <c r="K109" s="61">
        <f t="shared" ref="K109:M109" si="105">D109</f>
        <v>0</v>
      </c>
      <c r="L109" s="61">
        <f t="shared" si="105"/>
        <v>0</v>
      </c>
      <c r="M109" s="61">
        <f t="shared" si="105"/>
        <v>0</v>
      </c>
      <c r="N109" s="61">
        <f>IF('CO-PO Mapping'!$A$10="",0,G109)</f>
        <v>0</v>
      </c>
      <c r="O109" s="61">
        <f>IF('CO-PO Mapping'!$A$11="",0,H109)</f>
        <v>0</v>
      </c>
      <c r="P109" s="61">
        <f>IF('CO-PO Mapping'!$A$12="",0,I109)</f>
        <v>0</v>
      </c>
      <c r="Q109" s="68">
        <f t="shared" si="1"/>
        <v>0</v>
      </c>
    </row>
    <row r="110" spans="1:17" ht="15.75" customHeight="1">
      <c r="A110" s="62">
        <f>'Students Details'!A109</f>
        <v>103</v>
      </c>
      <c r="B110" s="63" t="str">
        <f>IF('Students Details'!B109="","",'Students Details'!B109)</f>
        <v/>
      </c>
      <c r="C110" s="64" t="str">
        <f>IF('Students Details'!C109="","",'Students Details'!C109)</f>
        <v/>
      </c>
      <c r="D110" s="70"/>
      <c r="E110" s="70"/>
      <c r="F110" s="70"/>
      <c r="G110" s="70"/>
      <c r="H110" s="70"/>
      <c r="I110" s="70"/>
      <c r="J110" s="67">
        <f t="shared" si="35"/>
        <v>0</v>
      </c>
      <c r="K110" s="61">
        <f t="shared" ref="K110:M110" si="106">D110</f>
        <v>0</v>
      </c>
      <c r="L110" s="61">
        <f t="shared" si="106"/>
        <v>0</v>
      </c>
      <c r="M110" s="61">
        <f t="shared" si="106"/>
        <v>0</v>
      </c>
      <c r="N110" s="61">
        <f>IF('CO-PO Mapping'!$A$10="",0,G110)</f>
        <v>0</v>
      </c>
      <c r="O110" s="61">
        <f>IF('CO-PO Mapping'!$A$11="",0,H110)</f>
        <v>0</v>
      </c>
      <c r="P110" s="61">
        <f>IF('CO-PO Mapping'!$A$12="",0,I110)</f>
        <v>0</v>
      </c>
      <c r="Q110" s="68">
        <f t="shared" si="1"/>
        <v>0</v>
      </c>
    </row>
    <row r="111" spans="1:17" ht="15.75" customHeight="1">
      <c r="A111" s="62">
        <f>'Students Details'!A110</f>
        <v>104</v>
      </c>
      <c r="B111" s="63" t="str">
        <f>IF('Students Details'!B110="","",'Students Details'!B110)</f>
        <v/>
      </c>
      <c r="C111" s="64" t="str">
        <f>IF('Students Details'!C110="","",'Students Details'!C110)</f>
        <v/>
      </c>
      <c r="D111" s="71"/>
      <c r="E111" s="71"/>
      <c r="F111" s="71"/>
      <c r="G111" s="71"/>
      <c r="H111" s="71"/>
      <c r="I111" s="71"/>
      <c r="J111" s="67">
        <f t="shared" si="35"/>
        <v>0</v>
      </c>
      <c r="K111" s="61">
        <f t="shared" ref="K111:M111" si="107">D111</f>
        <v>0</v>
      </c>
      <c r="L111" s="61">
        <f t="shared" si="107"/>
        <v>0</v>
      </c>
      <c r="M111" s="61">
        <f t="shared" si="107"/>
        <v>0</v>
      </c>
      <c r="N111" s="61">
        <f>IF('CO-PO Mapping'!$A$10="",0,G111)</f>
        <v>0</v>
      </c>
      <c r="O111" s="61">
        <f>IF('CO-PO Mapping'!$A$11="",0,H111)</f>
        <v>0</v>
      </c>
      <c r="P111" s="61">
        <f>IF('CO-PO Mapping'!$A$12="",0,I111)</f>
        <v>0</v>
      </c>
      <c r="Q111" s="68">
        <f t="shared" si="1"/>
        <v>0</v>
      </c>
    </row>
    <row r="112" spans="1:17" ht="15.75" customHeight="1">
      <c r="A112" s="62">
        <f>'Students Details'!A111</f>
        <v>105</v>
      </c>
      <c r="B112" s="63" t="str">
        <f>IF('Students Details'!B111="","",'Students Details'!B111)</f>
        <v/>
      </c>
      <c r="C112" s="64" t="str">
        <f>IF('Students Details'!C111="","",'Students Details'!C111)</f>
        <v/>
      </c>
      <c r="D112" s="72"/>
      <c r="E112" s="72"/>
      <c r="F112" s="72"/>
      <c r="G112" s="72"/>
      <c r="H112" s="72"/>
      <c r="I112" s="72"/>
      <c r="J112" s="67">
        <f t="shared" si="35"/>
        <v>0</v>
      </c>
      <c r="K112" s="61">
        <f t="shared" ref="K112:M112" si="108">D112</f>
        <v>0</v>
      </c>
      <c r="L112" s="61">
        <f t="shared" si="108"/>
        <v>0</v>
      </c>
      <c r="M112" s="61">
        <f t="shared" si="108"/>
        <v>0</v>
      </c>
      <c r="N112" s="61">
        <f>IF('CO-PO Mapping'!$A$10="",0,G112)</f>
        <v>0</v>
      </c>
      <c r="O112" s="61">
        <f>IF('CO-PO Mapping'!$A$11="",0,H112)</f>
        <v>0</v>
      </c>
      <c r="P112" s="61">
        <f>IF('CO-PO Mapping'!$A$12="",0,I112)</f>
        <v>0</v>
      </c>
      <c r="Q112" s="68">
        <f t="shared" si="1"/>
        <v>0</v>
      </c>
    </row>
    <row r="113" spans="1:17" ht="15.75" customHeight="1">
      <c r="A113" s="62">
        <f>'Students Details'!A112</f>
        <v>106</v>
      </c>
      <c r="B113" s="63" t="str">
        <f>IF('Students Details'!B112="","",'Students Details'!B112)</f>
        <v/>
      </c>
      <c r="C113" s="64" t="str">
        <f>IF('Students Details'!C112="","",'Students Details'!C112)</f>
        <v/>
      </c>
      <c r="D113" s="72"/>
      <c r="E113" s="72"/>
      <c r="F113" s="72"/>
      <c r="G113" s="72"/>
      <c r="H113" s="72"/>
      <c r="I113" s="72"/>
      <c r="J113" s="67">
        <f t="shared" si="35"/>
        <v>0</v>
      </c>
      <c r="K113" s="61">
        <f t="shared" ref="K113:M113" si="109">D113</f>
        <v>0</v>
      </c>
      <c r="L113" s="61">
        <f t="shared" si="109"/>
        <v>0</v>
      </c>
      <c r="M113" s="61">
        <f t="shared" si="109"/>
        <v>0</v>
      </c>
      <c r="N113" s="61">
        <f>IF('CO-PO Mapping'!$A$10="",0,G113)</f>
        <v>0</v>
      </c>
      <c r="O113" s="61">
        <f>IF('CO-PO Mapping'!$A$11="",0,H113)</f>
        <v>0</v>
      </c>
      <c r="P113" s="61">
        <f>IF('CO-PO Mapping'!$A$12="",0,I113)</f>
        <v>0</v>
      </c>
      <c r="Q113" s="68">
        <f t="shared" si="1"/>
        <v>0</v>
      </c>
    </row>
    <row r="114" spans="1:17" ht="15.75" customHeight="1">
      <c r="A114" s="62">
        <f>'Students Details'!A113</f>
        <v>107</v>
      </c>
      <c r="B114" s="63" t="str">
        <f>IF('Students Details'!B113="","",'Students Details'!B113)</f>
        <v/>
      </c>
      <c r="C114" s="64" t="str">
        <f>IF('Students Details'!C113="","",'Students Details'!C113)</f>
        <v/>
      </c>
      <c r="D114" s="72"/>
      <c r="E114" s="72"/>
      <c r="F114" s="72"/>
      <c r="G114" s="72"/>
      <c r="H114" s="72"/>
      <c r="I114" s="72"/>
      <c r="J114" s="67">
        <f t="shared" si="35"/>
        <v>0</v>
      </c>
      <c r="K114" s="61">
        <f t="shared" ref="K114:M114" si="110">D114</f>
        <v>0</v>
      </c>
      <c r="L114" s="61">
        <f t="shared" si="110"/>
        <v>0</v>
      </c>
      <c r="M114" s="61">
        <f t="shared" si="110"/>
        <v>0</v>
      </c>
      <c r="N114" s="61">
        <f>IF('CO-PO Mapping'!$A$10="",0,G114)</f>
        <v>0</v>
      </c>
      <c r="O114" s="61">
        <f>IF('CO-PO Mapping'!$A$11="",0,H114)</f>
        <v>0</v>
      </c>
      <c r="P114" s="61">
        <f>IF('CO-PO Mapping'!$A$12="",0,I114)</f>
        <v>0</v>
      </c>
      <c r="Q114" s="68">
        <f t="shared" si="1"/>
        <v>0</v>
      </c>
    </row>
    <row r="115" spans="1:17" ht="15.75" customHeight="1">
      <c r="A115" s="62">
        <f>'Students Details'!A114</f>
        <v>108</v>
      </c>
      <c r="B115" s="63" t="str">
        <f>IF('Students Details'!B114="","",'Students Details'!B114)</f>
        <v/>
      </c>
      <c r="C115" s="64" t="str">
        <f>IF('Students Details'!C114="","",'Students Details'!C114)</f>
        <v/>
      </c>
      <c r="D115" s="72"/>
      <c r="E115" s="72"/>
      <c r="F115" s="72"/>
      <c r="G115" s="72"/>
      <c r="H115" s="72"/>
      <c r="I115" s="72"/>
      <c r="J115" s="67">
        <f t="shared" si="35"/>
        <v>0</v>
      </c>
      <c r="K115" s="61">
        <f t="shared" ref="K115:M115" si="111">D115</f>
        <v>0</v>
      </c>
      <c r="L115" s="61">
        <f t="shared" si="111"/>
        <v>0</v>
      </c>
      <c r="M115" s="61">
        <f t="shared" si="111"/>
        <v>0</v>
      </c>
      <c r="N115" s="61">
        <f>IF('CO-PO Mapping'!$A$10="",0,G115)</f>
        <v>0</v>
      </c>
      <c r="O115" s="61">
        <f>IF('CO-PO Mapping'!$A$11="",0,H115)</f>
        <v>0</v>
      </c>
      <c r="P115" s="61">
        <f>IF('CO-PO Mapping'!$A$12="",0,I115)</f>
        <v>0</v>
      </c>
      <c r="Q115" s="68">
        <f t="shared" si="1"/>
        <v>0</v>
      </c>
    </row>
    <row r="116" spans="1:17" ht="15.75" customHeight="1">
      <c r="A116" s="62">
        <f>'Students Details'!A115</f>
        <v>109</v>
      </c>
      <c r="B116" s="63" t="str">
        <f>IF('Students Details'!B115="","",'Students Details'!B115)</f>
        <v/>
      </c>
      <c r="C116" s="64" t="str">
        <f>IF('Students Details'!C115="","",'Students Details'!C115)</f>
        <v/>
      </c>
      <c r="D116" s="72"/>
      <c r="E116" s="72"/>
      <c r="F116" s="72"/>
      <c r="G116" s="72"/>
      <c r="H116" s="72"/>
      <c r="I116" s="72"/>
      <c r="J116" s="67">
        <f t="shared" si="35"/>
        <v>0</v>
      </c>
      <c r="K116" s="61">
        <f t="shared" ref="K116:M116" si="112">D116</f>
        <v>0</v>
      </c>
      <c r="L116" s="61">
        <f t="shared" si="112"/>
        <v>0</v>
      </c>
      <c r="M116" s="61">
        <f t="shared" si="112"/>
        <v>0</v>
      </c>
      <c r="N116" s="61">
        <f>IF('CO-PO Mapping'!$A$10="",0,G116)</f>
        <v>0</v>
      </c>
      <c r="O116" s="61">
        <f>IF('CO-PO Mapping'!$A$11="",0,H116)</f>
        <v>0</v>
      </c>
      <c r="P116" s="61">
        <f>IF('CO-PO Mapping'!$A$12="",0,I116)</f>
        <v>0</v>
      </c>
      <c r="Q116" s="68">
        <f t="shared" si="1"/>
        <v>0</v>
      </c>
    </row>
    <row r="117" spans="1:17" ht="15.75" customHeight="1">
      <c r="A117" s="62">
        <f>'Students Details'!A116</f>
        <v>110</v>
      </c>
      <c r="B117" s="63" t="str">
        <f>IF('Students Details'!B116="","",'Students Details'!B116)</f>
        <v/>
      </c>
      <c r="C117" s="64" t="str">
        <f>IF('Students Details'!C116="","",'Students Details'!C116)</f>
        <v/>
      </c>
      <c r="D117" s="72"/>
      <c r="E117" s="72"/>
      <c r="F117" s="72"/>
      <c r="G117" s="72"/>
      <c r="H117" s="72"/>
      <c r="I117" s="72"/>
      <c r="J117" s="67">
        <f t="shared" si="35"/>
        <v>0</v>
      </c>
      <c r="K117" s="61">
        <f t="shared" ref="K117:M117" si="113">D117</f>
        <v>0</v>
      </c>
      <c r="L117" s="61">
        <f t="shared" si="113"/>
        <v>0</v>
      </c>
      <c r="M117" s="61">
        <f t="shared" si="113"/>
        <v>0</v>
      </c>
      <c r="N117" s="61">
        <f>IF('CO-PO Mapping'!$A$10="",0,G117)</f>
        <v>0</v>
      </c>
      <c r="O117" s="61">
        <f>IF('CO-PO Mapping'!$A$11="",0,H117)</f>
        <v>0</v>
      </c>
      <c r="P117" s="61">
        <f>IF('CO-PO Mapping'!$A$12="",0,I117)</f>
        <v>0</v>
      </c>
      <c r="Q117" s="68">
        <f t="shared" si="1"/>
        <v>0</v>
      </c>
    </row>
    <row r="118" spans="1:17" ht="15.75" customHeight="1">
      <c r="A118" s="62">
        <f>'Students Details'!A117</f>
        <v>111</v>
      </c>
      <c r="B118" s="63" t="str">
        <f>IF('Students Details'!B117="","",'Students Details'!B117)</f>
        <v/>
      </c>
      <c r="C118" s="64" t="str">
        <f>IF('Students Details'!C117="","",'Students Details'!C117)</f>
        <v/>
      </c>
      <c r="D118" s="72"/>
      <c r="E118" s="72"/>
      <c r="F118" s="72"/>
      <c r="G118" s="72"/>
      <c r="H118" s="72"/>
      <c r="I118" s="72"/>
      <c r="J118" s="67">
        <f t="shared" si="35"/>
        <v>0</v>
      </c>
      <c r="K118" s="61">
        <f t="shared" ref="K118:M118" si="114">D118</f>
        <v>0</v>
      </c>
      <c r="L118" s="61">
        <f t="shared" si="114"/>
        <v>0</v>
      </c>
      <c r="M118" s="61">
        <f t="shared" si="114"/>
        <v>0</v>
      </c>
      <c r="N118" s="61">
        <f>IF('CO-PO Mapping'!$A$10="",0,G118)</f>
        <v>0</v>
      </c>
      <c r="O118" s="61">
        <f>IF('CO-PO Mapping'!$A$11="",0,H118)</f>
        <v>0</v>
      </c>
      <c r="P118" s="61">
        <f>IF('CO-PO Mapping'!$A$12="",0,I118)</f>
        <v>0</v>
      </c>
      <c r="Q118" s="68">
        <f t="shared" si="1"/>
        <v>0</v>
      </c>
    </row>
    <row r="119" spans="1:17" ht="15.75" customHeight="1">
      <c r="A119" s="62">
        <f>'Students Details'!A118</f>
        <v>112</v>
      </c>
      <c r="B119" s="63" t="str">
        <f>IF('Students Details'!B118="","",'Students Details'!B118)</f>
        <v/>
      </c>
      <c r="C119" s="64" t="str">
        <f>IF('Students Details'!C118="","",'Students Details'!C118)</f>
        <v/>
      </c>
      <c r="D119" s="72"/>
      <c r="E119" s="72"/>
      <c r="F119" s="72"/>
      <c r="G119" s="72"/>
      <c r="H119" s="72"/>
      <c r="I119" s="72"/>
      <c r="J119" s="67">
        <f t="shared" si="35"/>
        <v>0</v>
      </c>
      <c r="K119" s="61">
        <f t="shared" ref="K119:M119" si="115">D119</f>
        <v>0</v>
      </c>
      <c r="L119" s="61">
        <f t="shared" si="115"/>
        <v>0</v>
      </c>
      <c r="M119" s="61">
        <f t="shared" si="115"/>
        <v>0</v>
      </c>
      <c r="N119" s="61">
        <f>IF('CO-PO Mapping'!$A$10="",0,G119)</f>
        <v>0</v>
      </c>
      <c r="O119" s="61">
        <f>IF('CO-PO Mapping'!$A$11="",0,H119)</f>
        <v>0</v>
      </c>
      <c r="P119" s="61">
        <f>IF('CO-PO Mapping'!$A$12="",0,I119)</f>
        <v>0</v>
      </c>
      <c r="Q119" s="68">
        <f t="shared" si="1"/>
        <v>0</v>
      </c>
    </row>
    <row r="120" spans="1:17" ht="15.75" customHeight="1">
      <c r="A120" s="62">
        <f>'Students Details'!A119</f>
        <v>113</v>
      </c>
      <c r="B120" s="63" t="str">
        <f>IF('Students Details'!B119="","",'Students Details'!B119)</f>
        <v/>
      </c>
      <c r="C120" s="64" t="str">
        <f>IF('Students Details'!C119="","",'Students Details'!C119)</f>
        <v/>
      </c>
      <c r="D120" s="72"/>
      <c r="E120" s="72"/>
      <c r="F120" s="72"/>
      <c r="G120" s="72"/>
      <c r="H120" s="72"/>
      <c r="I120" s="72"/>
      <c r="J120" s="67">
        <f t="shared" si="35"/>
        <v>0</v>
      </c>
      <c r="K120" s="61">
        <f t="shared" ref="K120:M120" si="116">D120</f>
        <v>0</v>
      </c>
      <c r="L120" s="61">
        <f t="shared" si="116"/>
        <v>0</v>
      </c>
      <c r="M120" s="61">
        <f t="shared" si="116"/>
        <v>0</v>
      </c>
      <c r="N120" s="61">
        <f>IF('CO-PO Mapping'!$A$10="",0,G120)</f>
        <v>0</v>
      </c>
      <c r="O120" s="61">
        <f>IF('CO-PO Mapping'!$A$11="",0,H120)</f>
        <v>0</v>
      </c>
      <c r="P120" s="61">
        <f>IF('CO-PO Mapping'!$A$12="",0,I120)</f>
        <v>0</v>
      </c>
      <c r="Q120" s="68">
        <f t="shared" si="1"/>
        <v>0</v>
      </c>
    </row>
    <row r="121" spans="1:17" ht="15.75" customHeight="1">
      <c r="A121" s="62">
        <f>'Students Details'!A120</f>
        <v>114</v>
      </c>
      <c r="B121" s="63" t="str">
        <f>IF('Students Details'!B120="","",'Students Details'!B120)</f>
        <v/>
      </c>
      <c r="C121" s="64" t="str">
        <f>IF('Students Details'!C120="","",'Students Details'!C120)</f>
        <v/>
      </c>
      <c r="D121" s="72"/>
      <c r="E121" s="72"/>
      <c r="F121" s="72"/>
      <c r="G121" s="72"/>
      <c r="H121" s="72"/>
      <c r="I121" s="72"/>
      <c r="J121" s="67">
        <f t="shared" si="35"/>
        <v>0</v>
      </c>
      <c r="K121" s="61">
        <f t="shared" ref="K121:M121" si="117">D121</f>
        <v>0</v>
      </c>
      <c r="L121" s="61">
        <f t="shared" si="117"/>
        <v>0</v>
      </c>
      <c r="M121" s="61">
        <f t="shared" si="117"/>
        <v>0</v>
      </c>
      <c r="N121" s="61">
        <f>IF('CO-PO Mapping'!$A$10="",0,G121)</f>
        <v>0</v>
      </c>
      <c r="O121" s="61">
        <f>IF('CO-PO Mapping'!$A$11="",0,H121)</f>
        <v>0</v>
      </c>
      <c r="P121" s="61">
        <f>IF('CO-PO Mapping'!$A$12="",0,I121)</f>
        <v>0</v>
      </c>
      <c r="Q121" s="68">
        <f t="shared" si="1"/>
        <v>0</v>
      </c>
    </row>
    <row r="122" spans="1:17" ht="15.75" customHeight="1">
      <c r="A122" s="62">
        <f>'Students Details'!A121</f>
        <v>115</v>
      </c>
      <c r="B122" s="63" t="str">
        <f>IF('Students Details'!B121="","",'Students Details'!B121)</f>
        <v/>
      </c>
      <c r="C122" s="64" t="str">
        <f>IF('Students Details'!C121="","",'Students Details'!C121)</f>
        <v/>
      </c>
      <c r="D122" s="72"/>
      <c r="E122" s="72"/>
      <c r="F122" s="72"/>
      <c r="G122" s="72"/>
      <c r="H122" s="72"/>
      <c r="I122" s="72"/>
      <c r="J122" s="67">
        <f t="shared" si="35"/>
        <v>0</v>
      </c>
      <c r="K122" s="61">
        <f t="shared" ref="K122:M122" si="118">D122</f>
        <v>0</v>
      </c>
      <c r="L122" s="61">
        <f t="shared" si="118"/>
        <v>0</v>
      </c>
      <c r="M122" s="61">
        <f t="shared" si="118"/>
        <v>0</v>
      </c>
      <c r="N122" s="61">
        <f>IF('CO-PO Mapping'!$A$10="",0,G122)</f>
        <v>0</v>
      </c>
      <c r="O122" s="61">
        <f>IF('CO-PO Mapping'!$A$11="",0,H122)</f>
        <v>0</v>
      </c>
      <c r="P122" s="61">
        <f>IF('CO-PO Mapping'!$A$12="",0,I122)</f>
        <v>0</v>
      </c>
      <c r="Q122" s="68">
        <f t="shared" si="1"/>
        <v>0</v>
      </c>
    </row>
    <row r="123" spans="1:17" ht="15.75" customHeight="1">
      <c r="A123" s="62">
        <f>'Students Details'!A122</f>
        <v>116</v>
      </c>
      <c r="B123" s="63" t="str">
        <f>IF('Students Details'!B122="","",'Students Details'!B122)</f>
        <v/>
      </c>
      <c r="C123" s="64" t="str">
        <f>IF('Students Details'!C122="","",'Students Details'!C122)</f>
        <v/>
      </c>
      <c r="D123" s="72"/>
      <c r="E123" s="72"/>
      <c r="F123" s="72"/>
      <c r="G123" s="72"/>
      <c r="H123" s="72"/>
      <c r="I123" s="72"/>
      <c r="J123" s="67">
        <f t="shared" si="35"/>
        <v>0</v>
      </c>
      <c r="K123" s="61">
        <f t="shared" ref="K123:M123" si="119">D123</f>
        <v>0</v>
      </c>
      <c r="L123" s="61">
        <f t="shared" si="119"/>
        <v>0</v>
      </c>
      <c r="M123" s="61">
        <f t="shared" si="119"/>
        <v>0</v>
      </c>
      <c r="N123" s="61">
        <f>IF('CO-PO Mapping'!$A$10="",0,G123)</f>
        <v>0</v>
      </c>
      <c r="O123" s="61">
        <f>IF('CO-PO Mapping'!$A$11="",0,H123)</f>
        <v>0</v>
      </c>
      <c r="P123" s="61">
        <f>IF('CO-PO Mapping'!$A$12="",0,I123)</f>
        <v>0</v>
      </c>
      <c r="Q123" s="68">
        <f t="shared" si="1"/>
        <v>0</v>
      </c>
    </row>
    <row r="124" spans="1:17" ht="15.75" customHeight="1">
      <c r="A124" s="62">
        <f>'Students Details'!A123</f>
        <v>117</v>
      </c>
      <c r="B124" s="63" t="str">
        <f>IF('Students Details'!B123="","",'Students Details'!B123)</f>
        <v/>
      </c>
      <c r="C124" s="64" t="str">
        <f>IF('Students Details'!C123="","",'Students Details'!C123)</f>
        <v/>
      </c>
      <c r="D124" s="72"/>
      <c r="E124" s="72"/>
      <c r="F124" s="72"/>
      <c r="G124" s="72"/>
      <c r="H124" s="72"/>
      <c r="I124" s="72"/>
      <c r="J124" s="67">
        <f t="shared" si="35"/>
        <v>0</v>
      </c>
      <c r="K124" s="61">
        <f t="shared" ref="K124:M124" si="120">D124</f>
        <v>0</v>
      </c>
      <c r="L124" s="61">
        <f t="shared" si="120"/>
        <v>0</v>
      </c>
      <c r="M124" s="61">
        <f t="shared" si="120"/>
        <v>0</v>
      </c>
      <c r="N124" s="61">
        <f>IF('CO-PO Mapping'!$A$10="",0,G124)</f>
        <v>0</v>
      </c>
      <c r="O124" s="61">
        <f>IF('CO-PO Mapping'!$A$11="",0,H124)</f>
        <v>0</v>
      </c>
      <c r="P124" s="61">
        <f>IF('CO-PO Mapping'!$A$12="",0,I124)</f>
        <v>0</v>
      </c>
      <c r="Q124" s="68">
        <f t="shared" si="1"/>
        <v>0</v>
      </c>
    </row>
    <row r="125" spans="1:17" ht="15.75" customHeight="1">
      <c r="A125" s="62">
        <f>'Students Details'!A124</f>
        <v>118</v>
      </c>
      <c r="B125" s="63" t="str">
        <f>IF('Students Details'!B124="","",'Students Details'!B124)</f>
        <v/>
      </c>
      <c r="C125" s="64" t="str">
        <f>IF('Students Details'!C124="","",'Students Details'!C124)</f>
        <v/>
      </c>
      <c r="D125" s="72"/>
      <c r="E125" s="72"/>
      <c r="F125" s="72"/>
      <c r="G125" s="72"/>
      <c r="H125" s="72"/>
      <c r="I125" s="72"/>
      <c r="J125" s="67">
        <f t="shared" si="35"/>
        <v>0</v>
      </c>
      <c r="K125" s="61">
        <f t="shared" ref="K125:M125" si="121">D125</f>
        <v>0</v>
      </c>
      <c r="L125" s="61">
        <f t="shared" si="121"/>
        <v>0</v>
      </c>
      <c r="M125" s="61">
        <f t="shared" si="121"/>
        <v>0</v>
      </c>
      <c r="N125" s="61">
        <f>IF('CO-PO Mapping'!$A$10="",0,G125)</f>
        <v>0</v>
      </c>
      <c r="O125" s="61">
        <f>IF('CO-PO Mapping'!$A$11="",0,H125)</f>
        <v>0</v>
      </c>
      <c r="P125" s="61">
        <f>IF('CO-PO Mapping'!$A$12="",0,I125)</f>
        <v>0</v>
      </c>
      <c r="Q125" s="68">
        <f t="shared" si="1"/>
        <v>0</v>
      </c>
    </row>
    <row r="126" spans="1:17" ht="15.75" customHeight="1">
      <c r="A126" s="62">
        <f>'Students Details'!A125</f>
        <v>119</v>
      </c>
      <c r="B126" s="63" t="str">
        <f>IF('Students Details'!B125="","",'Students Details'!B125)</f>
        <v/>
      </c>
      <c r="C126" s="64" t="str">
        <f>IF('Students Details'!C125="","",'Students Details'!C125)</f>
        <v/>
      </c>
      <c r="D126" s="72"/>
      <c r="E126" s="72"/>
      <c r="F126" s="72"/>
      <c r="G126" s="72"/>
      <c r="H126" s="72"/>
      <c r="I126" s="72"/>
      <c r="J126" s="67">
        <f t="shared" si="35"/>
        <v>0</v>
      </c>
      <c r="K126" s="61">
        <f t="shared" ref="K126:M126" si="122">D126</f>
        <v>0</v>
      </c>
      <c r="L126" s="61">
        <f t="shared" si="122"/>
        <v>0</v>
      </c>
      <c r="M126" s="61">
        <f t="shared" si="122"/>
        <v>0</v>
      </c>
      <c r="N126" s="61">
        <f>IF('CO-PO Mapping'!$A$10="",0,G126)</f>
        <v>0</v>
      </c>
      <c r="O126" s="61">
        <f>IF('CO-PO Mapping'!$A$11="",0,H126)</f>
        <v>0</v>
      </c>
      <c r="P126" s="61">
        <f>IF('CO-PO Mapping'!$A$12="",0,I126)</f>
        <v>0</v>
      </c>
      <c r="Q126" s="68">
        <f t="shared" si="1"/>
        <v>0</v>
      </c>
    </row>
    <row r="127" spans="1:17" ht="15.75" customHeight="1">
      <c r="A127" s="62">
        <f>'Students Details'!A126</f>
        <v>120</v>
      </c>
      <c r="B127" s="63" t="str">
        <f>IF('Students Details'!B126="","",'Students Details'!B126)</f>
        <v/>
      </c>
      <c r="C127" s="64" t="str">
        <f>IF('Students Details'!C126="","",'Students Details'!C126)</f>
        <v/>
      </c>
      <c r="D127" s="72"/>
      <c r="E127" s="72"/>
      <c r="F127" s="72"/>
      <c r="G127" s="72"/>
      <c r="H127" s="72"/>
      <c r="I127" s="72"/>
      <c r="J127" s="67">
        <f t="shared" si="35"/>
        <v>0</v>
      </c>
      <c r="K127" s="61">
        <f t="shared" ref="K127:M127" si="123">D127</f>
        <v>0</v>
      </c>
      <c r="L127" s="61">
        <f t="shared" si="123"/>
        <v>0</v>
      </c>
      <c r="M127" s="61">
        <f t="shared" si="123"/>
        <v>0</v>
      </c>
      <c r="N127" s="61">
        <f>IF('CO-PO Mapping'!$A$10="",0,G127)</f>
        <v>0</v>
      </c>
      <c r="O127" s="61">
        <f>IF('CO-PO Mapping'!$A$11="",0,H127)</f>
        <v>0</v>
      </c>
      <c r="P127" s="61">
        <f>IF('CO-PO Mapping'!$A$12="",0,I127)</f>
        <v>0</v>
      </c>
      <c r="Q127" s="68">
        <f t="shared" si="1"/>
        <v>0</v>
      </c>
    </row>
    <row r="128" spans="1:17" ht="15.75" customHeight="1">
      <c r="A128" s="62">
        <f>'Students Details'!A127</f>
        <v>121</v>
      </c>
      <c r="B128" s="63" t="str">
        <f>IF('Students Details'!B127="","",'Students Details'!B127)</f>
        <v/>
      </c>
      <c r="C128" s="64" t="str">
        <f>IF('Students Details'!C127="","",'Students Details'!C127)</f>
        <v/>
      </c>
      <c r="D128" s="72"/>
      <c r="E128" s="72"/>
      <c r="F128" s="72"/>
      <c r="G128" s="72"/>
      <c r="H128" s="72"/>
      <c r="I128" s="72"/>
      <c r="J128" s="67">
        <f t="shared" si="35"/>
        <v>0</v>
      </c>
      <c r="K128" s="61">
        <f t="shared" ref="K128:M128" si="124">D128</f>
        <v>0</v>
      </c>
      <c r="L128" s="61">
        <f t="shared" si="124"/>
        <v>0</v>
      </c>
      <c r="M128" s="61">
        <f t="shared" si="124"/>
        <v>0</v>
      </c>
      <c r="N128" s="61">
        <f>IF('CO-PO Mapping'!$A$10="",0,G128)</f>
        <v>0</v>
      </c>
      <c r="O128" s="61">
        <f>IF('CO-PO Mapping'!$A$11="",0,H128)</f>
        <v>0</v>
      </c>
      <c r="P128" s="61">
        <f>IF('CO-PO Mapping'!$A$12="",0,I128)</f>
        <v>0</v>
      </c>
      <c r="Q128" s="68">
        <f t="shared" si="1"/>
        <v>0</v>
      </c>
    </row>
    <row r="129" spans="1:17" ht="15.75" customHeight="1">
      <c r="A129" s="62">
        <f>'Students Details'!A128</f>
        <v>122</v>
      </c>
      <c r="B129" s="63" t="str">
        <f>IF('Students Details'!B128="","",'Students Details'!B128)</f>
        <v/>
      </c>
      <c r="C129" s="64" t="str">
        <f>IF('Students Details'!C128="","",'Students Details'!C128)</f>
        <v/>
      </c>
      <c r="D129" s="72"/>
      <c r="E129" s="72"/>
      <c r="F129" s="72"/>
      <c r="G129" s="72"/>
      <c r="H129" s="72"/>
      <c r="I129" s="72"/>
      <c r="J129" s="67">
        <f t="shared" si="35"/>
        <v>0</v>
      </c>
      <c r="K129" s="61">
        <f t="shared" ref="K129:M129" si="125">D129</f>
        <v>0</v>
      </c>
      <c r="L129" s="61">
        <f t="shared" si="125"/>
        <v>0</v>
      </c>
      <c r="M129" s="61">
        <f t="shared" si="125"/>
        <v>0</v>
      </c>
      <c r="N129" s="61">
        <f>IF('CO-PO Mapping'!$A$10="",0,G129)</f>
        <v>0</v>
      </c>
      <c r="O129" s="61">
        <f>IF('CO-PO Mapping'!$A$11="",0,H129)</f>
        <v>0</v>
      </c>
      <c r="P129" s="61">
        <f>IF('CO-PO Mapping'!$A$12="",0,I129)</f>
        <v>0</v>
      </c>
      <c r="Q129" s="68">
        <f t="shared" si="1"/>
        <v>0</v>
      </c>
    </row>
    <row r="130" spans="1:17" ht="15.75" customHeight="1">
      <c r="A130" s="62">
        <f>'Students Details'!A129</f>
        <v>123</v>
      </c>
      <c r="B130" s="63" t="str">
        <f>IF('Students Details'!B129="","",'Students Details'!B129)</f>
        <v/>
      </c>
      <c r="C130" s="64" t="str">
        <f>IF('Students Details'!C129="","",'Students Details'!C129)</f>
        <v/>
      </c>
      <c r="D130" s="72"/>
      <c r="E130" s="72"/>
      <c r="F130" s="72"/>
      <c r="G130" s="72"/>
      <c r="H130" s="72"/>
      <c r="I130" s="72"/>
      <c r="J130" s="67">
        <f t="shared" si="35"/>
        <v>0</v>
      </c>
      <c r="K130" s="61">
        <f t="shared" ref="K130:M130" si="126">D130</f>
        <v>0</v>
      </c>
      <c r="L130" s="61">
        <f t="shared" si="126"/>
        <v>0</v>
      </c>
      <c r="M130" s="61">
        <f t="shared" si="126"/>
        <v>0</v>
      </c>
      <c r="N130" s="61">
        <f>IF('CO-PO Mapping'!$A$10="",0,G130)</f>
        <v>0</v>
      </c>
      <c r="O130" s="61">
        <f>IF('CO-PO Mapping'!$A$11="",0,H130)</f>
        <v>0</v>
      </c>
      <c r="P130" s="61">
        <f>IF('CO-PO Mapping'!$A$12="",0,I130)</f>
        <v>0</v>
      </c>
      <c r="Q130" s="68">
        <f t="shared" si="1"/>
        <v>0</v>
      </c>
    </row>
    <row r="131" spans="1:17" ht="15.75" customHeight="1">
      <c r="A131" s="62">
        <f>'Students Details'!A130</f>
        <v>124</v>
      </c>
      <c r="B131" s="63" t="str">
        <f>IF('Students Details'!B130="","",'Students Details'!B130)</f>
        <v/>
      </c>
      <c r="C131" s="64" t="str">
        <f>IF('Students Details'!C130="","",'Students Details'!C130)</f>
        <v/>
      </c>
      <c r="D131" s="72"/>
      <c r="E131" s="72"/>
      <c r="F131" s="72"/>
      <c r="G131" s="72"/>
      <c r="H131" s="72"/>
      <c r="I131" s="72"/>
      <c r="J131" s="67">
        <f t="shared" si="35"/>
        <v>0</v>
      </c>
      <c r="K131" s="61">
        <f t="shared" ref="K131:M131" si="127">D131</f>
        <v>0</v>
      </c>
      <c r="L131" s="61">
        <f t="shared" si="127"/>
        <v>0</v>
      </c>
      <c r="M131" s="61">
        <f t="shared" si="127"/>
        <v>0</v>
      </c>
      <c r="N131" s="61">
        <f>IF('CO-PO Mapping'!$A$10="",0,G131)</f>
        <v>0</v>
      </c>
      <c r="O131" s="61">
        <f>IF('CO-PO Mapping'!$A$11="",0,H131)</f>
        <v>0</v>
      </c>
      <c r="P131" s="61">
        <f>IF('CO-PO Mapping'!$A$12="",0,I131)</f>
        <v>0</v>
      </c>
      <c r="Q131" s="68">
        <f t="shared" si="1"/>
        <v>0</v>
      </c>
    </row>
    <row r="132" spans="1:17" ht="15.75" customHeight="1">
      <c r="A132" s="62">
        <f>'Students Details'!A131</f>
        <v>125</v>
      </c>
      <c r="B132" s="63" t="str">
        <f>IF('Students Details'!B131="","",'Students Details'!B131)</f>
        <v/>
      </c>
      <c r="C132" s="64" t="str">
        <f>IF('Students Details'!C131="","",'Students Details'!C131)</f>
        <v/>
      </c>
      <c r="D132" s="72"/>
      <c r="E132" s="72"/>
      <c r="F132" s="72"/>
      <c r="G132" s="72"/>
      <c r="H132" s="72"/>
      <c r="I132" s="72"/>
      <c r="J132" s="67">
        <f t="shared" si="35"/>
        <v>0</v>
      </c>
      <c r="K132" s="61">
        <f t="shared" ref="K132:M132" si="128">D132</f>
        <v>0</v>
      </c>
      <c r="L132" s="61">
        <f t="shared" si="128"/>
        <v>0</v>
      </c>
      <c r="M132" s="61">
        <f t="shared" si="128"/>
        <v>0</v>
      </c>
      <c r="N132" s="61">
        <f>IF('CO-PO Mapping'!$A$10="",0,G132)</f>
        <v>0</v>
      </c>
      <c r="O132" s="61">
        <f>IF('CO-PO Mapping'!$A$11="",0,H132)</f>
        <v>0</v>
      </c>
      <c r="P132" s="61">
        <f>IF('CO-PO Mapping'!$A$12="",0,I132)</f>
        <v>0</v>
      </c>
      <c r="Q132" s="68">
        <f t="shared" si="1"/>
        <v>0</v>
      </c>
    </row>
    <row r="133" spans="1:17" ht="15.75" customHeight="1">
      <c r="A133" s="62">
        <f>'Students Details'!A132</f>
        <v>126</v>
      </c>
      <c r="B133" s="63" t="str">
        <f>IF('Students Details'!B132="","",'Students Details'!B132)</f>
        <v/>
      </c>
      <c r="C133" s="64" t="str">
        <f>IF('Students Details'!C132="","",'Students Details'!C132)</f>
        <v/>
      </c>
      <c r="D133" s="72"/>
      <c r="E133" s="72"/>
      <c r="F133" s="72"/>
      <c r="G133" s="72"/>
      <c r="H133" s="72"/>
      <c r="I133" s="72"/>
      <c r="J133" s="67">
        <f t="shared" si="35"/>
        <v>0</v>
      </c>
      <c r="K133" s="61">
        <f t="shared" ref="K133:M133" si="129">D133</f>
        <v>0</v>
      </c>
      <c r="L133" s="61">
        <f t="shared" si="129"/>
        <v>0</v>
      </c>
      <c r="M133" s="61">
        <f t="shared" si="129"/>
        <v>0</v>
      </c>
      <c r="N133" s="61">
        <f>IF('CO-PO Mapping'!$A$10="",0,G133)</f>
        <v>0</v>
      </c>
      <c r="O133" s="61">
        <f>IF('CO-PO Mapping'!$A$11="",0,H133)</f>
        <v>0</v>
      </c>
      <c r="P133" s="61">
        <f>IF('CO-PO Mapping'!$A$12="",0,I133)</f>
        <v>0</v>
      </c>
      <c r="Q133" s="68">
        <f t="shared" si="1"/>
        <v>0</v>
      </c>
    </row>
    <row r="134" spans="1:17" ht="15.75" customHeight="1">
      <c r="A134" s="62">
        <f>'Students Details'!A133</f>
        <v>127</v>
      </c>
      <c r="B134" s="63" t="str">
        <f>IF('Students Details'!B133="","",'Students Details'!B133)</f>
        <v/>
      </c>
      <c r="C134" s="64" t="str">
        <f>IF('Students Details'!C133="","",'Students Details'!C133)</f>
        <v/>
      </c>
      <c r="D134" s="72"/>
      <c r="E134" s="72"/>
      <c r="F134" s="72"/>
      <c r="G134" s="72"/>
      <c r="H134" s="72"/>
      <c r="I134" s="72"/>
      <c r="J134" s="67">
        <f t="shared" si="35"/>
        <v>0</v>
      </c>
      <c r="K134" s="61">
        <f t="shared" ref="K134:M134" si="130">D134</f>
        <v>0</v>
      </c>
      <c r="L134" s="61">
        <f t="shared" si="130"/>
        <v>0</v>
      </c>
      <c r="M134" s="61">
        <f t="shared" si="130"/>
        <v>0</v>
      </c>
      <c r="N134" s="61">
        <f>IF('CO-PO Mapping'!$A$10="",0,G134)</f>
        <v>0</v>
      </c>
      <c r="O134" s="61">
        <f>IF('CO-PO Mapping'!$A$11="",0,H134)</f>
        <v>0</v>
      </c>
      <c r="P134" s="61">
        <f>IF('CO-PO Mapping'!$A$12="",0,I134)</f>
        <v>0</v>
      </c>
      <c r="Q134" s="68">
        <f t="shared" si="1"/>
        <v>0</v>
      </c>
    </row>
    <row r="135" spans="1:17" ht="15.75" customHeight="1">
      <c r="A135" s="62">
        <f>'Students Details'!A134</f>
        <v>128</v>
      </c>
      <c r="B135" s="63" t="str">
        <f>IF('Students Details'!B134="","",'Students Details'!B134)</f>
        <v/>
      </c>
      <c r="C135" s="64" t="str">
        <f>IF('Students Details'!C134="","",'Students Details'!C134)</f>
        <v/>
      </c>
      <c r="D135" s="72"/>
      <c r="E135" s="72"/>
      <c r="F135" s="72"/>
      <c r="G135" s="72"/>
      <c r="H135" s="72"/>
      <c r="I135" s="72"/>
      <c r="J135" s="67">
        <f t="shared" si="35"/>
        <v>0</v>
      </c>
      <c r="K135" s="61">
        <f t="shared" ref="K135:M135" si="131">D135</f>
        <v>0</v>
      </c>
      <c r="L135" s="61">
        <f t="shared" si="131"/>
        <v>0</v>
      </c>
      <c r="M135" s="61">
        <f t="shared" si="131"/>
        <v>0</v>
      </c>
      <c r="N135" s="61">
        <f>IF('CO-PO Mapping'!$A$10="",0,G135)</f>
        <v>0</v>
      </c>
      <c r="O135" s="61">
        <f>IF('CO-PO Mapping'!$A$11="",0,H135)</f>
        <v>0</v>
      </c>
      <c r="P135" s="61">
        <f>IF('CO-PO Mapping'!$A$12="",0,I135)</f>
        <v>0</v>
      </c>
      <c r="Q135" s="68">
        <f t="shared" si="1"/>
        <v>0</v>
      </c>
    </row>
    <row r="136" spans="1:17" ht="15.75" customHeight="1">
      <c r="A136" s="62">
        <f>'Students Details'!A135</f>
        <v>129</v>
      </c>
      <c r="B136" s="63" t="str">
        <f>IF('Students Details'!B135="","",'Students Details'!B135)</f>
        <v/>
      </c>
      <c r="C136" s="64" t="str">
        <f>IF('Students Details'!C135="","",'Students Details'!C135)</f>
        <v/>
      </c>
      <c r="D136" s="72"/>
      <c r="E136" s="72"/>
      <c r="F136" s="72"/>
      <c r="G136" s="72"/>
      <c r="H136" s="72"/>
      <c r="I136" s="72"/>
      <c r="J136" s="67">
        <f t="shared" si="35"/>
        <v>0</v>
      </c>
      <c r="K136" s="61">
        <f t="shared" ref="K136:M136" si="132">D136</f>
        <v>0</v>
      </c>
      <c r="L136" s="61">
        <f t="shared" si="132"/>
        <v>0</v>
      </c>
      <c r="M136" s="61">
        <f t="shared" si="132"/>
        <v>0</v>
      </c>
      <c r="N136" s="61">
        <f>IF('CO-PO Mapping'!$A$10="",0,G136)</f>
        <v>0</v>
      </c>
      <c r="O136" s="61">
        <f>IF('CO-PO Mapping'!$A$11="",0,H136)</f>
        <v>0</v>
      </c>
      <c r="P136" s="61">
        <f>IF('CO-PO Mapping'!$A$12="",0,I136)</f>
        <v>0</v>
      </c>
      <c r="Q136" s="68">
        <f t="shared" si="1"/>
        <v>0</v>
      </c>
    </row>
    <row r="137" spans="1:17" ht="15.75" customHeight="1">
      <c r="A137" s="62">
        <f>'Students Details'!A136</f>
        <v>130</v>
      </c>
      <c r="B137" s="63" t="str">
        <f>IF('Students Details'!B136="","",'Students Details'!B136)</f>
        <v/>
      </c>
      <c r="C137" s="64" t="str">
        <f>IF('Students Details'!C136="","",'Students Details'!C136)</f>
        <v/>
      </c>
      <c r="D137" s="72"/>
      <c r="E137" s="72"/>
      <c r="F137" s="72"/>
      <c r="G137" s="72"/>
      <c r="H137" s="72"/>
      <c r="I137" s="72"/>
      <c r="J137" s="67">
        <f t="shared" si="35"/>
        <v>0</v>
      </c>
      <c r="K137" s="61">
        <f t="shared" ref="K137:M137" si="133">D137</f>
        <v>0</v>
      </c>
      <c r="L137" s="61">
        <f t="shared" si="133"/>
        <v>0</v>
      </c>
      <c r="M137" s="61">
        <f t="shared" si="133"/>
        <v>0</v>
      </c>
      <c r="N137" s="61">
        <f>IF('CO-PO Mapping'!$A$10="",0,G137)</f>
        <v>0</v>
      </c>
      <c r="O137" s="61">
        <f>IF('CO-PO Mapping'!$A$11="",0,H137)</f>
        <v>0</v>
      </c>
      <c r="P137" s="61">
        <f>IF('CO-PO Mapping'!$A$12="",0,I137)</f>
        <v>0</v>
      </c>
      <c r="Q137" s="68">
        <f t="shared" si="1"/>
        <v>0</v>
      </c>
    </row>
    <row r="138" spans="1:17" ht="15.75" customHeight="1">
      <c r="A138" s="62">
        <f>'Students Details'!A137</f>
        <v>131</v>
      </c>
      <c r="B138" s="63" t="str">
        <f>IF('Students Details'!B137="","",'Students Details'!B137)</f>
        <v/>
      </c>
      <c r="C138" s="64" t="str">
        <f>IF('Students Details'!C137="","",'Students Details'!C137)</f>
        <v/>
      </c>
      <c r="D138" s="72"/>
      <c r="E138" s="72"/>
      <c r="F138" s="72"/>
      <c r="G138" s="72"/>
      <c r="H138" s="72"/>
      <c r="I138" s="72"/>
      <c r="J138" s="67">
        <f t="shared" si="35"/>
        <v>0</v>
      </c>
      <c r="K138" s="61">
        <f t="shared" ref="K138:M138" si="134">D138</f>
        <v>0</v>
      </c>
      <c r="L138" s="61">
        <f t="shared" si="134"/>
        <v>0</v>
      </c>
      <c r="M138" s="61">
        <f t="shared" si="134"/>
        <v>0</v>
      </c>
      <c r="N138" s="61">
        <f>IF('CO-PO Mapping'!$A$10="",0,G138)</f>
        <v>0</v>
      </c>
      <c r="O138" s="61">
        <f>IF('CO-PO Mapping'!$A$11="",0,H138)</f>
        <v>0</v>
      </c>
      <c r="P138" s="61">
        <f>IF('CO-PO Mapping'!$A$12="",0,I138)</f>
        <v>0</v>
      </c>
      <c r="Q138" s="68">
        <f t="shared" si="1"/>
        <v>0</v>
      </c>
    </row>
    <row r="139" spans="1:17" ht="15.75" customHeight="1">
      <c r="A139" s="62">
        <f>'Students Details'!A138</f>
        <v>132</v>
      </c>
      <c r="B139" s="63" t="str">
        <f>IF('Students Details'!B138="","",'Students Details'!B138)</f>
        <v/>
      </c>
      <c r="C139" s="64" t="str">
        <f>IF('Students Details'!C138="","",'Students Details'!C138)</f>
        <v/>
      </c>
      <c r="D139" s="72"/>
      <c r="E139" s="72"/>
      <c r="F139" s="72"/>
      <c r="G139" s="72"/>
      <c r="H139" s="72"/>
      <c r="I139" s="72"/>
      <c r="J139" s="67">
        <f t="shared" si="35"/>
        <v>0</v>
      </c>
      <c r="K139" s="61">
        <f t="shared" ref="K139:M139" si="135">D139</f>
        <v>0</v>
      </c>
      <c r="L139" s="61">
        <f t="shared" si="135"/>
        <v>0</v>
      </c>
      <c r="M139" s="61">
        <f t="shared" si="135"/>
        <v>0</v>
      </c>
      <c r="N139" s="61">
        <f>IF('CO-PO Mapping'!$A$10="",0,G139)</f>
        <v>0</v>
      </c>
      <c r="O139" s="61">
        <f>IF('CO-PO Mapping'!$A$11="",0,H139)</f>
        <v>0</v>
      </c>
      <c r="P139" s="61">
        <f>IF('CO-PO Mapping'!$A$12="",0,I139)</f>
        <v>0</v>
      </c>
      <c r="Q139" s="68">
        <f t="shared" si="1"/>
        <v>0</v>
      </c>
    </row>
    <row r="140" spans="1:17" ht="15.75" customHeight="1">
      <c r="A140" s="62">
        <f>'Students Details'!A139</f>
        <v>133</v>
      </c>
      <c r="B140" s="63" t="str">
        <f>IF('Students Details'!B139="","",'Students Details'!B139)</f>
        <v/>
      </c>
      <c r="C140" s="64" t="str">
        <f>IF('Students Details'!C139="","",'Students Details'!C139)</f>
        <v/>
      </c>
      <c r="D140" s="72"/>
      <c r="E140" s="72"/>
      <c r="F140" s="72"/>
      <c r="G140" s="72"/>
      <c r="H140" s="72"/>
      <c r="I140" s="72"/>
      <c r="J140" s="67">
        <f t="shared" si="35"/>
        <v>0</v>
      </c>
      <c r="K140" s="61">
        <f t="shared" ref="K140:M140" si="136">D140</f>
        <v>0</v>
      </c>
      <c r="L140" s="61">
        <f t="shared" si="136"/>
        <v>0</v>
      </c>
      <c r="M140" s="61">
        <f t="shared" si="136"/>
        <v>0</v>
      </c>
      <c r="N140" s="61">
        <f>IF('CO-PO Mapping'!$A$10="",0,G140)</f>
        <v>0</v>
      </c>
      <c r="O140" s="61">
        <f>IF('CO-PO Mapping'!$A$11="",0,H140)</f>
        <v>0</v>
      </c>
      <c r="P140" s="61">
        <f>IF('CO-PO Mapping'!$A$12="",0,I140)</f>
        <v>0</v>
      </c>
      <c r="Q140" s="68">
        <f t="shared" si="1"/>
        <v>0</v>
      </c>
    </row>
    <row r="141" spans="1:17" ht="15.75" customHeight="1">
      <c r="A141" s="62">
        <f>'Students Details'!A140</f>
        <v>134</v>
      </c>
      <c r="B141" s="63" t="str">
        <f>IF('Students Details'!B140="","",'Students Details'!B140)</f>
        <v/>
      </c>
      <c r="C141" s="64" t="str">
        <f>IF('Students Details'!C140="","",'Students Details'!C140)</f>
        <v/>
      </c>
      <c r="D141" s="72"/>
      <c r="E141" s="72"/>
      <c r="F141" s="72"/>
      <c r="G141" s="72"/>
      <c r="H141" s="72"/>
      <c r="I141" s="72"/>
      <c r="J141" s="67">
        <f t="shared" si="35"/>
        <v>0</v>
      </c>
      <c r="K141" s="61">
        <f t="shared" ref="K141:M141" si="137">D141</f>
        <v>0</v>
      </c>
      <c r="L141" s="61">
        <f t="shared" si="137"/>
        <v>0</v>
      </c>
      <c r="M141" s="61">
        <f t="shared" si="137"/>
        <v>0</v>
      </c>
      <c r="N141" s="61">
        <f>IF('CO-PO Mapping'!$A$10="",0,G141)</f>
        <v>0</v>
      </c>
      <c r="O141" s="61">
        <f>IF('CO-PO Mapping'!$A$11="",0,H141)</f>
        <v>0</v>
      </c>
      <c r="P141" s="61">
        <f>IF('CO-PO Mapping'!$A$12="",0,I141)</f>
        <v>0</v>
      </c>
      <c r="Q141" s="68">
        <f t="shared" si="1"/>
        <v>0</v>
      </c>
    </row>
    <row r="142" spans="1:17" ht="15.75" customHeight="1">
      <c r="A142" s="62">
        <f>'Students Details'!A141</f>
        <v>135</v>
      </c>
      <c r="B142" s="63" t="str">
        <f>IF('Students Details'!B141="","",'Students Details'!B141)</f>
        <v/>
      </c>
      <c r="C142" s="64" t="str">
        <f>IF('Students Details'!C141="","",'Students Details'!C141)</f>
        <v/>
      </c>
      <c r="D142" s="72"/>
      <c r="E142" s="72"/>
      <c r="F142" s="72"/>
      <c r="G142" s="72"/>
      <c r="H142" s="72"/>
      <c r="I142" s="72"/>
      <c r="J142" s="67">
        <f t="shared" si="35"/>
        <v>0</v>
      </c>
      <c r="K142" s="61">
        <f t="shared" ref="K142:M142" si="138">D142</f>
        <v>0</v>
      </c>
      <c r="L142" s="61">
        <f t="shared" si="138"/>
        <v>0</v>
      </c>
      <c r="M142" s="61">
        <f t="shared" si="138"/>
        <v>0</v>
      </c>
      <c r="N142" s="61">
        <f>IF('CO-PO Mapping'!$A$10="",0,G142)</f>
        <v>0</v>
      </c>
      <c r="O142" s="61">
        <f>IF('CO-PO Mapping'!$A$11="",0,H142)</f>
        <v>0</v>
      </c>
      <c r="P142" s="61">
        <f>IF('CO-PO Mapping'!$A$12="",0,I142)</f>
        <v>0</v>
      </c>
      <c r="Q142" s="68">
        <f t="shared" si="1"/>
        <v>0</v>
      </c>
    </row>
    <row r="143" spans="1:17" ht="15.75" customHeight="1">
      <c r="A143" s="62">
        <f>'Students Details'!A142</f>
        <v>136</v>
      </c>
      <c r="B143" s="63" t="str">
        <f>IF('Students Details'!B142="","",'Students Details'!B142)</f>
        <v/>
      </c>
      <c r="C143" s="64" t="str">
        <f>IF('Students Details'!C142="","",'Students Details'!C142)</f>
        <v/>
      </c>
      <c r="D143" s="72"/>
      <c r="E143" s="72"/>
      <c r="F143" s="72"/>
      <c r="G143" s="72"/>
      <c r="H143" s="72"/>
      <c r="I143" s="72"/>
      <c r="J143" s="67">
        <f t="shared" si="35"/>
        <v>0</v>
      </c>
      <c r="K143" s="61">
        <f t="shared" ref="K143:M143" si="139">D143</f>
        <v>0</v>
      </c>
      <c r="L143" s="61">
        <f t="shared" si="139"/>
        <v>0</v>
      </c>
      <c r="M143" s="61">
        <f t="shared" si="139"/>
        <v>0</v>
      </c>
      <c r="N143" s="61">
        <f>IF('CO-PO Mapping'!$A$10="",0,G143)</f>
        <v>0</v>
      </c>
      <c r="O143" s="61">
        <f>IF('CO-PO Mapping'!$A$11="",0,H143)</f>
        <v>0</v>
      </c>
      <c r="P143" s="61">
        <f>IF('CO-PO Mapping'!$A$12="",0,I143)</f>
        <v>0</v>
      </c>
      <c r="Q143" s="68">
        <f t="shared" si="1"/>
        <v>0</v>
      </c>
    </row>
    <row r="144" spans="1:17" ht="15.75" customHeight="1">
      <c r="A144" s="62">
        <f>'Students Details'!A143</f>
        <v>137</v>
      </c>
      <c r="B144" s="63" t="str">
        <f>IF('Students Details'!B143="","",'Students Details'!B143)</f>
        <v/>
      </c>
      <c r="C144" s="64" t="str">
        <f>IF('Students Details'!C143="","",'Students Details'!C143)</f>
        <v/>
      </c>
      <c r="D144" s="72"/>
      <c r="E144" s="72"/>
      <c r="F144" s="72"/>
      <c r="G144" s="72"/>
      <c r="H144" s="72"/>
      <c r="I144" s="72"/>
      <c r="J144" s="67">
        <f t="shared" si="35"/>
        <v>0</v>
      </c>
      <c r="K144" s="61">
        <f t="shared" ref="K144:M144" si="140">D144</f>
        <v>0</v>
      </c>
      <c r="L144" s="61">
        <f t="shared" si="140"/>
        <v>0</v>
      </c>
      <c r="M144" s="61">
        <f t="shared" si="140"/>
        <v>0</v>
      </c>
      <c r="N144" s="61">
        <f>IF('CO-PO Mapping'!$A$10="",0,G144)</f>
        <v>0</v>
      </c>
      <c r="O144" s="61">
        <f>IF('CO-PO Mapping'!$A$11="",0,H144)</f>
        <v>0</v>
      </c>
      <c r="P144" s="61">
        <f>IF('CO-PO Mapping'!$A$12="",0,I144)</f>
        <v>0</v>
      </c>
      <c r="Q144" s="68">
        <f t="shared" si="1"/>
        <v>0</v>
      </c>
    </row>
    <row r="145" spans="1:17" ht="15.75" customHeight="1">
      <c r="A145" s="62">
        <f>'Students Details'!A144</f>
        <v>138</v>
      </c>
      <c r="B145" s="63" t="str">
        <f>IF('Students Details'!B144="","",'Students Details'!B144)</f>
        <v/>
      </c>
      <c r="C145" s="64" t="str">
        <f>IF('Students Details'!C144="","",'Students Details'!C144)</f>
        <v/>
      </c>
      <c r="D145" s="72"/>
      <c r="E145" s="72"/>
      <c r="F145" s="72"/>
      <c r="G145" s="72"/>
      <c r="H145" s="72"/>
      <c r="I145" s="72"/>
      <c r="J145" s="67">
        <f t="shared" si="35"/>
        <v>0</v>
      </c>
      <c r="K145" s="61">
        <f t="shared" ref="K145:M145" si="141">D145</f>
        <v>0</v>
      </c>
      <c r="L145" s="61">
        <f t="shared" si="141"/>
        <v>0</v>
      </c>
      <c r="M145" s="61">
        <f t="shared" si="141"/>
        <v>0</v>
      </c>
      <c r="N145" s="61">
        <f>IF('CO-PO Mapping'!$A$10="",0,G145)</f>
        <v>0</v>
      </c>
      <c r="O145" s="61">
        <f>IF('CO-PO Mapping'!$A$11="",0,H145)</f>
        <v>0</v>
      </c>
      <c r="P145" s="61">
        <f>IF('CO-PO Mapping'!$A$12="",0,I145)</f>
        <v>0</v>
      </c>
      <c r="Q145" s="68">
        <f t="shared" si="1"/>
        <v>0</v>
      </c>
    </row>
    <row r="146" spans="1:17" ht="15.75" customHeight="1">
      <c r="A146" s="62">
        <f>'Students Details'!A145</f>
        <v>139</v>
      </c>
      <c r="B146" s="63" t="str">
        <f>IF('Students Details'!B145="","",'Students Details'!B145)</f>
        <v/>
      </c>
      <c r="C146" s="64" t="str">
        <f>IF('Students Details'!C145="","",'Students Details'!C145)</f>
        <v/>
      </c>
      <c r="D146" s="72"/>
      <c r="E146" s="72"/>
      <c r="F146" s="72"/>
      <c r="G146" s="72"/>
      <c r="H146" s="72"/>
      <c r="I146" s="72"/>
      <c r="J146" s="67">
        <f t="shared" si="35"/>
        <v>0</v>
      </c>
      <c r="K146" s="61">
        <f t="shared" ref="K146:M146" si="142">D146</f>
        <v>0</v>
      </c>
      <c r="L146" s="61">
        <f t="shared" si="142"/>
        <v>0</v>
      </c>
      <c r="M146" s="61">
        <f t="shared" si="142"/>
        <v>0</v>
      </c>
      <c r="N146" s="61">
        <f>IF('CO-PO Mapping'!$A$10="",0,G146)</f>
        <v>0</v>
      </c>
      <c r="O146" s="61">
        <f>IF('CO-PO Mapping'!$A$11="",0,H146)</f>
        <v>0</v>
      </c>
      <c r="P146" s="61">
        <f>IF('CO-PO Mapping'!$A$12="",0,I146)</f>
        <v>0</v>
      </c>
      <c r="Q146" s="68">
        <f t="shared" si="1"/>
        <v>0</v>
      </c>
    </row>
    <row r="147" spans="1:17" ht="15.75" customHeight="1">
      <c r="A147" s="62">
        <f>'Students Details'!A146</f>
        <v>140</v>
      </c>
      <c r="B147" s="63" t="str">
        <f>IF('Students Details'!B146="","",'Students Details'!B146)</f>
        <v/>
      </c>
      <c r="C147" s="64" t="str">
        <f>IF('Students Details'!C146="","",'Students Details'!C146)</f>
        <v/>
      </c>
      <c r="D147" s="72"/>
      <c r="E147" s="72"/>
      <c r="F147" s="72"/>
      <c r="G147" s="72"/>
      <c r="H147" s="72"/>
      <c r="I147" s="72"/>
      <c r="J147" s="67">
        <f t="shared" si="35"/>
        <v>0</v>
      </c>
      <c r="K147" s="61">
        <f t="shared" ref="K147:M147" si="143">D147</f>
        <v>0</v>
      </c>
      <c r="L147" s="61">
        <f t="shared" si="143"/>
        <v>0</v>
      </c>
      <c r="M147" s="61">
        <f t="shared" si="143"/>
        <v>0</v>
      </c>
      <c r="N147" s="61">
        <f>IF('CO-PO Mapping'!$A$10="",0,G147)</f>
        <v>0</v>
      </c>
      <c r="O147" s="61">
        <f>IF('CO-PO Mapping'!$A$11="",0,H147)</f>
        <v>0</v>
      </c>
      <c r="P147" s="61">
        <f>IF('CO-PO Mapping'!$A$12="",0,I147)</f>
        <v>0</v>
      </c>
      <c r="Q147" s="68">
        <f t="shared" si="1"/>
        <v>0</v>
      </c>
    </row>
    <row r="148" spans="1:17" ht="15.75" customHeight="1">
      <c r="A148" s="62">
        <f>'Students Details'!A147</f>
        <v>141</v>
      </c>
      <c r="B148" s="63" t="str">
        <f>IF('Students Details'!B147="","",'Students Details'!B147)</f>
        <v/>
      </c>
      <c r="C148" s="64" t="str">
        <f>IF('Students Details'!C147="","",'Students Details'!C147)</f>
        <v/>
      </c>
      <c r="D148" s="72"/>
      <c r="E148" s="72"/>
      <c r="F148" s="72"/>
      <c r="G148" s="72"/>
      <c r="H148" s="72"/>
      <c r="I148" s="72"/>
      <c r="J148" s="67">
        <f t="shared" si="35"/>
        <v>0</v>
      </c>
      <c r="K148" s="61">
        <f t="shared" ref="K148:M148" si="144">D148</f>
        <v>0</v>
      </c>
      <c r="L148" s="61">
        <f t="shared" si="144"/>
        <v>0</v>
      </c>
      <c r="M148" s="61">
        <f t="shared" si="144"/>
        <v>0</v>
      </c>
      <c r="N148" s="61">
        <f>IF('CO-PO Mapping'!$A$10="",0,G148)</f>
        <v>0</v>
      </c>
      <c r="O148" s="61">
        <f>IF('CO-PO Mapping'!$A$11="",0,H148)</f>
        <v>0</v>
      </c>
      <c r="P148" s="61">
        <f>IF('CO-PO Mapping'!$A$12="",0,I148)</f>
        <v>0</v>
      </c>
      <c r="Q148" s="68">
        <f t="shared" si="1"/>
        <v>0</v>
      </c>
    </row>
    <row r="149" spans="1:17" ht="15.75" customHeight="1">
      <c r="A149" s="62">
        <f>'Students Details'!A148</f>
        <v>142</v>
      </c>
      <c r="B149" s="63" t="str">
        <f>IF('Students Details'!B148="","",'Students Details'!B148)</f>
        <v/>
      </c>
      <c r="C149" s="64" t="str">
        <f>IF('Students Details'!C148="","",'Students Details'!C148)</f>
        <v/>
      </c>
      <c r="D149" s="72"/>
      <c r="E149" s="72"/>
      <c r="F149" s="72"/>
      <c r="G149" s="72"/>
      <c r="H149" s="72"/>
      <c r="I149" s="72"/>
      <c r="J149" s="67">
        <f t="shared" si="35"/>
        <v>0</v>
      </c>
      <c r="K149" s="61">
        <f t="shared" ref="K149:M149" si="145">D149</f>
        <v>0</v>
      </c>
      <c r="L149" s="61">
        <f t="shared" si="145"/>
        <v>0</v>
      </c>
      <c r="M149" s="61">
        <f t="shared" si="145"/>
        <v>0</v>
      </c>
      <c r="N149" s="61">
        <f>IF('CO-PO Mapping'!$A$10="",0,G149)</f>
        <v>0</v>
      </c>
      <c r="O149" s="61">
        <f>IF('CO-PO Mapping'!$A$11="",0,H149)</f>
        <v>0</v>
      </c>
      <c r="P149" s="61">
        <f>IF('CO-PO Mapping'!$A$12="",0,I149)</f>
        <v>0</v>
      </c>
      <c r="Q149" s="68">
        <f t="shared" si="1"/>
        <v>0</v>
      </c>
    </row>
    <row r="150" spans="1:17" ht="15.75" customHeight="1">
      <c r="A150" s="62">
        <f>'Students Details'!A149</f>
        <v>143</v>
      </c>
      <c r="B150" s="63" t="str">
        <f>IF('Students Details'!B149="","",'Students Details'!B149)</f>
        <v/>
      </c>
      <c r="C150" s="64" t="str">
        <f>IF('Students Details'!C149="","",'Students Details'!C149)</f>
        <v/>
      </c>
      <c r="D150" s="72"/>
      <c r="E150" s="72"/>
      <c r="F150" s="72"/>
      <c r="G150" s="72"/>
      <c r="H150" s="72"/>
      <c r="I150" s="72"/>
      <c r="J150" s="67">
        <f t="shared" si="35"/>
        <v>0</v>
      </c>
      <c r="K150" s="61">
        <f t="shared" ref="K150:M150" si="146">D150</f>
        <v>0</v>
      </c>
      <c r="L150" s="61">
        <f t="shared" si="146"/>
        <v>0</v>
      </c>
      <c r="M150" s="61">
        <f t="shared" si="146"/>
        <v>0</v>
      </c>
      <c r="N150" s="61">
        <f>IF('CO-PO Mapping'!$A$10="",0,G150)</f>
        <v>0</v>
      </c>
      <c r="O150" s="61">
        <f>IF('CO-PO Mapping'!$A$11="",0,H150)</f>
        <v>0</v>
      </c>
      <c r="P150" s="61">
        <f>IF('CO-PO Mapping'!$A$12="",0,I150)</f>
        <v>0</v>
      </c>
      <c r="Q150" s="68">
        <f t="shared" si="1"/>
        <v>0</v>
      </c>
    </row>
    <row r="151" spans="1:17" ht="15.75" customHeight="1">
      <c r="A151" s="62">
        <f>'Students Details'!A150</f>
        <v>144</v>
      </c>
      <c r="B151" s="63" t="str">
        <f>IF('Students Details'!B150="","",'Students Details'!B150)</f>
        <v/>
      </c>
      <c r="C151" s="64" t="str">
        <f>IF('Students Details'!C150="","",'Students Details'!C150)</f>
        <v/>
      </c>
      <c r="D151" s="72"/>
      <c r="E151" s="72"/>
      <c r="F151" s="72"/>
      <c r="G151" s="72"/>
      <c r="H151" s="72"/>
      <c r="I151" s="72"/>
      <c r="J151" s="67">
        <f t="shared" si="35"/>
        <v>0</v>
      </c>
      <c r="K151" s="61">
        <f t="shared" ref="K151:M151" si="147">D151</f>
        <v>0</v>
      </c>
      <c r="L151" s="61">
        <f t="shared" si="147"/>
        <v>0</v>
      </c>
      <c r="M151" s="61">
        <f t="shared" si="147"/>
        <v>0</v>
      </c>
      <c r="N151" s="61">
        <f>IF('CO-PO Mapping'!$A$10="",0,G151)</f>
        <v>0</v>
      </c>
      <c r="O151" s="61">
        <f>IF('CO-PO Mapping'!$A$11="",0,H151)</f>
        <v>0</v>
      </c>
      <c r="P151" s="61">
        <f>IF('CO-PO Mapping'!$A$12="",0,I151)</f>
        <v>0</v>
      </c>
      <c r="Q151" s="68">
        <f t="shared" si="1"/>
        <v>0</v>
      </c>
    </row>
    <row r="152" spans="1:17" ht="15.75" customHeight="1">
      <c r="A152" s="62">
        <f>'Students Details'!A151</f>
        <v>145</v>
      </c>
      <c r="B152" s="63" t="str">
        <f>IF('Students Details'!B151="","",'Students Details'!B151)</f>
        <v/>
      </c>
      <c r="C152" s="64" t="str">
        <f>IF('Students Details'!C151="","",'Students Details'!C151)</f>
        <v/>
      </c>
      <c r="D152" s="72"/>
      <c r="E152" s="72"/>
      <c r="F152" s="72"/>
      <c r="G152" s="72"/>
      <c r="H152" s="72"/>
      <c r="I152" s="72"/>
      <c r="J152" s="67">
        <f t="shared" si="35"/>
        <v>0</v>
      </c>
      <c r="K152" s="61">
        <f t="shared" ref="K152:M152" si="148">D152</f>
        <v>0</v>
      </c>
      <c r="L152" s="61">
        <f t="shared" si="148"/>
        <v>0</v>
      </c>
      <c r="M152" s="61">
        <f t="shared" si="148"/>
        <v>0</v>
      </c>
      <c r="N152" s="61">
        <f>IF('CO-PO Mapping'!$A$10="",0,G152)</f>
        <v>0</v>
      </c>
      <c r="O152" s="61">
        <f>IF('CO-PO Mapping'!$A$11="",0,H152)</f>
        <v>0</v>
      </c>
      <c r="P152" s="61">
        <f>IF('CO-PO Mapping'!$A$12="",0,I152)</f>
        <v>0</v>
      </c>
      <c r="Q152" s="68">
        <f t="shared" si="1"/>
        <v>0</v>
      </c>
    </row>
    <row r="153" spans="1:17" ht="15.75" customHeight="1">
      <c r="A153" s="62">
        <f>'Students Details'!A152</f>
        <v>146</v>
      </c>
      <c r="B153" s="63" t="str">
        <f>IF('Students Details'!B152="","",'Students Details'!B152)</f>
        <v/>
      </c>
      <c r="C153" s="64" t="str">
        <f>IF('Students Details'!C152="","",'Students Details'!C152)</f>
        <v/>
      </c>
      <c r="D153" s="72"/>
      <c r="E153" s="72"/>
      <c r="F153" s="72"/>
      <c r="G153" s="72"/>
      <c r="H153" s="72"/>
      <c r="I153" s="72"/>
      <c r="J153" s="67">
        <f t="shared" si="35"/>
        <v>0</v>
      </c>
      <c r="K153" s="61">
        <f t="shared" ref="K153:M153" si="149">D153</f>
        <v>0</v>
      </c>
      <c r="L153" s="61">
        <f t="shared" si="149"/>
        <v>0</v>
      </c>
      <c r="M153" s="61">
        <f t="shared" si="149"/>
        <v>0</v>
      </c>
      <c r="N153" s="61">
        <f>IF('CO-PO Mapping'!$A$10="",0,G153)</f>
        <v>0</v>
      </c>
      <c r="O153" s="61">
        <f>IF('CO-PO Mapping'!$A$11="",0,H153)</f>
        <v>0</v>
      </c>
      <c r="P153" s="61">
        <f>IF('CO-PO Mapping'!$A$12="",0,I153)</f>
        <v>0</v>
      </c>
      <c r="Q153" s="68">
        <f t="shared" si="1"/>
        <v>0</v>
      </c>
    </row>
    <row r="154" spans="1:17" ht="15.75" customHeight="1">
      <c r="A154" s="62">
        <f>'Students Details'!A153</f>
        <v>147</v>
      </c>
      <c r="B154" s="63" t="str">
        <f>IF('Students Details'!B153="","",'Students Details'!B153)</f>
        <v/>
      </c>
      <c r="C154" s="64" t="str">
        <f>IF('Students Details'!C153="","",'Students Details'!C153)</f>
        <v/>
      </c>
      <c r="D154" s="72"/>
      <c r="E154" s="72"/>
      <c r="F154" s="72"/>
      <c r="G154" s="72"/>
      <c r="H154" s="72"/>
      <c r="I154" s="72"/>
      <c r="J154" s="67">
        <f t="shared" si="35"/>
        <v>0</v>
      </c>
      <c r="K154" s="61">
        <f t="shared" ref="K154:M154" si="150">D154</f>
        <v>0</v>
      </c>
      <c r="L154" s="61">
        <f t="shared" si="150"/>
        <v>0</v>
      </c>
      <c r="M154" s="61">
        <f t="shared" si="150"/>
        <v>0</v>
      </c>
      <c r="N154" s="61">
        <f>IF('CO-PO Mapping'!$A$10="",0,G154)</f>
        <v>0</v>
      </c>
      <c r="O154" s="61">
        <f>IF('CO-PO Mapping'!$A$11="",0,H154)</f>
        <v>0</v>
      </c>
      <c r="P154" s="61">
        <f>IF('CO-PO Mapping'!$A$12="",0,I154)</f>
        <v>0</v>
      </c>
      <c r="Q154" s="68">
        <f t="shared" si="1"/>
        <v>0</v>
      </c>
    </row>
    <row r="155" spans="1:17" ht="15.75" customHeight="1">
      <c r="A155" s="62">
        <f>'Students Details'!A154</f>
        <v>148</v>
      </c>
      <c r="B155" s="63" t="str">
        <f>IF('Students Details'!B154="","",'Students Details'!B154)</f>
        <v/>
      </c>
      <c r="C155" s="64" t="str">
        <f>IF('Students Details'!C154="","",'Students Details'!C154)</f>
        <v/>
      </c>
      <c r="D155" s="72"/>
      <c r="E155" s="72"/>
      <c r="F155" s="72"/>
      <c r="G155" s="72"/>
      <c r="H155" s="72"/>
      <c r="I155" s="72"/>
      <c r="J155" s="67">
        <f t="shared" si="35"/>
        <v>0</v>
      </c>
      <c r="K155" s="61">
        <f t="shared" ref="K155:M155" si="151">D155</f>
        <v>0</v>
      </c>
      <c r="L155" s="61">
        <f t="shared" si="151"/>
        <v>0</v>
      </c>
      <c r="M155" s="61">
        <f t="shared" si="151"/>
        <v>0</v>
      </c>
      <c r="N155" s="61">
        <f>IF('CO-PO Mapping'!$A$10="",0,G155)</f>
        <v>0</v>
      </c>
      <c r="O155" s="61">
        <f>IF('CO-PO Mapping'!$A$11="",0,H155)</f>
        <v>0</v>
      </c>
      <c r="P155" s="61">
        <f>IF('CO-PO Mapping'!$A$12="",0,I155)</f>
        <v>0</v>
      </c>
      <c r="Q155" s="68">
        <f t="shared" si="1"/>
        <v>0</v>
      </c>
    </row>
    <row r="156" spans="1:17" ht="15.75" customHeight="1">
      <c r="A156" s="62">
        <f>'Students Details'!A155</f>
        <v>149</v>
      </c>
      <c r="B156" s="63" t="str">
        <f>IF('Students Details'!B155="","",'Students Details'!B155)</f>
        <v/>
      </c>
      <c r="C156" s="64" t="str">
        <f>IF('Students Details'!C155="","",'Students Details'!C155)</f>
        <v/>
      </c>
      <c r="D156" s="72"/>
      <c r="E156" s="72"/>
      <c r="F156" s="72"/>
      <c r="G156" s="72"/>
      <c r="H156" s="72"/>
      <c r="I156" s="72"/>
      <c r="J156" s="67">
        <f t="shared" si="35"/>
        <v>0</v>
      </c>
      <c r="K156" s="61">
        <f t="shared" ref="K156:M156" si="152">D156</f>
        <v>0</v>
      </c>
      <c r="L156" s="61">
        <f t="shared" si="152"/>
        <v>0</v>
      </c>
      <c r="M156" s="61">
        <f t="shared" si="152"/>
        <v>0</v>
      </c>
      <c r="N156" s="61">
        <f>IF('CO-PO Mapping'!$A$10="",0,G156)</f>
        <v>0</v>
      </c>
      <c r="O156" s="61">
        <f>IF('CO-PO Mapping'!$A$11="",0,H156)</f>
        <v>0</v>
      </c>
      <c r="P156" s="61">
        <f>IF('CO-PO Mapping'!$A$12="",0,I156)</f>
        <v>0</v>
      </c>
      <c r="Q156" s="68">
        <f t="shared" si="1"/>
        <v>0</v>
      </c>
    </row>
    <row r="157" spans="1:17" ht="15.75" customHeight="1">
      <c r="A157" s="62">
        <f>'Students Details'!A156</f>
        <v>150</v>
      </c>
      <c r="B157" s="63" t="str">
        <f>IF('Students Details'!B156="","",'Students Details'!B156)</f>
        <v/>
      </c>
      <c r="C157" s="64" t="str">
        <f>IF('Students Details'!C156="","",'Students Details'!C156)</f>
        <v/>
      </c>
      <c r="D157" s="72"/>
      <c r="E157" s="72"/>
      <c r="F157" s="72"/>
      <c r="G157" s="72"/>
      <c r="H157" s="72"/>
      <c r="I157" s="72"/>
      <c r="J157" s="67">
        <f t="shared" si="35"/>
        <v>0</v>
      </c>
      <c r="K157" s="61">
        <f t="shared" ref="K157:M157" si="153">D157</f>
        <v>0</v>
      </c>
      <c r="L157" s="61">
        <f t="shared" si="153"/>
        <v>0</v>
      </c>
      <c r="M157" s="61">
        <f t="shared" si="153"/>
        <v>0</v>
      </c>
      <c r="N157" s="61">
        <f>IF('CO-PO Mapping'!$A$10="",0,G157)</f>
        <v>0</v>
      </c>
      <c r="O157" s="61">
        <f>IF('CO-PO Mapping'!$A$11="",0,H157)</f>
        <v>0</v>
      </c>
      <c r="P157" s="61">
        <f>IF('CO-PO Mapping'!$A$12="",0,I157)</f>
        <v>0</v>
      </c>
      <c r="Q157" s="68">
        <f t="shared" si="1"/>
        <v>0</v>
      </c>
    </row>
    <row r="158" spans="1:17" ht="15.75" customHeight="1">
      <c r="A158" s="62">
        <f>'Students Details'!A157</f>
        <v>151</v>
      </c>
      <c r="B158" s="63" t="str">
        <f>IF('Students Details'!B157="","",'Students Details'!B157)</f>
        <v/>
      </c>
      <c r="C158" s="64" t="str">
        <f>IF('Students Details'!C157="","",'Students Details'!C157)</f>
        <v/>
      </c>
      <c r="D158" s="72"/>
      <c r="E158" s="72"/>
      <c r="F158" s="72"/>
      <c r="G158" s="72"/>
      <c r="H158" s="72"/>
      <c r="I158" s="72"/>
      <c r="J158" s="67">
        <f t="shared" si="35"/>
        <v>0</v>
      </c>
      <c r="K158" s="61">
        <f t="shared" ref="K158:M158" si="154">D158</f>
        <v>0</v>
      </c>
      <c r="L158" s="61">
        <f t="shared" si="154"/>
        <v>0</v>
      </c>
      <c r="M158" s="61">
        <f t="shared" si="154"/>
        <v>0</v>
      </c>
      <c r="N158" s="61">
        <f>IF('CO-PO Mapping'!$A$10="",0,G158)</f>
        <v>0</v>
      </c>
      <c r="O158" s="61">
        <f>IF('CO-PO Mapping'!$A$11="",0,H158)</f>
        <v>0</v>
      </c>
      <c r="P158" s="61">
        <f>IF('CO-PO Mapping'!$A$12="",0,I158)</f>
        <v>0</v>
      </c>
      <c r="Q158" s="68">
        <f t="shared" si="1"/>
        <v>0</v>
      </c>
    </row>
    <row r="159" spans="1:17" ht="15.75" customHeight="1">
      <c r="A159" s="62">
        <f>'Students Details'!A158</f>
        <v>152</v>
      </c>
      <c r="B159" s="63" t="str">
        <f>IF('Students Details'!B158="","",'Students Details'!B158)</f>
        <v/>
      </c>
      <c r="C159" s="64" t="str">
        <f>IF('Students Details'!C158="","",'Students Details'!C158)</f>
        <v/>
      </c>
      <c r="D159" s="72"/>
      <c r="E159" s="72"/>
      <c r="F159" s="72"/>
      <c r="G159" s="72"/>
      <c r="H159" s="72"/>
      <c r="I159" s="72"/>
      <c r="J159" s="67">
        <f t="shared" si="35"/>
        <v>0</v>
      </c>
      <c r="K159" s="61">
        <f t="shared" ref="K159:M159" si="155">D159</f>
        <v>0</v>
      </c>
      <c r="L159" s="61">
        <f t="shared" si="155"/>
        <v>0</v>
      </c>
      <c r="M159" s="61">
        <f t="shared" si="155"/>
        <v>0</v>
      </c>
      <c r="N159" s="61">
        <f>IF('CO-PO Mapping'!$A$10="",0,G159)</f>
        <v>0</v>
      </c>
      <c r="O159" s="61">
        <f>IF('CO-PO Mapping'!$A$11="",0,H159)</f>
        <v>0</v>
      </c>
      <c r="P159" s="61">
        <f>IF('CO-PO Mapping'!$A$12="",0,I159)</f>
        <v>0</v>
      </c>
      <c r="Q159" s="68">
        <f t="shared" si="1"/>
        <v>0</v>
      </c>
    </row>
    <row r="160" spans="1:17" ht="15.75" customHeight="1">
      <c r="A160" s="62">
        <f>'Students Details'!A159</f>
        <v>153</v>
      </c>
      <c r="B160" s="63" t="str">
        <f>IF('Students Details'!B159="","",'Students Details'!B159)</f>
        <v/>
      </c>
      <c r="C160" s="64" t="str">
        <f>IF('Students Details'!C159="","",'Students Details'!C159)</f>
        <v/>
      </c>
      <c r="D160" s="72"/>
      <c r="E160" s="72"/>
      <c r="F160" s="72"/>
      <c r="G160" s="72"/>
      <c r="H160" s="72"/>
      <c r="I160" s="72"/>
      <c r="J160" s="67">
        <f t="shared" si="35"/>
        <v>0</v>
      </c>
      <c r="K160" s="61">
        <f t="shared" ref="K160:M160" si="156">D160</f>
        <v>0</v>
      </c>
      <c r="L160" s="61">
        <f t="shared" si="156"/>
        <v>0</v>
      </c>
      <c r="M160" s="61">
        <f t="shared" si="156"/>
        <v>0</v>
      </c>
      <c r="N160" s="61">
        <f>IF('CO-PO Mapping'!$A$10="",0,G160)</f>
        <v>0</v>
      </c>
      <c r="O160" s="61">
        <f>IF('CO-PO Mapping'!$A$11="",0,H160)</f>
        <v>0</v>
      </c>
      <c r="P160" s="61">
        <f>IF('CO-PO Mapping'!$A$12="",0,I160)</f>
        <v>0</v>
      </c>
      <c r="Q160" s="68">
        <f t="shared" si="1"/>
        <v>0</v>
      </c>
    </row>
    <row r="161" spans="1:17" ht="15.75" customHeight="1">
      <c r="A161" s="62">
        <f>'Students Details'!A160</f>
        <v>154</v>
      </c>
      <c r="B161" s="63" t="str">
        <f>IF('Students Details'!B160="","",'Students Details'!B160)</f>
        <v/>
      </c>
      <c r="C161" s="64" t="str">
        <f>IF('Students Details'!C160="","",'Students Details'!C160)</f>
        <v/>
      </c>
      <c r="D161" s="72"/>
      <c r="E161" s="72"/>
      <c r="F161" s="72"/>
      <c r="G161" s="72"/>
      <c r="H161" s="72"/>
      <c r="I161" s="72"/>
      <c r="J161" s="67">
        <f t="shared" si="35"/>
        <v>0</v>
      </c>
      <c r="K161" s="61">
        <f t="shared" ref="K161:M161" si="157">D161</f>
        <v>0</v>
      </c>
      <c r="L161" s="61">
        <f t="shared" si="157"/>
        <v>0</v>
      </c>
      <c r="M161" s="61">
        <f t="shared" si="157"/>
        <v>0</v>
      </c>
      <c r="N161" s="61">
        <f>IF('CO-PO Mapping'!$A$10="",0,G161)</f>
        <v>0</v>
      </c>
      <c r="O161" s="61">
        <f>IF('CO-PO Mapping'!$A$11="",0,H161)</f>
        <v>0</v>
      </c>
      <c r="P161" s="61">
        <f>IF('CO-PO Mapping'!$A$12="",0,I161)</f>
        <v>0</v>
      </c>
      <c r="Q161" s="68">
        <f t="shared" si="1"/>
        <v>0</v>
      </c>
    </row>
    <row r="162" spans="1:17" ht="15.75" customHeight="1">
      <c r="A162" s="62">
        <f>'Students Details'!A161</f>
        <v>155</v>
      </c>
      <c r="B162" s="63" t="str">
        <f>IF('Students Details'!B161="","",'Students Details'!B161)</f>
        <v/>
      </c>
      <c r="C162" s="64" t="str">
        <f>IF('Students Details'!C161="","",'Students Details'!C161)</f>
        <v/>
      </c>
      <c r="D162" s="72"/>
      <c r="E162" s="72"/>
      <c r="F162" s="72"/>
      <c r="G162" s="72"/>
      <c r="H162" s="72"/>
      <c r="I162" s="72"/>
      <c r="J162" s="67">
        <f t="shared" si="35"/>
        <v>0</v>
      </c>
      <c r="K162" s="61">
        <f t="shared" ref="K162:M162" si="158">D162</f>
        <v>0</v>
      </c>
      <c r="L162" s="61">
        <f t="shared" si="158"/>
        <v>0</v>
      </c>
      <c r="M162" s="61">
        <f t="shared" si="158"/>
        <v>0</v>
      </c>
      <c r="N162" s="61">
        <f>IF('CO-PO Mapping'!$A$10="",0,G162)</f>
        <v>0</v>
      </c>
      <c r="O162" s="61">
        <f>IF('CO-PO Mapping'!$A$11="",0,H162)</f>
        <v>0</v>
      </c>
      <c r="P162" s="61">
        <f>IF('CO-PO Mapping'!$A$12="",0,I162)</f>
        <v>0</v>
      </c>
      <c r="Q162" s="68">
        <f t="shared" si="1"/>
        <v>0</v>
      </c>
    </row>
    <row r="163" spans="1:17" ht="15.75" customHeight="1">
      <c r="A163" s="62">
        <f>'Students Details'!A162</f>
        <v>156</v>
      </c>
      <c r="B163" s="63" t="str">
        <f>IF('Students Details'!B162="","",'Students Details'!B162)</f>
        <v/>
      </c>
      <c r="C163" s="64" t="str">
        <f>IF('Students Details'!C162="","",'Students Details'!C162)</f>
        <v/>
      </c>
      <c r="D163" s="72"/>
      <c r="E163" s="72"/>
      <c r="F163" s="72"/>
      <c r="G163" s="72"/>
      <c r="H163" s="72"/>
      <c r="I163" s="72"/>
      <c r="J163" s="67">
        <f t="shared" si="35"/>
        <v>0</v>
      </c>
      <c r="K163" s="61">
        <f t="shared" ref="K163:M163" si="159">D163</f>
        <v>0</v>
      </c>
      <c r="L163" s="61">
        <f t="shared" si="159"/>
        <v>0</v>
      </c>
      <c r="M163" s="61">
        <f t="shared" si="159"/>
        <v>0</v>
      </c>
      <c r="N163" s="61">
        <f>IF('CO-PO Mapping'!$A$10="",0,G163)</f>
        <v>0</v>
      </c>
      <c r="O163" s="61">
        <f>IF('CO-PO Mapping'!$A$11="",0,H163)</f>
        <v>0</v>
      </c>
      <c r="P163" s="61">
        <f>IF('CO-PO Mapping'!$A$12="",0,I163)</f>
        <v>0</v>
      </c>
      <c r="Q163" s="68">
        <f t="shared" si="1"/>
        <v>0</v>
      </c>
    </row>
    <row r="164" spans="1:17" ht="15.75" customHeight="1">
      <c r="A164" s="62">
        <f>'Students Details'!A163</f>
        <v>157</v>
      </c>
      <c r="B164" s="63" t="str">
        <f>IF('Students Details'!B163="","",'Students Details'!B163)</f>
        <v/>
      </c>
      <c r="C164" s="64" t="str">
        <f>IF('Students Details'!C163="","",'Students Details'!C163)</f>
        <v/>
      </c>
      <c r="D164" s="72"/>
      <c r="E164" s="72"/>
      <c r="F164" s="72"/>
      <c r="G164" s="72"/>
      <c r="H164" s="72"/>
      <c r="I164" s="66"/>
      <c r="J164" s="67">
        <f t="shared" si="35"/>
        <v>0</v>
      </c>
      <c r="K164" s="61">
        <f t="shared" ref="K164:M164" si="160">D164</f>
        <v>0</v>
      </c>
      <c r="L164" s="61">
        <f t="shared" si="160"/>
        <v>0</v>
      </c>
      <c r="M164" s="61">
        <f t="shared" si="160"/>
        <v>0</v>
      </c>
      <c r="N164" s="61">
        <f>IF('CO-PO Mapping'!$A$10="",0,G164)</f>
        <v>0</v>
      </c>
      <c r="O164" s="61">
        <f>IF('CO-PO Mapping'!$A$11="",0,H164)</f>
        <v>0</v>
      </c>
      <c r="P164" s="61">
        <f>IF('CO-PO Mapping'!$A$12="",0,I164)</f>
        <v>0</v>
      </c>
      <c r="Q164" s="68">
        <f t="shared" si="1"/>
        <v>0</v>
      </c>
    </row>
    <row r="165" spans="1:17" ht="15.75" customHeight="1">
      <c r="A165" s="62">
        <f>'Students Details'!A164</f>
        <v>158</v>
      </c>
      <c r="B165" s="63" t="str">
        <f>IF('Students Details'!B164="","",'Students Details'!B164)</f>
        <v/>
      </c>
      <c r="C165" s="64" t="str">
        <f>IF('Students Details'!C164="","",'Students Details'!C164)</f>
        <v/>
      </c>
      <c r="D165" s="72"/>
      <c r="E165" s="72"/>
      <c r="F165" s="72"/>
      <c r="G165" s="72"/>
      <c r="H165" s="72"/>
      <c r="I165" s="66"/>
      <c r="J165" s="67">
        <f t="shared" si="35"/>
        <v>0</v>
      </c>
      <c r="K165" s="61">
        <f t="shared" ref="K165:M165" si="161">D165</f>
        <v>0</v>
      </c>
      <c r="L165" s="61">
        <f t="shared" si="161"/>
        <v>0</v>
      </c>
      <c r="M165" s="61">
        <f t="shared" si="161"/>
        <v>0</v>
      </c>
      <c r="N165" s="61">
        <f>IF('CO-PO Mapping'!$A$10="",0,G165)</f>
        <v>0</v>
      </c>
      <c r="O165" s="61">
        <f>IF('CO-PO Mapping'!$A$11="",0,H165)</f>
        <v>0</v>
      </c>
      <c r="P165" s="61">
        <f>IF('CO-PO Mapping'!$A$12="",0,I165)</f>
        <v>0</v>
      </c>
      <c r="Q165" s="68">
        <f t="shared" si="1"/>
        <v>0</v>
      </c>
    </row>
    <row r="166" spans="1:17" ht="15.75" customHeight="1">
      <c r="A166" s="62">
        <f>'Students Details'!A165</f>
        <v>159</v>
      </c>
      <c r="B166" s="63" t="str">
        <f>IF('Students Details'!B165="","",'Students Details'!B165)</f>
        <v/>
      </c>
      <c r="C166" s="64" t="str">
        <f>IF('Students Details'!C165="","",'Students Details'!C165)</f>
        <v/>
      </c>
      <c r="D166" s="72"/>
      <c r="E166" s="72"/>
      <c r="F166" s="72"/>
      <c r="G166" s="72"/>
      <c r="H166" s="72"/>
      <c r="I166" s="66"/>
      <c r="J166" s="67">
        <f t="shared" si="35"/>
        <v>0</v>
      </c>
      <c r="K166" s="61">
        <f t="shared" ref="K166:M166" si="162">D166</f>
        <v>0</v>
      </c>
      <c r="L166" s="61">
        <f t="shared" si="162"/>
        <v>0</v>
      </c>
      <c r="M166" s="61">
        <f t="shared" si="162"/>
        <v>0</v>
      </c>
      <c r="N166" s="61">
        <f>IF('CO-PO Mapping'!$A$10="",0,G166)</f>
        <v>0</v>
      </c>
      <c r="O166" s="61">
        <f>IF('CO-PO Mapping'!$A$11="",0,H166)</f>
        <v>0</v>
      </c>
      <c r="P166" s="61">
        <f>IF('CO-PO Mapping'!$A$12="",0,I166)</f>
        <v>0</v>
      </c>
      <c r="Q166" s="68">
        <f t="shared" si="1"/>
        <v>0</v>
      </c>
    </row>
    <row r="167" spans="1:17" ht="15.75" customHeight="1">
      <c r="A167" s="62">
        <f>'Students Details'!A166</f>
        <v>160</v>
      </c>
      <c r="B167" s="63" t="str">
        <f>IF('Students Details'!B166="","",'Students Details'!B166)</f>
        <v/>
      </c>
      <c r="C167" s="64" t="str">
        <f>IF('Students Details'!C166="","",'Students Details'!C166)</f>
        <v/>
      </c>
      <c r="D167" s="72"/>
      <c r="E167" s="72"/>
      <c r="F167" s="72"/>
      <c r="G167" s="72"/>
      <c r="H167" s="72"/>
      <c r="I167" s="66"/>
      <c r="J167" s="67">
        <f t="shared" si="35"/>
        <v>0</v>
      </c>
      <c r="K167" s="61">
        <f t="shared" ref="K167:M167" si="163">D167</f>
        <v>0</v>
      </c>
      <c r="L167" s="61">
        <f t="shared" si="163"/>
        <v>0</v>
      </c>
      <c r="M167" s="61">
        <f t="shared" si="163"/>
        <v>0</v>
      </c>
      <c r="N167" s="61">
        <f>IF('CO-PO Mapping'!$A$10="",0,G167)</f>
        <v>0</v>
      </c>
      <c r="O167" s="61">
        <f>IF('CO-PO Mapping'!$A$11="",0,H167)</f>
        <v>0</v>
      </c>
      <c r="P167" s="61">
        <f>IF('CO-PO Mapping'!$A$12="",0,I167)</f>
        <v>0</v>
      </c>
      <c r="Q167" s="68">
        <f t="shared" si="1"/>
        <v>0</v>
      </c>
    </row>
    <row r="168" spans="1:17" ht="15.75" customHeight="1">
      <c r="A168" s="62">
        <f>'Students Details'!A167</f>
        <v>161</v>
      </c>
      <c r="B168" s="63" t="str">
        <f>IF('Students Details'!B167="","",'Students Details'!B167)</f>
        <v/>
      </c>
      <c r="C168" s="64" t="str">
        <f>IF('Students Details'!C167="","",'Students Details'!C167)</f>
        <v/>
      </c>
      <c r="D168" s="72"/>
      <c r="E168" s="72"/>
      <c r="F168" s="72"/>
      <c r="G168" s="72"/>
      <c r="H168" s="72"/>
      <c r="I168" s="66"/>
      <c r="J168" s="67">
        <f t="shared" si="35"/>
        <v>0</v>
      </c>
      <c r="K168" s="61">
        <f t="shared" ref="K168:M168" si="164">D168</f>
        <v>0</v>
      </c>
      <c r="L168" s="61">
        <f t="shared" si="164"/>
        <v>0</v>
      </c>
      <c r="M168" s="61">
        <f t="shared" si="164"/>
        <v>0</v>
      </c>
      <c r="N168" s="61">
        <f>IF('CO-PO Mapping'!$A$10="",0,G168)</f>
        <v>0</v>
      </c>
      <c r="O168" s="61">
        <f>IF('CO-PO Mapping'!$A$11="",0,H168)</f>
        <v>0</v>
      </c>
      <c r="P168" s="61">
        <f>IF('CO-PO Mapping'!$A$12="",0,I168)</f>
        <v>0</v>
      </c>
      <c r="Q168" s="68">
        <f t="shared" si="1"/>
        <v>0</v>
      </c>
    </row>
    <row r="169" spans="1:17" ht="15.75" customHeight="1">
      <c r="A169" s="62">
        <f>'Students Details'!A168</f>
        <v>162</v>
      </c>
      <c r="B169" s="63" t="str">
        <f>IF('Students Details'!B168="","",'Students Details'!B168)</f>
        <v/>
      </c>
      <c r="C169" s="64" t="str">
        <f>IF('Students Details'!C168="","",'Students Details'!C168)</f>
        <v/>
      </c>
      <c r="D169" s="72"/>
      <c r="E169" s="72"/>
      <c r="F169" s="72"/>
      <c r="G169" s="72"/>
      <c r="H169" s="72"/>
      <c r="I169" s="66"/>
      <c r="J169" s="67">
        <f t="shared" si="35"/>
        <v>0</v>
      </c>
      <c r="K169" s="61">
        <f t="shared" ref="K169:M169" si="165">D169</f>
        <v>0</v>
      </c>
      <c r="L169" s="61">
        <f t="shared" si="165"/>
        <v>0</v>
      </c>
      <c r="M169" s="61">
        <f t="shared" si="165"/>
        <v>0</v>
      </c>
      <c r="N169" s="61">
        <f>IF('CO-PO Mapping'!$A$10="",0,G169)</f>
        <v>0</v>
      </c>
      <c r="O169" s="61">
        <f>IF('CO-PO Mapping'!$A$11="",0,H169)</f>
        <v>0</v>
      </c>
      <c r="P169" s="61">
        <f>IF('CO-PO Mapping'!$A$12="",0,I169)</f>
        <v>0</v>
      </c>
      <c r="Q169" s="68">
        <f t="shared" si="1"/>
        <v>0</v>
      </c>
    </row>
    <row r="170" spans="1:17" ht="15.75" customHeight="1">
      <c r="A170" s="62">
        <f>'Students Details'!A169</f>
        <v>163</v>
      </c>
      <c r="B170" s="63" t="str">
        <f>IF('Students Details'!B169="","",'Students Details'!B169)</f>
        <v/>
      </c>
      <c r="C170" s="64" t="str">
        <f>IF('Students Details'!C169="","",'Students Details'!C169)</f>
        <v/>
      </c>
      <c r="D170" s="72"/>
      <c r="E170" s="72"/>
      <c r="F170" s="72"/>
      <c r="G170" s="72"/>
      <c r="H170" s="72"/>
      <c r="I170" s="66"/>
      <c r="J170" s="67">
        <f t="shared" si="35"/>
        <v>0</v>
      </c>
      <c r="K170" s="61">
        <f t="shared" ref="K170:M170" si="166">D170</f>
        <v>0</v>
      </c>
      <c r="L170" s="61">
        <f t="shared" si="166"/>
        <v>0</v>
      </c>
      <c r="M170" s="61">
        <f t="shared" si="166"/>
        <v>0</v>
      </c>
      <c r="N170" s="61">
        <f>IF('CO-PO Mapping'!$A$10="",0,G170)</f>
        <v>0</v>
      </c>
      <c r="O170" s="61">
        <f>IF('CO-PO Mapping'!$A$11="",0,H170)</f>
        <v>0</v>
      </c>
      <c r="P170" s="61">
        <f>IF('CO-PO Mapping'!$A$12="",0,I170)</f>
        <v>0</v>
      </c>
      <c r="Q170" s="68">
        <f t="shared" si="1"/>
        <v>0</v>
      </c>
    </row>
    <row r="171" spans="1:17" ht="15.75" customHeight="1">
      <c r="A171" s="62">
        <f>'Students Details'!A170</f>
        <v>164</v>
      </c>
      <c r="B171" s="63" t="str">
        <f>IF('Students Details'!B170="","",'Students Details'!B170)</f>
        <v/>
      </c>
      <c r="C171" s="64" t="str">
        <f>IF('Students Details'!C170="","",'Students Details'!C170)</f>
        <v/>
      </c>
      <c r="D171" s="72"/>
      <c r="E171" s="72"/>
      <c r="F171" s="72"/>
      <c r="G171" s="72"/>
      <c r="H171" s="72"/>
      <c r="I171" s="66"/>
      <c r="J171" s="67">
        <f t="shared" si="35"/>
        <v>0</v>
      </c>
      <c r="K171" s="61">
        <f t="shared" ref="K171:M171" si="167">D171</f>
        <v>0</v>
      </c>
      <c r="L171" s="61">
        <f t="shared" si="167"/>
        <v>0</v>
      </c>
      <c r="M171" s="61">
        <f t="shared" si="167"/>
        <v>0</v>
      </c>
      <c r="N171" s="61">
        <f>IF('CO-PO Mapping'!$A$10="",0,G171)</f>
        <v>0</v>
      </c>
      <c r="O171" s="61">
        <f>IF('CO-PO Mapping'!$A$11="",0,H171)</f>
        <v>0</v>
      </c>
      <c r="P171" s="61">
        <f>IF('CO-PO Mapping'!$A$12="",0,I171)</f>
        <v>0</v>
      </c>
      <c r="Q171" s="68">
        <f t="shared" si="1"/>
        <v>0</v>
      </c>
    </row>
    <row r="172" spans="1:17" ht="15.75" customHeight="1">
      <c r="A172" s="62">
        <f>'Students Details'!A171</f>
        <v>165</v>
      </c>
      <c r="B172" s="63" t="str">
        <f>IF('Students Details'!B171="","",'Students Details'!B171)</f>
        <v/>
      </c>
      <c r="C172" s="64" t="str">
        <f>IF('Students Details'!C171="","",'Students Details'!C171)</f>
        <v/>
      </c>
      <c r="D172" s="72"/>
      <c r="E172" s="72"/>
      <c r="F172" s="72"/>
      <c r="G172" s="72"/>
      <c r="H172" s="72"/>
      <c r="I172" s="66"/>
      <c r="J172" s="67">
        <f t="shared" si="35"/>
        <v>0</v>
      </c>
      <c r="K172" s="61">
        <f t="shared" ref="K172:M172" si="168">D172</f>
        <v>0</v>
      </c>
      <c r="L172" s="61">
        <f t="shared" si="168"/>
        <v>0</v>
      </c>
      <c r="M172" s="61">
        <f t="shared" si="168"/>
        <v>0</v>
      </c>
      <c r="N172" s="61">
        <f>IF('CO-PO Mapping'!$A$10="",0,G172)</f>
        <v>0</v>
      </c>
      <c r="O172" s="61">
        <f>IF('CO-PO Mapping'!$A$11="",0,H172)</f>
        <v>0</v>
      </c>
      <c r="P172" s="61">
        <f>IF('CO-PO Mapping'!$A$12="",0,I172)</f>
        <v>0</v>
      </c>
      <c r="Q172" s="68">
        <f t="shared" si="1"/>
        <v>0</v>
      </c>
    </row>
    <row r="173" spans="1:17" ht="15.75" customHeight="1">
      <c r="A173" s="62">
        <f>'Students Details'!A172</f>
        <v>166</v>
      </c>
      <c r="B173" s="63" t="str">
        <f>IF('Students Details'!B172="","",'Students Details'!B172)</f>
        <v/>
      </c>
      <c r="C173" s="64" t="str">
        <f>IF('Students Details'!C172="","",'Students Details'!C172)</f>
        <v/>
      </c>
      <c r="D173" s="72"/>
      <c r="E173" s="72"/>
      <c r="F173" s="72"/>
      <c r="G173" s="72"/>
      <c r="H173" s="72"/>
      <c r="I173" s="66"/>
      <c r="J173" s="67">
        <f t="shared" si="35"/>
        <v>0</v>
      </c>
      <c r="K173" s="61">
        <f t="shared" ref="K173:M173" si="169">D173</f>
        <v>0</v>
      </c>
      <c r="L173" s="61">
        <f t="shared" si="169"/>
        <v>0</v>
      </c>
      <c r="M173" s="61">
        <f t="shared" si="169"/>
        <v>0</v>
      </c>
      <c r="N173" s="61">
        <f>IF('CO-PO Mapping'!$A$10="",0,G173)</f>
        <v>0</v>
      </c>
      <c r="O173" s="61">
        <f>IF('CO-PO Mapping'!$A$11="",0,H173)</f>
        <v>0</v>
      </c>
      <c r="P173" s="61">
        <f>IF('CO-PO Mapping'!$A$12="",0,I173)</f>
        <v>0</v>
      </c>
      <c r="Q173" s="68">
        <f t="shared" si="1"/>
        <v>0</v>
      </c>
    </row>
    <row r="174" spans="1:17" ht="15.75" customHeight="1">
      <c r="A174" s="62">
        <f>'Students Details'!A173</f>
        <v>167</v>
      </c>
      <c r="B174" s="63" t="str">
        <f>IF('Students Details'!B173="","",'Students Details'!B173)</f>
        <v/>
      </c>
      <c r="C174" s="64" t="str">
        <f>IF('Students Details'!C173="","",'Students Details'!C173)</f>
        <v/>
      </c>
      <c r="D174" s="72"/>
      <c r="E174" s="72"/>
      <c r="F174" s="72"/>
      <c r="G174" s="72"/>
      <c r="H174" s="72"/>
      <c r="I174" s="66"/>
      <c r="J174" s="67">
        <f t="shared" si="35"/>
        <v>0</v>
      </c>
      <c r="K174" s="61">
        <f t="shared" ref="K174:M174" si="170">D174</f>
        <v>0</v>
      </c>
      <c r="L174" s="61">
        <f t="shared" si="170"/>
        <v>0</v>
      </c>
      <c r="M174" s="61">
        <f t="shared" si="170"/>
        <v>0</v>
      </c>
      <c r="N174" s="61">
        <f>IF('CO-PO Mapping'!$A$10="",0,G174)</f>
        <v>0</v>
      </c>
      <c r="O174" s="61">
        <f>IF('CO-PO Mapping'!$A$11="",0,H174)</f>
        <v>0</v>
      </c>
      <c r="P174" s="61">
        <f>IF('CO-PO Mapping'!$A$12="",0,I174)</f>
        <v>0</v>
      </c>
      <c r="Q174" s="68">
        <f t="shared" si="1"/>
        <v>0</v>
      </c>
    </row>
    <row r="175" spans="1:17" ht="15.75" customHeight="1">
      <c r="A175" s="62">
        <f>'Students Details'!A174</f>
        <v>168</v>
      </c>
      <c r="B175" s="63" t="str">
        <f>IF('Students Details'!B174="","",'Students Details'!B174)</f>
        <v/>
      </c>
      <c r="C175" s="64" t="str">
        <f>IF('Students Details'!C174="","",'Students Details'!C174)</f>
        <v/>
      </c>
      <c r="D175" s="72"/>
      <c r="E175" s="72"/>
      <c r="F175" s="72"/>
      <c r="G175" s="72"/>
      <c r="H175" s="72"/>
      <c r="I175" s="66"/>
      <c r="J175" s="67">
        <f t="shared" si="35"/>
        <v>0</v>
      </c>
      <c r="K175" s="61">
        <f t="shared" ref="K175:M175" si="171">D175</f>
        <v>0</v>
      </c>
      <c r="L175" s="61">
        <f t="shared" si="171"/>
        <v>0</v>
      </c>
      <c r="M175" s="61">
        <f t="shared" si="171"/>
        <v>0</v>
      </c>
      <c r="N175" s="61">
        <f>IF('CO-PO Mapping'!$A$10="",0,G175)</f>
        <v>0</v>
      </c>
      <c r="O175" s="61">
        <f>IF('CO-PO Mapping'!$A$11="",0,H175)</f>
        <v>0</v>
      </c>
      <c r="P175" s="61">
        <f>IF('CO-PO Mapping'!$A$12="",0,I175)</f>
        <v>0</v>
      </c>
      <c r="Q175" s="68">
        <f t="shared" si="1"/>
        <v>0</v>
      </c>
    </row>
    <row r="176" spans="1:17" ht="15.75" customHeight="1">
      <c r="A176" s="62">
        <f>'Students Details'!A175</f>
        <v>169</v>
      </c>
      <c r="B176" s="63" t="str">
        <f>IF('Students Details'!B175="","",'Students Details'!B175)</f>
        <v/>
      </c>
      <c r="C176" s="64" t="str">
        <f>IF('Students Details'!C175="","",'Students Details'!C175)</f>
        <v/>
      </c>
      <c r="D176" s="72"/>
      <c r="E176" s="72"/>
      <c r="F176" s="72"/>
      <c r="G176" s="72"/>
      <c r="H176" s="72"/>
      <c r="I176" s="66"/>
      <c r="J176" s="67">
        <f t="shared" si="35"/>
        <v>0</v>
      </c>
      <c r="K176" s="61">
        <f t="shared" ref="K176:M176" si="172">D176</f>
        <v>0</v>
      </c>
      <c r="L176" s="61">
        <f t="shared" si="172"/>
        <v>0</v>
      </c>
      <c r="M176" s="61">
        <f t="shared" si="172"/>
        <v>0</v>
      </c>
      <c r="N176" s="61">
        <f>IF('CO-PO Mapping'!$A$10="",0,G176)</f>
        <v>0</v>
      </c>
      <c r="O176" s="61">
        <f>IF('CO-PO Mapping'!$A$11="",0,H176)</f>
        <v>0</v>
      </c>
      <c r="P176" s="61">
        <f>IF('CO-PO Mapping'!$A$12="",0,I176)</f>
        <v>0</v>
      </c>
      <c r="Q176" s="68">
        <f t="shared" si="1"/>
        <v>0</v>
      </c>
    </row>
    <row r="177" spans="1:17" ht="15.75" customHeight="1">
      <c r="A177" s="62">
        <f>'Students Details'!A176</f>
        <v>170</v>
      </c>
      <c r="B177" s="63" t="str">
        <f>IF('Students Details'!B176="","",'Students Details'!B176)</f>
        <v/>
      </c>
      <c r="C177" s="64" t="str">
        <f>IF('Students Details'!C176="","",'Students Details'!C176)</f>
        <v/>
      </c>
      <c r="D177" s="72"/>
      <c r="E177" s="72"/>
      <c r="F177" s="72"/>
      <c r="G177" s="72"/>
      <c r="H177" s="72"/>
      <c r="I177" s="66"/>
      <c r="J177" s="67">
        <f t="shared" si="35"/>
        <v>0</v>
      </c>
      <c r="K177" s="61">
        <f t="shared" ref="K177:M177" si="173">D177</f>
        <v>0</v>
      </c>
      <c r="L177" s="61">
        <f t="shared" si="173"/>
        <v>0</v>
      </c>
      <c r="M177" s="61">
        <f t="shared" si="173"/>
        <v>0</v>
      </c>
      <c r="N177" s="61">
        <f>IF('CO-PO Mapping'!$A$10="",0,G177)</f>
        <v>0</v>
      </c>
      <c r="O177" s="61">
        <f>IF('CO-PO Mapping'!$A$11="",0,H177)</f>
        <v>0</v>
      </c>
      <c r="P177" s="61">
        <f>IF('CO-PO Mapping'!$A$12="",0,I177)</f>
        <v>0</v>
      </c>
      <c r="Q177" s="68">
        <f t="shared" si="1"/>
        <v>0</v>
      </c>
    </row>
    <row r="178" spans="1:17" ht="15.75" customHeight="1">
      <c r="A178" s="62">
        <f>'Students Details'!A177</f>
        <v>171</v>
      </c>
      <c r="B178" s="63" t="str">
        <f>IF('Students Details'!B177="","",'Students Details'!B177)</f>
        <v/>
      </c>
      <c r="C178" s="64" t="str">
        <f>IF('Students Details'!C177="","",'Students Details'!C177)</f>
        <v/>
      </c>
      <c r="D178" s="72"/>
      <c r="E178" s="72"/>
      <c r="F178" s="72"/>
      <c r="G178" s="72"/>
      <c r="H178" s="72"/>
      <c r="I178" s="66"/>
      <c r="J178" s="67">
        <f t="shared" si="35"/>
        <v>0</v>
      </c>
      <c r="K178" s="61">
        <f t="shared" ref="K178:M178" si="174">D178</f>
        <v>0</v>
      </c>
      <c r="L178" s="61">
        <f t="shared" si="174"/>
        <v>0</v>
      </c>
      <c r="M178" s="61">
        <f t="shared" si="174"/>
        <v>0</v>
      </c>
      <c r="N178" s="61">
        <f>IF('CO-PO Mapping'!$A$10="",0,G178)</f>
        <v>0</v>
      </c>
      <c r="O178" s="61">
        <f>IF('CO-PO Mapping'!$A$11="",0,H178)</f>
        <v>0</v>
      </c>
      <c r="P178" s="61">
        <f>IF('CO-PO Mapping'!$A$12="",0,I178)</f>
        <v>0</v>
      </c>
      <c r="Q178" s="68">
        <f t="shared" si="1"/>
        <v>0</v>
      </c>
    </row>
    <row r="179" spans="1:17" ht="15.75" customHeight="1">
      <c r="A179" s="62">
        <f>'Students Details'!A178</f>
        <v>172</v>
      </c>
      <c r="B179" s="63" t="str">
        <f>IF('Students Details'!B178="","",'Students Details'!B178)</f>
        <v/>
      </c>
      <c r="C179" s="64" t="str">
        <f>IF('Students Details'!C178="","",'Students Details'!C178)</f>
        <v/>
      </c>
      <c r="D179" s="72"/>
      <c r="E179" s="72"/>
      <c r="F179" s="72"/>
      <c r="G179" s="72"/>
      <c r="H179" s="72"/>
      <c r="I179" s="66"/>
      <c r="J179" s="67">
        <f t="shared" si="35"/>
        <v>0</v>
      </c>
      <c r="K179" s="61">
        <f t="shared" ref="K179:M179" si="175">D179</f>
        <v>0</v>
      </c>
      <c r="L179" s="61">
        <f t="shared" si="175"/>
        <v>0</v>
      </c>
      <c r="M179" s="61">
        <f t="shared" si="175"/>
        <v>0</v>
      </c>
      <c r="N179" s="61">
        <f>IF('CO-PO Mapping'!$A$10="",0,G179)</f>
        <v>0</v>
      </c>
      <c r="O179" s="61">
        <f>IF('CO-PO Mapping'!$A$11="",0,H179)</f>
        <v>0</v>
      </c>
      <c r="P179" s="61">
        <f>IF('CO-PO Mapping'!$A$12="",0,I179)</f>
        <v>0</v>
      </c>
      <c r="Q179" s="68">
        <f t="shared" si="1"/>
        <v>0</v>
      </c>
    </row>
    <row r="180" spans="1:17" ht="15.75" customHeight="1">
      <c r="A180" s="62">
        <f>'Students Details'!A179</f>
        <v>173</v>
      </c>
      <c r="B180" s="63" t="str">
        <f>IF('Students Details'!B179="","",'Students Details'!B179)</f>
        <v/>
      </c>
      <c r="C180" s="64" t="str">
        <f>IF('Students Details'!C179="","",'Students Details'!C179)</f>
        <v/>
      </c>
      <c r="D180" s="72"/>
      <c r="E180" s="72"/>
      <c r="F180" s="72"/>
      <c r="G180" s="72"/>
      <c r="H180" s="72"/>
      <c r="I180" s="66"/>
      <c r="J180" s="67">
        <f t="shared" si="35"/>
        <v>0</v>
      </c>
      <c r="K180" s="61">
        <f t="shared" ref="K180:M180" si="176">D180</f>
        <v>0</v>
      </c>
      <c r="L180" s="61">
        <f t="shared" si="176"/>
        <v>0</v>
      </c>
      <c r="M180" s="61">
        <f t="shared" si="176"/>
        <v>0</v>
      </c>
      <c r="N180" s="61">
        <f>IF('CO-PO Mapping'!$A$10="",0,G180)</f>
        <v>0</v>
      </c>
      <c r="O180" s="61">
        <f>IF('CO-PO Mapping'!$A$11="",0,H180)</f>
        <v>0</v>
      </c>
      <c r="P180" s="61">
        <f>IF('CO-PO Mapping'!$A$12="",0,I180)</f>
        <v>0</v>
      </c>
      <c r="Q180" s="68">
        <f t="shared" si="1"/>
        <v>0</v>
      </c>
    </row>
    <row r="181" spans="1:17" ht="15.75" customHeight="1">
      <c r="A181" s="62">
        <f>'Students Details'!A180</f>
        <v>174</v>
      </c>
      <c r="B181" s="63" t="str">
        <f>IF('Students Details'!B180="","",'Students Details'!B180)</f>
        <v/>
      </c>
      <c r="C181" s="64" t="str">
        <f>IF('Students Details'!C180="","",'Students Details'!C180)</f>
        <v/>
      </c>
      <c r="D181" s="72"/>
      <c r="E181" s="72"/>
      <c r="F181" s="72"/>
      <c r="G181" s="72"/>
      <c r="H181" s="72"/>
      <c r="I181" s="66"/>
      <c r="J181" s="67">
        <f t="shared" si="35"/>
        <v>0</v>
      </c>
      <c r="K181" s="61">
        <f t="shared" ref="K181:M181" si="177">D181</f>
        <v>0</v>
      </c>
      <c r="L181" s="61">
        <f t="shared" si="177"/>
        <v>0</v>
      </c>
      <c r="M181" s="61">
        <f t="shared" si="177"/>
        <v>0</v>
      </c>
      <c r="N181" s="61">
        <f>IF('CO-PO Mapping'!$A$10="",0,G181)</f>
        <v>0</v>
      </c>
      <c r="O181" s="61">
        <f>IF('CO-PO Mapping'!$A$11="",0,H181)</f>
        <v>0</v>
      </c>
      <c r="P181" s="61">
        <f>IF('CO-PO Mapping'!$A$12="",0,I181)</f>
        <v>0</v>
      </c>
      <c r="Q181" s="68">
        <f t="shared" si="1"/>
        <v>0</v>
      </c>
    </row>
    <row r="182" spans="1:17" ht="15.75" customHeight="1">
      <c r="A182" s="62">
        <f>'Students Details'!A181</f>
        <v>175</v>
      </c>
      <c r="B182" s="63" t="str">
        <f>IF('Students Details'!B181="","",'Students Details'!B181)</f>
        <v/>
      </c>
      <c r="C182" s="64" t="str">
        <f>IF('Students Details'!C181="","",'Students Details'!C181)</f>
        <v/>
      </c>
      <c r="D182" s="72"/>
      <c r="E182" s="72"/>
      <c r="F182" s="72"/>
      <c r="G182" s="72"/>
      <c r="H182" s="72"/>
      <c r="I182" s="66"/>
      <c r="J182" s="67">
        <f t="shared" si="35"/>
        <v>0</v>
      </c>
      <c r="K182" s="61">
        <f t="shared" ref="K182:M182" si="178">D182</f>
        <v>0</v>
      </c>
      <c r="L182" s="61">
        <f t="shared" si="178"/>
        <v>0</v>
      </c>
      <c r="M182" s="61">
        <f t="shared" si="178"/>
        <v>0</v>
      </c>
      <c r="N182" s="61">
        <f>IF('CO-PO Mapping'!$A$10="",0,G182)</f>
        <v>0</v>
      </c>
      <c r="O182" s="61">
        <f>IF('CO-PO Mapping'!$A$11="",0,H182)</f>
        <v>0</v>
      </c>
      <c r="P182" s="61">
        <f>IF('CO-PO Mapping'!$A$12="",0,I182)</f>
        <v>0</v>
      </c>
      <c r="Q182" s="68">
        <f t="shared" si="1"/>
        <v>0</v>
      </c>
    </row>
    <row r="183" spans="1:17" ht="15.75" customHeight="1">
      <c r="A183" s="62">
        <f>'Students Details'!A182</f>
        <v>176</v>
      </c>
      <c r="B183" s="63" t="str">
        <f>IF('Students Details'!B182="","",'Students Details'!B182)</f>
        <v/>
      </c>
      <c r="C183" s="64" t="str">
        <f>IF('Students Details'!C182="","",'Students Details'!C182)</f>
        <v/>
      </c>
      <c r="D183" s="72"/>
      <c r="E183" s="72"/>
      <c r="F183" s="72"/>
      <c r="G183" s="72"/>
      <c r="H183" s="72"/>
      <c r="I183" s="66"/>
      <c r="J183" s="67">
        <f t="shared" si="35"/>
        <v>0</v>
      </c>
      <c r="K183" s="61">
        <f t="shared" ref="K183:M183" si="179">D183</f>
        <v>0</v>
      </c>
      <c r="L183" s="61">
        <f t="shared" si="179"/>
        <v>0</v>
      </c>
      <c r="M183" s="61">
        <f t="shared" si="179"/>
        <v>0</v>
      </c>
      <c r="N183" s="61">
        <f>IF('CO-PO Mapping'!$A$10="",0,G183)</f>
        <v>0</v>
      </c>
      <c r="O183" s="61">
        <f>IF('CO-PO Mapping'!$A$11="",0,H183)</f>
        <v>0</v>
      </c>
      <c r="P183" s="61">
        <f>IF('CO-PO Mapping'!$A$12="",0,I183)</f>
        <v>0</v>
      </c>
      <c r="Q183" s="68">
        <f t="shared" si="1"/>
        <v>0</v>
      </c>
    </row>
    <row r="184" spans="1:17" ht="15.75" customHeight="1">
      <c r="A184" s="62">
        <f>'Students Details'!A183</f>
        <v>177</v>
      </c>
      <c r="B184" s="63" t="str">
        <f>IF('Students Details'!B183="","",'Students Details'!B183)</f>
        <v/>
      </c>
      <c r="C184" s="64" t="str">
        <f>IF('Students Details'!C183="","",'Students Details'!C183)</f>
        <v/>
      </c>
      <c r="D184" s="72"/>
      <c r="E184" s="72"/>
      <c r="F184" s="72"/>
      <c r="G184" s="72"/>
      <c r="H184" s="72"/>
      <c r="I184" s="66"/>
      <c r="J184" s="67">
        <f t="shared" si="35"/>
        <v>0</v>
      </c>
      <c r="K184" s="61">
        <f t="shared" ref="K184:M184" si="180">D184</f>
        <v>0</v>
      </c>
      <c r="L184" s="61">
        <f t="shared" si="180"/>
        <v>0</v>
      </c>
      <c r="M184" s="61">
        <f t="shared" si="180"/>
        <v>0</v>
      </c>
      <c r="N184" s="61">
        <f>IF('CO-PO Mapping'!$A$10="",0,G184)</f>
        <v>0</v>
      </c>
      <c r="O184" s="61">
        <f>IF('CO-PO Mapping'!$A$11="",0,H184)</f>
        <v>0</v>
      </c>
      <c r="P184" s="61">
        <f>IF('CO-PO Mapping'!$A$12="",0,I184)</f>
        <v>0</v>
      </c>
      <c r="Q184" s="68">
        <f t="shared" si="1"/>
        <v>0</v>
      </c>
    </row>
    <row r="185" spans="1:17" ht="15.75" customHeight="1">
      <c r="A185" s="62">
        <f>'Students Details'!A184</f>
        <v>178</v>
      </c>
      <c r="B185" s="63" t="str">
        <f>IF('Students Details'!B184="","",'Students Details'!B184)</f>
        <v/>
      </c>
      <c r="C185" s="64" t="str">
        <f>IF('Students Details'!C184="","",'Students Details'!C184)</f>
        <v/>
      </c>
      <c r="D185" s="72"/>
      <c r="E185" s="72"/>
      <c r="F185" s="72"/>
      <c r="G185" s="72"/>
      <c r="H185" s="72"/>
      <c r="I185" s="66"/>
      <c r="J185" s="67">
        <f t="shared" si="35"/>
        <v>0</v>
      </c>
      <c r="K185" s="61">
        <f t="shared" ref="K185:M185" si="181">D185</f>
        <v>0</v>
      </c>
      <c r="L185" s="61">
        <f t="shared" si="181"/>
        <v>0</v>
      </c>
      <c r="M185" s="61">
        <f t="shared" si="181"/>
        <v>0</v>
      </c>
      <c r="N185" s="61">
        <f>IF('CO-PO Mapping'!$A$10="",0,G185)</f>
        <v>0</v>
      </c>
      <c r="O185" s="61">
        <f>IF('CO-PO Mapping'!$A$11="",0,H185)</f>
        <v>0</v>
      </c>
      <c r="P185" s="61">
        <f>IF('CO-PO Mapping'!$A$12="",0,I185)</f>
        <v>0</v>
      </c>
      <c r="Q185" s="68">
        <f t="shared" si="1"/>
        <v>0</v>
      </c>
    </row>
    <row r="186" spans="1:17" ht="15.75" customHeight="1">
      <c r="A186" s="62">
        <f>'Students Details'!A185</f>
        <v>179</v>
      </c>
      <c r="B186" s="63" t="str">
        <f>IF('Students Details'!B185="","",'Students Details'!B185)</f>
        <v/>
      </c>
      <c r="C186" s="64" t="str">
        <f>IF('Students Details'!C185="","",'Students Details'!C185)</f>
        <v/>
      </c>
      <c r="D186" s="72"/>
      <c r="E186" s="72"/>
      <c r="F186" s="72"/>
      <c r="G186" s="72"/>
      <c r="H186" s="72"/>
      <c r="I186" s="66"/>
      <c r="J186" s="67">
        <f t="shared" si="35"/>
        <v>0</v>
      </c>
      <c r="K186" s="61">
        <f t="shared" ref="K186:M186" si="182">D186</f>
        <v>0</v>
      </c>
      <c r="L186" s="61">
        <f t="shared" si="182"/>
        <v>0</v>
      </c>
      <c r="M186" s="61">
        <f t="shared" si="182"/>
        <v>0</v>
      </c>
      <c r="N186" s="61">
        <f>IF('CO-PO Mapping'!$A$10="",0,G186)</f>
        <v>0</v>
      </c>
      <c r="O186" s="61">
        <f>IF('CO-PO Mapping'!$A$11="",0,H186)</f>
        <v>0</v>
      </c>
      <c r="P186" s="61">
        <f>IF('CO-PO Mapping'!$A$12="",0,I186)</f>
        <v>0</v>
      </c>
      <c r="Q186" s="68">
        <f t="shared" si="1"/>
        <v>0</v>
      </c>
    </row>
    <row r="187" spans="1:17" ht="15.75" customHeight="1">
      <c r="A187" s="62">
        <f>'Students Details'!A186</f>
        <v>180</v>
      </c>
      <c r="B187" s="63" t="str">
        <f>IF('Students Details'!B186="","",'Students Details'!B186)</f>
        <v/>
      </c>
      <c r="C187" s="64" t="str">
        <f>IF('Students Details'!C186="","",'Students Details'!C186)</f>
        <v/>
      </c>
      <c r="D187" s="72"/>
      <c r="E187" s="72"/>
      <c r="F187" s="72"/>
      <c r="G187" s="72"/>
      <c r="H187" s="72"/>
      <c r="I187" s="66"/>
      <c r="J187" s="67">
        <f t="shared" si="35"/>
        <v>0</v>
      </c>
      <c r="K187" s="61">
        <f t="shared" ref="K187:M187" si="183">D187</f>
        <v>0</v>
      </c>
      <c r="L187" s="61">
        <f t="shared" si="183"/>
        <v>0</v>
      </c>
      <c r="M187" s="61">
        <f t="shared" si="183"/>
        <v>0</v>
      </c>
      <c r="N187" s="61">
        <f>IF('CO-PO Mapping'!$A$10="",0,G187)</f>
        <v>0</v>
      </c>
      <c r="O187" s="61">
        <f>IF('CO-PO Mapping'!$A$11="",0,H187)</f>
        <v>0</v>
      </c>
      <c r="P187" s="61">
        <f>IF('CO-PO Mapping'!$A$12="",0,I187)</f>
        <v>0</v>
      </c>
      <c r="Q187" s="68">
        <f t="shared" si="1"/>
        <v>0</v>
      </c>
    </row>
    <row r="188" spans="1:17" ht="15.75" customHeight="1">
      <c r="A188" s="62">
        <f>'Students Details'!A187</f>
        <v>0</v>
      </c>
      <c r="B188" s="63" t="str">
        <f>IF('Students Details'!B187="","",'Students Details'!B187)</f>
        <v/>
      </c>
      <c r="C188" s="64" t="str">
        <f>IF('Students Details'!C187="","",'Students Details'!C187)</f>
        <v/>
      </c>
      <c r="D188" s="72"/>
      <c r="E188" s="72"/>
      <c r="F188" s="72"/>
      <c r="G188" s="72"/>
      <c r="H188" s="72"/>
      <c r="I188" s="66"/>
      <c r="J188" s="67">
        <f t="shared" si="35"/>
        <v>0</v>
      </c>
      <c r="K188" s="61">
        <f t="shared" ref="K188:M188" si="184">D188</f>
        <v>0</v>
      </c>
      <c r="L188" s="61">
        <f t="shared" si="184"/>
        <v>0</v>
      </c>
      <c r="M188" s="61">
        <f t="shared" si="184"/>
        <v>0</v>
      </c>
      <c r="N188" s="61">
        <f>IF('CO-PO Mapping'!$A$10="",0,G188)</f>
        <v>0</v>
      </c>
      <c r="O188" s="61">
        <f>IF('CO-PO Mapping'!$A$11="",0,H188)</f>
        <v>0</v>
      </c>
      <c r="P188" s="61">
        <f>IF('CO-PO Mapping'!$A$12="",0,I188)</f>
        <v>0</v>
      </c>
      <c r="Q188" s="68">
        <f t="shared" si="1"/>
        <v>0</v>
      </c>
    </row>
    <row r="189" spans="1:17" ht="15.75" customHeight="1">
      <c r="A189" s="62">
        <f>'Students Details'!A188</f>
        <v>0</v>
      </c>
      <c r="B189" s="63" t="str">
        <f>IF('Students Details'!B188="","",'Students Details'!B188)</f>
        <v/>
      </c>
      <c r="C189" s="64" t="str">
        <f>IF('Students Details'!C188="","",'Students Details'!C188)</f>
        <v/>
      </c>
      <c r="D189" s="72"/>
      <c r="E189" s="72"/>
      <c r="F189" s="72"/>
      <c r="G189" s="72"/>
      <c r="H189" s="72"/>
      <c r="I189" s="66"/>
      <c r="J189" s="67">
        <f t="shared" si="35"/>
        <v>0</v>
      </c>
      <c r="K189" s="61">
        <f t="shared" ref="K189:M189" si="185">D189</f>
        <v>0</v>
      </c>
      <c r="L189" s="61">
        <f t="shared" si="185"/>
        <v>0</v>
      </c>
      <c r="M189" s="61">
        <f t="shared" si="185"/>
        <v>0</v>
      </c>
      <c r="N189" s="61">
        <f>IF('CO-PO Mapping'!$A$10="",0,G189)</f>
        <v>0</v>
      </c>
      <c r="O189" s="61">
        <f>IF('CO-PO Mapping'!$A$11="",0,H189)</f>
        <v>0</v>
      </c>
      <c r="P189" s="61">
        <f>IF('CO-PO Mapping'!$A$12="",0,I189)</f>
        <v>0</v>
      </c>
      <c r="Q189" s="68">
        <f t="shared" si="1"/>
        <v>0</v>
      </c>
    </row>
    <row r="190" spans="1:17" ht="15.75" customHeight="1">
      <c r="A190" s="62">
        <f>'Students Details'!A189</f>
        <v>0</v>
      </c>
      <c r="B190" s="63" t="str">
        <f>IF('Students Details'!B189="","",'Students Details'!B189)</f>
        <v/>
      </c>
      <c r="C190" s="64" t="str">
        <f>IF('Students Details'!C189="","",'Students Details'!C189)</f>
        <v/>
      </c>
      <c r="D190" s="72"/>
      <c r="E190" s="72"/>
      <c r="F190" s="72"/>
      <c r="G190" s="72"/>
      <c r="H190" s="72"/>
      <c r="I190" s="66"/>
      <c r="J190" s="67">
        <f t="shared" si="35"/>
        <v>0</v>
      </c>
      <c r="K190" s="61">
        <f t="shared" ref="K190:M190" si="186">D190</f>
        <v>0</v>
      </c>
      <c r="L190" s="61">
        <f t="shared" si="186"/>
        <v>0</v>
      </c>
      <c r="M190" s="61">
        <f t="shared" si="186"/>
        <v>0</v>
      </c>
      <c r="N190" s="61">
        <f>IF('CO-PO Mapping'!$A$10="",0,G190)</f>
        <v>0</v>
      </c>
      <c r="O190" s="61">
        <f>IF('CO-PO Mapping'!$A$11="",0,H190)</f>
        <v>0</v>
      </c>
      <c r="P190" s="61">
        <f>IF('CO-PO Mapping'!$A$12="",0,I190)</f>
        <v>0</v>
      </c>
      <c r="Q190" s="68">
        <f t="shared" si="1"/>
        <v>0</v>
      </c>
    </row>
    <row r="191" spans="1:17" ht="15.75" customHeight="1">
      <c r="A191" s="62">
        <f>'Students Details'!A190</f>
        <v>0</v>
      </c>
      <c r="B191" s="63" t="str">
        <f>IF('Students Details'!B190="","",'Students Details'!B190)</f>
        <v/>
      </c>
      <c r="C191" s="64" t="str">
        <f>IF('Students Details'!C190="","",'Students Details'!C190)</f>
        <v/>
      </c>
      <c r="D191" s="72"/>
      <c r="E191" s="72"/>
      <c r="F191" s="72"/>
      <c r="G191" s="72"/>
      <c r="H191" s="72"/>
      <c r="I191" s="66"/>
      <c r="J191" s="67">
        <f t="shared" si="35"/>
        <v>0</v>
      </c>
      <c r="K191" s="61">
        <f t="shared" ref="K191:M191" si="187">D191</f>
        <v>0</v>
      </c>
      <c r="L191" s="61">
        <f t="shared" si="187"/>
        <v>0</v>
      </c>
      <c r="M191" s="61">
        <f t="shared" si="187"/>
        <v>0</v>
      </c>
      <c r="N191" s="61">
        <f>IF('CO-PO Mapping'!$A$10="",0,G191)</f>
        <v>0</v>
      </c>
      <c r="O191" s="61">
        <f>IF('CO-PO Mapping'!$A$11="",0,H191)</f>
        <v>0</v>
      </c>
      <c r="P191" s="61">
        <f>IF('CO-PO Mapping'!$A$12="",0,I191)</f>
        <v>0</v>
      </c>
      <c r="Q191" s="68">
        <f t="shared" si="1"/>
        <v>0</v>
      </c>
    </row>
    <row r="192" spans="1:17" ht="15.75" customHeight="1">
      <c r="A192" s="62">
        <f>'Students Details'!A191</f>
        <v>0</v>
      </c>
      <c r="B192" s="63" t="str">
        <f>IF('Students Details'!B191="","",'Students Details'!B191)</f>
        <v/>
      </c>
      <c r="C192" s="64" t="str">
        <f>IF('Students Details'!C191="","",'Students Details'!C191)</f>
        <v/>
      </c>
      <c r="D192" s="72"/>
      <c r="E192" s="72"/>
      <c r="F192" s="72"/>
      <c r="G192" s="72"/>
      <c r="H192" s="72"/>
      <c r="I192" s="66"/>
      <c r="J192" s="67">
        <f t="shared" si="35"/>
        <v>0</v>
      </c>
      <c r="K192" s="61">
        <f t="shared" ref="K192:M192" si="188">D192</f>
        <v>0</v>
      </c>
      <c r="L192" s="61">
        <f t="shared" si="188"/>
        <v>0</v>
      </c>
      <c r="M192" s="61">
        <f t="shared" si="188"/>
        <v>0</v>
      </c>
      <c r="N192" s="61">
        <f>IF('CO-PO Mapping'!$A$10="",0,G192)</f>
        <v>0</v>
      </c>
      <c r="O192" s="61">
        <f>IF('CO-PO Mapping'!$A$11="",0,H192)</f>
        <v>0</v>
      </c>
      <c r="P192" s="61">
        <f>IF('CO-PO Mapping'!$A$12="",0,I192)</f>
        <v>0</v>
      </c>
      <c r="Q192" s="68">
        <f t="shared" si="1"/>
        <v>0</v>
      </c>
    </row>
    <row r="193" spans="1:17" ht="15.75" customHeight="1">
      <c r="A193" s="62">
        <f>'Students Details'!A192</f>
        <v>0</v>
      </c>
      <c r="B193" s="63" t="str">
        <f>IF('Students Details'!B192="","",'Students Details'!B192)</f>
        <v/>
      </c>
      <c r="C193" s="64" t="str">
        <f>IF('Students Details'!C192="","",'Students Details'!C192)</f>
        <v/>
      </c>
      <c r="D193" s="72"/>
      <c r="E193" s="72"/>
      <c r="F193" s="72"/>
      <c r="G193" s="72"/>
      <c r="H193" s="72"/>
      <c r="I193" s="66"/>
      <c r="J193" s="67">
        <f t="shared" si="35"/>
        <v>0</v>
      </c>
      <c r="K193" s="61">
        <f t="shared" ref="K193:M193" si="189">D193</f>
        <v>0</v>
      </c>
      <c r="L193" s="61">
        <f t="shared" si="189"/>
        <v>0</v>
      </c>
      <c r="M193" s="61">
        <f t="shared" si="189"/>
        <v>0</v>
      </c>
      <c r="N193" s="61">
        <f>IF('CO-PO Mapping'!$A$10="",0,G193)</f>
        <v>0</v>
      </c>
      <c r="O193" s="61">
        <f>IF('CO-PO Mapping'!$A$11="",0,H193)</f>
        <v>0</v>
      </c>
      <c r="P193" s="61">
        <f>IF('CO-PO Mapping'!$A$12="",0,I193)</f>
        <v>0</v>
      </c>
      <c r="Q193" s="68">
        <f t="shared" si="1"/>
        <v>0</v>
      </c>
    </row>
    <row r="194" spans="1:17" ht="15.75" customHeight="1">
      <c r="A194" s="62">
        <f>'Students Details'!A193</f>
        <v>0</v>
      </c>
      <c r="B194" s="63" t="str">
        <f>IF('Students Details'!B193="","",'Students Details'!B193)</f>
        <v/>
      </c>
      <c r="C194" s="64" t="str">
        <f>IF('Students Details'!C193="","",'Students Details'!C193)</f>
        <v/>
      </c>
      <c r="D194" s="72"/>
      <c r="E194" s="72"/>
      <c r="F194" s="72"/>
      <c r="G194" s="72"/>
      <c r="H194" s="72"/>
      <c r="I194" s="66"/>
      <c r="J194" s="67">
        <f t="shared" si="35"/>
        <v>0</v>
      </c>
      <c r="K194" s="61">
        <f t="shared" ref="K194:M194" si="190">D194</f>
        <v>0</v>
      </c>
      <c r="L194" s="61">
        <f t="shared" si="190"/>
        <v>0</v>
      </c>
      <c r="M194" s="61">
        <f t="shared" si="190"/>
        <v>0</v>
      </c>
      <c r="N194" s="61">
        <f>IF('CO-PO Mapping'!$A$10="",0,G194)</f>
        <v>0</v>
      </c>
      <c r="O194" s="61">
        <f>IF('CO-PO Mapping'!$A$11="",0,H194)</f>
        <v>0</v>
      </c>
      <c r="P194" s="61">
        <f>IF('CO-PO Mapping'!$A$12="",0,I194)</f>
        <v>0</v>
      </c>
      <c r="Q194" s="68">
        <f t="shared" si="1"/>
        <v>0</v>
      </c>
    </row>
    <row r="195" spans="1:17" ht="15.75" customHeight="1">
      <c r="A195" s="62">
        <f>'Students Details'!A194</f>
        <v>0</v>
      </c>
      <c r="B195" s="63" t="str">
        <f>IF('Students Details'!B194="","",'Students Details'!B194)</f>
        <v/>
      </c>
      <c r="C195" s="64" t="str">
        <f>IF('Students Details'!C194="","",'Students Details'!C194)</f>
        <v/>
      </c>
      <c r="D195" s="72"/>
      <c r="E195" s="72"/>
      <c r="F195" s="72"/>
      <c r="G195" s="72"/>
      <c r="H195" s="72"/>
      <c r="I195" s="66"/>
      <c r="J195" s="67">
        <f t="shared" si="35"/>
        <v>0</v>
      </c>
      <c r="K195" s="61">
        <f t="shared" ref="K195:M195" si="191">D195</f>
        <v>0</v>
      </c>
      <c r="L195" s="61">
        <f t="shared" si="191"/>
        <v>0</v>
      </c>
      <c r="M195" s="61">
        <f t="shared" si="191"/>
        <v>0</v>
      </c>
      <c r="N195" s="61">
        <f>IF('CO-PO Mapping'!$A$10="",0,G195)</f>
        <v>0</v>
      </c>
      <c r="O195" s="61">
        <f>IF('CO-PO Mapping'!$A$11="",0,H195)</f>
        <v>0</v>
      </c>
      <c r="P195" s="61">
        <f>IF('CO-PO Mapping'!$A$12="",0,I195)</f>
        <v>0</v>
      </c>
      <c r="Q195" s="68">
        <f t="shared" si="1"/>
        <v>0</v>
      </c>
    </row>
    <row r="196" spans="1:17" ht="15.75" customHeight="1">
      <c r="A196" s="62">
        <f>'Students Details'!A195</f>
        <v>0</v>
      </c>
      <c r="B196" s="63" t="str">
        <f>IF('Students Details'!B195="","",'Students Details'!B195)</f>
        <v/>
      </c>
      <c r="C196" s="64" t="str">
        <f>IF('Students Details'!C195="","",'Students Details'!C195)</f>
        <v/>
      </c>
      <c r="D196" s="72"/>
      <c r="E196" s="72"/>
      <c r="F196" s="72"/>
      <c r="G196" s="72"/>
      <c r="H196" s="72"/>
      <c r="I196" s="66"/>
      <c r="J196" s="67">
        <f t="shared" si="35"/>
        <v>0</v>
      </c>
      <c r="K196" s="61">
        <f t="shared" ref="K196:M196" si="192">D196</f>
        <v>0</v>
      </c>
      <c r="L196" s="61">
        <f t="shared" si="192"/>
        <v>0</v>
      </c>
      <c r="M196" s="61">
        <f t="shared" si="192"/>
        <v>0</v>
      </c>
      <c r="N196" s="61">
        <f>IF('CO-PO Mapping'!$A$10="",0,G196)</f>
        <v>0</v>
      </c>
      <c r="O196" s="61">
        <f>IF('CO-PO Mapping'!$A$11="",0,H196)</f>
        <v>0</v>
      </c>
      <c r="P196" s="61">
        <f>IF('CO-PO Mapping'!$A$12="",0,I196)</f>
        <v>0</v>
      </c>
      <c r="Q196" s="68">
        <f t="shared" si="1"/>
        <v>0</v>
      </c>
    </row>
    <row r="197" spans="1:17" ht="15.75" customHeight="1">
      <c r="A197" s="62">
        <f>'Students Details'!A196</f>
        <v>0</v>
      </c>
      <c r="B197" s="63" t="str">
        <f>IF('Students Details'!B196="","",'Students Details'!B196)</f>
        <v/>
      </c>
      <c r="C197" s="64" t="str">
        <f>IF('Students Details'!C196="","",'Students Details'!C196)</f>
        <v/>
      </c>
      <c r="D197" s="72"/>
      <c r="E197" s="72"/>
      <c r="F197" s="72"/>
      <c r="G197" s="72"/>
      <c r="H197" s="72"/>
      <c r="I197" s="66"/>
      <c r="J197" s="67">
        <f t="shared" si="35"/>
        <v>0</v>
      </c>
      <c r="K197" s="61">
        <f t="shared" ref="K197:M197" si="193">D197</f>
        <v>0</v>
      </c>
      <c r="L197" s="61">
        <f t="shared" si="193"/>
        <v>0</v>
      </c>
      <c r="M197" s="61">
        <f t="shared" si="193"/>
        <v>0</v>
      </c>
      <c r="N197" s="61">
        <f>IF('CO-PO Mapping'!$A$10="",0,G197)</f>
        <v>0</v>
      </c>
      <c r="O197" s="61">
        <f>IF('CO-PO Mapping'!$A$11="",0,H197)</f>
        <v>0</v>
      </c>
      <c r="P197" s="61">
        <f>IF('CO-PO Mapping'!$A$12="",0,I197)</f>
        <v>0</v>
      </c>
      <c r="Q197" s="68">
        <f t="shared" si="1"/>
        <v>0</v>
      </c>
    </row>
    <row r="198" spans="1:17" ht="15.75" customHeight="1">
      <c r="A198" s="62">
        <f>'Students Details'!A197</f>
        <v>0</v>
      </c>
      <c r="B198" s="63" t="str">
        <f>IF('Students Details'!B197="","",'Students Details'!B197)</f>
        <v/>
      </c>
      <c r="C198" s="64" t="str">
        <f>IF('Students Details'!C197="","",'Students Details'!C197)</f>
        <v/>
      </c>
      <c r="D198" s="72"/>
      <c r="E198" s="72"/>
      <c r="F198" s="72"/>
      <c r="G198" s="72"/>
      <c r="H198" s="72"/>
      <c r="I198" s="66"/>
      <c r="J198" s="67">
        <f t="shared" si="35"/>
        <v>0</v>
      </c>
      <c r="K198" s="61">
        <f t="shared" ref="K198:M198" si="194">D198</f>
        <v>0</v>
      </c>
      <c r="L198" s="61">
        <f t="shared" si="194"/>
        <v>0</v>
      </c>
      <c r="M198" s="61">
        <f t="shared" si="194"/>
        <v>0</v>
      </c>
      <c r="N198" s="61">
        <f>IF('CO-PO Mapping'!$A$10="",0,G198)</f>
        <v>0</v>
      </c>
      <c r="O198" s="61">
        <f>IF('CO-PO Mapping'!$A$11="",0,H198)</f>
        <v>0</v>
      </c>
      <c r="P198" s="61">
        <f>IF('CO-PO Mapping'!$A$12="",0,I198)</f>
        <v>0</v>
      </c>
      <c r="Q198" s="68">
        <f t="shared" si="1"/>
        <v>0</v>
      </c>
    </row>
    <row r="199" spans="1:17" ht="15.75" customHeight="1">
      <c r="A199" s="62">
        <f>'Students Details'!A198</f>
        <v>0</v>
      </c>
      <c r="B199" s="63" t="str">
        <f>IF('Students Details'!B198="","",'Students Details'!B198)</f>
        <v/>
      </c>
      <c r="C199" s="64" t="str">
        <f>IF('Students Details'!C198="","",'Students Details'!C198)</f>
        <v/>
      </c>
      <c r="D199" s="72"/>
      <c r="E199" s="72"/>
      <c r="F199" s="72"/>
      <c r="G199" s="72"/>
      <c r="H199" s="72"/>
      <c r="I199" s="66"/>
      <c r="J199" s="67">
        <f t="shared" si="35"/>
        <v>0</v>
      </c>
      <c r="K199" s="61">
        <f t="shared" ref="K199:M199" si="195">D199</f>
        <v>0</v>
      </c>
      <c r="L199" s="61">
        <f t="shared" si="195"/>
        <v>0</v>
      </c>
      <c r="M199" s="61">
        <f t="shared" si="195"/>
        <v>0</v>
      </c>
      <c r="N199" s="61">
        <f>IF('CO-PO Mapping'!$A$10="",0,G199)</f>
        <v>0</v>
      </c>
      <c r="O199" s="61">
        <f>IF('CO-PO Mapping'!$A$11="",0,H199)</f>
        <v>0</v>
      </c>
      <c r="P199" s="61">
        <f>IF('CO-PO Mapping'!$A$12="",0,I199)</f>
        <v>0</v>
      </c>
      <c r="Q199" s="68">
        <f t="shared" si="1"/>
        <v>0</v>
      </c>
    </row>
    <row r="200" spans="1:17" ht="15.75" customHeight="1">
      <c r="A200" s="62">
        <f>'Students Details'!A199</f>
        <v>0</v>
      </c>
      <c r="B200" s="63" t="str">
        <f>IF('Students Details'!B199="","",'Students Details'!B199)</f>
        <v/>
      </c>
      <c r="C200" s="64" t="str">
        <f>IF('Students Details'!C199="","",'Students Details'!C199)</f>
        <v/>
      </c>
      <c r="D200" s="72"/>
      <c r="E200" s="72"/>
      <c r="F200" s="72"/>
      <c r="G200" s="72"/>
      <c r="H200" s="72"/>
      <c r="I200" s="66"/>
      <c r="J200" s="67">
        <f t="shared" si="35"/>
        <v>0</v>
      </c>
      <c r="K200" s="61">
        <f t="shared" ref="K200:M200" si="196">D200</f>
        <v>0</v>
      </c>
      <c r="L200" s="61">
        <f t="shared" si="196"/>
        <v>0</v>
      </c>
      <c r="M200" s="61">
        <f t="shared" si="196"/>
        <v>0</v>
      </c>
      <c r="N200" s="61">
        <f>IF('CO-PO Mapping'!$A$10="",0,G200)</f>
        <v>0</v>
      </c>
      <c r="O200" s="61">
        <f>IF('CO-PO Mapping'!$A$11="",0,H200)</f>
        <v>0</v>
      </c>
      <c r="P200" s="61">
        <f>IF('CO-PO Mapping'!$A$12="",0,I200)</f>
        <v>0</v>
      </c>
      <c r="Q200" s="68">
        <f t="shared" si="1"/>
        <v>0</v>
      </c>
    </row>
    <row r="201" spans="1:17" ht="15.75" customHeight="1">
      <c r="A201" s="62">
        <f>'Students Details'!A200</f>
        <v>0</v>
      </c>
      <c r="B201" s="63" t="str">
        <f>IF('Students Details'!B200="","",'Students Details'!B200)</f>
        <v/>
      </c>
      <c r="C201" s="64" t="str">
        <f>IF('Students Details'!C200="","",'Students Details'!C200)</f>
        <v/>
      </c>
      <c r="D201" s="72"/>
      <c r="E201" s="72"/>
      <c r="F201" s="72"/>
      <c r="G201" s="72"/>
      <c r="H201" s="72"/>
      <c r="I201" s="66"/>
      <c r="J201" s="67">
        <f t="shared" si="35"/>
        <v>0</v>
      </c>
      <c r="K201" s="61">
        <f t="shared" ref="K201:M201" si="197">D201</f>
        <v>0</v>
      </c>
      <c r="L201" s="61">
        <f t="shared" si="197"/>
        <v>0</v>
      </c>
      <c r="M201" s="61">
        <f t="shared" si="197"/>
        <v>0</v>
      </c>
      <c r="N201" s="61">
        <f>IF('CO-PO Mapping'!$A$10="",0,G201)</f>
        <v>0</v>
      </c>
      <c r="O201" s="61">
        <f>IF('CO-PO Mapping'!$A$11="",0,H201)</f>
        <v>0</v>
      </c>
      <c r="P201" s="61">
        <f>IF('CO-PO Mapping'!$A$12="",0,I201)</f>
        <v>0</v>
      </c>
      <c r="Q201" s="68">
        <f t="shared" si="1"/>
        <v>0</v>
      </c>
    </row>
    <row r="202" spans="1:17" ht="15.75" customHeight="1">
      <c r="A202" s="62">
        <f>'Students Details'!A201</f>
        <v>0</v>
      </c>
      <c r="B202" s="63" t="str">
        <f>IF('Students Details'!B201="","",'Students Details'!B201)</f>
        <v/>
      </c>
      <c r="C202" s="64" t="str">
        <f>IF('Students Details'!C201="","",'Students Details'!C201)</f>
        <v/>
      </c>
      <c r="D202" s="72"/>
      <c r="E202" s="72"/>
      <c r="F202" s="72"/>
      <c r="G202" s="72"/>
      <c r="H202" s="72"/>
      <c r="I202" s="66"/>
      <c r="J202" s="67">
        <f t="shared" si="35"/>
        <v>0</v>
      </c>
      <c r="K202" s="61">
        <f t="shared" ref="K202:M202" si="198">D202</f>
        <v>0</v>
      </c>
      <c r="L202" s="61">
        <f t="shared" si="198"/>
        <v>0</v>
      </c>
      <c r="M202" s="61">
        <f t="shared" si="198"/>
        <v>0</v>
      </c>
      <c r="N202" s="61">
        <f>IF('CO-PO Mapping'!$A$10="",0,G202)</f>
        <v>0</v>
      </c>
      <c r="O202" s="61">
        <f>IF('CO-PO Mapping'!$A$11="",0,H202)</f>
        <v>0</v>
      </c>
      <c r="P202" s="61">
        <f>IF('CO-PO Mapping'!$A$12="",0,I202)</f>
        <v>0</v>
      </c>
      <c r="Q202" s="68">
        <f t="shared" si="1"/>
        <v>0</v>
      </c>
    </row>
    <row r="203" spans="1:17" ht="15.75" customHeight="1">
      <c r="A203" s="62">
        <f>'Students Details'!A202</f>
        <v>0</v>
      </c>
      <c r="B203" s="63" t="str">
        <f>IF('Students Details'!B202="","",'Students Details'!B202)</f>
        <v/>
      </c>
      <c r="C203" s="64" t="str">
        <f>IF('Students Details'!C202="","",'Students Details'!C202)</f>
        <v/>
      </c>
      <c r="D203" s="72"/>
      <c r="E203" s="72"/>
      <c r="F203" s="72"/>
      <c r="G203" s="72"/>
      <c r="H203" s="72"/>
      <c r="I203" s="66"/>
      <c r="J203" s="67">
        <f t="shared" si="35"/>
        <v>0</v>
      </c>
      <c r="K203" s="61">
        <f t="shared" ref="K203:M203" si="199">D203</f>
        <v>0</v>
      </c>
      <c r="L203" s="61">
        <f t="shared" si="199"/>
        <v>0</v>
      </c>
      <c r="M203" s="61">
        <f t="shared" si="199"/>
        <v>0</v>
      </c>
      <c r="N203" s="61">
        <f>IF('CO-PO Mapping'!$A$10="",0,G203)</f>
        <v>0</v>
      </c>
      <c r="O203" s="61">
        <f>IF('CO-PO Mapping'!$A$11="",0,H203)</f>
        <v>0</v>
      </c>
      <c r="P203" s="61">
        <f>IF('CO-PO Mapping'!$A$12="",0,I203)</f>
        <v>0</v>
      </c>
      <c r="Q203" s="68">
        <f t="shared" si="1"/>
        <v>0</v>
      </c>
    </row>
    <row r="204" spans="1:17" ht="15.75" customHeight="1">
      <c r="A204" s="62">
        <f>'Students Details'!A203</f>
        <v>0</v>
      </c>
      <c r="B204" s="63" t="str">
        <f>IF('Students Details'!B203="","",'Students Details'!B203)</f>
        <v/>
      </c>
      <c r="C204" s="64" t="str">
        <f>IF('Students Details'!C203="","",'Students Details'!C203)</f>
        <v/>
      </c>
      <c r="D204" s="72"/>
      <c r="E204" s="72"/>
      <c r="F204" s="72"/>
      <c r="G204" s="72"/>
      <c r="H204" s="72"/>
      <c r="I204" s="66"/>
      <c r="J204" s="67">
        <f t="shared" si="35"/>
        <v>0</v>
      </c>
      <c r="K204" s="61">
        <f t="shared" ref="K204:M204" si="200">D204</f>
        <v>0</v>
      </c>
      <c r="L204" s="61">
        <f t="shared" si="200"/>
        <v>0</v>
      </c>
      <c r="M204" s="61">
        <f t="shared" si="200"/>
        <v>0</v>
      </c>
      <c r="N204" s="61">
        <f>IF('CO-PO Mapping'!$A$10="",0,G204)</f>
        <v>0</v>
      </c>
      <c r="O204" s="61">
        <f>IF('CO-PO Mapping'!$A$11="",0,H204)</f>
        <v>0</v>
      </c>
      <c r="P204" s="61">
        <f>IF('CO-PO Mapping'!$A$12="",0,I204)</f>
        <v>0</v>
      </c>
      <c r="Q204" s="68">
        <f t="shared" si="1"/>
        <v>0</v>
      </c>
    </row>
    <row r="205" spans="1:17" ht="15.75" customHeight="1">
      <c r="A205" s="62">
        <f>'Students Details'!A204</f>
        <v>0</v>
      </c>
      <c r="B205" s="63" t="str">
        <f>IF('Students Details'!B204="","",'Students Details'!B204)</f>
        <v/>
      </c>
      <c r="C205" s="64" t="str">
        <f>IF('Students Details'!C204="","",'Students Details'!C204)</f>
        <v/>
      </c>
      <c r="D205" s="72"/>
      <c r="E205" s="72"/>
      <c r="F205" s="72"/>
      <c r="G205" s="72"/>
      <c r="H205" s="72"/>
      <c r="I205" s="66"/>
      <c r="J205" s="67">
        <f t="shared" si="35"/>
        <v>0</v>
      </c>
      <c r="K205" s="61">
        <f t="shared" ref="K205:M205" si="201">D205</f>
        <v>0</v>
      </c>
      <c r="L205" s="61">
        <f t="shared" si="201"/>
        <v>0</v>
      </c>
      <c r="M205" s="61">
        <f t="shared" si="201"/>
        <v>0</v>
      </c>
      <c r="N205" s="61">
        <f>IF('CO-PO Mapping'!$A$10="",0,G205)</f>
        <v>0</v>
      </c>
      <c r="O205" s="61">
        <f>IF('CO-PO Mapping'!$A$11="",0,H205)</f>
        <v>0</v>
      </c>
      <c r="P205" s="61">
        <f>IF('CO-PO Mapping'!$A$12="",0,I205)</f>
        <v>0</v>
      </c>
      <c r="Q205" s="68">
        <f t="shared" si="1"/>
        <v>0</v>
      </c>
    </row>
    <row r="206" spans="1:17" ht="15.75" customHeight="1">
      <c r="A206" s="62">
        <f>'Students Details'!A205</f>
        <v>0</v>
      </c>
      <c r="B206" s="63" t="str">
        <f>IF('Students Details'!B205="","",'Students Details'!B205)</f>
        <v/>
      </c>
      <c r="C206" s="64" t="str">
        <f>IF('Students Details'!C205="","",'Students Details'!C205)</f>
        <v/>
      </c>
      <c r="D206" s="72"/>
      <c r="E206" s="72"/>
      <c r="F206" s="72"/>
      <c r="G206" s="72"/>
      <c r="H206" s="72"/>
      <c r="I206" s="66"/>
      <c r="J206" s="67">
        <f t="shared" si="35"/>
        <v>0</v>
      </c>
      <c r="K206" s="61">
        <f t="shared" ref="K206:M206" si="202">D206</f>
        <v>0</v>
      </c>
      <c r="L206" s="61">
        <f t="shared" si="202"/>
        <v>0</v>
      </c>
      <c r="M206" s="61">
        <f t="shared" si="202"/>
        <v>0</v>
      </c>
      <c r="N206" s="61">
        <f>IF('CO-PO Mapping'!$A$10="",0,G206)</f>
        <v>0</v>
      </c>
      <c r="O206" s="61">
        <f>IF('CO-PO Mapping'!$A$11="",0,H206)</f>
        <v>0</v>
      </c>
      <c r="P206" s="61">
        <f>IF('CO-PO Mapping'!$A$12="",0,I206)</f>
        <v>0</v>
      </c>
      <c r="Q206" s="68">
        <f t="shared" si="1"/>
        <v>0</v>
      </c>
    </row>
    <row r="207" spans="1:17" ht="15.75" customHeight="1">
      <c r="A207" s="62">
        <f>'Students Details'!A206</f>
        <v>0</v>
      </c>
      <c r="B207" s="63" t="str">
        <f>IF('Students Details'!B206="","",'Students Details'!B206)</f>
        <v/>
      </c>
      <c r="C207" s="64" t="str">
        <f>IF('Students Details'!C206="","",'Students Details'!C206)</f>
        <v/>
      </c>
      <c r="D207" s="72"/>
      <c r="E207" s="72"/>
      <c r="F207" s="72"/>
      <c r="G207" s="72"/>
      <c r="H207" s="72"/>
      <c r="I207" s="66"/>
      <c r="J207" s="67">
        <f t="shared" si="35"/>
        <v>0</v>
      </c>
      <c r="K207" s="61">
        <f t="shared" ref="K207:M207" si="203">D207</f>
        <v>0</v>
      </c>
      <c r="L207" s="61">
        <f t="shared" si="203"/>
        <v>0</v>
      </c>
      <c r="M207" s="61">
        <f t="shared" si="203"/>
        <v>0</v>
      </c>
      <c r="N207" s="61">
        <f>IF('CO-PO Mapping'!$A$10="",0,G207)</f>
        <v>0</v>
      </c>
      <c r="O207" s="61">
        <f>IF('CO-PO Mapping'!$A$11="",0,H207)</f>
        <v>0</v>
      </c>
      <c r="P207" s="61">
        <f>IF('CO-PO Mapping'!$A$12="",0,I207)</f>
        <v>0</v>
      </c>
      <c r="Q207" s="68">
        <f t="shared" si="1"/>
        <v>0</v>
      </c>
    </row>
    <row r="208" spans="1:17" ht="15.75" customHeight="1">
      <c r="C208" s="53"/>
      <c r="D208" s="73"/>
      <c r="E208" s="73"/>
      <c r="F208" s="73"/>
      <c r="G208" s="73"/>
      <c r="H208" s="73"/>
      <c r="I208" s="73"/>
      <c r="J208" s="73"/>
      <c r="K208" s="53"/>
      <c r="L208" s="53"/>
      <c r="M208" s="53"/>
      <c r="N208" s="53"/>
      <c r="O208" s="53"/>
      <c r="P208" s="53"/>
      <c r="Q208" s="53"/>
    </row>
    <row r="209" spans="3:17" ht="15.75" customHeight="1">
      <c r="C209" s="53"/>
      <c r="D209" s="73"/>
      <c r="E209" s="73"/>
      <c r="F209" s="73"/>
      <c r="G209" s="73"/>
      <c r="H209" s="73"/>
      <c r="I209" s="73"/>
      <c r="J209" s="73"/>
      <c r="K209" s="53"/>
      <c r="L209" s="53"/>
      <c r="M209" s="53"/>
      <c r="N209" s="53"/>
      <c r="O209" s="53"/>
      <c r="P209" s="53"/>
      <c r="Q209" s="53"/>
    </row>
    <row r="210" spans="3:17" ht="15.75" customHeight="1">
      <c r="C210" s="53"/>
      <c r="D210" s="73"/>
      <c r="E210" s="73"/>
      <c r="F210" s="73"/>
      <c r="G210" s="73"/>
      <c r="H210" s="73"/>
      <c r="I210" s="73"/>
      <c r="J210" s="73"/>
      <c r="K210" s="53"/>
      <c r="L210" s="53"/>
      <c r="M210" s="53"/>
      <c r="N210" s="53"/>
      <c r="O210" s="53"/>
      <c r="P210" s="53"/>
      <c r="Q210" s="53"/>
    </row>
    <row r="211" spans="3:17" ht="15.75" customHeight="1">
      <c r="C211" s="53"/>
      <c r="D211" s="73"/>
      <c r="E211" s="73"/>
      <c r="F211" s="73"/>
      <c r="G211" s="73"/>
      <c r="H211" s="73"/>
      <c r="I211" s="73"/>
      <c r="J211" s="73"/>
      <c r="K211" s="53"/>
      <c r="L211" s="53"/>
      <c r="M211" s="53"/>
      <c r="N211" s="53"/>
      <c r="O211" s="53"/>
      <c r="P211" s="53"/>
      <c r="Q211" s="53"/>
    </row>
    <row r="212" spans="3:17" ht="15.75" customHeight="1">
      <c r="C212" s="53"/>
      <c r="D212" s="73"/>
      <c r="E212" s="73"/>
      <c r="F212" s="73"/>
      <c r="G212" s="73"/>
      <c r="H212" s="73"/>
      <c r="I212" s="73"/>
      <c r="J212" s="73"/>
      <c r="K212" s="53"/>
      <c r="L212" s="53"/>
      <c r="M212" s="53"/>
      <c r="N212" s="53"/>
      <c r="O212" s="53"/>
      <c r="P212" s="53"/>
      <c r="Q212" s="53"/>
    </row>
    <row r="213" spans="3:17" ht="15.75" customHeight="1">
      <c r="C213" s="53"/>
      <c r="D213" s="73"/>
      <c r="E213" s="73"/>
      <c r="F213" s="73"/>
      <c r="G213" s="73"/>
      <c r="H213" s="73"/>
      <c r="I213" s="73"/>
      <c r="J213" s="73"/>
      <c r="K213" s="53"/>
      <c r="L213" s="53"/>
      <c r="M213" s="53"/>
      <c r="N213" s="53"/>
      <c r="O213" s="53"/>
      <c r="P213" s="53"/>
      <c r="Q213" s="53"/>
    </row>
    <row r="214" spans="3:17" ht="15.75" customHeight="1">
      <c r="C214" s="53"/>
      <c r="D214" s="73"/>
      <c r="E214" s="73"/>
      <c r="F214" s="73"/>
      <c r="G214" s="73"/>
      <c r="H214" s="73"/>
      <c r="I214" s="73"/>
      <c r="J214" s="73"/>
      <c r="K214" s="53"/>
      <c r="L214" s="53"/>
      <c r="M214" s="53"/>
      <c r="N214" s="53"/>
      <c r="O214" s="53"/>
      <c r="P214" s="53"/>
      <c r="Q214" s="53"/>
    </row>
    <row r="215" spans="3:17" ht="15.75" customHeight="1">
      <c r="C215" s="53"/>
      <c r="D215" s="73"/>
      <c r="E215" s="73"/>
      <c r="F215" s="73"/>
      <c r="G215" s="73"/>
      <c r="H215" s="73"/>
      <c r="I215" s="73"/>
      <c r="J215" s="73"/>
      <c r="K215" s="53"/>
      <c r="L215" s="53"/>
      <c r="M215" s="53"/>
      <c r="N215" s="53"/>
      <c r="O215" s="53"/>
      <c r="P215" s="53"/>
      <c r="Q215" s="53"/>
    </row>
    <row r="216" spans="3:17" ht="15.75" customHeight="1">
      <c r="C216" s="53"/>
      <c r="D216" s="73"/>
      <c r="E216" s="73"/>
      <c r="F216" s="73"/>
      <c r="G216" s="73"/>
      <c r="H216" s="73"/>
      <c r="I216" s="73"/>
      <c r="J216" s="73"/>
      <c r="K216" s="53"/>
      <c r="L216" s="53"/>
      <c r="M216" s="53"/>
      <c r="N216" s="53"/>
      <c r="O216" s="53"/>
      <c r="P216" s="53"/>
      <c r="Q216" s="53"/>
    </row>
    <row r="217" spans="3:17" ht="15.75" customHeight="1">
      <c r="C217" s="53"/>
      <c r="D217" s="73"/>
      <c r="E217" s="73"/>
      <c r="F217" s="73"/>
      <c r="G217" s="73"/>
      <c r="H217" s="73"/>
      <c r="I217" s="73"/>
      <c r="J217" s="73"/>
      <c r="K217" s="53"/>
      <c r="L217" s="53"/>
      <c r="M217" s="53"/>
      <c r="N217" s="53"/>
      <c r="O217" s="53"/>
      <c r="P217" s="53"/>
      <c r="Q217" s="53"/>
    </row>
    <row r="218" spans="3:17" ht="15.75" customHeight="1">
      <c r="C218" s="53"/>
      <c r="D218" s="73"/>
      <c r="E218" s="73"/>
      <c r="F218" s="73"/>
      <c r="G218" s="73"/>
      <c r="H218" s="73"/>
      <c r="I218" s="73"/>
      <c r="J218" s="73"/>
      <c r="K218" s="53"/>
      <c r="L218" s="53"/>
      <c r="M218" s="53"/>
      <c r="N218" s="53"/>
      <c r="O218" s="53"/>
      <c r="P218" s="53"/>
      <c r="Q218" s="53"/>
    </row>
    <row r="219" spans="3:17" ht="15.75" customHeight="1">
      <c r="C219" s="53"/>
      <c r="D219" s="73"/>
      <c r="E219" s="73"/>
      <c r="F219" s="73"/>
      <c r="G219" s="73"/>
      <c r="H219" s="73"/>
      <c r="I219" s="73"/>
      <c r="J219" s="73"/>
      <c r="K219" s="53"/>
      <c r="L219" s="53"/>
      <c r="M219" s="53"/>
      <c r="N219" s="53"/>
      <c r="O219" s="53"/>
      <c r="P219" s="53"/>
      <c r="Q219" s="53"/>
    </row>
    <row r="220" spans="3:17" ht="15.75" customHeight="1">
      <c r="C220" s="53"/>
      <c r="D220" s="73"/>
      <c r="E220" s="73"/>
      <c r="F220" s="73"/>
      <c r="G220" s="73"/>
      <c r="H220" s="73"/>
      <c r="I220" s="73"/>
      <c r="J220" s="73"/>
      <c r="K220" s="53"/>
      <c r="L220" s="53"/>
      <c r="M220" s="53"/>
      <c r="N220" s="53"/>
      <c r="O220" s="53"/>
      <c r="P220" s="53"/>
      <c r="Q220" s="53"/>
    </row>
    <row r="221" spans="3:17" ht="15.75" customHeight="1">
      <c r="C221" s="53"/>
      <c r="D221" s="73"/>
      <c r="E221" s="73"/>
      <c r="F221" s="73"/>
      <c r="G221" s="73"/>
      <c r="H221" s="73"/>
      <c r="I221" s="73"/>
      <c r="J221" s="73"/>
      <c r="K221" s="53"/>
      <c r="L221" s="53"/>
      <c r="M221" s="53"/>
      <c r="N221" s="53"/>
      <c r="O221" s="53"/>
      <c r="P221" s="53"/>
      <c r="Q221" s="53"/>
    </row>
    <row r="222" spans="3:17" ht="15.75" customHeight="1">
      <c r="C222" s="53"/>
      <c r="D222" s="73"/>
      <c r="E222" s="73"/>
      <c r="F222" s="73"/>
      <c r="G222" s="73"/>
      <c r="H222" s="73"/>
      <c r="I222" s="73"/>
      <c r="J222" s="73"/>
      <c r="K222" s="53"/>
      <c r="L222" s="53"/>
      <c r="M222" s="53"/>
      <c r="N222" s="53"/>
      <c r="O222" s="53"/>
      <c r="P222" s="53"/>
      <c r="Q222" s="53"/>
    </row>
    <row r="223" spans="3:17" ht="15.75" customHeight="1">
      <c r="C223" s="53"/>
      <c r="D223" s="73"/>
      <c r="E223" s="73"/>
      <c r="F223" s="73"/>
      <c r="G223" s="73"/>
      <c r="H223" s="73"/>
      <c r="I223" s="73"/>
      <c r="J223" s="73"/>
      <c r="K223" s="53"/>
      <c r="L223" s="53"/>
      <c r="M223" s="53"/>
      <c r="N223" s="53"/>
      <c r="O223" s="53"/>
      <c r="P223" s="53"/>
      <c r="Q223" s="53"/>
    </row>
    <row r="224" spans="3:17" ht="15.75" customHeight="1">
      <c r="C224" s="53"/>
      <c r="D224" s="73"/>
      <c r="E224" s="73"/>
      <c r="F224" s="73"/>
      <c r="G224" s="73"/>
      <c r="H224" s="73"/>
      <c r="I224" s="73"/>
      <c r="J224" s="73"/>
      <c r="K224" s="53"/>
      <c r="L224" s="53"/>
      <c r="M224" s="53"/>
      <c r="N224" s="53"/>
      <c r="O224" s="53"/>
      <c r="P224" s="53"/>
      <c r="Q224" s="53"/>
    </row>
    <row r="225" spans="3:17" ht="15.75" customHeight="1">
      <c r="C225" s="53"/>
      <c r="D225" s="73"/>
      <c r="E225" s="73"/>
      <c r="F225" s="73"/>
      <c r="G225" s="73"/>
      <c r="H225" s="73"/>
      <c r="I225" s="73"/>
      <c r="J225" s="73"/>
      <c r="K225" s="53"/>
      <c r="L225" s="53"/>
      <c r="M225" s="53"/>
      <c r="N225" s="53"/>
      <c r="O225" s="53"/>
      <c r="P225" s="53"/>
      <c r="Q225" s="53"/>
    </row>
    <row r="226" spans="3:17" ht="15.75" customHeight="1">
      <c r="C226" s="53"/>
      <c r="D226" s="73"/>
      <c r="E226" s="73"/>
      <c r="F226" s="73"/>
      <c r="G226" s="73"/>
      <c r="H226" s="73"/>
      <c r="I226" s="73"/>
      <c r="J226" s="73"/>
      <c r="K226" s="53"/>
      <c r="L226" s="53"/>
      <c r="M226" s="53"/>
      <c r="N226" s="53"/>
      <c r="O226" s="53"/>
      <c r="P226" s="53"/>
      <c r="Q226" s="53"/>
    </row>
    <row r="227" spans="3:17" ht="15.75" customHeight="1">
      <c r="C227" s="53"/>
      <c r="D227" s="73"/>
      <c r="E227" s="73"/>
      <c r="F227" s="73"/>
      <c r="G227" s="73"/>
      <c r="H227" s="73"/>
      <c r="I227" s="73"/>
      <c r="J227" s="73"/>
      <c r="K227" s="53"/>
      <c r="L227" s="53"/>
      <c r="M227" s="53"/>
      <c r="N227" s="53"/>
      <c r="O227" s="53"/>
      <c r="P227" s="53"/>
      <c r="Q227" s="53"/>
    </row>
    <row r="228" spans="3:17" ht="15.75" customHeight="1">
      <c r="C228" s="53"/>
      <c r="D228" s="73"/>
      <c r="E228" s="73"/>
      <c r="F228" s="73"/>
      <c r="G228" s="73"/>
      <c r="H228" s="73"/>
      <c r="I228" s="73"/>
      <c r="J228" s="73"/>
      <c r="K228" s="53"/>
      <c r="L228" s="53"/>
      <c r="M228" s="53"/>
      <c r="N228" s="53"/>
      <c r="O228" s="53"/>
      <c r="P228" s="53"/>
      <c r="Q228" s="53"/>
    </row>
    <row r="229" spans="3:17" ht="15.75" customHeight="1">
      <c r="C229" s="53"/>
      <c r="D229" s="73"/>
      <c r="E229" s="73"/>
      <c r="F229" s="73"/>
      <c r="G229" s="73"/>
      <c r="H229" s="73"/>
      <c r="I229" s="73"/>
      <c r="J229" s="73"/>
      <c r="K229" s="53"/>
      <c r="L229" s="53"/>
      <c r="M229" s="53"/>
      <c r="N229" s="53"/>
      <c r="O229" s="53"/>
      <c r="P229" s="53"/>
      <c r="Q229" s="53"/>
    </row>
    <row r="230" spans="3:17" ht="15.75" customHeight="1">
      <c r="C230" s="53"/>
      <c r="D230" s="73"/>
      <c r="E230" s="73"/>
      <c r="F230" s="73"/>
      <c r="G230" s="73"/>
      <c r="H230" s="73"/>
      <c r="I230" s="73"/>
      <c r="J230" s="73"/>
      <c r="K230" s="53"/>
      <c r="L230" s="53"/>
      <c r="M230" s="53"/>
      <c r="N230" s="53"/>
      <c r="O230" s="53"/>
      <c r="P230" s="53"/>
      <c r="Q230" s="53"/>
    </row>
    <row r="231" spans="3:17" ht="15.75" customHeight="1">
      <c r="C231" s="53"/>
      <c r="D231" s="73"/>
      <c r="E231" s="73"/>
      <c r="F231" s="73"/>
      <c r="G231" s="73"/>
      <c r="H231" s="73"/>
      <c r="I231" s="73"/>
      <c r="J231" s="73"/>
      <c r="K231" s="53"/>
      <c r="L231" s="53"/>
      <c r="M231" s="53"/>
      <c r="N231" s="53"/>
      <c r="O231" s="53"/>
      <c r="P231" s="53"/>
      <c r="Q231" s="53"/>
    </row>
    <row r="232" spans="3:17" ht="15.75" customHeight="1">
      <c r="C232" s="53"/>
      <c r="D232" s="73"/>
      <c r="E232" s="73"/>
      <c r="F232" s="73"/>
      <c r="G232" s="73"/>
      <c r="H232" s="73"/>
      <c r="I232" s="73"/>
      <c r="J232" s="73"/>
      <c r="K232" s="53"/>
      <c r="L232" s="53"/>
      <c r="M232" s="53"/>
      <c r="N232" s="53"/>
      <c r="O232" s="53"/>
      <c r="P232" s="53"/>
      <c r="Q232" s="53"/>
    </row>
    <row r="233" spans="3:17" ht="15.75" customHeight="1">
      <c r="C233" s="53"/>
      <c r="D233" s="73"/>
      <c r="E233" s="73"/>
      <c r="F233" s="73"/>
      <c r="G233" s="73"/>
      <c r="H233" s="73"/>
      <c r="I233" s="73"/>
      <c r="J233" s="73"/>
      <c r="K233" s="53"/>
      <c r="L233" s="53"/>
      <c r="M233" s="53"/>
      <c r="N233" s="53"/>
      <c r="O233" s="53"/>
      <c r="P233" s="53"/>
      <c r="Q233" s="53"/>
    </row>
    <row r="234" spans="3:17" ht="15.75" customHeight="1">
      <c r="C234" s="53"/>
      <c r="D234" s="73"/>
      <c r="E234" s="73"/>
      <c r="F234" s="73"/>
      <c r="G234" s="73"/>
      <c r="H234" s="73"/>
      <c r="I234" s="73"/>
      <c r="J234" s="73"/>
      <c r="K234" s="53"/>
      <c r="L234" s="53"/>
      <c r="M234" s="53"/>
      <c r="N234" s="53"/>
      <c r="O234" s="53"/>
      <c r="P234" s="53"/>
      <c r="Q234" s="53"/>
    </row>
    <row r="235" spans="3:17" ht="15.75" customHeight="1">
      <c r="C235" s="53"/>
      <c r="D235" s="73"/>
      <c r="E235" s="73"/>
      <c r="F235" s="73"/>
      <c r="G235" s="73"/>
      <c r="H235" s="73"/>
      <c r="I235" s="73"/>
      <c r="J235" s="73"/>
      <c r="K235" s="53"/>
      <c r="L235" s="53"/>
      <c r="M235" s="53"/>
      <c r="N235" s="53"/>
      <c r="O235" s="53"/>
      <c r="P235" s="53"/>
      <c r="Q235" s="53"/>
    </row>
    <row r="236" spans="3:17" ht="15.75" customHeight="1">
      <c r="C236" s="53"/>
      <c r="D236" s="73"/>
      <c r="E236" s="73"/>
      <c r="F236" s="73"/>
      <c r="G236" s="73"/>
      <c r="H236" s="73"/>
      <c r="I236" s="73"/>
      <c r="J236" s="73"/>
      <c r="K236" s="53"/>
      <c r="L236" s="53"/>
      <c r="M236" s="53"/>
      <c r="N236" s="53"/>
      <c r="O236" s="53"/>
      <c r="P236" s="53"/>
      <c r="Q236" s="53"/>
    </row>
    <row r="237" spans="3:17" ht="15.75" customHeight="1">
      <c r="C237" s="53"/>
      <c r="D237" s="73"/>
      <c r="E237" s="73"/>
      <c r="F237" s="73"/>
      <c r="G237" s="73"/>
      <c r="H237" s="73"/>
      <c r="I237" s="73"/>
      <c r="J237" s="73"/>
      <c r="K237" s="53"/>
      <c r="L237" s="53"/>
      <c r="M237" s="53"/>
      <c r="N237" s="53"/>
      <c r="O237" s="53"/>
      <c r="P237" s="53"/>
      <c r="Q237" s="53"/>
    </row>
    <row r="238" spans="3:17" ht="15.75" customHeight="1">
      <c r="C238" s="53"/>
      <c r="D238" s="73"/>
      <c r="E238" s="73"/>
      <c r="F238" s="73"/>
      <c r="G238" s="73"/>
      <c r="H238" s="73"/>
      <c r="I238" s="73"/>
      <c r="J238" s="73"/>
      <c r="K238" s="53"/>
      <c r="L238" s="53"/>
      <c r="M238" s="53"/>
      <c r="N238" s="53"/>
      <c r="O238" s="53"/>
      <c r="P238" s="53"/>
      <c r="Q238" s="53"/>
    </row>
    <row r="239" spans="3:17" ht="15.75" customHeight="1">
      <c r="C239" s="53"/>
      <c r="D239" s="73"/>
      <c r="E239" s="73"/>
      <c r="F239" s="73"/>
      <c r="G239" s="73"/>
      <c r="H239" s="73"/>
      <c r="I239" s="73"/>
      <c r="J239" s="73"/>
      <c r="K239" s="53"/>
      <c r="L239" s="53"/>
      <c r="M239" s="53"/>
      <c r="N239" s="53"/>
      <c r="O239" s="53"/>
      <c r="P239" s="53"/>
      <c r="Q239" s="53"/>
    </row>
    <row r="240" spans="3:17" ht="15.75" customHeight="1">
      <c r="C240" s="53"/>
      <c r="D240" s="73"/>
      <c r="E240" s="73"/>
      <c r="F240" s="73"/>
      <c r="G240" s="73"/>
      <c r="H240" s="73"/>
      <c r="I240" s="73"/>
      <c r="J240" s="73"/>
      <c r="K240" s="53"/>
      <c r="L240" s="53"/>
      <c r="M240" s="53"/>
      <c r="N240" s="53"/>
      <c r="O240" s="53"/>
      <c r="P240" s="53"/>
      <c r="Q240" s="53"/>
    </row>
    <row r="241" spans="3:17" ht="15.75" customHeight="1">
      <c r="C241" s="53"/>
      <c r="D241" s="73"/>
      <c r="E241" s="73"/>
      <c r="F241" s="73"/>
      <c r="G241" s="73"/>
      <c r="H241" s="73"/>
      <c r="I241" s="73"/>
      <c r="J241" s="73"/>
      <c r="K241" s="53"/>
      <c r="L241" s="53"/>
      <c r="M241" s="53"/>
      <c r="N241" s="53"/>
      <c r="O241" s="53"/>
      <c r="P241" s="53"/>
      <c r="Q241" s="53"/>
    </row>
    <row r="242" spans="3:17" ht="15.75" customHeight="1">
      <c r="C242" s="53"/>
      <c r="D242" s="73"/>
      <c r="E242" s="73"/>
      <c r="F242" s="73"/>
      <c r="G242" s="73"/>
      <c r="H242" s="73"/>
      <c r="I242" s="73"/>
      <c r="J242" s="73"/>
      <c r="K242" s="53"/>
      <c r="L242" s="53"/>
      <c r="M242" s="53"/>
      <c r="N242" s="53"/>
      <c r="O242" s="53"/>
      <c r="P242" s="53"/>
      <c r="Q242" s="53"/>
    </row>
    <row r="243" spans="3:17" ht="15.75" customHeight="1">
      <c r="C243" s="53"/>
      <c r="D243" s="73"/>
      <c r="E243" s="73"/>
      <c r="F243" s="73"/>
      <c r="G243" s="73"/>
      <c r="H243" s="73"/>
      <c r="I243" s="73"/>
      <c r="J243" s="73"/>
      <c r="K243" s="53"/>
      <c r="L243" s="53"/>
      <c r="M243" s="53"/>
      <c r="N243" s="53"/>
      <c r="O243" s="53"/>
      <c r="P243" s="53"/>
      <c r="Q243" s="53"/>
    </row>
    <row r="244" spans="3:17" ht="15.75" customHeight="1">
      <c r="C244" s="53"/>
      <c r="D244" s="73"/>
      <c r="E244" s="73"/>
      <c r="F244" s="73"/>
      <c r="G244" s="73"/>
      <c r="H244" s="73"/>
      <c r="I244" s="73"/>
      <c r="J244" s="73"/>
      <c r="K244" s="53"/>
      <c r="L244" s="53"/>
      <c r="M244" s="53"/>
      <c r="N244" s="53"/>
      <c r="O244" s="53"/>
      <c r="P244" s="53"/>
      <c r="Q244" s="53"/>
    </row>
    <row r="245" spans="3:17" ht="15.75" customHeight="1">
      <c r="C245" s="53"/>
      <c r="D245" s="73"/>
      <c r="E245" s="73"/>
      <c r="F245" s="73"/>
      <c r="G245" s="73"/>
      <c r="H245" s="73"/>
      <c r="I245" s="73"/>
      <c r="J245" s="73"/>
      <c r="K245" s="53"/>
      <c r="L245" s="53"/>
      <c r="M245" s="53"/>
      <c r="N245" s="53"/>
      <c r="O245" s="53"/>
      <c r="P245" s="53"/>
      <c r="Q245" s="53"/>
    </row>
    <row r="246" spans="3:17" ht="15.75" customHeight="1">
      <c r="C246" s="53"/>
      <c r="D246" s="73"/>
      <c r="E246" s="73"/>
      <c r="F246" s="73"/>
      <c r="G246" s="73"/>
      <c r="H246" s="73"/>
      <c r="I246" s="73"/>
      <c r="J246" s="73"/>
      <c r="K246" s="53"/>
      <c r="L246" s="53"/>
      <c r="M246" s="53"/>
      <c r="N246" s="53"/>
      <c r="O246" s="53"/>
      <c r="P246" s="53"/>
      <c r="Q246" s="53"/>
    </row>
    <row r="247" spans="3:17" ht="15.75" customHeight="1">
      <c r="C247" s="53"/>
      <c r="D247" s="73"/>
      <c r="E247" s="73"/>
      <c r="F247" s="73"/>
      <c r="G247" s="73"/>
      <c r="H247" s="73"/>
      <c r="I247" s="73"/>
      <c r="J247" s="73"/>
      <c r="K247" s="53"/>
      <c r="L247" s="53"/>
      <c r="M247" s="53"/>
      <c r="N247" s="53"/>
      <c r="O247" s="53"/>
      <c r="P247" s="53"/>
      <c r="Q247" s="53"/>
    </row>
    <row r="248" spans="3:17" ht="15.75" customHeight="1">
      <c r="C248" s="53"/>
      <c r="D248" s="73"/>
      <c r="E248" s="73"/>
      <c r="F248" s="73"/>
      <c r="G248" s="73"/>
      <c r="H248" s="73"/>
      <c r="I248" s="73"/>
      <c r="J248" s="73"/>
      <c r="K248" s="53"/>
      <c r="L248" s="53"/>
      <c r="M248" s="53"/>
      <c r="N248" s="53"/>
      <c r="O248" s="53"/>
      <c r="P248" s="53"/>
      <c r="Q248" s="53"/>
    </row>
    <row r="249" spans="3:17" ht="15.75" customHeight="1">
      <c r="C249" s="53"/>
      <c r="D249" s="73"/>
      <c r="E249" s="73"/>
      <c r="F249" s="73"/>
      <c r="G249" s="73"/>
      <c r="H249" s="73"/>
      <c r="I249" s="73"/>
      <c r="J249" s="73"/>
      <c r="K249" s="53"/>
      <c r="L249" s="53"/>
      <c r="M249" s="53"/>
      <c r="N249" s="53"/>
      <c r="O249" s="53"/>
      <c r="P249" s="53"/>
      <c r="Q249" s="53"/>
    </row>
    <row r="250" spans="3:17" ht="15.75" customHeight="1">
      <c r="C250" s="53"/>
      <c r="D250" s="73"/>
      <c r="E250" s="73"/>
      <c r="F250" s="73"/>
      <c r="G250" s="73"/>
      <c r="H250" s="73"/>
      <c r="I250" s="73"/>
      <c r="J250" s="73"/>
      <c r="K250" s="53"/>
      <c r="L250" s="53"/>
      <c r="M250" s="53"/>
      <c r="N250" s="53"/>
      <c r="O250" s="53"/>
      <c r="P250" s="53"/>
      <c r="Q250" s="53"/>
    </row>
    <row r="251" spans="3:17" ht="15.75" customHeight="1">
      <c r="C251" s="53"/>
      <c r="D251" s="73"/>
      <c r="E251" s="73"/>
      <c r="F251" s="73"/>
      <c r="G251" s="73"/>
      <c r="H251" s="73"/>
      <c r="I251" s="73"/>
      <c r="J251" s="73"/>
      <c r="K251" s="53"/>
      <c r="L251" s="53"/>
      <c r="M251" s="53"/>
      <c r="N251" s="53"/>
      <c r="O251" s="53"/>
      <c r="P251" s="53"/>
      <c r="Q251" s="53"/>
    </row>
    <row r="252" spans="3:17" ht="15.75" customHeight="1">
      <c r="C252" s="53"/>
      <c r="D252" s="73"/>
      <c r="E252" s="73"/>
      <c r="F252" s="73"/>
      <c r="G252" s="73"/>
      <c r="H252" s="73"/>
      <c r="I252" s="73"/>
      <c r="J252" s="73"/>
      <c r="K252" s="53"/>
      <c r="L252" s="53"/>
      <c r="M252" s="53"/>
      <c r="N252" s="53"/>
      <c r="O252" s="53"/>
      <c r="P252" s="53"/>
      <c r="Q252" s="53"/>
    </row>
    <row r="253" spans="3:17" ht="15.75" customHeight="1">
      <c r="C253" s="53"/>
      <c r="D253" s="73"/>
      <c r="E253" s="73"/>
      <c r="F253" s="73"/>
      <c r="G253" s="73"/>
      <c r="H253" s="73"/>
      <c r="I253" s="73"/>
      <c r="J253" s="73"/>
      <c r="K253" s="53"/>
      <c r="L253" s="53"/>
      <c r="M253" s="53"/>
      <c r="N253" s="53"/>
      <c r="O253" s="53"/>
      <c r="P253" s="53"/>
      <c r="Q253" s="53"/>
    </row>
    <row r="254" spans="3:17" ht="15.75" customHeight="1">
      <c r="C254" s="53"/>
      <c r="D254" s="73"/>
      <c r="E254" s="73"/>
      <c r="F254" s="73"/>
      <c r="G254" s="73"/>
      <c r="H254" s="73"/>
      <c r="I254" s="73"/>
      <c r="J254" s="73"/>
      <c r="K254" s="53"/>
      <c r="L254" s="53"/>
      <c r="M254" s="53"/>
      <c r="N254" s="53"/>
      <c r="O254" s="53"/>
      <c r="P254" s="53"/>
      <c r="Q254" s="53"/>
    </row>
    <row r="255" spans="3:17" ht="15.75" customHeight="1">
      <c r="C255" s="53"/>
      <c r="D255" s="73"/>
      <c r="E255" s="73"/>
      <c r="F255" s="73"/>
      <c r="G255" s="73"/>
      <c r="H255" s="73"/>
      <c r="I255" s="73"/>
      <c r="J255" s="73"/>
      <c r="K255" s="53"/>
      <c r="L255" s="53"/>
      <c r="M255" s="53"/>
      <c r="N255" s="53"/>
      <c r="O255" s="53"/>
      <c r="P255" s="53"/>
      <c r="Q255" s="53"/>
    </row>
    <row r="256" spans="3:17" ht="15.75" customHeight="1">
      <c r="C256" s="53"/>
      <c r="D256" s="73"/>
      <c r="E256" s="73"/>
      <c r="F256" s="73"/>
      <c r="G256" s="73"/>
      <c r="H256" s="73"/>
      <c r="I256" s="73"/>
      <c r="J256" s="73"/>
      <c r="K256" s="53"/>
      <c r="L256" s="53"/>
      <c r="M256" s="53"/>
      <c r="N256" s="53"/>
      <c r="O256" s="53"/>
      <c r="P256" s="53"/>
      <c r="Q256" s="53"/>
    </row>
    <row r="257" spans="3:17" ht="15.75" customHeight="1">
      <c r="C257" s="53"/>
      <c r="D257" s="73"/>
      <c r="E257" s="73"/>
      <c r="F257" s="73"/>
      <c r="G257" s="73"/>
      <c r="H257" s="73"/>
      <c r="I257" s="73"/>
      <c r="J257" s="73"/>
      <c r="K257" s="53"/>
      <c r="L257" s="53"/>
      <c r="M257" s="53"/>
      <c r="N257" s="53"/>
      <c r="O257" s="53"/>
      <c r="P257" s="53"/>
      <c r="Q257" s="53"/>
    </row>
    <row r="258" spans="3:17" ht="15.75" customHeight="1">
      <c r="C258" s="53"/>
      <c r="D258" s="73"/>
      <c r="E258" s="73"/>
      <c r="F258" s="73"/>
      <c r="G258" s="73"/>
      <c r="H258" s="73"/>
      <c r="I258" s="73"/>
      <c r="J258" s="73"/>
      <c r="K258" s="53"/>
      <c r="L258" s="53"/>
      <c r="M258" s="53"/>
      <c r="N258" s="53"/>
      <c r="O258" s="53"/>
      <c r="P258" s="53"/>
      <c r="Q258" s="53"/>
    </row>
    <row r="259" spans="3:17" ht="15.75" customHeight="1">
      <c r="C259" s="53"/>
      <c r="D259" s="73"/>
      <c r="E259" s="73"/>
      <c r="F259" s="73"/>
      <c r="G259" s="73"/>
      <c r="H259" s="73"/>
      <c r="I259" s="73"/>
      <c r="J259" s="73"/>
      <c r="K259" s="53"/>
      <c r="L259" s="53"/>
      <c r="M259" s="53"/>
      <c r="N259" s="53"/>
      <c r="O259" s="53"/>
      <c r="P259" s="53"/>
      <c r="Q259" s="53"/>
    </row>
    <row r="260" spans="3:17" ht="15.75" customHeight="1">
      <c r="C260" s="53"/>
      <c r="D260" s="73"/>
      <c r="E260" s="73"/>
      <c r="F260" s="73"/>
      <c r="G260" s="73"/>
      <c r="H260" s="73"/>
      <c r="I260" s="73"/>
      <c r="J260" s="73"/>
      <c r="K260" s="53"/>
      <c r="L260" s="53"/>
      <c r="M260" s="53"/>
      <c r="N260" s="53"/>
      <c r="O260" s="53"/>
      <c r="P260" s="53"/>
      <c r="Q260" s="53"/>
    </row>
    <row r="261" spans="3:17" ht="15.75" customHeight="1">
      <c r="C261" s="53"/>
      <c r="D261" s="73"/>
      <c r="E261" s="73"/>
      <c r="F261" s="73"/>
      <c r="G261" s="73"/>
      <c r="H261" s="73"/>
      <c r="I261" s="73"/>
      <c r="J261" s="73"/>
      <c r="K261" s="53"/>
      <c r="L261" s="53"/>
      <c r="M261" s="53"/>
      <c r="N261" s="53"/>
      <c r="O261" s="53"/>
      <c r="P261" s="53"/>
      <c r="Q261" s="53"/>
    </row>
    <row r="262" spans="3:17" ht="15.75" customHeight="1">
      <c r="C262" s="53"/>
      <c r="D262" s="73"/>
      <c r="E262" s="73"/>
      <c r="F262" s="73"/>
      <c r="G262" s="73"/>
      <c r="H262" s="73"/>
      <c r="I262" s="73"/>
      <c r="J262" s="73"/>
      <c r="K262" s="53"/>
      <c r="L262" s="53"/>
      <c r="M262" s="53"/>
      <c r="N262" s="53"/>
      <c r="O262" s="53"/>
      <c r="P262" s="53"/>
      <c r="Q262" s="53"/>
    </row>
    <row r="263" spans="3:17" ht="15.75" customHeight="1">
      <c r="C263" s="53"/>
      <c r="D263" s="73"/>
      <c r="E263" s="73"/>
      <c r="F263" s="73"/>
      <c r="G263" s="73"/>
      <c r="H263" s="73"/>
      <c r="I263" s="73"/>
      <c r="J263" s="73"/>
      <c r="K263" s="53"/>
      <c r="L263" s="53"/>
      <c r="M263" s="53"/>
      <c r="N263" s="53"/>
      <c r="O263" s="53"/>
      <c r="P263" s="53"/>
      <c r="Q263" s="53"/>
    </row>
    <row r="264" spans="3:17" ht="15.75" customHeight="1">
      <c r="C264" s="53"/>
      <c r="D264" s="73"/>
      <c r="E264" s="73"/>
      <c r="F264" s="73"/>
      <c r="G264" s="73"/>
      <c r="H264" s="73"/>
      <c r="I264" s="73"/>
      <c r="J264" s="73"/>
      <c r="K264" s="53"/>
      <c r="L264" s="53"/>
      <c r="M264" s="53"/>
      <c r="N264" s="53"/>
      <c r="O264" s="53"/>
      <c r="P264" s="53"/>
      <c r="Q264" s="53"/>
    </row>
    <row r="265" spans="3:17" ht="15.75" customHeight="1">
      <c r="C265" s="53"/>
      <c r="D265" s="73"/>
      <c r="E265" s="73"/>
      <c r="F265" s="73"/>
      <c r="G265" s="73"/>
      <c r="H265" s="73"/>
      <c r="I265" s="73"/>
      <c r="J265" s="73"/>
      <c r="K265" s="53"/>
      <c r="L265" s="53"/>
      <c r="M265" s="53"/>
      <c r="N265" s="53"/>
      <c r="O265" s="53"/>
      <c r="P265" s="53"/>
      <c r="Q265" s="53"/>
    </row>
    <row r="266" spans="3:17" ht="15.75" customHeight="1">
      <c r="C266" s="53"/>
      <c r="D266" s="73"/>
      <c r="E266" s="73"/>
      <c r="F266" s="73"/>
      <c r="G266" s="73"/>
      <c r="H266" s="73"/>
      <c r="I266" s="73"/>
      <c r="J266" s="73"/>
      <c r="K266" s="53"/>
      <c r="L266" s="53"/>
      <c r="M266" s="53"/>
      <c r="N266" s="53"/>
      <c r="O266" s="53"/>
      <c r="P266" s="53"/>
      <c r="Q266" s="53"/>
    </row>
    <row r="267" spans="3:17" ht="15.75" customHeight="1">
      <c r="C267" s="53"/>
      <c r="D267" s="73"/>
      <c r="E267" s="73"/>
      <c r="F267" s="73"/>
      <c r="G267" s="73"/>
      <c r="H267" s="73"/>
      <c r="I267" s="73"/>
      <c r="J267" s="73"/>
      <c r="K267" s="53"/>
      <c r="L267" s="53"/>
      <c r="M267" s="53"/>
      <c r="N267" s="53"/>
      <c r="O267" s="53"/>
      <c r="P267" s="53"/>
      <c r="Q267" s="53"/>
    </row>
    <row r="268" spans="3:17" ht="15.75" customHeight="1">
      <c r="C268" s="53"/>
      <c r="D268" s="73"/>
      <c r="E268" s="73"/>
      <c r="F268" s="73"/>
      <c r="G268" s="73"/>
      <c r="H268" s="73"/>
      <c r="I268" s="73"/>
      <c r="J268" s="73"/>
      <c r="K268" s="53"/>
      <c r="L268" s="53"/>
      <c r="M268" s="53"/>
      <c r="N268" s="53"/>
      <c r="O268" s="53"/>
      <c r="P268" s="53"/>
      <c r="Q268" s="53"/>
    </row>
    <row r="269" spans="3:17" ht="15.75" customHeight="1">
      <c r="C269" s="53"/>
      <c r="D269" s="73"/>
      <c r="E269" s="73"/>
      <c r="F269" s="73"/>
      <c r="G269" s="73"/>
      <c r="H269" s="73"/>
      <c r="I269" s="73"/>
      <c r="J269" s="73"/>
      <c r="K269" s="53"/>
      <c r="L269" s="53"/>
      <c r="M269" s="53"/>
      <c r="N269" s="53"/>
      <c r="O269" s="53"/>
      <c r="P269" s="53"/>
      <c r="Q269" s="53"/>
    </row>
    <row r="270" spans="3:17" ht="15.75" customHeight="1">
      <c r="C270" s="53"/>
      <c r="D270" s="73"/>
      <c r="E270" s="73"/>
      <c r="F270" s="73"/>
      <c r="G270" s="73"/>
      <c r="H270" s="73"/>
      <c r="I270" s="73"/>
      <c r="J270" s="73"/>
      <c r="K270" s="53"/>
      <c r="L270" s="53"/>
      <c r="M270" s="53"/>
      <c r="N270" s="53"/>
      <c r="O270" s="53"/>
      <c r="P270" s="53"/>
      <c r="Q270" s="53"/>
    </row>
    <row r="271" spans="3:17" ht="15.75" customHeight="1">
      <c r="C271" s="53"/>
      <c r="D271" s="73"/>
      <c r="E271" s="73"/>
      <c r="F271" s="73"/>
      <c r="G271" s="73"/>
      <c r="H271" s="73"/>
      <c r="I271" s="73"/>
      <c r="J271" s="73"/>
      <c r="K271" s="53"/>
      <c r="L271" s="53"/>
      <c r="M271" s="53"/>
      <c r="N271" s="53"/>
      <c r="O271" s="53"/>
      <c r="P271" s="53"/>
      <c r="Q271" s="53"/>
    </row>
    <row r="272" spans="3:17" ht="15.75" customHeight="1">
      <c r="C272" s="53"/>
      <c r="D272" s="73"/>
      <c r="E272" s="73"/>
      <c r="F272" s="73"/>
      <c r="G272" s="73"/>
      <c r="H272" s="73"/>
      <c r="I272" s="73"/>
      <c r="J272" s="73"/>
      <c r="K272" s="53"/>
      <c r="L272" s="53"/>
      <c r="M272" s="53"/>
      <c r="N272" s="53"/>
      <c r="O272" s="53"/>
      <c r="P272" s="53"/>
      <c r="Q272" s="53"/>
    </row>
    <row r="273" spans="3:17" ht="15.75" customHeight="1">
      <c r="C273" s="53"/>
      <c r="D273" s="73"/>
      <c r="E273" s="73"/>
      <c r="F273" s="73"/>
      <c r="G273" s="73"/>
      <c r="H273" s="73"/>
      <c r="I273" s="73"/>
      <c r="J273" s="73"/>
      <c r="K273" s="53"/>
      <c r="L273" s="53"/>
      <c r="M273" s="53"/>
      <c r="N273" s="53"/>
      <c r="O273" s="53"/>
      <c r="P273" s="53"/>
      <c r="Q273" s="53"/>
    </row>
    <row r="274" spans="3:17" ht="15.75" customHeight="1">
      <c r="C274" s="53"/>
      <c r="D274" s="73"/>
      <c r="E274" s="73"/>
      <c r="F274" s="73"/>
      <c r="G274" s="73"/>
      <c r="H274" s="73"/>
      <c r="I274" s="73"/>
      <c r="J274" s="73"/>
      <c r="K274" s="53"/>
      <c r="L274" s="53"/>
      <c r="M274" s="53"/>
      <c r="N274" s="53"/>
      <c r="O274" s="53"/>
      <c r="P274" s="53"/>
      <c r="Q274" s="53"/>
    </row>
    <row r="275" spans="3:17" ht="15.75" customHeight="1">
      <c r="C275" s="53"/>
      <c r="D275" s="73"/>
      <c r="E275" s="73"/>
      <c r="F275" s="73"/>
      <c r="G275" s="73"/>
      <c r="H275" s="73"/>
      <c r="I275" s="73"/>
      <c r="J275" s="73"/>
      <c r="K275" s="53"/>
      <c r="L275" s="53"/>
      <c r="M275" s="53"/>
      <c r="N275" s="53"/>
      <c r="O275" s="53"/>
      <c r="P275" s="53"/>
      <c r="Q275" s="53"/>
    </row>
    <row r="276" spans="3:17" ht="15.75" customHeight="1">
      <c r="C276" s="53"/>
      <c r="D276" s="73"/>
      <c r="E276" s="73"/>
      <c r="F276" s="73"/>
      <c r="G276" s="73"/>
      <c r="H276" s="73"/>
      <c r="I276" s="73"/>
      <c r="J276" s="73"/>
      <c r="K276" s="53"/>
      <c r="L276" s="53"/>
      <c r="M276" s="53"/>
      <c r="N276" s="53"/>
      <c r="O276" s="53"/>
      <c r="P276" s="53"/>
      <c r="Q276" s="53"/>
    </row>
    <row r="277" spans="3:17" ht="15.75" customHeight="1">
      <c r="C277" s="53"/>
      <c r="D277" s="73"/>
      <c r="E277" s="73"/>
      <c r="F277" s="73"/>
      <c r="G277" s="73"/>
      <c r="H277" s="73"/>
      <c r="I277" s="73"/>
      <c r="J277" s="73"/>
      <c r="K277" s="53"/>
      <c r="L277" s="53"/>
      <c r="M277" s="53"/>
      <c r="N277" s="53"/>
      <c r="O277" s="53"/>
      <c r="P277" s="53"/>
      <c r="Q277" s="53"/>
    </row>
    <row r="278" spans="3:17" ht="15.75" customHeight="1">
      <c r="C278" s="53"/>
      <c r="D278" s="73"/>
      <c r="E278" s="73"/>
      <c r="F278" s="73"/>
      <c r="G278" s="73"/>
      <c r="H278" s="73"/>
      <c r="I278" s="73"/>
      <c r="J278" s="73"/>
      <c r="K278" s="53"/>
      <c r="L278" s="53"/>
      <c r="M278" s="53"/>
      <c r="N278" s="53"/>
      <c r="O278" s="53"/>
      <c r="P278" s="53"/>
      <c r="Q278" s="53"/>
    </row>
    <row r="279" spans="3:17" ht="15.75" customHeight="1">
      <c r="C279" s="53"/>
      <c r="D279" s="73"/>
      <c r="E279" s="73"/>
      <c r="F279" s="73"/>
      <c r="G279" s="73"/>
      <c r="H279" s="73"/>
      <c r="I279" s="73"/>
      <c r="J279" s="73"/>
      <c r="K279" s="53"/>
      <c r="L279" s="53"/>
      <c r="M279" s="53"/>
      <c r="N279" s="53"/>
      <c r="O279" s="53"/>
      <c r="P279" s="53"/>
      <c r="Q279" s="53"/>
    </row>
    <row r="280" spans="3:17" ht="15.75" customHeight="1">
      <c r="C280" s="53"/>
      <c r="D280" s="73"/>
      <c r="E280" s="73"/>
      <c r="F280" s="73"/>
      <c r="G280" s="73"/>
      <c r="H280" s="73"/>
      <c r="I280" s="73"/>
      <c r="J280" s="73"/>
      <c r="K280" s="53"/>
      <c r="L280" s="53"/>
      <c r="M280" s="53"/>
      <c r="N280" s="53"/>
      <c r="O280" s="53"/>
      <c r="P280" s="53"/>
      <c r="Q280" s="53"/>
    </row>
    <row r="281" spans="3:17" ht="15.75" customHeight="1">
      <c r="C281" s="53"/>
      <c r="D281" s="73"/>
      <c r="E281" s="73"/>
      <c r="F281" s="73"/>
      <c r="G281" s="73"/>
      <c r="H281" s="73"/>
      <c r="I281" s="73"/>
      <c r="J281" s="73"/>
      <c r="K281" s="53"/>
      <c r="L281" s="53"/>
      <c r="M281" s="53"/>
      <c r="N281" s="53"/>
      <c r="O281" s="53"/>
      <c r="P281" s="53"/>
      <c r="Q281" s="53"/>
    </row>
    <row r="282" spans="3:17" ht="15.75" customHeight="1">
      <c r="C282" s="53"/>
      <c r="D282" s="73"/>
      <c r="E282" s="73"/>
      <c r="F282" s="73"/>
      <c r="G282" s="73"/>
      <c r="H282" s="73"/>
      <c r="I282" s="73"/>
      <c r="J282" s="73"/>
      <c r="K282" s="53"/>
      <c r="L282" s="53"/>
      <c r="M282" s="53"/>
      <c r="N282" s="53"/>
      <c r="O282" s="53"/>
      <c r="P282" s="53"/>
      <c r="Q282" s="53"/>
    </row>
    <row r="283" spans="3:17" ht="15.75" customHeight="1">
      <c r="C283" s="53"/>
      <c r="D283" s="73"/>
      <c r="E283" s="73"/>
      <c r="F283" s="73"/>
      <c r="G283" s="73"/>
      <c r="H283" s="73"/>
      <c r="I283" s="73"/>
      <c r="J283" s="73"/>
      <c r="K283" s="53"/>
      <c r="L283" s="53"/>
      <c r="M283" s="53"/>
      <c r="N283" s="53"/>
      <c r="O283" s="53"/>
      <c r="P283" s="53"/>
      <c r="Q283" s="53"/>
    </row>
    <row r="284" spans="3:17" ht="15.75" customHeight="1">
      <c r="C284" s="53"/>
      <c r="D284" s="73"/>
      <c r="E284" s="73"/>
      <c r="F284" s="73"/>
      <c r="G284" s="73"/>
      <c r="H284" s="73"/>
      <c r="I284" s="73"/>
      <c r="J284" s="73"/>
      <c r="K284" s="53"/>
      <c r="L284" s="53"/>
      <c r="M284" s="53"/>
      <c r="N284" s="53"/>
      <c r="O284" s="53"/>
      <c r="P284" s="53"/>
      <c r="Q284" s="53"/>
    </row>
    <row r="285" spans="3:17" ht="15.75" customHeight="1">
      <c r="C285" s="53"/>
      <c r="D285" s="73"/>
      <c r="E285" s="73"/>
      <c r="F285" s="73"/>
      <c r="G285" s="73"/>
      <c r="H285" s="73"/>
      <c r="I285" s="73"/>
      <c r="J285" s="73"/>
      <c r="K285" s="53"/>
      <c r="L285" s="53"/>
      <c r="M285" s="53"/>
      <c r="N285" s="53"/>
      <c r="O285" s="53"/>
      <c r="P285" s="53"/>
      <c r="Q285" s="53"/>
    </row>
    <row r="286" spans="3:17" ht="15.75" customHeight="1">
      <c r="C286" s="53"/>
      <c r="D286" s="73"/>
      <c r="E286" s="73"/>
      <c r="F286" s="73"/>
      <c r="G286" s="73"/>
      <c r="H286" s="73"/>
      <c r="I286" s="73"/>
      <c r="J286" s="73"/>
      <c r="K286" s="53"/>
      <c r="L286" s="53"/>
      <c r="M286" s="53"/>
      <c r="N286" s="53"/>
      <c r="O286" s="53"/>
      <c r="P286" s="53"/>
      <c r="Q286" s="53"/>
    </row>
    <row r="287" spans="3:17" ht="15.75" customHeight="1">
      <c r="C287" s="53"/>
      <c r="D287" s="73"/>
      <c r="E287" s="73"/>
      <c r="F287" s="73"/>
      <c r="G287" s="73"/>
      <c r="H287" s="73"/>
      <c r="I287" s="73"/>
      <c r="J287" s="73"/>
      <c r="K287" s="53"/>
      <c r="L287" s="53"/>
      <c r="M287" s="53"/>
      <c r="N287" s="53"/>
      <c r="O287" s="53"/>
      <c r="P287" s="53"/>
      <c r="Q287" s="53"/>
    </row>
    <row r="288" spans="3:17" ht="15.75" customHeight="1">
      <c r="C288" s="53"/>
      <c r="D288" s="73"/>
      <c r="E288" s="73"/>
      <c r="F288" s="73"/>
      <c r="G288" s="73"/>
      <c r="H288" s="73"/>
      <c r="I288" s="73"/>
      <c r="J288" s="73"/>
      <c r="K288" s="53"/>
      <c r="L288" s="53"/>
      <c r="M288" s="53"/>
      <c r="N288" s="53"/>
      <c r="O288" s="53"/>
      <c r="P288" s="53"/>
      <c r="Q288" s="53"/>
    </row>
    <row r="289" spans="3:17" ht="15.75" customHeight="1">
      <c r="C289" s="53"/>
      <c r="D289" s="73"/>
      <c r="E289" s="73"/>
      <c r="F289" s="73"/>
      <c r="G289" s="73"/>
      <c r="H289" s="73"/>
      <c r="I289" s="73"/>
      <c r="J289" s="73"/>
      <c r="K289" s="53"/>
      <c r="L289" s="53"/>
      <c r="M289" s="53"/>
      <c r="N289" s="53"/>
      <c r="O289" s="53"/>
      <c r="P289" s="53"/>
      <c r="Q289" s="53"/>
    </row>
    <row r="290" spans="3:17" ht="15.75" customHeight="1">
      <c r="C290" s="53"/>
      <c r="D290" s="73"/>
      <c r="E290" s="73"/>
      <c r="F290" s="73"/>
      <c r="G290" s="73"/>
      <c r="H290" s="73"/>
      <c r="I290" s="73"/>
      <c r="J290" s="73"/>
      <c r="K290" s="53"/>
      <c r="L290" s="53"/>
      <c r="M290" s="53"/>
      <c r="N290" s="53"/>
      <c r="O290" s="53"/>
      <c r="P290" s="53"/>
      <c r="Q290" s="53"/>
    </row>
    <row r="291" spans="3:17" ht="15.75" customHeight="1">
      <c r="C291" s="53"/>
      <c r="D291" s="73"/>
      <c r="E291" s="73"/>
      <c r="F291" s="73"/>
      <c r="G291" s="73"/>
      <c r="H291" s="73"/>
      <c r="I291" s="73"/>
      <c r="J291" s="73"/>
      <c r="K291" s="53"/>
      <c r="L291" s="53"/>
      <c r="M291" s="53"/>
      <c r="N291" s="53"/>
      <c r="O291" s="53"/>
      <c r="P291" s="53"/>
      <c r="Q291" s="53"/>
    </row>
    <row r="292" spans="3:17" ht="15.75" customHeight="1">
      <c r="C292" s="53"/>
      <c r="D292" s="73"/>
      <c r="E292" s="73"/>
      <c r="F292" s="73"/>
      <c r="G292" s="73"/>
      <c r="H292" s="73"/>
      <c r="I292" s="73"/>
      <c r="J292" s="73"/>
      <c r="K292" s="53"/>
      <c r="L292" s="53"/>
      <c r="M292" s="53"/>
      <c r="N292" s="53"/>
      <c r="O292" s="53"/>
      <c r="P292" s="53"/>
      <c r="Q292" s="53"/>
    </row>
    <row r="293" spans="3:17" ht="15.75" customHeight="1">
      <c r="C293" s="53"/>
      <c r="D293" s="73"/>
      <c r="E293" s="73"/>
      <c r="F293" s="73"/>
      <c r="G293" s="73"/>
      <c r="H293" s="73"/>
      <c r="I293" s="73"/>
      <c r="J293" s="73"/>
      <c r="K293" s="53"/>
      <c r="L293" s="53"/>
      <c r="M293" s="53"/>
      <c r="N293" s="53"/>
      <c r="O293" s="53"/>
      <c r="P293" s="53"/>
      <c r="Q293" s="53"/>
    </row>
    <row r="294" spans="3:17" ht="15.75" customHeight="1">
      <c r="C294" s="53"/>
      <c r="D294" s="73"/>
      <c r="E294" s="73"/>
      <c r="F294" s="73"/>
      <c r="G294" s="73"/>
      <c r="H294" s="73"/>
      <c r="I294" s="73"/>
      <c r="J294" s="73"/>
      <c r="K294" s="53"/>
      <c r="L294" s="53"/>
      <c r="M294" s="53"/>
      <c r="N294" s="53"/>
      <c r="O294" s="53"/>
      <c r="P294" s="53"/>
      <c r="Q294" s="53"/>
    </row>
    <row r="295" spans="3:17" ht="15.75" customHeight="1">
      <c r="C295" s="53"/>
      <c r="D295" s="73"/>
      <c r="E295" s="73"/>
      <c r="F295" s="73"/>
      <c r="G295" s="73"/>
      <c r="H295" s="73"/>
      <c r="I295" s="73"/>
      <c r="J295" s="73"/>
      <c r="K295" s="53"/>
      <c r="L295" s="53"/>
      <c r="M295" s="53"/>
      <c r="N295" s="53"/>
      <c r="O295" s="53"/>
      <c r="P295" s="53"/>
      <c r="Q295" s="53"/>
    </row>
    <row r="296" spans="3:17" ht="15.75" customHeight="1">
      <c r="C296" s="53"/>
      <c r="D296" s="73"/>
      <c r="E296" s="73"/>
      <c r="F296" s="73"/>
      <c r="G296" s="73"/>
      <c r="H296" s="73"/>
      <c r="I296" s="73"/>
      <c r="J296" s="73"/>
      <c r="K296" s="53"/>
      <c r="L296" s="53"/>
      <c r="M296" s="53"/>
      <c r="N296" s="53"/>
      <c r="O296" s="53"/>
      <c r="P296" s="53"/>
      <c r="Q296" s="53"/>
    </row>
    <row r="297" spans="3:17" ht="15.75" customHeight="1">
      <c r="C297" s="53"/>
      <c r="D297" s="73"/>
      <c r="E297" s="73"/>
      <c r="F297" s="73"/>
      <c r="G297" s="73"/>
      <c r="H297" s="73"/>
      <c r="I297" s="73"/>
      <c r="J297" s="73"/>
      <c r="K297" s="53"/>
      <c r="L297" s="53"/>
      <c r="M297" s="53"/>
      <c r="N297" s="53"/>
      <c r="O297" s="53"/>
      <c r="P297" s="53"/>
      <c r="Q297" s="53"/>
    </row>
    <row r="298" spans="3:17" ht="15.75" customHeight="1">
      <c r="C298" s="53"/>
      <c r="D298" s="73"/>
      <c r="E298" s="73"/>
      <c r="F298" s="73"/>
      <c r="G298" s="73"/>
      <c r="H298" s="73"/>
      <c r="I298" s="73"/>
      <c r="J298" s="73"/>
      <c r="K298" s="53"/>
      <c r="L298" s="53"/>
      <c r="M298" s="53"/>
      <c r="N298" s="53"/>
      <c r="O298" s="53"/>
      <c r="P298" s="53"/>
      <c r="Q298" s="53"/>
    </row>
    <row r="299" spans="3:17" ht="15.75" customHeight="1">
      <c r="C299" s="53"/>
      <c r="D299" s="73"/>
      <c r="E299" s="73"/>
      <c r="F299" s="73"/>
      <c r="G299" s="73"/>
      <c r="H299" s="73"/>
      <c r="I299" s="73"/>
      <c r="J299" s="73"/>
      <c r="K299" s="53"/>
      <c r="L299" s="53"/>
      <c r="M299" s="53"/>
      <c r="N299" s="53"/>
      <c r="O299" s="53"/>
      <c r="P299" s="53"/>
      <c r="Q299" s="53"/>
    </row>
    <row r="300" spans="3:17" ht="15.75" customHeight="1">
      <c r="C300" s="53"/>
      <c r="D300" s="73"/>
      <c r="E300" s="73"/>
      <c r="F300" s="73"/>
      <c r="G300" s="73"/>
      <c r="H300" s="73"/>
      <c r="I300" s="73"/>
      <c r="J300" s="73"/>
      <c r="K300" s="53"/>
      <c r="L300" s="53"/>
      <c r="M300" s="53"/>
      <c r="N300" s="53"/>
      <c r="O300" s="53"/>
      <c r="P300" s="53"/>
      <c r="Q300" s="53"/>
    </row>
    <row r="301" spans="3:17" ht="15.75" customHeight="1">
      <c r="C301" s="53"/>
      <c r="D301" s="73"/>
      <c r="E301" s="73"/>
      <c r="F301" s="73"/>
      <c r="G301" s="73"/>
      <c r="H301" s="73"/>
      <c r="I301" s="73"/>
      <c r="J301" s="73"/>
      <c r="K301" s="53"/>
      <c r="L301" s="53"/>
      <c r="M301" s="53"/>
      <c r="N301" s="53"/>
      <c r="O301" s="53"/>
      <c r="P301" s="53"/>
      <c r="Q301" s="53"/>
    </row>
    <row r="302" spans="3:17" ht="15.75" customHeight="1">
      <c r="C302" s="53"/>
      <c r="D302" s="73"/>
      <c r="E302" s="73"/>
      <c r="F302" s="73"/>
      <c r="G302" s="73"/>
      <c r="H302" s="73"/>
      <c r="I302" s="73"/>
      <c r="J302" s="73"/>
      <c r="K302" s="53"/>
      <c r="L302" s="53"/>
      <c r="M302" s="53"/>
      <c r="N302" s="53"/>
      <c r="O302" s="53"/>
      <c r="P302" s="53"/>
      <c r="Q302" s="53"/>
    </row>
    <row r="303" spans="3:17" ht="15.75" customHeight="1">
      <c r="C303" s="53"/>
      <c r="D303" s="73"/>
      <c r="E303" s="73"/>
      <c r="F303" s="73"/>
      <c r="G303" s="73"/>
      <c r="H303" s="73"/>
      <c r="I303" s="73"/>
      <c r="J303" s="73"/>
      <c r="K303" s="53"/>
      <c r="L303" s="53"/>
      <c r="M303" s="53"/>
      <c r="N303" s="53"/>
      <c r="O303" s="53"/>
      <c r="P303" s="53"/>
      <c r="Q303" s="53"/>
    </row>
    <row r="304" spans="3:17" ht="15.75" customHeight="1">
      <c r="C304" s="53"/>
      <c r="D304" s="73"/>
      <c r="E304" s="73"/>
      <c r="F304" s="73"/>
      <c r="G304" s="73"/>
      <c r="H304" s="73"/>
      <c r="I304" s="73"/>
      <c r="J304" s="73"/>
      <c r="K304" s="53"/>
      <c r="L304" s="53"/>
      <c r="M304" s="53"/>
      <c r="N304" s="53"/>
      <c r="O304" s="53"/>
      <c r="P304" s="53"/>
      <c r="Q304" s="53"/>
    </row>
    <row r="305" spans="3:17" ht="15.75" customHeight="1">
      <c r="C305" s="53"/>
      <c r="D305" s="73"/>
      <c r="E305" s="73"/>
      <c r="F305" s="73"/>
      <c r="G305" s="73"/>
      <c r="H305" s="73"/>
      <c r="I305" s="73"/>
      <c r="J305" s="73"/>
      <c r="K305" s="53"/>
      <c r="L305" s="53"/>
      <c r="M305" s="53"/>
      <c r="N305" s="53"/>
      <c r="O305" s="53"/>
      <c r="P305" s="53"/>
      <c r="Q305" s="53"/>
    </row>
    <row r="306" spans="3:17" ht="15.75" customHeight="1">
      <c r="C306" s="53"/>
      <c r="D306" s="73"/>
      <c r="E306" s="73"/>
      <c r="F306" s="73"/>
      <c r="G306" s="73"/>
      <c r="H306" s="73"/>
      <c r="I306" s="73"/>
      <c r="J306" s="73"/>
      <c r="K306" s="53"/>
      <c r="L306" s="53"/>
      <c r="M306" s="53"/>
      <c r="N306" s="53"/>
      <c r="O306" s="53"/>
      <c r="P306" s="53"/>
      <c r="Q306" s="53"/>
    </row>
    <row r="307" spans="3:17" ht="15.75" customHeight="1">
      <c r="C307" s="53"/>
      <c r="D307" s="73"/>
      <c r="E307" s="73"/>
      <c r="F307" s="73"/>
      <c r="G307" s="73"/>
      <c r="H307" s="73"/>
      <c r="I307" s="73"/>
      <c r="J307" s="73"/>
      <c r="K307" s="53"/>
      <c r="L307" s="53"/>
      <c r="M307" s="53"/>
      <c r="N307" s="53"/>
      <c r="O307" s="53"/>
      <c r="P307" s="53"/>
      <c r="Q307" s="53"/>
    </row>
    <row r="308" spans="3:17" ht="15.75" customHeight="1">
      <c r="C308" s="53"/>
      <c r="D308" s="73"/>
      <c r="E308" s="73"/>
      <c r="F308" s="73"/>
      <c r="G308" s="73"/>
      <c r="H308" s="73"/>
      <c r="I308" s="73"/>
      <c r="J308" s="73"/>
      <c r="K308" s="53"/>
      <c r="L308" s="53"/>
      <c r="M308" s="53"/>
      <c r="N308" s="53"/>
      <c r="O308" s="53"/>
      <c r="P308" s="53"/>
      <c r="Q308" s="53"/>
    </row>
    <row r="309" spans="3:17" ht="15.75" customHeight="1">
      <c r="C309" s="53"/>
      <c r="D309" s="73"/>
      <c r="E309" s="73"/>
      <c r="F309" s="73"/>
      <c r="G309" s="73"/>
      <c r="H309" s="73"/>
      <c r="I309" s="73"/>
      <c r="J309" s="73"/>
      <c r="K309" s="53"/>
      <c r="L309" s="53"/>
      <c r="M309" s="53"/>
      <c r="N309" s="53"/>
      <c r="O309" s="53"/>
      <c r="P309" s="53"/>
      <c r="Q309" s="53"/>
    </row>
    <row r="310" spans="3:17" ht="15.75" customHeight="1">
      <c r="C310" s="53"/>
      <c r="D310" s="73"/>
      <c r="E310" s="73"/>
      <c r="F310" s="73"/>
      <c r="G310" s="73"/>
      <c r="H310" s="73"/>
      <c r="I310" s="73"/>
      <c r="J310" s="73"/>
      <c r="K310" s="53"/>
      <c r="L310" s="53"/>
      <c r="M310" s="53"/>
      <c r="N310" s="53"/>
      <c r="O310" s="53"/>
      <c r="P310" s="53"/>
      <c r="Q310" s="53"/>
    </row>
    <row r="311" spans="3:17" ht="15.75" customHeight="1">
      <c r="C311" s="53"/>
      <c r="D311" s="73"/>
      <c r="E311" s="73"/>
      <c r="F311" s="73"/>
      <c r="G311" s="73"/>
      <c r="H311" s="73"/>
      <c r="I311" s="73"/>
      <c r="J311" s="73"/>
      <c r="K311" s="53"/>
      <c r="L311" s="53"/>
      <c r="M311" s="53"/>
      <c r="N311" s="53"/>
      <c r="O311" s="53"/>
      <c r="P311" s="53"/>
      <c r="Q311" s="53"/>
    </row>
    <row r="312" spans="3:17" ht="15.75" customHeight="1">
      <c r="C312" s="53"/>
      <c r="D312" s="73"/>
      <c r="E312" s="73"/>
      <c r="F312" s="73"/>
      <c r="G312" s="73"/>
      <c r="H312" s="73"/>
      <c r="I312" s="73"/>
      <c r="J312" s="73"/>
      <c r="K312" s="53"/>
      <c r="L312" s="53"/>
      <c r="M312" s="53"/>
      <c r="N312" s="53"/>
      <c r="O312" s="53"/>
      <c r="P312" s="53"/>
      <c r="Q312" s="53"/>
    </row>
    <row r="313" spans="3:17" ht="15.75" customHeight="1">
      <c r="C313" s="53"/>
      <c r="D313" s="73"/>
      <c r="E313" s="73"/>
      <c r="F313" s="73"/>
      <c r="G313" s="73"/>
      <c r="H313" s="73"/>
      <c r="I313" s="73"/>
      <c r="J313" s="73"/>
      <c r="K313" s="53"/>
      <c r="L313" s="53"/>
      <c r="M313" s="53"/>
      <c r="N313" s="53"/>
      <c r="O313" s="53"/>
      <c r="P313" s="53"/>
      <c r="Q313" s="53"/>
    </row>
    <row r="314" spans="3:17" ht="15.75" customHeight="1">
      <c r="C314" s="53"/>
      <c r="D314" s="73"/>
      <c r="E314" s="73"/>
      <c r="F314" s="73"/>
      <c r="G314" s="73"/>
      <c r="H314" s="73"/>
      <c r="I314" s="73"/>
      <c r="J314" s="73"/>
      <c r="K314" s="53"/>
      <c r="L314" s="53"/>
      <c r="M314" s="53"/>
      <c r="N314" s="53"/>
      <c r="O314" s="53"/>
      <c r="P314" s="53"/>
      <c r="Q314" s="53"/>
    </row>
    <row r="315" spans="3:17" ht="15.75" customHeight="1">
      <c r="C315" s="53"/>
      <c r="D315" s="73"/>
      <c r="E315" s="73"/>
      <c r="F315" s="73"/>
      <c r="G315" s="73"/>
      <c r="H315" s="73"/>
      <c r="I315" s="73"/>
      <c r="J315" s="73"/>
      <c r="K315" s="53"/>
      <c r="L315" s="53"/>
      <c r="M315" s="53"/>
      <c r="N315" s="53"/>
      <c r="O315" s="53"/>
      <c r="P315" s="53"/>
      <c r="Q315" s="53"/>
    </row>
    <row r="316" spans="3:17" ht="15.75" customHeight="1">
      <c r="C316" s="53"/>
      <c r="D316" s="73"/>
      <c r="E316" s="73"/>
      <c r="F316" s="73"/>
      <c r="G316" s="73"/>
      <c r="H316" s="73"/>
      <c r="I316" s="73"/>
      <c r="J316" s="73"/>
      <c r="K316" s="53"/>
      <c r="L316" s="53"/>
      <c r="M316" s="53"/>
      <c r="N316" s="53"/>
      <c r="O316" s="53"/>
      <c r="P316" s="53"/>
      <c r="Q316" s="53"/>
    </row>
    <row r="317" spans="3:17" ht="15.75" customHeight="1">
      <c r="C317" s="53"/>
      <c r="D317" s="73"/>
      <c r="E317" s="73"/>
      <c r="F317" s="73"/>
      <c r="G317" s="73"/>
      <c r="H317" s="73"/>
      <c r="I317" s="73"/>
      <c r="J317" s="73"/>
      <c r="K317" s="53"/>
      <c r="L317" s="53"/>
      <c r="M317" s="53"/>
      <c r="N317" s="53"/>
      <c r="O317" s="53"/>
      <c r="P317" s="53"/>
      <c r="Q317" s="53"/>
    </row>
    <row r="318" spans="3:17" ht="15.75" customHeight="1">
      <c r="C318" s="53"/>
      <c r="D318" s="73"/>
      <c r="E318" s="73"/>
      <c r="F318" s="73"/>
      <c r="G318" s="73"/>
      <c r="H318" s="73"/>
      <c r="I318" s="73"/>
      <c r="J318" s="73"/>
      <c r="K318" s="53"/>
      <c r="L318" s="53"/>
      <c r="M318" s="53"/>
      <c r="N318" s="53"/>
      <c r="O318" s="53"/>
      <c r="P318" s="53"/>
      <c r="Q318" s="53"/>
    </row>
    <row r="319" spans="3:17" ht="15.75" customHeight="1">
      <c r="C319" s="53"/>
      <c r="D319" s="73"/>
      <c r="E319" s="73"/>
      <c r="F319" s="73"/>
      <c r="G319" s="73"/>
      <c r="H319" s="73"/>
      <c r="I319" s="73"/>
      <c r="J319" s="73"/>
      <c r="K319" s="53"/>
      <c r="L319" s="53"/>
      <c r="M319" s="53"/>
      <c r="N319" s="53"/>
      <c r="O319" s="53"/>
      <c r="P319" s="53"/>
      <c r="Q319" s="53"/>
    </row>
    <row r="320" spans="3:17" ht="15.75" customHeight="1">
      <c r="C320" s="53"/>
      <c r="D320" s="73"/>
      <c r="E320" s="73"/>
      <c r="F320" s="73"/>
      <c r="G320" s="73"/>
      <c r="H320" s="73"/>
      <c r="I320" s="73"/>
      <c r="J320" s="73"/>
      <c r="K320" s="53"/>
      <c r="L320" s="53"/>
      <c r="M320" s="53"/>
      <c r="N320" s="53"/>
      <c r="O320" s="53"/>
      <c r="P320" s="53"/>
      <c r="Q320" s="53"/>
    </row>
    <row r="321" spans="3:17" ht="15.75" customHeight="1">
      <c r="C321" s="53"/>
      <c r="D321" s="73"/>
      <c r="E321" s="73"/>
      <c r="F321" s="73"/>
      <c r="G321" s="73"/>
      <c r="H321" s="73"/>
      <c r="I321" s="73"/>
      <c r="J321" s="73"/>
      <c r="K321" s="53"/>
      <c r="L321" s="53"/>
      <c r="M321" s="53"/>
      <c r="N321" s="53"/>
      <c r="O321" s="53"/>
      <c r="P321" s="53"/>
      <c r="Q321" s="53"/>
    </row>
    <row r="322" spans="3:17" ht="15.75" customHeight="1">
      <c r="C322" s="53"/>
      <c r="D322" s="73"/>
      <c r="E322" s="73"/>
      <c r="F322" s="73"/>
      <c r="G322" s="73"/>
      <c r="H322" s="73"/>
      <c r="I322" s="73"/>
      <c r="J322" s="73"/>
      <c r="K322" s="53"/>
      <c r="L322" s="53"/>
      <c r="M322" s="53"/>
      <c r="N322" s="53"/>
      <c r="O322" s="53"/>
      <c r="P322" s="53"/>
      <c r="Q322" s="53"/>
    </row>
    <row r="323" spans="3:17" ht="15.75" customHeight="1">
      <c r="C323" s="53"/>
      <c r="D323" s="73"/>
      <c r="E323" s="73"/>
      <c r="F323" s="73"/>
      <c r="G323" s="73"/>
      <c r="H323" s="73"/>
      <c r="I323" s="73"/>
      <c r="J323" s="73"/>
      <c r="K323" s="53"/>
      <c r="L323" s="53"/>
      <c r="M323" s="53"/>
      <c r="N323" s="53"/>
      <c r="O323" s="53"/>
      <c r="P323" s="53"/>
      <c r="Q323" s="53"/>
    </row>
    <row r="324" spans="3:17" ht="15.75" customHeight="1">
      <c r="C324" s="53"/>
      <c r="D324" s="73"/>
      <c r="E324" s="73"/>
      <c r="F324" s="73"/>
      <c r="G324" s="73"/>
      <c r="H324" s="73"/>
      <c r="I324" s="73"/>
      <c r="J324" s="73"/>
      <c r="K324" s="53"/>
      <c r="L324" s="53"/>
      <c r="M324" s="53"/>
      <c r="N324" s="53"/>
      <c r="O324" s="53"/>
      <c r="P324" s="53"/>
      <c r="Q324" s="53"/>
    </row>
    <row r="325" spans="3:17" ht="15.75" customHeight="1">
      <c r="C325" s="53"/>
      <c r="D325" s="73"/>
      <c r="E325" s="73"/>
      <c r="F325" s="73"/>
      <c r="G325" s="73"/>
      <c r="H325" s="73"/>
      <c r="I325" s="73"/>
      <c r="J325" s="73"/>
      <c r="K325" s="53"/>
      <c r="L325" s="53"/>
      <c r="M325" s="53"/>
      <c r="N325" s="53"/>
      <c r="O325" s="53"/>
      <c r="P325" s="53"/>
      <c r="Q325" s="53"/>
    </row>
    <row r="326" spans="3:17" ht="15.75" customHeight="1">
      <c r="C326" s="53"/>
      <c r="D326" s="73"/>
      <c r="E326" s="73"/>
      <c r="F326" s="73"/>
      <c r="G326" s="73"/>
      <c r="H326" s="73"/>
      <c r="I326" s="73"/>
      <c r="J326" s="73"/>
      <c r="K326" s="53"/>
      <c r="L326" s="53"/>
      <c r="M326" s="53"/>
      <c r="N326" s="53"/>
      <c r="O326" s="53"/>
      <c r="P326" s="53"/>
      <c r="Q326" s="53"/>
    </row>
    <row r="327" spans="3:17" ht="15.75" customHeight="1">
      <c r="C327" s="53"/>
      <c r="D327" s="73"/>
      <c r="E327" s="73"/>
      <c r="F327" s="73"/>
      <c r="G327" s="73"/>
      <c r="H327" s="73"/>
      <c r="I327" s="73"/>
      <c r="J327" s="73"/>
      <c r="K327" s="53"/>
      <c r="L327" s="53"/>
      <c r="M327" s="53"/>
      <c r="N327" s="53"/>
      <c r="O327" s="53"/>
      <c r="P327" s="53"/>
      <c r="Q327" s="53"/>
    </row>
    <row r="328" spans="3:17" ht="15.75" customHeight="1">
      <c r="C328" s="53"/>
      <c r="D328" s="73"/>
      <c r="E328" s="73"/>
      <c r="F328" s="73"/>
      <c r="G328" s="73"/>
      <c r="H328" s="73"/>
      <c r="I328" s="73"/>
      <c r="J328" s="73"/>
      <c r="K328" s="53"/>
      <c r="L328" s="53"/>
      <c r="M328" s="53"/>
      <c r="N328" s="53"/>
      <c r="O328" s="53"/>
      <c r="P328" s="53"/>
      <c r="Q328" s="53"/>
    </row>
    <row r="329" spans="3:17" ht="15.75" customHeight="1">
      <c r="C329" s="53"/>
      <c r="D329" s="73"/>
      <c r="E329" s="73"/>
      <c r="F329" s="73"/>
      <c r="G329" s="73"/>
      <c r="H329" s="73"/>
      <c r="I329" s="73"/>
      <c r="J329" s="73"/>
      <c r="K329" s="53"/>
      <c r="L329" s="53"/>
      <c r="M329" s="53"/>
      <c r="N329" s="53"/>
      <c r="O329" s="53"/>
      <c r="P329" s="53"/>
      <c r="Q329" s="53"/>
    </row>
    <row r="330" spans="3:17" ht="15.75" customHeight="1">
      <c r="C330" s="53"/>
      <c r="D330" s="73"/>
      <c r="E330" s="73"/>
      <c r="F330" s="73"/>
      <c r="G330" s="73"/>
      <c r="H330" s="73"/>
      <c r="I330" s="73"/>
      <c r="J330" s="73"/>
      <c r="K330" s="53"/>
      <c r="L330" s="53"/>
      <c r="M330" s="53"/>
      <c r="N330" s="53"/>
      <c r="O330" s="53"/>
      <c r="P330" s="53"/>
      <c r="Q330" s="53"/>
    </row>
    <row r="331" spans="3:17" ht="15.75" customHeight="1">
      <c r="C331" s="53"/>
      <c r="D331" s="73"/>
      <c r="E331" s="73"/>
      <c r="F331" s="73"/>
      <c r="G331" s="73"/>
      <c r="H331" s="73"/>
      <c r="I331" s="73"/>
      <c r="J331" s="73"/>
      <c r="K331" s="53"/>
      <c r="L331" s="53"/>
      <c r="M331" s="53"/>
      <c r="N331" s="53"/>
      <c r="O331" s="53"/>
      <c r="P331" s="53"/>
      <c r="Q331" s="53"/>
    </row>
    <row r="332" spans="3:17" ht="15.75" customHeight="1">
      <c r="C332" s="53"/>
      <c r="D332" s="73"/>
      <c r="E332" s="73"/>
      <c r="F332" s="73"/>
      <c r="G332" s="73"/>
      <c r="H332" s="73"/>
      <c r="I332" s="73"/>
      <c r="J332" s="73"/>
      <c r="K332" s="53"/>
      <c r="L332" s="53"/>
      <c r="M332" s="53"/>
      <c r="N332" s="53"/>
      <c r="O332" s="53"/>
      <c r="P332" s="53"/>
      <c r="Q332" s="53"/>
    </row>
    <row r="333" spans="3:17" ht="15.75" customHeight="1">
      <c r="C333" s="53"/>
      <c r="D333" s="73"/>
      <c r="E333" s="73"/>
      <c r="F333" s="73"/>
      <c r="G333" s="73"/>
      <c r="H333" s="73"/>
      <c r="I333" s="73"/>
      <c r="J333" s="73"/>
      <c r="K333" s="53"/>
      <c r="L333" s="53"/>
      <c r="M333" s="53"/>
      <c r="N333" s="53"/>
      <c r="O333" s="53"/>
      <c r="P333" s="53"/>
      <c r="Q333" s="53"/>
    </row>
    <row r="334" spans="3:17" ht="15.75" customHeight="1">
      <c r="C334" s="53"/>
      <c r="D334" s="73"/>
      <c r="E334" s="73"/>
      <c r="F334" s="73"/>
      <c r="G334" s="73"/>
      <c r="H334" s="73"/>
      <c r="I334" s="73"/>
      <c r="J334" s="73"/>
      <c r="K334" s="53"/>
      <c r="L334" s="53"/>
      <c r="M334" s="53"/>
      <c r="N334" s="53"/>
      <c r="O334" s="53"/>
      <c r="P334" s="53"/>
      <c r="Q334" s="53"/>
    </row>
    <row r="335" spans="3:17" ht="15.75" customHeight="1">
      <c r="C335" s="53"/>
      <c r="D335" s="73"/>
      <c r="E335" s="73"/>
      <c r="F335" s="73"/>
      <c r="G335" s="73"/>
      <c r="H335" s="73"/>
      <c r="I335" s="73"/>
      <c r="J335" s="73"/>
      <c r="K335" s="53"/>
      <c r="L335" s="53"/>
      <c r="M335" s="53"/>
      <c r="N335" s="53"/>
      <c r="O335" s="53"/>
      <c r="P335" s="53"/>
      <c r="Q335" s="53"/>
    </row>
    <row r="336" spans="3:17" ht="15.75" customHeight="1">
      <c r="C336" s="53"/>
      <c r="D336" s="73"/>
      <c r="E336" s="73"/>
      <c r="F336" s="73"/>
      <c r="G336" s="73"/>
      <c r="H336" s="73"/>
      <c r="I336" s="73"/>
      <c r="J336" s="73"/>
      <c r="K336" s="53"/>
      <c r="L336" s="53"/>
      <c r="M336" s="53"/>
      <c r="N336" s="53"/>
      <c r="O336" s="53"/>
      <c r="P336" s="53"/>
      <c r="Q336" s="53"/>
    </row>
    <row r="337" spans="3:17" ht="15.75" customHeight="1">
      <c r="C337" s="53"/>
      <c r="D337" s="73"/>
      <c r="E337" s="73"/>
      <c r="F337" s="73"/>
      <c r="G337" s="73"/>
      <c r="H337" s="73"/>
      <c r="I337" s="73"/>
      <c r="J337" s="73"/>
      <c r="K337" s="53"/>
      <c r="L337" s="53"/>
      <c r="M337" s="53"/>
      <c r="N337" s="53"/>
      <c r="O337" s="53"/>
      <c r="P337" s="53"/>
      <c r="Q337" s="53"/>
    </row>
    <row r="338" spans="3:17" ht="15.75" customHeight="1">
      <c r="C338" s="53"/>
      <c r="D338" s="73"/>
      <c r="E338" s="73"/>
      <c r="F338" s="73"/>
      <c r="G338" s="73"/>
      <c r="H338" s="73"/>
      <c r="I338" s="73"/>
      <c r="J338" s="73"/>
      <c r="K338" s="53"/>
      <c r="L338" s="53"/>
      <c r="M338" s="53"/>
      <c r="N338" s="53"/>
      <c r="O338" s="53"/>
      <c r="P338" s="53"/>
      <c r="Q338" s="53"/>
    </row>
    <row r="339" spans="3:17" ht="15.75" customHeight="1">
      <c r="C339" s="53"/>
      <c r="D339" s="73"/>
      <c r="E339" s="73"/>
      <c r="F339" s="73"/>
      <c r="G339" s="73"/>
      <c r="H339" s="73"/>
      <c r="I339" s="73"/>
      <c r="J339" s="73"/>
      <c r="K339" s="53"/>
      <c r="L339" s="53"/>
      <c r="M339" s="53"/>
      <c r="N339" s="53"/>
      <c r="O339" s="53"/>
      <c r="P339" s="53"/>
      <c r="Q339" s="53"/>
    </row>
    <row r="340" spans="3:17" ht="15.75" customHeight="1">
      <c r="C340" s="53"/>
      <c r="D340" s="73"/>
      <c r="E340" s="73"/>
      <c r="F340" s="73"/>
      <c r="G340" s="73"/>
      <c r="H340" s="73"/>
      <c r="I340" s="73"/>
      <c r="J340" s="73"/>
      <c r="K340" s="53"/>
      <c r="L340" s="53"/>
      <c r="M340" s="53"/>
      <c r="N340" s="53"/>
      <c r="O340" s="53"/>
      <c r="P340" s="53"/>
      <c r="Q340" s="53"/>
    </row>
    <row r="341" spans="3:17" ht="15.75" customHeight="1">
      <c r="C341" s="53"/>
      <c r="D341" s="73"/>
      <c r="E341" s="73"/>
      <c r="F341" s="73"/>
      <c r="G341" s="73"/>
      <c r="H341" s="73"/>
      <c r="I341" s="73"/>
      <c r="J341" s="73"/>
      <c r="K341" s="53"/>
      <c r="L341" s="53"/>
      <c r="M341" s="53"/>
      <c r="N341" s="53"/>
      <c r="O341" s="53"/>
      <c r="P341" s="53"/>
      <c r="Q341" s="53"/>
    </row>
    <row r="342" spans="3:17" ht="15.75" customHeight="1">
      <c r="C342" s="53"/>
      <c r="D342" s="73"/>
      <c r="E342" s="73"/>
      <c r="F342" s="73"/>
      <c r="G342" s="73"/>
      <c r="H342" s="73"/>
      <c r="I342" s="73"/>
      <c r="J342" s="73"/>
      <c r="K342" s="53"/>
      <c r="L342" s="53"/>
      <c r="M342" s="53"/>
      <c r="N342" s="53"/>
      <c r="O342" s="53"/>
      <c r="P342" s="53"/>
      <c r="Q342" s="53"/>
    </row>
    <row r="343" spans="3:17" ht="15.75" customHeight="1">
      <c r="C343" s="53"/>
      <c r="D343" s="73"/>
      <c r="E343" s="73"/>
      <c r="F343" s="73"/>
      <c r="G343" s="73"/>
      <c r="H343" s="73"/>
      <c r="I343" s="73"/>
      <c r="J343" s="73"/>
      <c r="K343" s="53"/>
      <c r="L343" s="53"/>
      <c r="M343" s="53"/>
      <c r="N343" s="53"/>
      <c r="O343" s="53"/>
      <c r="P343" s="53"/>
      <c r="Q343" s="53"/>
    </row>
    <row r="344" spans="3:17" ht="15.75" customHeight="1">
      <c r="C344" s="53"/>
      <c r="D344" s="73"/>
      <c r="E344" s="73"/>
      <c r="F344" s="73"/>
      <c r="G344" s="73"/>
      <c r="H344" s="73"/>
      <c r="I344" s="73"/>
      <c r="J344" s="73"/>
      <c r="K344" s="53"/>
      <c r="L344" s="53"/>
      <c r="M344" s="53"/>
      <c r="N344" s="53"/>
      <c r="O344" s="53"/>
      <c r="P344" s="53"/>
      <c r="Q344" s="53"/>
    </row>
    <row r="345" spans="3:17" ht="15.75" customHeight="1">
      <c r="C345" s="53"/>
      <c r="D345" s="73"/>
      <c r="E345" s="73"/>
      <c r="F345" s="73"/>
      <c r="G345" s="73"/>
      <c r="H345" s="73"/>
      <c r="I345" s="73"/>
      <c r="J345" s="73"/>
      <c r="K345" s="53"/>
      <c r="L345" s="53"/>
      <c r="M345" s="53"/>
      <c r="N345" s="53"/>
      <c r="O345" s="53"/>
      <c r="P345" s="53"/>
      <c r="Q345" s="53"/>
    </row>
    <row r="346" spans="3:17" ht="15.75" customHeight="1">
      <c r="C346" s="53"/>
      <c r="D346" s="73"/>
      <c r="E346" s="73"/>
      <c r="F346" s="73"/>
      <c r="G346" s="73"/>
      <c r="H346" s="73"/>
      <c r="I346" s="73"/>
      <c r="J346" s="73"/>
      <c r="K346" s="53"/>
      <c r="L346" s="53"/>
      <c r="M346" s="53"/>
      <c r="N346" s="53"/>
      <c r="O346" s="53"/>
      <c r="P346" s="53"/>
      <c r="Q346" s="53"/>
    </row>
    <row r="347" spans="3:17" ht="15.75" customHeight="1">
      <c r="C347" s="53"/>
      <c r="D347" s="73"/>
      <c r="E347" s="73"/>
      <c r="F347" s="73"/>
      <c r="G347" s="73"/>
      <c r="H347" s="73"/>
      <c r="I347" s="73"/>
      <c r="J347" s="73"/>
      <c r="K347" s="53"/>
      <c r="L347" s="53"/>
      <c r="M347" s="53"/>
      <c r="N347" s="53"/>
      <c r="O347" s="53"/>
      <c r="P347" s="53"/>
      <c r="Q347" s="53"/>
    </row>
    <row r="348" spans="3:17" ht="15.75" customHeight="1">
      <c r="C348" s="53"/>
      <c r="D348" s="73"/>
      <c r="E348" s="73"/>
      <c r="F348" s="73"/>
      <c r="G348" s="73"/>
      <c r="H348" s="73"/>
      <c r="I348" s="73"/>
      <c r="J348" s="73"/>
      <c r="K348" s="53"/>
      <c r="L348" s="53"/>
      <c r="M348" s="53"/>
      <c r="N348" s="53"/>
      <c r="O348" s="53"/>
      <c r="P348" s="53"/>
      <c r="Q348" s="53"/>
    </row>
    <row r="349" spans="3:17" ht="15.75" customHeight="1">
      <c r="C349" s="53"/>
      <c r="D349" s="73"/>
      <c r="E349" s="73"/>
      <c r="F349" s="73"/>
      <c r="G349" s="73"/>
      <c r="H349" s="73"/>
      <c r="I349" s="73"/>
      <c r="J349" s="73"/>
      <c r="K349" s="53"/>
      <c r="L349" s="53"/>
      <c r="M349" s="53"/>
      <c r="N349" s="53"/>
      <c r="O349" s="53"/>
      <c r="P349" s="53"/>
      <c r="Q349" s="53"/>
    </row>
    <row r="350" spans="3:17" ht="15.75" customHeight="1">
      <c r="C350" s="53"/>
      <c r="D350" s="73"/>
      <c r="E350" s="73"/>
      <c r="F350" s="73"/>
      <c r="G350" s="73"/>
      <c r="H350" s="73"/>
      <c r="I350" s="73"/>
      <c r="J350" s="73"/>
      <c r="K350" s="53"/>
      <c r="L350" s="53"/>
      <c r="M350" s="53"/>
      <c r="N350" s="53"/>
      <c r="O350" s="53"/>
      <c r="P350" s="53"/>
      <c r="Q350" s="53"/>
    </row>
    <row r="351" spans="3:17" ht="15.75" customHeight="1">
      <c r="C351" s="53"/>
      <c r="D351" s="73"/>
      <c r="E351" s="73"/>
      <c r="F351" s="73"/>
      <c r="G351" s="73"/>
      <c r="H351" s="73"/>
      <c r="I351" s="73"/>
      <c r="J351" s="73"/>
      <c r="K351" s="53"/>
      <c r="L351" s="53"/>
      <c r="M351" s="53"/>
      <c r="N351" s="53"/>
      <c r="O351" s="53"/>
      <c r="P351" s="53"/>
      <c r="Q351" s="53"/>
    </row>
    <row r="352" spans="3:17" ht="15.75" customHeight="1">
      <c r="C352" s="53"/>
      <c r="D352" s="73"/>
      <c r="E352" s="73"/>
      <c r="F352" s="73"/>
      <c r="G352" s="73"/>
      <c r="H352" s="73"/>
      <c r="I352" s="73"/>
      <c r="J352" s="73"/>
      <c r="K352" s="53"/>
      <c r="L352" s="53"/>
      <c r="M352" s="53"/>
      <c r="N352" s="53"/>
      <c r="O352" s="53"/>
      <c r="P352" s="53"/>
      <c r="Q352" s="53"/>
    </row>
    <row r="353" spans="3:17" ht="15.75" customHeight="1">
      <c r="C353" s="53"/>
      <c r="D353" s="73"/>
      <c r="E353" s="73"/>
      <c r="F353" s="73"/>
      <c r="G353" s="73"/>
      <c r="H353" s="73"/>
      <c r="I353" s="73"/>
      <c r="J353" s="73"/>
      <c r="K353" s="53"/>
      <c r="L353" s="53"/>
      <c r="M353" s="53"/>
      <c r="N353" s="53"/>
      <c r="O353" s="53"/>
      <c r="P353" s="53"/>
      <c r="Q353" s="53"/>
    </row>
    <row r="354" spans="3:17" ht="15.75" customHeight="1">
      <c r="C354" s="53"/>
      <c r="D354" s="73"/>
      <c r="E354" s="73"/>
      <c r="F354" s="73"/>
      <c r="G354" s="73"/>
      <c r="H354" s="73"/>
      <c r="I354" s="73"/>
      <c r="J354" s="73"/>
      <c r="K354" s="53"/>
      <c r="L354" s="53"/>
      <c r="M354" s="53"/>
      <c r="N354" s="53"/>
      <c r="O354" s="53"/>
      <c r="P354" s="53"/>
      <c r="Q354" s="53"/>
    </row>
    <row r="355" spans="3:17" ht="15.75" customHeight="1">
      <c r="C355" s="53"/>
      <c r="D355" s="73"/>
      <c r="E355" s="73"/>
      <c r="F355" s="73"/>
      <c r="G355" s="73"/>
      <c r="H355" s="73"/>
      <c r="I355" s="73"/>
      <c r="J355" s="73"/>
      <c r="K355" s="53"/>
      <c r="L355" s="53"/>
      <c r="M355" s="53"/>
      <c r="N355" s="53"/>
      <c r="O355" s="53"/>
      <c r="P355" s="53"/>
      <c r="Q355" s="53"/>
    </row>
    <row r="356" spans="3:17" ht="15.75" customHeight="1">
      <c r="C356" s="53"/>
      <c r="D356" s="73"/>
      <c r="E356" s="73"/>
      <c r="F356" s="73"/>
      <c r="G356" s="73"/>
      <c r="H356" s="73"/>
      <c r="I356" s="73"/>
      <c r="J356" s="73"/>
      <c r="K356" s="53"/>
      <c r="L356" s="53"/>
      <c r="M356" s="53"/>
      <c r="N356" s="53"/>
      <c r="O356" s="53"/>
      <c r="P356" s="53"/>
      <c r="Q356" s="53"/>
    </row>
    <row r="357" spans="3:17" ht="15.75" customHeight="1">
      <c r="C357" s="53"/>
      <c r="D357" s="73"/>
      <c r="E357" s="73"/>
      <c r="F357" s="73"/>
      <c r="G357" s="73"/>
      <c r="H357" s="73"/>
      <c r="I357" s="73"/>
      <c r="J357" s="73"/>
      <c r="K357" s="53"/>
      <c r="L357" s="53"/>
      <c r="M357" s="53"/>
      <c r="N357" s="53"/>
      <c r="O357" s="53"/>
      <c r="P357" s="53"/>
      <c r="Q357" s="53"/>
    </row>
    <row r="358" spans="3:17" ht="15.75" customHeight="1">
      <c r="C358" s="53"/>
      <c r="D358" s="73"/>
      <c r="E358" s="73"/>
      <c r="F358" s="73"/>
      <c r="G358" s="73"/>
      <c r="H358" s="73"/>
      <c r="I358" s="73"/>
      <c r="J358" s="73"/>
      <c r="K358" s="53"/>
      <c r="L358" s="53"/>
      <c r="M358" s="53"/>
      <c r="N358" s="53"/>
      <c r="O358" s="53"/>
      <c r="P358" s="53"/>
      <c r="Q358" s="53"/>
    </row>
    <row r="359" spans="3:17" ht="15.75" customHeight="1">
      <c r="C359" s="53"/>
      <c r="D359" s="73"/>
      <c r="E359" s="73"/>
      <c r="F359" s="73"/>
      <c r="G359" s="73"/>
      <c r="H359" s="73"/>
      <c r="I359" s="73"/>
      <c r="J359" s="73"/>
      <c r="K359" s="53"/>
      <c r="L359" s="53"/>
      <c r="M359" s="53"/>
      <c r="N359" s="53"/>
      <c r="O359" s="53"/>
      <c r="P359" s="53"/>
      <c r="Q359" s="53"/>
    </row>
    <row r="360" spans="3:17" ht="15.75" customHeight="1">
      <c r="C360" s="53"/>
      <c r="D360" s="73"/>
      <c r="E360" s="73"/>
      <c r="F360" s="73"/>
      <c r="G360" s="73"/>
      <c r="H360" s="73"/>
      <c r="I360" s="73"/>
      <c r="J360" s="73"/>
      <c r="K360" s="53"/>
      <c r="L360" s="53"/>
      <c r="M360" s="53"/>
      <c r="N360" s="53"/>
      <c r="O360" s="53"/>
      <c r="P360" s="53"/>
      <c r="Q360" s="53"/>
    </row>
    <row r="361" spans="3:17" ht="15.75" customHeight="1">
      <c r="C361" s="53"/>
      <c r="D361" s="73"/>
      <c r="E361" s="73"/>
      <c r="F361" s="73"/>
      <c r="G361" s="73"/>
      <c r="H361" s="73"/>
      <c r="I361" s="73"/>
      <c r="J361" s="73"/>
      <c r="K361" s="53"/>
      <c r="L361" s="53"/>
      <c r="M361" s="53"/>
      <c r="N361" s="53"/>
      <c r="O361" s="53"/>
      <c r="P361" s="53"/>
      <c r="Q361" s="53"/>
    </row>
    <row r="362" spans="3:17" ht="15.75" customHeight="1">
      <c r="C362" s="53"/>
      <c r="D362" s="73"/>
      <c r="E362" s="73"/>
      <c r="F362" s="73"/>
      <c r="G362" s="73"/>
      <c r="H362" s="73"/>
      <c r="I362" s="73"/>
      <c r="J362" s="73"/>
      <c r="K362" s="53"/>
      <c r="L362" s="53"/>
      <c r="M362" s="53"/>
      <c r="N362" s="53"/>
      <c r="O362" s="53"/>
      <c r="P362" s="53"/>
      <c r="Q362" s="53"/>
    </row>
    <row r="363" spans="3:17" ht="15.75" customHeight="1">
      <c r="C363" s="53"/>
      <c r="D363" s="73"/>
      <c r="E363" s="73"/>
      <c r="F363" s="73"/>
      <c r="G363" s="73"/>
      <c r="H363" s="73"/>
      <c r="I363" s="73"/>
      <c r="J363" s="73"/>
      <c r="K363" s="53"/>
      <c r="L363" s="53"/>
      <c r="M363" s="53"/>
      <c r="N363" s="53"/>
      <c r="O363" s="53"/>
      <c r="P363" s="53"/>
      <c r="Q363" s="53"/>
    </row>
    <row r="364" spans="3:17" ht="15.75" customHeight="1">
      <c r="C364" s="53"/>
      <c r="D364" s="73"/>
      <c r="E364" s="73"/>
      <c r="F364" s="73"/>
      <c r="G364" s="73"/>
      <c r="H364" s="73"/>
      <c r="I364" s="73"/>
      <c r="J364" s="73"/>
      <c r="K364" s="53"/>
      <c r="L364" s="53"/>
      <c r="M364" s="53"/>
      <c r="N364" s="53"/>
      <c r="O364" s="53"/>
      <c r="P364" s="53"/>
      <c r="Q364" s="53"/>
    </row>
    <row r="365" spans="3:17" ht="15.75" customHeight="1">
      <c r="C365" s="53"/>
      <c r="D365" s="73"/>
      <c r="E365" s="73"/>
      <c r="F365" s="73"/>
      <c r="G365" s="73"/>
      <c r="H365" s="73"/>
      <c r="I365" s="73"/>
      <c r="J365" s="73"/>
      <c r="K365" s="53"/>
      <c r="L365" s="53"/>
      <c r="M365" s="53"/>
      <c r="N365" s="53"/>
      <c r="O365" s="53"/>
      <c r="P365" s="53"/>
      <c r="Q365" s="53"/>
    </row>
    <row r="366" spans="3:17" ht="15.75" customHeight="1">
      <c r="C366" s="53"/>
      <c r="D366" s="73"/>
      <c r="E366" s="73"/>
      <c r="F366" s="73"/>
      <c r="G366" s="73"/>
      <c r="H366" s="73"/>
      <c r="I366" s="73"/>
      <c r="J366" s="73"/>
      <c r="K366" s="53"/>
      <c r="L366" s="53"/>
      <c r="M366" s="53"/>
      <c r="N366" s="53"/>
      <c r="O366" s="53"/>
      <c r="P366" s="53"/>
      <c r="Q366" s="53"/>
    </row>
    <row r="367" spans="3:17" ht="15.75" customHeight="1">
      <c r="C367" s="53"/>
      <c r="D367" s="73"/>
      <c r="E367" s="73"/>
      <c r="F367" s="73"/>
      <c r="G367" s="73"/>
      <c r="H367" s="73"/>
      <c r="I367" s="73"/>
      <c r="J367" s="73"/>
      <c r="K367" s="53"/>
      <c r="L367" s="53"/>
      <c r="M367" s="53"/>
      <c r="N367" s="53"/>
      <c r="O367" s="53"/>
      <c r="P367" s="53"/>
      <c r="Q367" s="53"/>
    </row>
    <row r="368" spans="3:17" ht="15.75" customHeight="1">
      <c r="C368" s="53"/>
      <c r="D368" s="73"/>
      <c r="E368" s="73"/>
      <c r="F368" s="73"/>
      <c r="G368" s="73"/>
      <c r="H368" s="73"/>
      <c r="I368" s="73"/>
      <c r="J368" s="73"/>
      <c r="K368" s="53"/>
      <c r="L368" s="53"/>
      <c r="M368" s="53"/>
      <c r="N368" s="53"/>
      <c r="O368" s="53"/>
      <c r="P368" s="53"/>
      <c r="Q368" s="53"/>
    </row>
    <row r="369" spans="3:17" ht="15.75" customHeight="1">
      <c r="C369" s="53"/>
      <c r="D369" s="73"/>
      <c r="E369" s="73"/>
      <c r="F369" s="73"/>
      <c r="G369" s="73"/>
      <c r="H369" s="73"/>
      <c r="I369" s="73"/>
      <c r="J369" s="73"/>
      <c r="K369" s="53"/>
      <c r="L369" s="53"/>
      <c r="M369" s="53"/>
      <c r="N369" s="53"/>
      <c r="O369" s="53"/>
      <c r="P369" s="53"/>
      <c r="Q369" s="53"/>
    </row>
    <row r="370" spans="3:17" ht="15.75" customHeight="1">
      <c r="C370" s="53"/>
      <c r="D370" s="73"/>
      <c r="E370" s="73"/>
      <c r="F370" s="73"/>
      <c r="G370" s="73"/>
      <c r="H370" s="73"/>
      <c r="I370" s="73"/>
      <c r="J370" s="73"/>
      <c r="K370" s="53"/>
      <c r="L370" s="53"/>
      <c r="M370" s="53"/>
      <c r="N370" s="53"/>
      <c r="O370" s="53"/>
      <c r="P370" s="53"/>
      <c r="Q370" s="53"/>
    </row>
    <row r="371" spans="3:17" ht="15.75" customHeight="1">
      <c r="C371" s="53"/>
      <c r="D371" s="73"/>
      <c r="E371" s="73"/>
      <c r="F371" s="73"/>
      <c r="G371" s="73"/>
      <c r="H371" s="73"/>
      <c r="I371" s="73"/>
      <c r="J371" s="73"/>
      <c r="K371" s="53"/>
      <c r="L371" s="53"/>
      <c r="M371" s="53"/>
      <c r="N371" s="53"/>
      <c r="O371" s="53"/>
      <c r="P371" s="53"/>
      <c r="Q371" s="53"/>
    </row>
    <row r="372" spans="3:17" ht="15.75" customHeight="1">
      <c r="C372" s="53"/>
      <c r="D372" s="73"/>
      <c r="E372" s="73"/>
      <c r="F372" s="73"/>
      <c r="G372" s="73"/>
      <c r="H372" s="73"/>
      <c r="I372" s="73"/>
      <c r="J372" s="73"/>
      <c r="K372" s="53"/>
      <c r="L372" s="53"/>
      <c r="M372" s="53"/>
      <c r="N372" s="53"/>
      <c r="O372" s="53"/>
      <c r="P372" s="53"/>
      <c r="Q372" s="53"/>
    </row>
    <row r="373" spans="3:17" ht="15.75" customHeight="1">
      <c r="C373" s="53"/>
      <c r="D373" s="73"/>
      <c r="E373" s="73"/>
      <c r="F373" s="73"/>
      <c r="G373" s="73"/>
      <c r="H373" s="73"/>
      <c r="I373" s="73"/>
      <c r="J373" s="73"/>
      <c r="K373" s="53"/>
      <c r="L373" s="53"/>
      <c r="M373" s="53"/>
      <c r="N373" s="53"/>
      <c r="O373" s="53"/>
      <c r="P373" s="53"/>
      <c r="Q373" s="53"/>
    </row>
    <row r="374" spans="3:17" ht="15.75" customHeight="1">
      <c r="C374" s="53"/>
      <c r="D374" s="73"/>
      <c r="E374" s="73"/>
      <c r="F374" s="73"/>
      <c r="G374" s="73"/>
      <c r="H374" s="73"/>
      <c r="I374" s="73"/>
      <c r="J374" s="73"/>
      <c r="K374" s="53"/>
      <c r="L374" s="53"/>
      <c r="M374" s="53"/>
      <c r="N374" s="53"/>
      <c r="O374" s="53"/>
      <c r="P374" s="53"/>
      <c r="Q374" s="53"/>
    </row>
    <row r="375" spans="3:17" ht="15.75" customHeight="1">
      <c r="C375" s="53"/>
      <c r="D375" s="73"/>
      <c r="E375" s="73"/>
      <c r="F375" s="73"/>
      <c r="G375" s="73"/>
      <c r="H375" s="73"/>
      <c r="I375" s="73"/>
      <c r="J375" s="73"/>
      <c r="K375" s="53"/>
      <c r="L375" s="53"/>
      <c r="M375" s="53"/>
      <c r="N375" s="53"/>
      <c r="O375" s="53"/>
      <c r="P375" s="53"/>
      <c r="Q375" s="53"/>
    </row>
    <row r="376" spans="3:17" ht="15.75" customHeight="1">
      <c r="C376" s="53"/>
      <c r="D376" s="73"/>
      <c r="E376" s="73"/>
      <c r="F376" s="73"/>
      <c r="G376" s="73"/>
      <c r="H376" s="73"/>
      <c r="I376" s="73"/>
      <c r="J376" s="73"/>
      <c r="K376" s="53"/>
      <c r="L376" s="53"/>
      <c r="M376" s="53"/>
      <c r="N376" s="53"/>
      <c r="O376" s="53"/>
      <c r="P376" s="53"/>
      <c r="Q376" s="53"/>
    </row>
    <row r="377" spans="3:17" ht="15.75" customHeight="1">
      <c r="C377" s="53"/>
      <c r="D377" s="73"/>
      <c r="E377" s="73"/>
      <c r="F377" s="73"/>
      <c r="G377" s="73"/>
      <c r="H377" s="73"/>
      <c r="I377" s="73"/>
      <c r="J377" s="73"/>
      <c r="K377" s="53"/>
      <c r="L377" s="53"/>
      <c r="M377" s="53"/>
      <c r="N377" s="53"/>
      <c r="O377" s="53"/>
      <c r="P377" s="53"/>
      <c r="Q377" s="53"/>
    </row>
    <row r="378" spans="3:17" ht="15.75" customHeight="1">
      <c r="C378" s="53"/>
      <c r="D378" s="73"/>
      <c r="E378" s="73"/>
      <c r="F378" s="73"/>
      <c r="G378" s="73"/>
      <c r="H378" s="73"/>
      <c r="I378" s="73"/>
      <c r="J378" s="73"/>
      <c r="K378" s="53"/>
      <c r="L378" s="53"/>
      <c r="M378" s="53"/>
      <c r="N378" s="53"/>
      <c r="O378" s="53"/>
      <c r="P378" s="53"/>
      <c r="Q378" s="53"/>
    </row>
    <row r="379" spans="3:17" ht="15.75" customHeight="1">
      <c r="C379" s="53"/>
      <c r="D379" s="73"/>
      <c r="E379" s="73"/>
      <c r="F379" s="73"/>
      <c r="G379" s="73"/>
      <c r="H379" s="73"/>
      <c r="I379" s="73"/>
      <c r="J379" s="73"/>
      <c r="K379" s="53"/>
      <c r="L379" s="53"/>
      <c r="M379" s="53"/>
      <c r="N379" s="53"/>
      <c r="O379" s="53"/>
      <c r="P379" s="53"/>
      <c r="Q379" s="53"/>
    </row>
    <row r="380" spans="3:17" ht="15.75" customHeight="1">
      <c r="C380" s="53"/>
      <c r="D380" s="73"/>
      <c r="E380" s="73"/>
      <c r="F380" s="73"/>
      <c r="G380" s="73"/>
      <c r="H380" s="73"/>
      <c r="I380" s="73"/>
      <c r="J380" s="73"/>
      <c r="K380" s="53"/>
      <c r="L380" s="53"/>
      <c r="M380" s="53"/>
      <c r="N380" s="53"/>
      <c r="O380" s="53"/>
      <c r="P380" s="53"/>
      <c r="Q380" s="53"/>
    </row>
    <row r="381" spans="3:17" ht="15.75" customHeight="1">
      <c r="C381" s="53"/>
      <c r="D381" s="73"/>
      <c r="E381" s="73"/>
      <c r="F381" s="73"/>
      <c r="G381" s="73"/>
      <c r="H381" s="73"/>
      <c r="I381" s="73"/>
      <c r="J381" s="73"/>
      <c r="K381" s="53"/>
      <c r="L381" s="53"/>
      <c r="M381" s="53"/>
      <c r="N381" s="53"/>
      <c r="O381" s="53"/>
      <c r="P381" s="53"/>
      <c r="Q381" s="53"/>
    </row>
    <row r="382" spans="3:17" ht="15.75" customHeight="1">
      <c r="C382" s="53"/>
      <c r="D382" s="73"/>
      <c r="E382" s="73"/>
      <c r="F382" s="73"/>
      <c r="G382" s="73"/>
      <c r="H382" s="73"/>
      <c r="I382" s="73"/>
      <c r="J382" s="73"/>
      <c r="K382" s="53"/>
      <c r="L382" s="53"/>
      <c r="M382" s="53"/>
      <c r="N382" s="53"/>
      <c r="O382" s="53"/>
      <c r="P382" s="53"/>
      <c r="Q382" s="53"/>
    </row>
    <row r="383" spans="3:17" ht="15.75" customHeight="1">
      <c r="C383" s="53"/>
      <c r="D383" s="73"/>
      <c r="E383" s="73"/>
      <c r="F383" s="73"/>
      <c r="G383" s="73"/>
      <c r="H383" s="73"/>
      <c r="I383" s="73"/>
      <c r="J383" s="73"/>
      <c r="K383" s="53"/>
      <c r="L383" s="53"/>
      <c r="M383" s="53"/>
      <c r="N383" s="53"/>
      <c r="O383" s="53"/>
      <c r="P383" s="53"/>
      <c r="Q383" s="53"/>
    </row>
    <row r="384" spans="3:17" ht="15.75" customHeight="1">
      <c r="C384" s="53"/>
      <c r="D384" s="73"/>
      <c r="E384" s="73"/>
      <c r="F384" s="73"/>
      <c r="G384" s="73"/>
      <c r="H384" s="73"/>
      <c r="I384" s="73"/>
      <c r="J384" s="73"/>
      <c r="K384" s="53"/>
      <c r="L384" s="53"/>
      <c r="M384" s="53"/>
      <c r="N384" s="53"/>
      <c r="O384" s="53"/>
      <c r="P384" s="53"/>
      <c r="Q384" s="53"/>
    </row>
    <row r="385" spans="3:17" ht="15.75" customHeight="1">
      <c r="C385" s="53"/>
      <c r="D385" s="73"/>
      <c r="E385" s="73"/>
      <c r="F385" s="73"/>
      <c r="G385" s="73"/>
      <c r="H385" s="73"/>
      <c r="I385" s="73"/>
      <c r="J385" s="73"/>
      <c r="K385" s="53"/>
      <c r="L385" s="53"/>
      <c r="M385" s="53"/>
      <c r="N385" s="53"/>
      <c r="O385" s="53"/>
      <c r="P385" s="53"/>
      <c r="Q385" s="53"/>
    </row>
    <row r="386" spans="3:17" ht="15.75" customHeight="1">
      <c r="C386" s="53"/>
      <c r="D386" s="73"/>
      <c r="E386" s="73"/>
      <c r="F386" s="73"/>
      <c r="G386" s="73"/>
      <c r="H386" s="73"/>
      <c r="I386" s="73"/>
      <c r="J386" s="73"/>
      <c r="K386" s="53"/>
      <c r="L386" s="53"/>
      <c r="M386" s="53"/>
      <c r="N386" s="53"/>
      <c r="O386" s="53"/>
      <c r="P386" s="53"/>
      <c r="Q386" s="53"/>
    </row>
    <row r="387" spans="3:17" ht="15.75" customHeight="1">
      <c r="C387" s="53"/>
      <c r="D387" s="73"/>
      <c r="E387" s="73"/>
      <c r="F387" s="73"/>
      <c r="G387" s="73"/>
      <c r="H387" s="73"/>
      <c r="I387" s="73"/>
      <c r="J387" s="73"/>
      <c r="K387" s="53"/>
      <c r="L387" s="53"/>
      <c r="M387" s="53"/>
      <c r="N387" s="53"/>
      <c r="O387" s="53"/>
      <c r="P387" s="53"/>
      <c r="Q387" s="53"/>
    </row>
    <row r="388" spans="3:17" ht="15.75" customHeight="1">
      <c r="C388" s="53"/>
      <c r="D388" s="73"/>
      <c r="E388" s="73"/>
      <c r="F388" s="73"/>
      <c r="G388" s="73"/>
      <c r="H388" s="73"/>
      <c r="I388" s="73"/>
      <c r="J388" s="73"/>
      <c r="K388" s="53"/>
      <c r="L388" s="53"/>
      <c r="M388" s="53"/>
      <c r="N388" s="53"/>
      <c r="O388" s="53"/>
      <c r="P388" s="53"/>
      <c r="Q388" s="53"/>
    </row>
    <row r="389" spans="3:17" ht="15.75" customHeight="1">
      <c r="C389" s="53"/>
      <c r="D389" s="73"/>
      <c r="E389" s="73"/>
      <c r="F389" s="73"/>
      <c r="G389" s="73"/>
      <c r="H389" s="73"/>
      <c r="I389" s="73"/>
      <c r="J389" s="73"/>
      <c r="K389" s="53"/>
      <c r="L389" s="53"/>
      <c r="M389" s="53"/>
      <c r="N389" s="53"/>
      <c r="O389" s="53"/>
      <c r="P389" s="53"/>
      <c r="Q389" s="53"/>
    </row>
    <row r="390" spans="3:17" ht="15.75" customHeight="1">
      <c r="C390" s="53"/>
      <c r="D390" s="73"/>
      <c r="E390" s="73"/>
      <c r="F390" s="73"/>
      <c r="G390" s="73"/>
      <c r="H390" s="73"/>
      <c r="I390" s="73"/>
      <c r="J390" s="73"/>
      <c r="K390" s="53"/>
      <c r="L390" s="53"/>
      <c r="M390" s="53"/>
      <c r="N390" s="53"/>
      <c r="O390" s="53"/>
      <c r="P390" s="53"/>
      <c r="Q390" s="53"/>
    </row>
    <row r="391" spans="3:17" ht="15.75" customHeight="1">
      <c r="C391" s="53"/>
      <c r="D391" s="73"/>
      <c r="E391" s="73"/>
      <c r="F391" s="73"/>
      <c r="G391" s="73"/>
      <c r="H391" s="73"/>
      <c r="I391" s="73"/>
      <c r="J391" s="73"/>
      <c r="K391" s="53"/>
      <c r="L391" s="53"/>
      <c r="M391" s="53"/>
      <c r="N391" s="53"/>
      <c r="O391" s="53"/>
      <c r="P391" s="53"/>
      <c r="Q391" s="53"/>
    </row>
    <row r="392" spans="3:17" ht="15.75" customHeight="1">
      <c r="C392" s="53"/>
      <c r="D392" s="73"/>
      <c r="E392" s="73"/>
      <c r="F392" s="73"/>
      <c r="G392" s="73"/>
      <c r="H392" s="73"/>
      <c r="I392" s="73"/>
      <c r="J392" s="73"/>
      <c r="K392" s="53"/>
      <c r="L392" s="53"/>
      <c r="M392" s="53"/>
      <c r="N392" s="53"/>
      <c r="O392" s="53"/>
      <c r="P392" s="53"/>
      <c r="Q392" s="53"/>
    </row>
    <row r="393" spans="3:17" ht="15.75" customHeight="1">
      <c r="C393" s="53"/>
      <c r="D393" s="73"/>
      <c r="E393" s="73"/>
      <c r="F393" s="73"/>
      <c r="G393" s="73"/>
      <c r="H393" s="73"/>
      <c r="I393" s="73"/>
      <c r="J393" s="73"/>
      <c r="K393" s="53"/>
      <c r="L393" s="53"/>
      <c r="M393" s="53"/>
      <c r="N393" s="53"/>
      <c r="O393" s="53"/>
      <c r="P393" s="53"/>
      <c r="Q393" s="53"/>
    </row>
    <row r="394" spans="3:17" ht="15.75" customHeight="1">
      <c r="C394" s="53"/>
      <c r="D394" s="73"/>
      <c r="E394" s="73"/>
      <c r="F394" s="73"/>
      <c r="G394" s="73"/>
      <c r="H394" s="73"/>
      <c r="I394" s="73"/>
      <c r="J394" s="73"/>
      <c r="K394" s="53"/>
      <c r="L394" s="53"/>
      <c r="M394" s="53"/>
      <c r="N394" s="53"/>
      <c r="O394" s="53"/>
      <c r="P394" s="53"/>
      <c r="Q394" s="53"/>
    </row>
    <row r="395" spans="3:17" ht="15.75" customHeight="1">
      <c r="C395" s="53"/>
      <c r="D395" s="73"/>
      <c r="E395" s="73"/>
      <c r="F395" s="73"/>
      <c r="G395" s="73"/>
      <c r="H395" s="73"/>
      <c r="I395" s="73"/>
      <c r="J395" s="73"/>
      <c r="K395" s="53"/>
      <c r="L395" s="53"/>
      <c r="M395" s="53"/>
      <c r="N395" s="53"/>
      <c r="O395" s="53"/>
      <c r="P395" s="53"/>
      <c r="Q395" s="53"/>
    </row>
    <row r="396" spans="3:17" ht="15.75" customHeight="1">
      <c r="C396" s="53"/>
      <c r="D396" s="73"/>
      <c r="E396" s="73"/>
      <c r="F396" s="73"/>
      <c r="G396" s="73"/>
      <c r="H396" s="73"/>
      <c r="I396" s="73"/>
      <c r="J396" s="73"/>
      <c r="K396" s="53"/>
      <c r="L396" s="53"/>
      <c r="M396" s="53"/>
      <c r="N396" s="53"/>
      <c r="O396" s="53"/>
      <c r="P396" s="53"/>
      <c r="Q396" s="53"/>
    </row>
    <row r="397" spans="3:17" ht="15.75" customHeight="1">
      <c r="C397" s="53"/>
      <c r="D397" s="73"/>
      <c r="E397" s="73"/>
      <c r="F397" s="73"/>
      <c r="G397" s="73"/>
      <c r="H397" s="73"/>
      <c r="I397" s="73"/>
      <c r="J397" s="73"/>
      <c r="K397" s="53"/>
      <c r="L397" s="53"/>
      <c r="M397" s="53"/>
      <c r="N397" s="53"/>
      <c r="O397" s="53"/>
      <c r="P397" s="53"/>
      <c r="Q397" s="53"/>
    </row>
    <row r="398" spans="3:17" ht="15.75" customHeight="1">
      <c r="C398" s="53"/>
      <c r="D398" s="73"/>
      <c r="E398" s="73"/>
      <c r="F398" s="73"/>
      <c r="G398" s="73"/>
      <c r="H398" s="73"/>
      <c r="I398" s="73"/>
      <c r="J398" s="73"/>
      <c r="K398" s="53"/>
      <c r="L398" s="53"/>
      <c r="M398" s="53"/>
      <c r="N398" s="53"/>
      <c r="O398" s="53"/>
      <c r="P398" s="53"/>
      <c r="Q398" s="53"/>
    </row>
    <row r="399" spans="3:17" ht="15.75" customHeight="1">
      <c r="C399" s="53"/>
      <c r="D399" s="73"/>
      <c r="E399" s="73"/>
      <c r="F399" s="73"/>
      <c r="G399" s="73"/>
      <c r="H399" s="73"/>
      <c r="I399" s="73"/>
      <c r="J399" s="73"/>
      <c r="K399" s="53"/>
      <c r="L399" s="53"/>
      <c r="M399" s="53"/>
      <c r="N399" s="53"/>
      <c r="O399" s="53"/>
      <c r="P399" s="53"/>
      <c r="Q399" s="53"/>
    </row>
    <row r="400" spans="3:17" ht="15.75" customHeight="1">
      <c r="C400" s="53"/>
      <c r="D400" s="73"/>
      <c r="E400" s="73"/>
      <c r="F400" s="73"/>
      <c r="G400" s="73"/>
      <c r="H400" s="73"/>
      <c r="I400" s="73"/>
      <c r="J400" s="73"/>
      <c r="K400" s="53"/>
      <c r="L400" s="53"/>
      <c r="M400" s="53"/>
      <c r="N400" s="53"/>
      <c r="O400" s="53"/>
      <c r="P400" s="53"/>
      <c r="Q400" s="53"/>
    </row>
    <row r="401" spans="3:17" ht="15.75" customHeight="1">
      <c r="C401" s="53"/>
      <c r="D401" s="73"/>
      <c r="E401" s="73"/>
      <c r="F401" s="73"/>
      <c r="G401" s="73"/>
      <c r="H401" s="73"/>
      <c r="I401" s="73"/>
      <c r="J401" s="73"/>
      <c r="K401" s="53"/>
      <c r="L401" s="53"/>
      <c r="M401" s="53"/>
      <c r="N401" s="53"/>
      <c r="O401" s="53"/>
      <c r="P401" s="53"/>
      <c r="Q401" s="53"/>
    </row>
    <row r="402" spans="3:17" ht="15.75" customHeight="1">
      <c r="C402" s="53"/>
      <c r="D402" s="73"/>
      <c r="E402" s="73"/>
      <c r="F402" s="73"/>
      <c r="G402" s="73"/>
      <c r="H402" s="73"/>
      <c r="I402" s="73"/>
      <c r="J402" s="73"/>
      <c r="K402" s="53"/>
      <c r="L402" s="53"/>
      <c r="M402" s="53"/>
      <c r="N402" s="53"/>
      <c r="O402" s="53"/>
      <c r="P402" s="53"/>
      <c r="Q402" s="53"/>
    </row>
    <row r="403" spans="3:17" ht="15.75" customHeight="1">
      <c r="C403" s="53"/>
      <c r="D403" s="73"/>
      <c r="E403" s="73"/>
      <c r="F403" s="73"/>
      <c r="G403" s="73"/>
      <c r="H403" s="73"/>
      <c r="I403" s="73"/>
      <c r="J403" s="73"/>
      <c r="K403" s="53"/>
      <c r="L403" s="53"/>
      <c r="M403" s="53"/>
      <c r="N403" s="53"/>
      <c r="O403" s="53"/>
      <c r="P403" s="53"/>
      <c r="Q403" s="53"/>
    </row>
    <row r="404" spans="3:17" ht="15.75" customHeight="1">
      <c r="C404" s="53"/>
      <c r="D404" s="73"/>
      <c r="E404" s="73"/>
      <c r="F404" s="73"/>
      <c r="G404" s="73"/>
      <c r="H404" s="73"/>
      <c r="I404" s="73"/>
      <c r="J404" s="73"/>
      <c r="K404" s="53"/>
      <c r="L404" s="53"/>
      <c r="M404" s="53"/>
      <c r="N404" s="53"/>
      <c r="O404" s="53"/>
      <c r="P404" s="53"/>
      <c r="Q404" s="53"/>
    </row>
    <row r="405" spans="3:17" ht="15.75" customHeight="1">
      <c r="C405" s="53"/>
      <c r="D405" s="73"/>
      <c r="E405" s="73"/>
      <c r="F405" s="73"/>
      <c r="G405" s="73"/>
      <c r="H405" s="73"/>
      <c r="I405" s="73"/>
      <c r="J405" s="73"/>
      <c r="K405" s="53"/>
      <c r="L405" s="53"/>
      <c r="M405" s="53"/>
      <c r="N405" s="53"/>
      <c r="O405" s="53"/>
      <c r="P405" s="53"/>
      <c r="Q405" s="53"/>
    </row>
    <row r="406" spans="3:17" ht="15.75" customHeight="1">
      <c r="C406" s="53"/>
      <c r="D406" s="73"/>
      <c r="E406" s="73"/>
      <c r="F406" s="73"/>
      <c r="G406" s="73"/>
      <c r="H406" s="73"/>
      <c r="I406" s="73"/>
      <c r="J406" s="73"/>
      <c r="K406" s="53"/>
      <c r="L406" s="53"/>
      <c r="M406" s="53"/>
      <c r="N406" s="53"/>
      <c r="O406" s="53"/>
      <c r="P406" s="53"/>
      <c r="Q406" s="53"/>
    </row>
    <row r="407" spans="3:17" ht="15.75" customHeight="1">
      <c r="C407" s="53"/>
      <c r="D407" s="73"/>
      <c r="E407" s="73"/>
      <c r="F407" s="73"/>
      <c r="G407" s="73"/>
      <c r="H407" s="73"/>
      <c r="I407" s="73"/>
      <c r="J407" s="73"/>
      <c r="K407" s="53"/>
      <c r="L407" s="53"/>
      <c r="M407" s="53"/>
      <c r="N407" s="53"/>
      <c r="O407" s="53"/>
      <c r="P407" s="53"/>
      <c r="Q407" s="53"/>
    </row>
    <row r="408" spans="3:17" ht="15.75" customHeight="1">
      <c r="C408" s="53"/>
      <c r="D408" s="73"/>
      <c r="E408" s="73"/>
      <c r="F408" s="73"/>
      <c r="G408" s="73"/>
      <c r="H408" s="73"/>
      <c r="I408" s="73"/>
      <c r="J408" s="73"/>
      <c r="K408" s="53"/>
      <c r="L408" s="53"/>
      <c r="M408" s="53"/>
      <c r="N408" s="53"/>
      <c r="O408" s="53"/>
      <c r="P408" s="53"/>
      <c r="Q408" s="53"/>
    </row>
    <row r="409" spans="3:17" ht="15.75" customHeight="1">
      <c r="C409" s="53"/>
      <c r="D409" s="73"/>
      <c r="E409" s="73"/>
      <c r="F409" s="73"/>
      <c r="G409" s="73"/>
      <c r="H409" s="73"/>
      <c r="I409" s="73"/>
      <c r="J409" s="73"/>
      <c r="K409" s="53"/>
      <c r="L409" s="53"/>
      <c r="M409" s="53"/>
      <c r="N409" s="53"/>
      <c r="O409" s="53"/>
      <c r="P409" s="53"/>
      <c r="Q409" s="53"/>
    </row>
    <row r="410" spans="3:17" ht="15.75" customHeight="1">
      <c r="C410" s="53"/>
      <c r="D410" s="73"/>
      <c r="E410" s="73"/>
      <c r="F410" s="73"/>
      <c r="G410" s="73"/>
      <c r="H410" s="73"/>
      <c r="I410" s="73"/>
      <c r="J410" s="73"/>
      <c r="K410" s="53"/>
      <c r="L410" s="53"/>
      <c r="M410" s="53"/>
      <c r="N410" s="53"/>
      <c r="O410" s="53"/>
      <c r="P410" s="53"/>
      <c r="Q410" s="53"/>
    </row>
    <row r="411" spans="3:17" ht="15.75" customHeight="1">
      <c r="C411" s="53"/>
      <c r="D411" s="73"/>
      <c r="E411" s="73"/>
      <c r="F411" s="73"/>
      <c r="G411" s="73"/>
      <c r="H411" s="73"/>
      <c r="I411" s="73"/>
      <c r="J411" s="73"/>
      <c r="K411" s="53"/>
      <c r="L411" s="53"/>
      <c r="M411" s="53"/>
      <c r="N411" s="53"/>
      <c r="O411" s="53"/>
      <c r="P411" s="53"/>
      <c r="Q411" s="53"/>
    </row>
    <row r="412" spans="3:17" ht="15.75" customHeight="1">
      <c r="C412" s="53"/>
      <c r="D412" s="73"/>
      <c r="E412" s="73"/>
      <c r="F412" s="73"/>
      <c r="G412" s="73"/>
      <c r="H412" s="73"/>
      <c r="I412" s="73"/>
      <c r="J412" s="73"/>
      <c r="K412" s="53"/>
      <c r="L412" s="53"/>
      <c r="M412" s="53"/>
      <c r="N412" s="53"/>
      <c r="O412" s="53"/>
      <c r="P412" s="53"/>
      <c r="Q412" s="53"/>
    </row>
    <row r="413" spans="3:17" ht="15.75" customHeight="1">
      <c r="C413" s="53"/>
      <c r="D413" s="73"/>
      <c r="E413" s="73"/>
      <c r="F413" s="73"/>
      <c r="G413" s="73"/>
      <c r="H413" s="73"/>
      <c r="I413" s="73"/>
      <c r="J413" s="73"/>
      <c r="K413" s="53"/>
      <c r="L413" s="53"/>
      <c r="M413" s="53"/>
      <c r="N413" s="53"/>
      <c r="O413" s="53"/>
      <c r="P413" s="53"/>
      <c r="Q413" s="53"/>
    </row>
    <row r="414" spans="3:17" ht="15.75" customHeight="1">
      <c r="C414" s="53"/>
      <c r="D414" s="73"/>
      <c r="E414" s="73"/>
      <c r="F414" s="73"/>
      <c r="G414" s="73"/>
      <c r="H414" s="73"/>
      <c r="I414" s="73"/>
      <c r="J414" s="73"/>
      <c r="K414" s="53"/>
      <c r="L414" s="53"/>
      <c r="M414" s="53"/>
      <c r="N414" s="53"/>
      <c r="O414" s="53"/>
      <c r="P414" s="53"/>
      <c r="Q414" s="53"/>
    </row>
    <row r="415" spans="3:17" ht="15.75" customHeight="1">
      <c r="C415" s="53"/>
      <c r="D415" s="73"/>
      <c r="E415" s="73"/>
      <c r="F415" s="73"/>
      <c r="G415" s="73"/>
      <c r="H415" s="73"/>
      <c r="I415" s="73"/>
      <c r="J415" s="73"/>
      <c r="K415" s="53"/>
      <c r="L415" s="53"/>
      <c r="M415" s="53"/>
      <c r="N415" s="53"/>
      <c r="O415" s="53"/>
      <c r="P415" s="53"/>
      <c r="Q415" s="53"/>
    </row>
    <row r="416" spans="3:17" ht="15.75" customHeight="1">
      <c r="C416" s="53"/>
      <c r="D416" s="73"/>
      <c r="E416" s="73"/>
      <c r="F416" s="73"/>
      <c r="G416" s="73"/>
      <c r="H416" s="73"/>
      <c r="I416" s="73"/>
      <c r="J416" s="73"/>
      <c r="K416" s="53"/>
      <c r="L416" s="53"/>
      <c r="M416" s="53"/>
      <c r="N416" s="53"/>
      <c r="O416" s="53"/>
      <c r="P416" s="53"/>
      <c r="Q416" s="53"/>
    </row>
    <row r="417" spans="3:17" ht="15.75" customHeight="1">
      <c r="C417" s="53"/>
      <c r="D417" s="73"/>
      <c r="E417" s="73"/>
      <c r="F417" s="73"/>
      <c r="G417" s="73"/>
      <c r="H417" s="73"/>
      <c r="I417" s="73"/>
      <c r="J417" s="73"/>
      <c r="K417" s="53"/>
      <c r="L417" s="53"/>
      <c r="M417" s="53"/>
      <c r="N417" s="53"/>
      <c r="O417" s="53"/>
      <c r="P417" s="53"/>
      <c r="Q417" s="53"/>
    </row>
    <row r="418" spans="3:17" ht="15.75" customHeight="1">
      <c r="C418" s="53"/>
      <c r="D418" s="73"/>
      <c r="E418" s="73"/>
      <c r="F418" s="73"/>
      <c r="G418" s="73"/>
      <c r="H418" s="73"/>
      <c r="I418" s="73"/>
      <c r="J418" s="73"/>
      <c r="K418" s="53"/>
      <c r="L418" s="53"/>
      <c r="M418" s="53"/>
      <c r="N418" s="53"/>
      <c r="O418" s="53"/>
      <c r="P418" s="53"/>
      <c r="Q418" s="53"/>
    </row>
    <row r="419" spans="3:17" ht="15.75" customHeight="1">
      <c r="C419" s="53"/>
      <c r="D419" s="73"/>
      <c r="E419" s="73"/>
      <c r="F419" s="73"/>
      <c r="G419" s="73"/>
      <c r="H419" s="73"/>
      <c r="I419" s="73"/>
      <c r="J419" s="73"/>
      <c r="K419" s="53"/>
      <c r="L419" s="53"/>
      <c r="M419" s="53"/>
      <c r="N419" s="53"/>
      <c r="O419" s="53"/>
      <c r="P419" s="53"/>
      <c r="Q419" s="53"/>
    </row>
    <row r="420" spans="3:17" ht="15.75" customHeight="1">
      <c r="C420" s="53"/>
      <c r="D420" s="73"/>
      <c r="E420" s="73"/>
      <c r="F420" s="73"/>
      <c r="G420" s="73"/>
      <c r="H420" s="73"/>
      <c r="I420" s="73"/>
      <c r="J420" s="73"/>
      <c r="K420" s="53"/>
      <c r="L420" s="53"/>
      <c r="M420" s="53"/>
      <c r="N420" s="53"/>
      <c r="O420" s="53"/>
      <c r="P420" s="53"/>
      <c r="Q420" s="53"/>
    </row>
    <row r="421" spans="3:17" ht="15.75" customHeight="1">
      <c r="C421" s="53"/>
      <c r="D421" s="73"/>
      <c r="E421" s="73"/>
      <c r="F421" s="73"/>
      <c r="G421" s="73"/>
      <c r="H421" s="73"/>
      <c r="I421" s="73"/>
      <c r="J421" s="73"/>
      <c r="K421" s="53"/>
      <c r="L421" s="53"/>
      <c r="M421" s="53"/>
      <c r="N421" s="53"/>
      <c r="O421" s="53"/>
      <c r="P421" s="53"/>
      <c r="Q421" s="53"/>
    </row>
    <row r="422" spans="3:17" ht="15.75" customHeight="1">
      <c r="C422" s="53"/>
      <c r="D422" s="73"/>
      <c r="E422" s="73"/>
      <c r="F422" s="73"/>
      <c r="G422" s="73"/>
      <c r="H422" s="73"/>
      <c r="I422" s="73"/>
      <c r="J422" s="73"/>
      <c r="K422" s="53"/>
      <c r="L422" s="53"/>
      <c r="M422" s="53"/>
      <c r="N422" s="53"/>
      <c r="O422" s="53"/>
      <c r="P422" s="53"/>
      <c r="Q422" s="53"/>
    </row>
    <row r="423" spans="3:17" ht="15.75" customHeight="1">
      <c r="C423" s="53"/>
      <c r="D423" s="73"/>
      <c r="E423" s="73"/>
      <c r="F423" s="73"/>
      <c r="G423" s="73"/>
      <c r="H423" s="73"/>
      <c r="I423" s="73"/>
      <c r="J423" s="73"/>
      <c r="K423" s="53"/>
      <c r="L423" s="53"/>
      <c r="M423" s="53"/>
      <c r="N423" s="53"/>
      <c r="O423" s="53"/>
      <c r="P423" s="53"/>
      <c r="Q423" s="53"/>
    </row>
    <row r="424" spans="3:17" ht="15.75" customHeight="1">
      <c r="C424" s="53"/>
      <c r="D424" s="73"/>
      <c r="E424" s="73"/>
      <c r="F424" s="73"/>
      <c r="G424" s="73"/>
      <c r="H424" s="73"/>
      <c r="I424" s="73"/>
      <c r="J424" s="73"/>
      <c r="K424" s="53"/>
      <c r="L424" s="53"/>
      <c r="M424" s="53"/>
      <c r="N424" s="53"/>
      <c r="O424" s="53"/>
      <c r="P424" s="53"/>
      <c r="Q424" s="53"/>
    </row>
    <row r="425" spans="3:17" ht="15.75" customHeight="1">
      <c r="C425" s="53"/>
      <c r="D425" s="73"/>
      <c r="E425" s="73"/>
      <c r="F425" s="73"/>
      <c r="G425" s="73"/>
      <c r="H425" s="73"/>
      <c r="I425" s="73"/>
      <c r="J425" s="73"/>
      <c r="K425" s="53"/>
      <c r="L425" s="53"/>
      <c r="M425" s="53"/>
      <c r="N425" s="53"/>
      <c r="O425" s="53"/>
      <c r="P425" s="53"/>
      <c r="Q425" s="53"/>
    </row>
    <row r="426" spans="3:17" ht="15.75" customHeight="1">
      <c r="C426" s="53"/>
      <c r="D426" s="73"/>
      <c r="E426" s="73"/>
      <c r="F426" s="73"/>
      <c r="G426" s="73"/>
      <c r="H426" s="73"/>
      <c r="I426" s="73"/>
      <c r="J426" s="73"/>
      <c r="K426" s="53"/>
      <c r="L426" s="53"/>
      <c r="M426" s="53"/>
      <c r="N426" s="53"/>
      <c r="O426" s="53"/>
      <c r="P426" s="53"/>
      <c r="Q426" s="53"/>
    </row>
    <row r="427" spans="3:17" ht="15.75" customHeight="1">
      <c r="C427" s="53"/>
      <c r="D427" s="73"/>
      <c r="E427" s="73"/>
      <c r="F427" s="73"/>
      <c r="G427" s="73"/>
      <c r="H427" s="73"/>
      <c r="I427" s="73"/>
      <c r="J427" s="73"/>
      <c r="K427" s="53"/>
      <c r="L427" s="53"/>
      <c r="M427" s="53"/>
      <c r="N427" s="53"/>
      <c r="O427" s="53"/>
      <c r="P427" s="53"/>
      <c r="Q427" s="53"/>
    </row>
    <row r="428" spans="3:17" ht="15.75" customHeight="1">
      <c r="C428" s="53"/>
      <c r="D428" s="73"/>
      <c r="E428" s="73"/>
      <c r="F428" s="73"/>
      <c r="G428" s="73"/>
      <c r="H428" s="73"/>
      <c r="I428" s="73"/>
      <c r="J428" s="73"/>
      <c r="K428" s="53"/>
      <c r="L428" s="53"/>
      <c r="M428" s="53"/>
      <c r="N428" s="53"/>
      <c r="O428" s="53"/>
      <c r="P428" s="53"/>
      <c r="Q428" s="53"/>
    </row>
    <row r="429" spans="3:17" ht="15.75" customHeight="1">
      <c r="C429" s="53"/>
      <c r="D429" s="73"/>
      <c r="E429" s="73"/>
      <c r="F429" s="73"/>
      <c r="G429" s="73"/>
      <c r="H429" s="73"/>
      <c r="I429" s="73"/>
      <c r="J429" s="73"/>
      <c r="K429" s="53"/>
      <c r="L429" s="53"/>
      <c r="M429" s="53"/>
      <c r="N429" s="53"/>
      <c r="O429" s="53"/>
      <c r="P429" s="53"/>
      <c r="Q429" s="53"/>
    </row>
    <row r="430" spans="3:17" ht="15.75" customHeight="1">
      <c r="C430" s="53"/>
      <c r="D430" s="73"/>
      <c r="E430" s="73"/>
      <c r="F430" s="73"/>
      <c r="G430" s="73"/>
      <c r="H430" s="73"/>
      <c r="I430" s="73"/>
      <c r="J430" s="73"/>
      <c r="K430" s="53"/>
      <c r="L430" s="53"/>
      <c r="M430" s="53"/>
      <c r="N430" s="53"/>
      <c r="O430" s="53"/>
      <c r="P430" s="53"/>
      <c r="Q430" s="53"/>
    </row>
    <row r="431" spans="3:17" ht="15.75" customHeight="1">
      <c r="C431" s="53"/>
      <c r="D431" s="73"/>
      <c r="E431" s="73"/>
      <c r="F431" s="73"/>
      <c r="G431" s="73"/>
      <c r="H431" s="73"/>
      <c r="I431" s="73"/>
      <c r="J431" s="73"/>
      <c r="K431" s="53"/>
      <c r="L431" s="53"/>
      <c r="M431" s="53"/>
      <c r="N431" s="53"/>
      <c r="O431" s="53"/>
      <c r="P431" s="53"/>
      <c r="Q431" s="53"/>
    </row>
    <row r="432" spans="3:17" ht="15.75" customHeight="1">
      <c r="C432" s="53"/>
      <c r="D432" s="73"/>
      <c r="E432" s="73"/>
      <c r="F432" s="73"/>
      <c r="G432" s="73"/>
      <c r="H432" s="73"/>
      <c r="I432" s="73"/>
      <c r="J432" s="73"/>
      <c r="K432" s="53"/>
      <c r="L432" s="53"/>
      <c r="M432" s="53"/>
      <c r="N432" s="53"/>
      <c r="O432" s="53"/>
      <c r="P432" s="53"/>
      <c r="Q432" s="53"/>
    </row>
    <row r="433" spans="3:17" ht="15.75" customHeight="1">
      <c r="C433" s="53"/>
      <c r="D433" s="73"/>
      <c r="E433" s="73"/>
      <c r="F433" s="73"/>
      <c r="G433" s="73"/>
      <c r="H433" s="73"/>
      <c r="I433" s="73"/>
      <c r="J433" s="73"/>
      <c r="K433" s="53"/>
      <c r="L433" s="53"/>
      <c r="M433" s="53"/>
      <c r="N433" s="53"/>
      <c r="O433" s="53"/>
      <c r="P433" s="53"/>
      <c r="Q433" s="53"/>
    </row>
    <row r="434" spans="3:17" ht="15.75" customHeight="1">
      <c r="C434" s="53"/>
      <c r="D434" s="73"/>
      <c r="E434" s="73"/>
      <c r="F434" s="73"/>
      <c r="G434" s="73"/>
      <c r="H434" s="73"/>
      <c r="I434" s="73"/>
      <c r="J434" s="73"/>
      <c r="K434" s="53"/>
      <c r="L434" s="53"/>
      <c r="M434" s="53"/>
      <c r="N434" s="53"/>
      <c r="O434" s="53"/>
      <c r="P434" s="53"/>
      <c r="Q434" s="53"/>
    </row>
    <row r="435" spans="3:17" ht="15.75" customHeight="1">
      <c r="C435" s="53"/>
      <c r="D435" s="73"/>
      <c r="E435" s="73"/>
      <c r="F435" s="73"/>
      <c r="G435" s="73"/>
      <c r="H435" s="73"/>
      <c r="I435" s="73"/>
      <c r="J435" s="73"/>
      <c r="K435" s="53"/>
      <c r="L435" s="53"/>
      <c r="M435" s="53"/>
      <c r="N435" s="53"/>
      <c r="O435" s="53"/>
      <c r="P435" s="53"/>
      <c r="Q435" s="53"/>
    </row>
    <row r="436" spans="3:17" ht="15.75" customHeight="1">
      <c r="C436" s="53"/>
      <c r="D436" s="73"/>
      <c r="E436" s="73"/>
      <c r="F436" s="73"/>
      <c r="G436" s="73"/>
      <c r="H436" s="73"/>
      <c r="I436" s="73"/>
      <c r="J436" s="73"/>
      <c r="K436" s="53"/>
      <c r="L436" s="53"/>
      <c r="M436" s="53"/>
      <c r="N436" s="53"/>
      <c r="O436" s="53"/>
      <c r="P436" s="53"/>
      <c r="Q436" s="53"/>
    </row>
    <row r="437" spans="3:17" ht="15.75" customHeight="1">
      <c r="C437" s="53"/>
      <c r="D437" s="73"/>
      <c r="E437" s="73"/>
      <c r="F437" s="73"/>
      <c r="G437" s="73"/>
      <c r="H437" s="73"/>
      <c r="I437" s="73"/>
      <c r="J437" s="73"/>
      <c r="K437" s="53"/>
      <c r="L437" s="53"/>
      <c r="M437" s="53"/>
      <c r="N437" s="53"/>
      <c r="O437" s="53"/>
      <c r="P437" s="53"/>
      <c r="Q437" s="53"/>
    </row>
    <row r="438" spans="3:17" ht="15.75" customHeight="1">
      <c r="C438" s="53"/>
      <c r="D438" s="73"/>
      <c r="E438" s="73"/>
      <c r="F438" s="73"/>
      <c r="G438" s="73"/>
      <c r="H438" s="73"/>
      <c r="I438" s="73"/>
      <c r="J438" s="73"/>
      <c r="K438" s="53"/>
      <c r="L438" s="53"/>
      <c r="M438" s="53"/>
      <c r="N438" s="53"/>
      <c r="O438" s="53"/>
      <c r="P438" s="53"/>
      <c r="Q438" s="53"/>
    </row>
    <row r="439" spans="3:17" ht="15.75" customHeight="1">
      <c r="C439" s="53"/>
      <c r="D439" s="73"/>
      <c r="E439" s="73"/>
      <c r="F439" s="73"/>
      <c r="G439" s="73"/>
      <c r="H439" s="73"/>
      <c r="I439" s="73"/>
      <c r="J439" s="73"/>
      <c r="K439" s="53"/>
      <c r="L439" s="53"/>
      <c r="M439" s="53"/>
      <c r="N439" s="53"/>
      <c r="O439" s="53"/>
      <c r="P439" s="53"/>
      <c r="Q439" s="53"/>
    </row>
    <row r="440" spans="3:17" ht="15.75" customHeight="1">
      <c r="C440" s="53"/>
      <c r="D440" s="73"/>
      <c r="E440" s="73"/>
      <c r="F440" s="73"/>
      <c r="G440" s="73"/>
      <c r="H440" s="73"/>
      <c r="I440" s="73"/>
      <c r="J440" s="73"/>
      <c r="K440" s="53"/>
      <c r="L440" s="53"/>
      <c r="M440" s="53"/>
      <c r="N440" s="53"/>
      <c r="O440" s="53"/>
      <c r="P440" s="53"/>
      <c r="Q440" s="53"/>
    </row>
    <row r="441" spans="3:17" ht="15.75" customHeight="1">
      <c r="C441" s="53"/>
      <c r="D441" s="73"/>
      <c r="E441" s="73"/>
      <c r="F441" s="73"/>
      <c r="G441" s="73"/>
      <c r="H441" s="73"/>
      <c r="I441" s="73"/>
      <c r="J441" s="73"/>
      <c r="K441" s="53"/>
      <c r="L441" s="53"/>
      <c r="M441" s="53"/>
      <c r="N441" s="53"/>
      <c r="O441" s="53"/>
      <c r="P441" s="53"/>
      <c r="Q441" s="53"/>
    </row>
    <row r="442" spans="3:17" ht="15.75" customHeight="1">
      <c r="C442" s="53"/>
      <c r="D442" s="73"/>
      <c r="E442" s="73"/>
      <c r="F442" s="73"/>
      <c r="G442" s="73"/>
      <c r="H442" s="73"/>
      <c r="I442" s="73"/>
      <c r="J442" s="73"/>
      <c r="K442" s="53"/>
      <c r="L442" s="53"/>
      <c r="M442" s="53"/>
      <c r="N442" s="53"/>
      <c r="O442" s="53"/>
      <c r="P442" s="53"/>
      <c r="Q442" s="53"/>
    </row>
    <row r="443" spans="3:17" ht="15.75" customHeight="1">
      <c r="C443" s="53"/>
      <c r="D443" s="73"/>
      <c r="E443" s="73"/>
      <c r="F443" s="73"/>
      <c r="G443" s="73"/>
      <c r="H443" s="73"/>
      <c r="I443" s="73"/>
      <c r="J443" s="73"/>
      <c r="K443" s="53"/>
      <c r="L443" s="53"/>
      <c r="M443" s="53"/>
      <c r="N443" s="53"/>
      <c r="O443" s="53"/>
      <c r="P443" s="53"/>
      <c r="Q443" s="53"/>
    </row>
    <row r="444" spans="3:17" ht="15.75" customHeight="1">
      <c r="C444" s="53"/>
      <c r="D444" s="73"/>
      <c r="E444" s="73"/>
      <c r="F444" s="73"/>
      <c r="G444" s="73"/>
      <c r="H444" s="73"/>
      <c r="I444" s="73"/>
      <c r="J444" s="73"/>
      <c r="K444" s="53"/>
      <c r="L444" s="53"/>
      <c r="M444" s="53"/>
      <c r="N444" s="53"/>
      <c r="O444" s="53"/>
      <c r="P444" s="53"/>
      <c r="Q444" s="53"/>
    </row>
    <row r="445" spans="3:17" ht="15.75" customHeight="1">
      <c r="C445" s="53"/>
      <c r="D445" s="73"/>
      <c r="E445" s="73"/>
      <c r="F445" s="73"/>
      <c r="G445" s="73"/>
      <c r="H445" s="73"/>
      <c r="I445" s="73"/>
      <c r="J445" s="73"/>
      <c r="K445" s="53"/>
      <c r="L445" s="53"/>
      <c r="M445" s="53"/>
      <c r="N445" s="53"/>
      <c r="O445" s="53"/>
      <c r="P445" s="53"/>
      <c r="Q445" s="53"/>
    </row>
    <row r="446" spans="3:17" ht="15.75" customHeight="1">
      <c r="C446" s="53"/>
      <c r="D446" s="73"/>
      <c r="E446" s="73"/>
      <c r="F446" s="73"/>
      <c r="G446" s="73"/>
      <c r="H446" s="73"/>
      <c r="I446" s="73"/>
      <c r="J446" s="73"/>
      <c r="K446" s="53"/>
      <c r="L446" s="53"/>
      <c r="M446" s="53"/>
      <c r="N446" s="53"/>
      <c r="O446" s="53"/>
      <c r="P446" s="53"/>
      <c r="Q446" s="53"/>
    </row>
    <row r="447" spans="3:17" ht="15.75" customHeight="1">
      <c r="C447" s="53"/>
      <c r="D447" s="73"/>
      <c r="E447" s="73"/>
      <c r="F447" s="73"/>
      <c r="G447" s="73"/>
      <c r="H447" s="73"/>
      <c r="I447" s="73"/>
      <c r="J447" s="73"/>
      <c r="K447" s="53"/>
      <c r="L447" s="53"/>
      <c r="M447" s="53"/>
      <c r="N447" s="53"/>
      <c r="O447" s="53"/>
      <c r="P447" s="53"/>
      <c r="Q447" s="53"/>
    </row>
    <row r="448" spans="3:17" ht="15.75" customHeight="1">
      <c r="C448" s="53"/>
      <c r="D448" s="73"/>
      <c r="E448" s="73"/>
      <c r="F448" s="73"/>
      <c r="G448" s="73"/>
      <c r="H448" s="73"/>
      <c r="I448" s="73"/>
      <c r="J448" s="73"/>
      <c r="K448" s="53"/>
      <c r="L448" s="53"/>
      <c r="M448" s="53"/>
      <c r="N448" s="53"/>
      <c r="O448" s="53"/>
      <c r="P448" s="53"/>
      <c r="Q448" s="53"/>
    </row>
    <row r="449" spans="3:17" ht="15.75" customHeight="1">
      <c r="C449" s="53"/>
      <c r="D449" s="73"/>
      <c r="E449" s="73"/>
      <c r="F449" s="73"/>
      <c r="G449" s="73"/>
      <c r="H449" s="73"/>
      <c r="I449" s="73"/>
      <c r="J449" s="73"/>
      <c r="K449" s="53"/>
      <c r="L449" s="53"/>
      <c r="M449" s="53"/>
      <c r="N449" s="53"/>
      <c r="O449" s="53"/>
      <c r="P449" s="53"/>
      <c r="Q449" s="53"/>
    </row>
    <row r="450" spans="3:17" ht="15.75" customHeight="1">
      <c r="C450" s="53"/>
      <c r="D450" s="73"/>
      <c r="E450" s="73"/>
      <c r="F450" s="73"/>
      <c r="G450" s="73"/>
      <c r="H450" s="73"/>
      <c r="I450" s="73"/>
      <c r="J450" s="73"/>
      <c r="K450" s="53"/>
      <c r="L450" s="53"/>
      <c r="M450" s="53"/>
      <c r="N450" s="53"/>
      <c r="O450" s="53"/>
      <c r="P450" s="53"/>
      <c r="Q450" s="53"/>
    </row>
    <row r="451" spans="3:17" ht="15.75" customHeight="1">
      <c r="C451" s="53"/>
      <c r="D451" s="73"/>
      <c r="E451" s="73"/>
      <c r="F451" s="73"/>
      <c r="G451" s="73"/>
      <c r="H451" s="73"/>
      <c r="I451" s="73"/>
      <c r="J451" s="73"/>
      <c r="K451" s="53"/>
      <c r="L451" s="53"/>
      <c r="M451" s="53"/>
      <c r="N451" s="53"/>
      <c r="O451" s="53"/>
      <c r="P451" s="53"/>
      <c r="Q451" s="53"/>
    </row>
    <row r="452" spans="3:17" ht="15.75" customHeight="1">
      <c r="C452" s="53"/>
      <c r="D452" s="73"/>
      <c r="E452" s="73"/>
      <c r="F452" s="73"/>
      <c r="G452" s="73"/>
      <c r="H452" s="73"/>
      <c r="I452" s="73"/>
      <c r="J452" s="73"/>
      <c r="K452" s="53"/>
      <c r="L452" s="53"/>
      <c r="M452" s="53"/>
      <c r="N452" s="53"/>
      <c r="O452" s="53"/>
      <c r="P452" s="53"/>
      <c r="Q452" s="53"/>
    </row>
    <row r="453" spans="3:17" ht="15.75" customHeight="1">
      <c r="C453" s="53"/>
      <c r="D453" s="73"/>
      <c r="E453" s="73"/>
      <c r="F453" s="73"/>
      <c r="G453" s="73"/>
      <c r="H453" s="73"/>
      <c r="I453" s="73"/>
      <c r="J453" s="73"/>
      <c r="K453" s="53"/>
      <c r="L453" s="53"/>
      <c r="M453" s="53"/>
      <c r="N453" s="53"/>
      <c r="O453" s="53"/>
      <c r="P453" s="53"/>
      <c r="Q453" s="53"/>
    </row>
    <row r="454" spans="3:17" ht="15.75" customHeight="1">
      <c r="C454" s="53"/>
      <c r="D454" s="73"/>
      <c r="E454" s="73"/>
      <c r="F454" s="73"/>
      <c r="G454" s="73"/>
      <c r="H454" s="73"/>
      <c r="I454" s="73"/>
      <c r="J454" s="73"/>
      <c r="K454" s="53"/>
      <c r="L454" s="53"/>
      <c r="M454" s="53"/>
      <c r="N454" s="53"/>
      <c r="O454" s="53"/>
      <c r="P454" s="53"/>
      <c r="Q454" s="53"/>
    </row>
    <row r="455" spans="3:17" ht="15.75" customHeight="1">
      <c r="C455" s="53"/>
      <c r="D455" s="73"/>
      <c r="E455" s="73"/>
      <c r="F455" s="73"/>
      <c r="G455" s="73"/>
      <c r="H455" s="73"/>
      <c r="I455" s="73"/>
      <c r="J455" s="73"/>
      <c r="K455" s="53"/>
      <c r="L455" s="53"/>
      <c r="M455" s="53"/>
      <c r="N455" s="53"/>
      <c r="O455" s="53"/>
      <c r="P455" s="53"/>
      <c r="Q455" s="53"/>
    </row>
    <row r="456" spans="3:17" ht="15.75" customHeight="1">
      <c r="C456" s="53"/>
      <c r="D456" s="73"/>
      <c r="E456" s="73"/>
      <c r="F456" s="73"/>
      <c r="G456" s="73"/>
      <c r="H456" s="73"/>
      <c r="I456" s="73"/>
      <c r="J456" s="73"/>
      <c r="K456" s="53"/>
      <c r="L456" s="53"/>
      <c r="M456" s="53"/>
      <c r="N456" s="53"/>
      <c r="O456" s="53"/>
      <c r="P456" s="53"/>
      <c r="Q456" s="53"/>
    </row>
    <row r="457" spans="3:17" ht="15.75" customHeight="1">
      <c r="C457" s="53"/>
      <c r="D457" s="73"/>
      <c r="E457" s="73"/>
      <c r="F457" s="73"/>
      <c r="G457" s="73"/>
      <c r="H457" s="73"/>
      <c r="I457" s="73"/>
      <c r="J457" s="73"/>
      <c r="K457" s="53"/>
      <c r="L457" s="53"/>
      <c r="M457" s="53"/>
      <c r="N457" s="53"/>
      <c r="O457" s="53"/>
      <c r="P457" s="53"/>
      <c r="Q457" s="53"/>
    </row>
    <row r="458" spans="3:17" ht="15.75" customHeight="1">
      <c r="C458" s="53"/>
      <c r="D458" s="73"/>
      <c r="E458" s="73"/>
      <c r="F458" s="73"/>
      <c r="G458" s="73"/>
      <c r="H458" s="73"/>
      <c r="I458" s="73"/>
      <c r="J458" s="73"/>
      <c r="K458" s="53"/>
      <c r="L458" s="53"/>
      <c r="M458" s="53"/>
      <c r="N458" s="53"/>
      <c r="O458" s="53"/>
      <c r="P458" s="53"/>
      <c r="Q458" s="53"/>
    </row>
    <row r="459" spans="3:17" ht="15.75" customHeight="1">
      <c r="C459" s="53"/>
      <c r="D459" s="73"/>
      <c r="E459" s="73"/>
      <c r="F459" s="73"/>
      <c r="G459" s="73"/>
      <c r="H459" s="73"/>
      <c r="I459" s="73"/>
      <c r="J459" s="73"/>
      <c r="K459" s="53"/>
      <c r="L459" s="53"/>
      <c r="M459" s="53"/>
      <c r="N459" s="53"/>
      <c r="O459" s="53"/>
      <c r="P459" s="53"/>
      <c r="Q459" s="53"/>
    </row>
    <row r="460" spans="3:17" ht="15.75" customHeight="1">
      <c r="C460" s="53"/>
      <c r="D460" s="73"/>
      <c r="E460" s="73"/>
      <c r="F460" s="73"/>
      <c r="G460" s="73"/>
      <c r="H460" s="73"/>
      <c r="I460" s="73"/>
      <c r="J460" s="73"/>
      <c r="K460" s="53"/>
      <c r="L460" s="53"/>
      <c r="M460" s="53"/>
      <c r="N460" s="53"/>
      <c r="O460" s="53"/>
      <c r="P460" s="53"/>
      <c r="Q460" s="53"/>
    </row>
    <row r="461" spans="3:17" ht="15.75" customHeight="1">
      <c r="C461" s="53"/>
      <c r="D461" s="73"/>
      <c r="E461" s="73"/>
      <c r="F461" s="73"/>
      <c r="G461" s="73"/>
      <c r="H461" s="73"/>
      <c r="I461" s="73"/>
      <c r="J461" s="73"/>
      <c r="K461" s="53"/>
      <c r="L461" s="53"/>
      <c r="M461" s="53"/>
      <c r="N461" s="53"/>
      <c r="O461" s="53"/>
      <c r="P461" s="53"/>
      <c r="Q461" s="53"/>
    </row>
    <row r="462" spans="3:17" ht="15.75" customHeight="1">
      <c r="C462" s="53"/>
      <c r="D462" s="73"/>
      <c r="E462" s="73"/>
      <c r="F462" s="73"/>
      <c r="G462" s="73"/>
      <c r="H462" s="73"/>
      <c r="I462" s="73"/>
      <c r="J462" s="73"/>
      <c r="K462" s="53"/>
      <c r="L462" s="53"/>
      <c r="M462" s="53"/>
      <c r="N462" s="53"/>
      <c r="O462" s="53"/>
      <c r="P462" s="53"/>
      <c r="Q462" s="53"/>
    </row>
    <row r="463" spans="3:17" ht="15.75" customHeight="1">
      <c r="C463" s="53"/>
      <c r="D463" s="73"/>
      <c r="E463" s="73"/>
      <c r="F463" s="73"/>
      <c r="G463" s="73"/>
      <c r="H463" s="73"/>
      <c r="I463" s="73"/>
      <c r="J463" s="73"/>
      <c r="K463" s="53"/>
      <c r="L463" s="53"/>
      <c r="M463" s="53"/>
      <c r="N463" s="53"/>
      <c r="O463" s="53"/>
      <c r="P463" s="53"/>
      <c r="Q463" s="53"/>
    </row>
    <row r="464" spans="3:17" ht="15.75" customHeight="1">
      <c r="C464" s="53"/>
      <c r="D464" s="73"/>
      <c r="E464" s="73"/>
      <c r="F464" s="73"/>
      <c r="G464" s="73"/>
      <c r="H464" s="73"/>
      <c r="I464" s="73"/>
      <c r="J464" s="73"/>
      <c r="K464" s="53"/>
      <c r="L464" s="53"/>
      <c r="M464" s="53"/>
      <c r="N464" s="53"/>
      <c r="O464" s="53"/>
      <c r="P464" s="53"/>
      <c r="Q464" s="53"/>
    </row>
    <row r="465" spans="3:17" ht="15.75" customHeight="1">
      <c r="C465" s="53"/>
      <c r="D465" s="73"/>
      <c r="E465" s="73"/>
      <c r="F465" s="73"/>
      <c r="G465" s="73"/>
      <c r="H465" s="73"/>
      <c r="I465" s="73"/>
      <c r="J465" s="73"/>
      <c r="K465" s="53"/>
      <c r="L465" s="53"/>
      <c r="M465" s="53"/>
      <c r="N465" s="53"/>
      <c r="O465" s="53"/>
      <c r="P465" s="53"/>
      <c r="Q465" s="53"/>
    </row>
    <row r="466" spans="3:17" ht="15.75" customHeight="1">
      <c r="C466" s="53"/>
      <c r="D466" s="73"/>
      <c r="E466" s="73"/>
      <c r="F466" s="73"/>
      <c r="G466" s="73"/>
      <c r="H466" s="73"/>
      <c r="I466" s="73"/>
      <c r="J466" s="73"/>
      <c r="K466" s="53"/>
      <c r="L466" s="53"/>
      <c r="M466" s="53"/>
      <c r="N466" s="53"/>
      <c r="O466" s="53"/>
      <c r="P466" s="53"/>
      <c r="Q466" s="53"/>
    </row>
    <row r="467" spans="3:17" ht="15.75" customHeight="1">
      <c r="C467" s="53"/>
      <c r="D467" s="73"/>
      <c r="E467" s="73"/>
      <c r="F467" s="73"/>
      <c r="G467" s="73"/>
      <c r="H467" s="73"/>
      <c r="I467" s="73"/>
      <c r="J467" s="73"/>
      <c r="K467" s="53"/>
      <c r="L467" s="53"/>
      <c r="M467" s="53"/>
      <c r="N467" s="53"/>
      <c r="O467" s="53"/>
      <c r="P467" s="53"/>
      <c r="Q467" s="53"/>
    </row>
    <row r="468" spans="3:17" ht="15.75" customHeight="1">
      <c r="C468" s="53"/>
      <c r="D468" s="73"/>
      <c r="E468" s="73"/>
      <c r="F468" s="73"/>
      <c r="G468" s="73"/>
      <c r="H468" s="73"/>
      <c r="I468" s="73"/>
      <c r="J468" s="73"/>
      <c r="K468" s="53"/>
      <c r="L468" s="53"/>
      <c r="M468" s="53"/>
      <c r="N468" s="53"/>
      <c r="O468" s="53"/>
      <c r="P468" s="53"/>
      <c r="Q468" s="53"/>
    </row>
    <row r="469" spans="3:17" ht="15.75" customHeight="1">
      <c r="C469" s="53"/>
      <c r="D469" s="73"/>
      <c r="E469" s="73"/>
      <c r="F469" s="73"/>
      <c r="G469" s="73"/>
      <c r="H469" s="73"/>
      <c r="I469" s="73"/>
      <c r="J469" s="73"/>
      <c r="K469" s="53"/>
      <c r="L469" s="53"/>
      <c r="M469" s="53"/>
      <c r="N469" s="53"/>
      <c r="O469" s="53"/>
      <c r="P469" s="53"/>
      <c r="Q469" s="53"/>
    </row>
    <row r="470" spans="3:17" ht="15.75" customHeight="1">
      <c r="C470" s="53"/>
      <c r="D470" s="73"/>
      <c r="E470" s="73"/>
      <c r="F470" s="73"/>
      <c r="G470" s="73"/>
      <c r="H470" s="73"/>
      <c r="I470" s="73"/>
      <c r="J470" s="73"/>
      <c r="K470" s="53"/>
      <c r="L470" s="53"/>
      <c r="M470" s="53"/>
      <c r="N470" s="53"/>
      <c r="O470" s="53"/>
      <c r="P470" s="53"/>
      <c r="Q470" s="53"/>
    </row>
    <row r="471" spans="3:17" ht="15.75" customHeight="1">
      <c r="C471" s="53"/>
      <c r="D471" s="73"/>
      <c r="E471" s="73"/>
      <c r="F471" s="73"/>
      <c r="G471" s="73"/>
      <c r="H471" s="73"/>
      <c r="I471" s="73"/>
      <c r="J471" s="73"/>
      <c r="K471" s="53"/>
      <c r="L471" s="53"/>
      <c r="M471" s="53"/>
      <c r="N471" s="53"/>
      <c r="O471" s="53"/>
      <c r="P471" s="53"/>
      <c r="Q471" s="53"/>
    </row>
    <row r="472" spans="3:17" ht="15.75" customHeight="1">
      <c r="C472" s="53"/>
      <c r="D472" s="73"/>
      <c r="E472" s="73"/>
      <c r="F472" s="73"/>
      <c r="G472" s="73"/>
      <c r="H472" s="73"/>
      <c r="I472" s="73"/>
      <c r="J472" s="73"/>
      <c r="K472" s="53"/>
      <c r="L472" s="53"/>
      <c r="M472" s="53"/>
      <c r="N472" s="53"/>
      <c r="O472" s="53"/>
      <c r="P472" s="53"/>
      <c r="Q472" s="53"/>
    </row>
    <row r="473" spans="3:17" ht="15.75" customHeight="1">
      <c r="C473" s="53"/>
      <c r="D473" s="73"/>
      <c r="E473" s="73"/>
      <c r="F473" s="73"/>
      <c r="G473" s="73"/>
      <c r="H473" s="73"/>
      <c r="I473" s="73"/>
      <c r="J473" s="73"/>
      <c r="K473" s="53"/>
      <c r="L473" s="53"/>
      <c r="M473" s="53"/>
      <c r="N473" s="53"/>
      <c r="O473" s="53"/>
      <c r="P473" s="53"/>
      <c r="Q473" s="53"/>
    </row>
    <row r="474" spans="3:17" ht="15.75" customHeight="1">
      <c r="C474" s="53"/>
      <c r="D474" s="73"/>
      <c r="E474" s="73"/>
      <c r="F474" s="73"/>
      <c r="G474" s="73"/>
      <c r="H474" s="73"/>
      <c r="I474" s="73"/>
      <c r="J474" s="73"/>
      <c r="K474" s="53"/>
      <c r="L474" s="53"/>
      <c r="M474" s="53"/>
      <c r="N474" s="53"/>
      <c r="O474" s="53"/>
      <c r="P474" s="53"/>
      <c r="Q474" s="53"/>
    </row>
    <row r="475" spans="3:17" ht="15.75" customHeight="1">
      <c r="C475" s="53"/>
      <c r="D475" s="73"/>
      <c r="E475" s="73"/>
      <c r="F475" s="73"/>
      <c r="G475" s="73"/>
      <c r="H475" s="73"/>
      <c r="I475" s="73"/>
      <c r="J475" s="73"/>
      <c r="K475" s="53"/>
      <c r="L475" s="53"/>
      <c r="M475" s="53"/>
      <c r="N475" s="53"/>
      <c r="O475" s="53"/>
      <c r="P475" s="53"/>
      <c r="Q475" s="53"/>
    </row>
    <row r="476" spans="3:17" ht="15.75" customHeight="1">
      <c r="C476" s="53"/>
      <c r="D476" s="73"/>
      <c r="E476" s="73"/>
      <c r="F476" s="73"/>
      <c r="G476" s="73"/>
      <c r="H476" s="73"/>
      <c r="I476" s="73"/>
      <c r="J476" s="73"/>
      <c r="K476" s="53"/>
      <c r="L476" s="53"/>
      <c r="M476" s="53"/>
      <c r="N476" s="53"/>
      <c r="O476" s="53"/>
      <c r="P476" s="53"/>
      <c r="Q476" s="53"/>
    </row>
    <row r="477" spans="3:17" ht="15.75" customHeight="1">
      <c r="C477" s="53"/>
      <c r="D477" s="73"/>
      <c r="E477" s="73"/>
      <c r="F477" s="73"/>
      <c r="G477" s="73"/>
      <c r="H477" s="73"/>
      <c r="I477" s="73"/>
      <c r="J477" s="73"/>
      <c r="K477" s="53"/>
      <c r="L477" s="53"/>
      <c r="M477" s="53"/>
      <c r="N477" s="53"/>
      <c r="O477" s="53"/>
      <c r="P477" s="53"/>
      <c r="Q477" s="53"/>
    </row>
    <row r="478" spans="3:17" ht="15.75" customHeight="1">
      <c r="C478" s="53"/>
      <c r="D478" s="73"/>
      <c r="E478" s="73"/>
      <c r="F478" s="73"/>
      <c r="G478" s="73"/>
      <c r="H478" s="73"/>
      <c r="I478" s="73"/>
      <c r="J478" s="73"/>
      <c r="K478" s="53"/>
      <c r="L478" s="53"/>
      <c r="M478" s="53"/>
      <c r="N478" s="53"/>
      <c r="O478" s="53"/>
      <c r="P478" s="53"/>
      <c r="Q478" s="53"/>
    </row>
    <row r="479" spans="3:17" ht="15.75" customHeight="1">
      <c r="C479" s="53"/>
      <c r="D479" s="73"/>
      <c r="E479" s="73"/>
      <c r="F479" s="73"/>
      <c r="G479" s="73"/>
      <c r="H479" s="73"/>
      <c r="I479" s="73"/>
      <c r="J479" s="73"/>
      <c r="K479" s="53"/>
      <c r="L479" s="53"/>
      <c r="M479" s="53"/>
      <c r="N479" s="53"/>
      <c r="O479" s="53"/>
      <c r="P479" s="53"/>
      <c r="Q479" s="53"/>
    </row>
    <row r="480" spans="3:17" ht="15.75" customHeight="1">
      <c r="C480" s="53"/>
      <c r="D480" s="73"/>
      <c r="E480" s="73"/>
      <c r="F480" s="73"/>
      <c r="G480" s="73"/>
      <c r="H480" s="73"/>
      <c r="I480" s="73"/>
      <c r="J480" s="73"/>
      <c r="K480" s="53"/>
      <c r="L480" s="53"/>
      <c r="M480" s="53"/>
      <c r="N480" s="53"/>
      <c r="O480" s="53"/>
      <c r="P480" s="53"/>
      <c r="Q480" s="53"/>
    </row>
    <row r="481" spans="3:17" ht="15.75" customHeight="1">
      <c r="C481" s="53"/>
      <c r="D481" s="73"/>
      <c r="E481" s="73"/>
      <c r="F481" s="73"/>
      <c r="G481" s="73"/>
      <c r="H481" s="73"/>
      <c r="I481" s="73"/>
      <c r="J481" s="73"/>
      <c r="K481" s="53"/>
      <c r="L481" s="53"/>
      <c r="M481" s="53"/>
      <c r="N481" s="53"/>
      <c r="O481" s="53"/>
      <c r="P481" s="53"/>
      <c r="Q481" s="53"/>
    </row>
    <row r="482" spans="3:17" ht="15.75" customHeight="1">
      <c r="C482" s="53"/>
      <c r="D482" s="73"/>
      <c r="E482" s="73"/>
      <c r="F482" s="73"/>
      <c r="G482" s="73"/>
      <c r="H482" s="73"/>
      <c r="I482" s="73"/>
      <c r="J482" s="73"/>
      <c r="K482" s="53"/>
      <c r="L482" s="53"/>
      <c r="M482" s="53"/>
      <c r="N482" s="53"/>
      <c r="O482" s="53"/>
      <c r="P482" s="53"/>
      <c r="Q482" s="53"/>
    </row>
    <row r="483" spans="3:17" ht="15.75" customHeight="1">
      <c r="C483" s="53"/>
      <c r="D483" s="73"/>
      <c r="E483" s="73"/>
      <c r="F483" s="73"/>
      <c r="G483" s="73"/>
      <c r="H483" s="73"/>
      <c r="I483" s="73"/>
      <c r="J483" s="73"/>
      <c r="K483" s="53"/>
      <c r="L483" s="53"/>
      <c r="M483" s="53"/>
      <c r="N483" s="53"/>
      <c r="O483" s="53"/>
      <c r="P483" s="53"/>
      <c r="Q483" s="53"/>
    </row>
    <row r="484" spans="3:17" ht="15.75" customHeight="1">
      <c r="C484" s="53"/>
      <c r="D484" s="73"/>
      <c r="E484" s="73"/>
      <c r="F484" s="73"/>
      <c r="G484" s="73"/>
      <c r="H484" s="73"/>
      <c r="I484" s="73"/>
      <c r="J484" s="73"/>
      <c r="K484" s="53"/>
      <c r="L484" s="53"/>
      <c r="M484" s="53"/>
      <c r="N484" s="53"/>
      <c r="O484" s="53"/>
      <c r="P484" s="53"/>
      <c r="Q484" s="53"/>
    </row>
    <row r="485" spans="3:17" ht="15.75" customHeight="1">
      <c r="C485" s="53"/>
      <c r="D485" s="73"/>
      <c r="E485" s="73"/>
      <c r="F485" s="73"/>
      <c r="G485" s="73"/>
      <c r="H485" s="73"/>
      <c r="I485" s="73"/>
      <c r="J485" s="73"/>
      <c r="K485" s="53"/>
      <c r="L485" s="53"/>
      <c r="M485" s="53"/>
      <c r="N485" s="53"/>
      <c r="O485" s="53"/>
      <c r="P485" s="53"/>
      <c r="Q485" s="53"/>
    </row>
    <row r="486" spans="3:17" ht="15.75" customHeight="1">
      <c r="C486" s="53"/>
      <c r="D486" s="73"/>
      <c r="E486" s="73"/>
      <c r="F486" s="73"/>
      <c r="G486" s="73"/>
      <c r="H486" s="73"/>
      <c r="I486" s="73"/>
      <c r="J486" s="73"/>
      <c r="K486" s="53"/>
      <c r="L486" s="53"/>
      <c r="M486" s="53"/>
      <c r="N486" s="53"/>
      <c r="O486" s="53"/>
      <c r="P486" s="53"/>
      <c r="Q486" s="53"/>
    </row>
    <row r="487" spans="3:17" ht="15.75" customHeight="1">
      <c r="C487" s="53"/>
      <c r="D487" s="73"/>
      <c r="E487" s="73"/>
      <c r="F487" s="73"/>
      <c r="G487" s="73"/>
      <c r="H487" s="73"/>
      <c r="I487" s="73"/>
      <c r="J487" s="73"/>
      <c r="K487" s="53"/>
      <c r="L487" s="53"/>
      <c r="M487" s="53"/>
      <c r="N487" s="53"/>
      <c r="O487" s="53"/>
      <c r="P487" s="53"/>
      <c r="Q487" s="53"/>
    </row>
    <row r="488" spans="3:17" ht="15.75" customHeight="1">
      <c r="C488" s="53"/>
      <c r="D488" s="73"/>
      <c r="E488" s="73"/>
      <c r="F488" s="73"/>
      <c r="G488" s="73"/>
      <c r="H488" s="73"/>
      <c r="I488" s="73"/>
      <c r="J488" s="73"/>
      <c r="K488" s="53"/>
      <c r="L488" s="53"/>
      <c r="M488" s="53"/>
      <c r="N488" s="53"/>
      <c r="O488" s="53"/>
      <c r="P488" s="53"/>
      <c r="Q488" s="53"/>
    </row>
    <row r="489" spans="3:17" ht="15.75" customHeight="1">
      <c r="C489" s="53"/>
      <c r="D489" s="73"/>
      <c r="E489" s="73"/>
      <c r="F489" s="73"/>
      <c r="G489" s="73"/>
      <c r="H489" s="73"/>
      <c r="I489" s="73"/>
      <c r="J489" s="73"/>
      <c r="K489" s="53"/>
      <c r="L489" s="53"/>
      <c r="M489" s="53"/>
      <c r="N489" s="53"/>
      <c r="O489" s="53"/>
      <c r="P489" s="53"/>
      <c r="Q489" s="53"/>
    </row>
    <row r="490" spans="3:17" ht="15.75" customHeight="1">
      <c r="C490" s="53"/>
      <c r="D490" s="73"/>
      <c r="E490" s="73"/>
      <c r="F490" s="73"/>
      <c r="G490" s="73"/>
      <c r="H490" s="73"/>
      <c r="I490" s="73"/>
      <c r="J490" s="73"/>
      <c r="K490" s="53"/>
      <c r="L490" s="53"/>
      <c r="M490" s="53"/>
      <c r="N490" s="53"/>
      <c r="O490" s="53"/>
      <c r="P490" s="53"/>
      <c r="Q490" s="53"/>
    </row>
    <row r="491" spans="3:17" ht="15.75" customHeight="1">
      <c r="C491" s="53"/>
      <c r="D491" s="73"/>
      <c r="E491" s="73"/>
      <c r="F491" s="73"/>
      <c r="G491" s="73"/>
      <c r="H491" s="73"/>
      <c r="I491" s="73"/>
      <c r="J491" s="73"/>
      <c r="K491" s="53"/>
      <c r="L491" s="53"/>
      <c r="M491" s="53"/>
      <c r="N491" s="53"/>
      <c r="O491" s="53"/>
      <c r="P491" s="53"/>
      <c r="Q491" s="53"/>
    </row>
    <row r="492" spans="3:17" ht="15.75" customHeight="1">
      <c r="C492" s="53"/>
      <c r="D492" s="73"/>
      <c r="E492" s="73"/>
      <c r="F492" s="73"/>
      <c r="G492" s="73"/>
      <c r="H492" s="73"/>
      <c r="I492" s="73"/>
      <c r="J492" s="73"/>
      <c r="K492" s="53"/>
      <c r="L492" s="53"/>
      <c r="M492" s="53"/>
      <c r="N492" s="53"/>
      <c r="O492" s="53"/>
      <c r="P492" s="53"/>
      <c r="Q492" s="53"/>
    </row>
    <row r="493" spans="3:17" ht="15.75" customHeight="1">
      <c r="C493" s="53"/>
      <c r="D493" s="73"/>
      <c r="E493" s="73"/>
      <c r="F493" s="73"/>
      <c r="G493" s="73"/>
      <c r="H493" s="73"/>
      <c r="I493" s="73"/>
      <c r="J493" s="73"/>
      <c r="K493" s="53"/>
      <c r="L493" s="53"/>
      <c r="M493" s="53"/>
      <c r="N493" s="53"/>
      <c r="O493" s="53"/>
      <c r="P493" s="53"/>
      <c r="Q493" s="53"/>
    </row>
    <row r="494" spans="3:17" ht="15.75" customHeight="1">
      <c r="C494" s="53"/>
      <c r="D494" s="73"/>
      <c r="E494" s="73"/>
      <c r="F494" s="73"/>
      <c r="G494" s="73"/>
      <c r="H494" s="73"/>
      <c r="I494" s="73"/>
      <c r="J494" s="73"/>
      <c r="K494" s="53"/>
      <c r="L494" s="53"/>
      <c r="M494" s="53"/>
      <c r="N494" s="53"/>
      <c r="O494" s="53"/>
      <c r="P494" s="53"/>
      <c r="Q494" s="53"/>
    </row>
    <row r="495" spans="3:17" ht="15.75" customHeight="1">
      <c r="C495" s="53"/>
      <c r="D495" s="73"/>
      <c r="E495" s="73"/>
      <c r="F495" s="73"/>
      <c r="G495" s="73"/>
      <c r="H495" s="73"/>
      <c r="I495" s="73"/>
      <c r="J495" s="73"/>
      <c r="K495" s="53"/>
      <c r="L495" s="53"/>
      <c r="M495" s="53"/>
      <c r="N495" s="53"/>
      <c r="O495" s="53"/>
      <c r="P495" s="53"/>
      <c r="Q495" s="53"/>
    </row>
    <row r="496" spans="3:17" ht="15.75" customHeight="1">
      <c r="C496" s="53"/>
      <c r="D496" s="73"/>
      <c r="E496" s="73"/>
      <c r="F496" s="73"/>
      <c r="G496" s="73"/>
      <c r="H496" s="73"/>
      <c r="I496" s="73"/>
      <c r="J496" s="73"/>
      <c r="K496" s="53"/>
      <c r="L496" s="53"/>
      <c r="M496" s="53"/>
      <c r="N496" s="53"/>
      <c r="O496" s="53"/>
      <c r="P496" s="53"/>
      <c r="Q496" s="53"/>
    </row>
    <row r="497" spans="3:17" ht="15.75" customHeight="1">
      <c r="C497" s="53"/>
      <c r="D497" s="73"/>
      <c r="E497" s="73"/>
      <c r="F497" s="73"/>
      <c r="G497" s="73"/>
      <c r="H497" s="73"/>
      <c r="I497" s="73"/>
      <c r="J497" s="73"/>
      <c r="K497" s="53"/>
      <c r="L497" s="53"/>
      <c r="M497" s="53"/>
      <c r="N497" s="53"/>
      <c r="O497" s="53"/>
      <c r="P497" s="53"/>
      <c r="Q497" s="53"/>
    </row>
    <row r="498" spans="3:17" ht="15.75" customHeight="1">
      <c r="C498" s="53"/>
      <c r="D498" s="73"/>
      <c r="E498" s="73"/>
      <c r="F498" s="73"/>
      <c r="G498" s="73"/>
      <c r="H498" s="73"/>
      <c r="I498" s="73"/>
      <c r="J498" s="73"/>
      <c r="K498" s="53"/>
      <c r="L498" s="53"/>
      <c r="M498" s="53"/>
      <c r="N498" s="53"/>
      <c r="O498" s="53"/>
      <c r="P498" s="53"/>
      <c r="Q498" s="53"/>
    </row>
    <row r="499" spans="3:17" ht="15.75" customHeight="1">
      <c r="C499" s="53"/>
      <c r="D499" s="73"/>
      <c r="E499" s="73"/>
      <c r="F499" s="73"/>
      <c r="G499" s="73"/>
      <c r="H499" s="73"/>
      <c r="I499" s="73"/>
      <c r="J499" s="73"/>
      <c r="K499" s="53"/>
      <c r="L499" s="53"/>
      <c r="M499" s="53"/>
      <c r="N499" s="53"/>
      <c r="O499" s="53"/>
      <c r="P499" s="53"/>
      <c r="Q499" s="53"/>
    </row>
    <row r="500" spans="3:17" ht="15.75" customHeight="1">
      <c r="C500" s="53"/>
      <c r="D500" s="73"/>
      <c r="E500" s="73"/>
      <c r="F500" s="73"/>
      <c r="G500" s="73"/>
      <c r="H500" s="73"/>
      <c r="I500" s="73"/>
      <c r="J500" s="73"/>
      <c r="K500" s="53"/>
      <c r="L500" s="53"/>
      <c r="M500" s="53"/>
      <c r="N500" s="53"/>
      <c r="O500" s="53"/>
      <c r="P500" s="53"/>
      <c r="Q500" s="53"/>
    </row>
    <row r="501" spans="3:17" ht="15.75" customHeight="1">
      <c r="C501" s="53"/>
      <c r="D501" s="73"/>
      <c r="E501" s="73"/>
      <c r="F501" s="73"/>
      <c r="G501" s="73"/>
      <c r="H501" s="73"/>
      <c r="I501" s="73"/>
      <c r="J501" s="73"/>
      <c r="K501" s="53"/>
      <c r="L501" s="53"/>
      <c r="M501" s="53"/>
      <c r="N501" s="53"/>
      <c r="O501" s="53"/>
      <c r="P501" s="53"/>
      <c r="Q501" s="53"/>
    </row>
    <row r="502" spans="3:17" ht="15.75" customHeight="1">
      <c r="C502" s="53"/>
      <c r="D502" s="73"/>
      <c r="E502" s="73"/>
      <c r="F502" s="73"/>
      <c r="G502" s="73"/>
      <c r="H502" s="73"/>
      <c r="I502" s="73"/>
      <c r="J502" s="73"/>
      <c r="K502" s="53"/>
      <c r="L502" s="53"/>
      <c r="M502" s="53"/>
      <c r="N502" s="53"/>
      <c r="O502" s="53"/>
      <c r="P502" s="53"/>
      <c r="Q502" s="53"/>
    </row>
    <row r="503" spans="3:17" ht="15.75" customHeight="1">
      <c r="C503" s="53"/>
      <c r="D503" s="73"/>
      <c r="E503" s="73"/>
      <c r="F503" s="73"/>
      <c r="G503" s="73"/>
      <c r="H503" s="73"/>
      <c r="I503" s="73"/>
      <c r="J503" s="73"/>
      <c r="K503" s="53"/>
      <c r="L503" s="53"/>
      <c r="M503" s="53"/>
      <c r="N503" s="53"/>
      <c r="O503" s="53"/>
      <c r="P503" s="53"/>
      <c r="Q503" s="53"/>
    </row>
    <row r="504" spans="3:17" ht="15.75" customHeight="1">
      <c r="C504" s="53"/>
      <c r="D504" s="73"/>
      <c r="E504" s="73"/>
      <c r="F504" s="73"/>
      <c r="G504" s="73"/>
      <c r="H504" s="73"/>
      <c r="I504" s="73"/>
      <c r="J504" s="73"/>
      <c r="K504" s="53"/>
      <c r="L504" s="53"/>
      <c r="M504" s="53"/>
      <c r="N504" s="53"/>
      <c r="O504" s="53"/>
      <c r="P504" s="53"/>
      <c r="Q504" s="53"/>
    </row>
    <row r="505" spans="3:17" ht="15.75" customHeight="1">
      <c r="C505" s="53"/>
      <c r="D505" s="73"/>
      <c r="E505" s="73"/>
      <c r="F505" s="73"/>
      <c r="G505" s="73"/>
      <c r="H505" s="73"/>
      <c r="I505" s="73"/>
      <c r="J505" s="73"/>
      <c r="K505" s="53"/>
      <c r="L505" s="53"/>
      <c r="M505" s="53"/>
      <c r="N505" s="53"/>
      <c r="O505" s="53"/>
      <c r="P505" s="53"/>
      <c r="Q505" s="53"/>
    </row>
    <row r="506" spans="3:17" ht="15.75" customHeight="1">
      <c r="C506" s="53"/>
      <c r="D506" s="73"/>
      <c r="E506" s="73"/>
      <c r="F506" s="73"/>
      <c r="G506" s="73"/>
      <c r="H506" s="73"/>
      <c r="I506" s="73"/>
      <c r="J506" s="73"/>
      <c r="K506" s="53"/>
      <c r="L506" s="53"/>
      <c r="M506" s="53"/>
      <c r="N506" s="53"/>
      <c r="O506" s="53"/>
      <c r="P506" s="53"/>
      <c r="Q506" s="53"/>
    </row>
    <row r="507" spans="3:17" ht="15.75" customHeight="1">
      <c r="C507" s="53"/>
      <c r="D507" s="73"/>
      <c r="E507" s="73"/>
      <c r="F507" s="73"/>
      <c r="G507" s="73"/>
      <c r="H507" s="73"/>
      <c r="I507" s="73"/>
      <c r="J507" s="73"/>
      <c r="K507" s="53"/>
      <c r="L507" s="53"/>
      <c r="M507" s="53"/>
      <c r="N507" s="53"/>
      <c r="O507" s="53"/>
      <c r="P507" s="53"/>
      <c r="Q507" s="53"/>
    </row>
    <row r="508" spans="3:17" ht="15.75" customHeight="1">
      <c r="C508" s="53"/>
      <c r="D508" s="73"/>
      <c r="E508" s="73"/>
      <c r="F508" s="73"/>
      <c r="G508" s="73"/>
      <c r="H508" s="73"/>
      <c r="I508" s="73"/>
      <c r="J508" s="73"/>
      <c r="K508" s="53"/>
      <c r="L508" s="53"/>
      <c r="M508" s="53"/>
      <c r="N508" s="53"/>
      <c r="O508" s="53"/>
      <c r="P508" s="53"/>
      <c r="Q508" s="53"/>
    </row>
    <row r="509" spans="3:17" ht="15.75" customHeight="1">
      <c r="C509" s="53"/>
      <c r="D509" s="73"/>
      <c r="E509" s="73"/>
      <c r="F509" s="73"/>
      <c r="G509" s="73"/>
      <c r="H509" s="73"/>
      <c r="I509" s="73"/>
      <c r="J509" s="73"/>
      <c r="K509" s="53"/>
      <c r="L509" s="53"/>
      <c r="M509" s="53"/>
      <c r="N509" s="53"/>
      <c r="O509" s="53"/>
      <c r="P509" s="53"/>
      <c r="Q509" s="53"/>
    </row>
    <row r="510" spans="3:17" ht="15.75" customHeight="1">
      <c r="C510" s="53"/>
      <c r="D510" s="73"/>
      <c r="E510" s="73"/>
      <c r="F510" s="73"/>
      <c r="G510" s="73"/>
      <c r="H510" s="73"/>
      <c r="I510" s="73"/>
      <c r="J510" s="73"/>
      <c r="K510" s="53"/>
      <c r="L510" s="53"/>
      <c r="M510" s="53"/>
      <c r="N510" s="53"/>
      <c r="O510" s="53"/>
      <c r="P510" s="53"/>
      <c r="Q510" s="53"/>
    </row>
    <row r="511" spans="3:17" ht="15.75" customHeight="1">
      <c r="C511" s="53"/>
      <c r="D511" s="73"/>
      <c r="E511" s="73"/>
      <c r="F511" s="73"/>
      <c r="G511" s="73"/>
      <c r="H511" s="73"/>
      <c r="I511" s="73"/>
      <c r="J511" s="73"/>
      <c r="K511" s="53"/>
      <c r="L511" s="53"/>
      <c r="M511" s="53"/>
      <c r="N511" s="53"/>
      <c r="O511" s="53"/>
      <c r="P511" s="53"/>
      <c r="Q511" s="53"/>
    </row>
    <row r="512" spans="3:17" ht="15.75" customHeight="1">
      <c r="C512" s="53"/>
      <c r="D512" s="73"/>
      <c r="E512" s="73"/>
      <c r="F512" s="73"/>
      <c r="G512" s="73"/>
      <c r="H512" s="73"/>
      <c r="I512" s="73"/>
      <c r="J512" s="73"/>
      <c r="K512" s="53"/>
      <c r="L512" s="53"/>
      <c r="M512" s="53"/>
      <c r="N512" s="53"/>
      <c r="O512" s="53"/>
      <c r="P512" s="53"/>
      <c r="Q512" s="53"/>
    </row>
    <row r="513" spans="3:17" ht="15.75" customHeight="1">
      <c r="C513" s="53"/>
      <c r="D513" s="73"/>
      <c r="E513" s="73"/>
      <c r="F513" s="73"/>
      <c r="G513" s="73"/>
      <c r="H513" s="73"/>
      <c r="I513" s="73"/>
      <c r="J513" s="73"/>
      <c r="K513" s="53"/>
      <c r="L513" s="53"/>
      <c r="M513" s="53"/>
      <c r="N513" s="53"/>
      <c r="O513" s="53"/>
      <c r="P513" s="53"/>
      <c r="Q513" s="53"/>
    </row>
    <row r="514" spans="3:17" ht="15.75" customHeight="1">
      <c r="C514" s="53"/>
      <c r="D514" s="73"/>
      <c r="E514" s="73"/>
      <c r="F514" s="73"/>
      <c r="G514" s="73"/>
      <c r="H514" s="73"/>
      <c r="I514" s="73"/>
      <c r="J514" s="73"/>
      <c r="K514" s="53"/>
      <c r="L514" s="53"/>
      <c r="M514" s="53"/>
      <c r="N514" s="53"/>
      <c r="O514" s="53"/>
      <c r="P514" s="53"/>
      <c r="Q514" s="53"/>
    </row>
    <row r="515" spans="3:17" ht="15.75" customHeight="1">
      <c r="C515" s="53"/>
      <c r="D515" s="73"/>
      <c r="E515" s="73"/>
      <c r="F515" s="73"/>
      <c r="G515" s="73"/>
      <c r="H515" s="73"/>
      <c r="I515" s="73"/>
      <c r="J515" s="73"/>
      <c r="K515" s="53"/>
      <c r="L515" s="53"/>
      <c r="M515" s="53"/>
      <c r="N515" s="53"/>
      <c r="O515" s="53"/>
      <c r="P515" s="53"/>
      <c r="Q515" s="53"/>
    </row>
    <row r="516" spans="3:17" ht="15.75" customHeight="1">
      <c r="C516" s="53"/>
      <c r="D516" s="73"/>
      <c r="E516" s="73"/>
      <c r="F516" s="73"/>
      <c r="G516" s="73"/>
      <c r="H516" s="73"/>
      <c r="I516" s="73"/>
      <c r="J516" s="73"/>
      <c r="K516" s="53"/>
      <c r="L516" s="53"/>
      <c r="M516" s="53"/>
      <c r="N516" s="53"/>
      <c r="O516" s="53"/>
      <c r="P516" s="53"/>
      <c r="Q516" s="53"/>
    </row>
    <row r="517" spans="3:17" ht="15.75" customHeight="1">
      <c r="C517" s="53"/>
      <c r="D517" s="73"/>
      <c r="E517" s="73"/>
      <c r="F517" s="73"/>
      <c r="G517" s="73"/>
      <c r="H517" s="73"/>
      <c r="I517" s="73"/>
      <c r="J517" s="73"/>
      <c r="K517" s="53"/>
      <c r="L517" s="53"/>
      <c r="M517" s="53"/>
      <c r="N517" s="53"/>
      <c r="O517" s="53"/>
      <c r="P517" s="53"/>
      <c r="Q517" s="53"/>
    </row>
    <row r="518" spans="3:17" ht="15.75" customHeight="1">
      <c r="C518" s="53"/>
      <c r="D518" s="73"/>
      <c r="E518" s="73"/>
      <c r="F518" s="73"/>
      <c r="G518" s="73"/>
      <c r="H518" s="73"/>
      <c r="I518" s="73"/>
      <c r="J518" s="73"/>
      <c r="K518" s="53"/>
      <c r="L518" s="53"/>
      <c r="M518" s="53"/>
      <c r="N518" s="53"/>
      <c r="O518" s="53"/>
      <c r="P518" s="53"/>
      <c r="Q518" s="53"/>
    </row>
    <row r="519" spans="3:17" ht="15.75" customHeight="1">
      <c r="C519" s="53"/>
      <c r="D519" s="73"/>
      <c r="E519" s="73"/>
      <c r="F519" s="73"/>
      <c r="G519" s="73"/>
      <c r="H519" s="73"/>
      <c r="I519" s="73"/>
      <c r="J519" s="73"/>
      <c r="K519" s="53"/>
      <c r="L519" s="53"/>
      <c r="M519" s="53"/>
      <c r="N519" s="53"/>
      <c r="O519" s="53"/>
      <c r="P519" s="53"/>
      <c r="Q519" s="53"/>
    </row>
    <row r="520" spans="3:17" ht="15.75" customHeight="1">
      <c r="C520" s="53"/>
      <c r="D520" s="73"/>
      <c r="E520" s="73"/>
      <c r="F520" s="73"/>
      <c r="G520" s="73"/>
      <c r="H520" s="73"/>
      <c r="I520" s="73"/>
      <c r="J520" s="73"/>
      <c r="K520" s="53"/>
      <c r="L520" s="53"/>
      <c r="M520" s="53"/>
      <c r="N520" s="53"/>
      <c r="O520" s="53"/>
      <c r="P520" s="53"/>
      <c r="Q520" s="53"/>
    </row>
    <row r="521" spans="3:17" ht="15.75" customHeight="1">
      <c r="C521" s="53"/>
      <c r="D521" s="73"/>
      <c r="E521" s="73"/>
      <c r="F521" s="73"/>
      <c r="G521" s="73"/>
      <c r="H521" s="73"/>
      <c r="I521" s="73"/>
      <c r="J521" s="73"/>
      <c r="K521" s="53"/>
      <c r="L521" s="53"/>
      <c r="M521" s="53"/>
      <c r="N521" s="53"/>
      <c r="O521" s="53"/>
      <c r="P521" s="53"/>
      <c r="Q521" s="53"/>
    </row>
    <row r="522" spans="3:17" ht="15.75" customHeight="1">
      <c r="C522" s="53"/>
      <c r="D522" s="73"/>
      <c r="E522" s="73"/>
      <c r="F522" s="73"/>
      <c r="G522" s="73"/>
      <c r="H522" s="73"/>
      <c r="I522" s="73"/>
      <c r="J522" s="73"/>
      <c r="K522" s="53"/>
      <c r="L522" s="53"/>
      <c r="M522" s="53"/>
      <c r="N522" s="53"/>
      <c r="O522" s="53"/>
      <c r="P522" s="53"/>
      <c r="Q522" s="53"/>
    </row>
    <row r="523" spans="3:17" ht="15.75" customHeight="1">
      <c r="C523" s="53"/>
      <c r="D523" s="73"/>
      <c r="E523" s="73"/>
      <c r="F523" s="73"/>
      <c r="G523" s="73"/>
      <c r="H523" s="73"/>
      <c r="I523" s="73"/>
      <c r="J523" s="73"/>
      <c r="K523" s="53"/>
      <c r="L523" s="53"/>
      <c r="M523" s="53"/>
      <c r="N523" s="53"/>
      <c r="O523" s="53"/>
      <c r="P523" s="53"/>
      <c r="Q523" s="53"/>
    </row>
    <row r="524" spans="3:17" ht="15.75" customHeight="1">
      <c r="C524" s="53"/>
      <c r="D524" s="73"/>
      <c r="E524" s="73"/>
      <c r="F524" s="73"/>
      <c r="G524" s="73"/>
      <c r="H524" s="73"/>
      <c r="I524" s="73"/>
      <c r="J524" s="73"/>
      <c r="K524" s="53"/>
      <c r="L524" s="53"/>
      <c r="M524" s="53"/>
      <c r="N524" s="53"/>
      <c r="O524" s="53"/>
      <c r="P524" s="53"/>
      <c r="Q524" s="53"/>
    </row>
    <row r="525" spans="3:17" ht="15.75" customHeight="1">
      <c r="C525" s="53"/>
      <c r="D525" s="73"/>
      <c r="E525" s="73"/>
      <c r="F525" s="73"/>
      <c r="G525" s="73"/>
      <c r="H525" s="73"/>
      <c r="I525" s="73"/>
      <c r="J525" s="73"/>
      <c r="K525" s="53"/>
      <c r="L525" s="53"/>
      <c r="M525" s="53"/>
      <c r="N525" s="53"/>
      <c r="O525" s="53"/>
      <c r="P525" s="53"/>
      <c r="Q525" s="53"/>
    </row>
    <row r="526" spans="3:17" ht="15.75" customHeight="1">
      <c r="C526" s="53"/>
      <c r="D526" s="73"/>
      <c r="E526" s="73"/>
      <c r="F526" s="73"/>
      <c r="G526" s="73"/>
      <c r="H526" s="73"/>
      <c r="I526" s="73"/>
      <c r="J526" s="73"/>
      <c r="K526" s="53"/>
      <c r="L526" s="53"/>
      <c r="M526" s="53"/>
      <c r="N526" s="53"/>
      <c r="O526" s="53"/>
      <c r="P526" s="53"/>
      <c r="Q526" s="53"/>
    </row>
    <row r="527" spans="3:17" ht="15.75" customHeight="1">
      <c r="C527" s="53"/>
      <c r="D527" s="73"/>
      <c r="E527" s="73"/>
      <c r="F527" s="73"/>
      <c r="G527" s="73"/>
      <c r="H527" s="73"/>
      <c r="I527" s="73"/>
      <c r="J527" s="73"/>
      <c r="K527" s="53"/>
      <c r="L527" s="53"/>
      <c r="M527" s="53"/>
      <c r="N527" s="53"/>
      <c r="O527" s="53"/>
      <c r="P527" s="53"/>
      <c r="Q527" s="53"/>
    </row>
    <row r="528" spans="3:17" ht="15.75" customHeight="1">
      <c r="C528" s="53"/>
      <c r="D528" s="73"/>
      <c r="E528" s="73"/>
      <c r="F528" s="73"/>
      <c r="G528" s="73"/>
      <c r="H528" s="73"/>
      <c r="I528" s="73"/>
      <c r="J528" s="73"/>
      <c r="K528" s="53"/>
      <c r="L528" s="53"/>
      <c r="M528" s="53"/>
      <c r="N528" s="53"/>
      <c r="O528" s="53"/>
      <c r="P528" s="53"/>
      <c r="Q528" s="53"/>
    </row>
    <row r="529" spans="3:17" ht="15.75" customHeight="1">
      <c r="C529" s="53"/>
      <c r="D529" s="73"/>
      <c r="E529" s="73"/>
      <c r="F529" s="73"/>
      <c r="G529" s="73"/>
      <c r="H529" s="73"/>
      <c r="I529" s="73"/>
      <c r="J529" s="73"/>
      <c r="K529" s="53"/>
      <c r="L529" s="53"/>
      <c r="M529" s="53"/>
      <c r="N529" s="53"/>
      <c r="O529" s="53"/>
      <c r="P529" s="53"/>
      <c r="Q529" s="53"/>
    </row>
    <row r="530" spans="3:17" ht="15.75" customHeight="1">
      <c r="C530" s="53"/>
      <c r="D530" s="73"/>
      <c r="E530" s="73"/>
      <c r="F530" s="73"/>
      <c r="G530" s="73"/>
      <c r="H530" s="73"/>
      <c r="I530" s="73"/>
      <c r="J530" s="73"/>
      <c r="K530" s="53"/>
      <c r="L530" s="53"/>
      <c r="M530" s="53"/>
      <c r="N530" s="53"/>
      <c r="O530" s="53"/>
      <c r="P530" s="53"/>
      <c r="Q530" s="53"/>
    </row>
    <row r="531" spans="3:17" ht="15.75" customHeight="1">
      <c r="C531" s="53"/>
      <c r="D531" s="73"/>
      <c r="E531" s="73"/>
      <c r="F531" s="73"/>
      <c r="G531" s="73"/>
      <c r="H531" s="73"/>
      <c r="I531" s="73"/>
      <c r="J531" s="73"/>
      <c r="K531" s="53"/>
      <c r="L531" s="53"/>
      <c r="M531" s="53"/>
      <c r="N531" s="53"/>
      <c r="O531" s="53"/>
      <c r="P531" s="53"/>
      <c r="Q531" s="53"/>
    </row>
    <row r="532" spans="3:17" ht="15.75" customHeight="1">
      <c r="C532" s="53"/>
      <c r="D532" s="73"/>
      <c r="E532" s="73"/>
      <c r="F532" s="73"/>
      <c r="G532" s="73"/>
      <c r="H532" s="73"/>
      <c r="I532" s="73"/>
      <c r="J532" s="73"/>
      <c r="K532" s="53"/>
      <c r="L532" s="53"/>
      <c r="M532" s="53"/>
      <c r="N532" s="53"/>
      <c r="O532" s="53"/>
      <c r="P532" s="53"/>
      <c r="Q532" s="53"/>
    </row>
    <row r="533" spans="3:17" ht="15.75" customHeight="1">
      <c r="C533" s="53"/>
      <c r="D533" s="73"/>
      <c r="E533" s="73"/>
      <c r="F533" s="73"/>
      <c r="G533" s="73"/>
      <c r="H533" s="73"/>
      <c r="I533" s="73"/>
      <c r="J533" s="73"/>
      <c r="K533" s="53"/>
      <c r="L533" s="53"/>
      <c r="M533" s="53"/>
      <c r="N533" s="53"/>
      <c r="O533" s="53"/>
      <c r="P533" s="53"/>
      <c r="Q533" s="53"/>
    </row>
    <row r="534" spans="3:17" ht="15.75" customHeight="1">
      <c r="C534" s="53"/>
      <c r="D534" s="73"/>
      <c r="E534" s="73"/>
      <c r="F534" s="73"/>
      <c r="G534" s="73"/>
      <c r="H534" s="73"/>
      <c r="I534" s="73"/>
      <c r="J534" s="73"/>
      <c r="K534" s="53"/>
      <c r="L534" s="53"/>
      <c r="M534" s="53"/>
      <c r="N534" s="53"/>
      <c r="O534" s="53"/>
      <c r="P534" s="53"/>
      <c r="Q534" s="53"/>
    </row>
    <row r="535" spans="3:17" ht="15.75" customHeight="1">
      <c r="C535" s="53"/>
      <c r="D535" s="73"/>
      <c r="E535" s="73"/>
      <c r="F535" s="73"/>
      <c r="G535" s="73"/>
      <c r="H535" s="73"/>
      <c r="I535" s="73"/>
      <c r="J535" s="73"/>
      <c r="K535" s="53"/>
      <c r="L535" s="53"/>
      <c r="M535" s="53"/>
      <c r="N535" s="53"/>
      <c r="O535" s="53"/>
      <c r="P535" s="53"/>
      <c r="Q535" s="53"/>
    </row>
    <row r="536" spans="3:17" ht="15.75" customHeight="1">
      <c r="C536" s="53"/>
      <c r="D536" s="73"/>
      <c r="E536" s="73"/>
      <c r="F536" s="73"/>
      <c r="G536" s="73"/>
      <c r="H536" s="73"/>
      <c r="I536" s="73"/>
      <c r="J536" s="73"/>
      <c r="K536" s="53"/>
      <c r="L536" s="53"/>
      <c r="M536" s="53"/>
      <c r="N536" s="53"/>
      <c r="O536" s="53"/>
      <c r="P536" s="53"/>
      <c r="Q536" s="53"/>
    </row>
    <row r="537" spans="3:17" ht="15.75" customHeight="1">
      <c r="C537" s="53"/>
      <c r="D537" s="73"/>
      <c r="E537" s="73"/>
      <c r="F537" s="73"/>
      <c r="G537" s="73"/>
      <c r="H537" s="73"/>
      <c r="I537" s="73"/>
      <c r="J537" s="73"/>
      <c r="K537" s="53"/>
      <c r="L537" s="53"/>
      <c r="M537" s="53"/>
      <c r="N537" s="53"/>
      <c r="O537" s="53"/>
      <c r="P537" s="53"/>
      <c r="Q537" s="53"/>
    </row>
    <row r="538" spans="3:17" ht="15.75" customHeight="1">
      <c r="C538" s="53"/>
      <c r="D538" s="73"/>
      <c r="E538" s="73"/>
      <c r="F538" s="73"/>
      <c r="G538" s="73"/>
      <c r="H538" s="73"/>
      <c r="I538" s="73"/>
      <c r="J538" s="73"/>
      <c r="K538" s="53"/>
      <c r="L538" s="53"/>
      <c r="M538" s="53"/>
      <c r="N538" s="53"/>
      <c r="O538" s="53"/>
      <c r="P538" s="53"/>
      <c r="Q538" s="53"/>
    </row>
    <row r="539" spans="3:17" ht="15.75" customHeight="1">
      <c r="C539" s="53"/>
      <c r="D539" s="73"/>
      <c r="E539" s="73"/>
      <c r="F539" s="73"/>
      <c r="G539" s="73"/>
      <c r="H539" s="73"/>
      <c r="I539" s="73"/>
      <c r="J539" s="73"/>
      <c r="K539" s="53"/>
      <c r="L539" s="53"/>
      <c r="M539" s="53"/>
      <c r="N539" s="53"/>
      <c r="O539" s="53"/>
      <c r="P539" s="53"/>
      <c r="Q539" s="53"/>
    </row>
    <row r="540" spans="3:17" ht="15.75" customHeight="1">
      <c r="C540" s="53"/>
      <c r="D540" s="73"/>
      <c r="E540" s="73"/>
      <c r="F540" s="73"/>
      <c r="G540" s="73"/>
      <c r="H540" s="73"/>
      <c r="I540" s="73"/>
      <c r="J540" s="73"/>
      <c r="K540" s="53"/>
      <c r="L540" s="53"/>
      <c r="M540" s="53"/>
      <c r="N540" s="53"/>
      <c r="O540" s="53"/>
      <c r="P540" s="53"/>
      <c r="Q540" s="53"/>
    </row>
    <row r="541" spans="3:17" ht="15.75" customHeight="1">
      <c r="C541" s="53"/>
      <c r="D541" s="73"/>
      <c r="E541" s="73"/>
      <c r="F541" s="73"/>
      <c r="G541" s="73"/>
      <c r="H541" s="73"/>
      <c r="I541" s="73"/>
      <c r="J541" s="73"/>
      <c r="K541" s="53"/>
      <c r="L541" s="53"/>
      <c r="M541" s="53"/>
      <c r="N541" s="53"/>
      <c r="O541" s="53"/>
      <c r="P541" s="53"/>
      <c r="Q541" s="53"/>
    </row>
    <row r="542" spans="3:17" ht="15.75" customHeight="1">
      <c r="C542" s="53"/>
      <c r="D542" s="73"/>
      <c r="E542" s="73"/>
      <c r="F542" s="73"/>
      <c r="G542" s="73"/>
      <c r="H542" s="73"/>
      <c r="I542" s="73"/>
      <c r="J542" s="73"/>
      <c r="K542" s="53"/>
      <c r="L542" s="53"/>
      <c r="M542" s="53"/>
      <c r="N542" s="53"/>
      <c r="O542" s="53"/>
      <c r="P542" s="53"/>
      <c r="Q542" s="53"/>
    </row>
    <row r="543" spans="3:17" ht="15.75" customHeight="1">
      <c r="C543" s="53"/>
      <c r="D543" s="73"/>
      <c r="E543" s="73"/>
      <c r="F543" s="73"/>
      <c r="G543" s="73"/>
      <c r="H543" s="73"/>
      <c r="I543" s="73"/>
      <c r="J543" s="73"/>
      <c r="K543" s="53"/>
      <c r="L543" s="53"/>
      <c r="M543" s="53"/>
      <c r="N543" s="53"/>
      <c r="O543" s="53"/>
      <c r="P543" s="53"/>
      <c r="Q543" s="53"/>
    </row>
    <row r="544" spans="3:17" ht="15.75" customHeight="1">
      <c r="C544" s="53"/>
      <c r="D544" s="73"/>
      <c r="E544" s="73"/>
      <c r="F544" s="73"/>
      <c r="G544" s="73"/>
      <c r="H544" s="73"/>
      <c r="I544" s="73"/>
      <c r="J544" s="73"/>
      <c r="K544" s="53"/>
      <c r="L544" s="53"/>
      <c r="M544" s="53"/>
      <c r="N544" s="53"/>
      <c r="O544" s="53"/>
      <c r="P544" s="53"/>
      <c r="Q544" s="53"/>
    </row>
    <row r="545" spans="3:17" ht="15.75" customHeight="1">
      <c r="C545" s="53"/>
      <c r="D545" s="73"/>
      <c r="E545" s="73"/>
      <c r="F545" s="73"/>
      <c r="G545" s="73"/>
      <c r="H545" s="73"/>
      <c r="I545" s="73"/>
      <c r="J545" s="73"/>
      <c r="K545" s="53"/>
      <c r="L545" s="53"/>
      <c r="M545" s="53"/>
      <c r="N545" s="53"/>
      <c r="O545" s="53"/>
      <c r="P545" s="53"/>
      <c r="Q545" s="53"/>
    </row>
    <row r="546" spans="3:17" ht="15.75" customHeight="1">
      <c r="C546" s="53"/>
      <c r="D546" s="73"/>
      <c r="E546" s="73"/>
      <c r="F546" s="73"/>
      <c r="G546" s="73"/>
      <c r="H546" s="73"/>
      <c r="I546" s="73"/>
      <c r="J546" s="73"/>
      <c r="K546" s="53"/>
      <c r="L546" s="53"/>
      <c r="M546" s="53"/>
      <c r="N546" s="53"/>
      <c r="O546" s="53"/>
      <c r="P546" s="53"/>
      <c r="Q546" s="53"/>
    </row>
    <row r="547" spans="3:17" ht="15.75" customHeight="1">
      <c r="C547" s="53"/>
      <c r="D547" s="73"/>
      <c r="E547" s="73"/>
      <c r="F547" s="73"/>
      <c r="G547" s="73"/>
      <c r="H547" s="73"/>
      <c r="I547" s="73"/>
      <c r="J547" s="73"/>
      <c r="K547" s="53"/>
      <c r="L547" s="53"/>
      <c r="M547" s="53"/>
      <c r="N547" s="53"/>
      <c r="O547" s="53"/>
      <c r="P547" s="53"/>
      <c r="Q547" s="53"/>
    </row>
    <row r="548" spans="3:17" ht="15.75" customHeight="1">
      <c r="C548" s="53"/>
      <c r="D548" s="73"/>
      <c r="E548" s="73"/>
      <c r="F548" s="73"/>
      <c r="G548" s="73"/>
      <c r="H548" s="73"/>
      <c r="I548" s="73"/>
      <c r="J548" s="73"/>
      <c r="K548" s="53"/>
      <c r="L548" s="53"/>
      <c r="M548" s="53"/>
      <c r="N548" s="53"/>
      <c r="O548" s="53"/>
      <c r="P548" s="53"/>
      <c r="Q548" s="53"/>
    </row>
    <row r="549" spans="3:17" ht="15.75" customHeight="1">
      <c r="C549" s="53"/>
      <c r="D549" s="73"/>
      <c r="E549" s="73"/>
      <c r="F549" s="73"/>
      <c r="G549" s="73"/>
      <c r="H549" s="73"/>
      <c r="I549" s="73"/>
      <c r="J549" s="73"/>
      <c r="K549" s="53"/>
      <c r="L549" s="53"/>
      <c r="M549" s="53"/>
      <c r="N549" s="53"/>
      <c r="O549" s="53"/>
      <c r="P549" s="53"/>
      <c r="Q549" s="53"/>
    </row>
    <row r="550" spans="3:17" ht="15.75" customHeight="1">
      <c r="C550" s="53"/>
      <c r="D550" s="73"/>
      <c r="E550" s="73"/>
      <c r="F550" s="73"/>
      <c r="G550" s="73"/>
      <c r="H550" s="73"/>
      <c r="I550" s="73"/>
      <c r="J550" s="73"/>
      <c r="K550" s="53"/>
      <c r="L550" s="53"/>
      <c r="M550" s="53"/>
      <c r="N550" s="53"/>
      <c r="O550" s="53"/>
      <c r="P550" s="53"/>
      <c r="Q550" s="53"/>
    </row>
    <row r="551" spans="3:17" ht="15.75" customHeight="1">
      <c r="C551" s="53"/>
      <c r="D551" s="73"/>
      <c r="E551" s="73"/>
      <c r="F551" s="73"/>
      <c r="G551" s="73"/>
      <c r="H551" s="73"/>
      <c r="I551" s="73"/>
      <c r="J551" s="73"/>
      <c r="K551" s="53"/>
      <c r="L551" s="53"/>
      <c r="M551" s="53"/>
      <c r="N551" s="53"/>
      <c r="O551" s="53"/>
      <c r="P551" s="53"/>
      <c r="Q551" s="53"/>
    </row>
    <row r="552" spans="3:17" ht="15.75" customHeight="1">
      <c r="C552" s="53"/>
      <c r="D552" s="73"/>
      <c r="E552" s="73"/>
      <c r="F552" s="73"/>
      <c r="G552" s="73"/>
      <c r="H552" s="73"/>
      <c r="I552" s="73"/>
      <c r="J552" s="73"/>
      <c r="K552" s="53"/>
      <c r="L552" s="53"/>
      <c r="M552" s="53"/>
      <c r="N552" s="53"/>
      <c r="O552" s="53"/>
      <c r="P552" s="53"/>
      <c r="Q552" s="53"/>
    </row>
    <row r="553" spans="3:17" ht="15.75" customHeight="1">
      <c r="C553" s="53"/>
      <c r="D553" s="73"/>
      <c r="E553" s="73"/>
      <c r="F553" s="73"/>
      <c r="G553" s="73"/>
      <c r="H553" s="73"/>
      <c r="I553" s="73"/>
      <c r="J553" s="73"/>
      <c r="K553" s="53"/>
      <c r="L553" s="53"/>
      <c r="M553" s="53"/>
      <c r="N553" s="53"/>
      <c r="O553" s="53"/>
      <c r="P553" s="53"/>
      <c r="Q553" s="53"/>
    </row>
    <row r="554" spans="3:17" ht="15.75" customHeight="1">
      <c r="C554" s="53"/>
      <c r="D554" s="73"/>
      <c r="E554" s="73"/>
      <c r="F554" s="73"/>
      <c r="G554" s="73"/>
      <c r="H554" s="73"/>
      <c r="I554" s="73"/>
      <c r="J554" s="73"/>
      <c r="K554" s="53"/>
      <c r="L554" s="53"/>
      <c r="M554" s="53"/>
      <c r="N554" s="53"/>
      <c r="O554" s="53"/>
      <c r="P554" s="53"/>
      <c r="Q554" s="53"/>
    </row>
    <row r="555" spans="3:17" ht="15.75" customHeight="1">
      <c r="C555" s="53"/>
      <c r="D555" s="73"/>
      <c r="E555" s="73"/>
      <c r="F555" s="73"/>
      <c r="G555" s="73"/>
      <c r="H555" s="73"/>
      <c r="I555" s="73"/>
      <c r="J555" s="73"/>
      <c r="K555" s="53"/>
      <c r="L555" s="53"/>
      <c r="M555" s="53"/>
      <c r="N555" s="53"/>
      <c r="O555" s="53"/>
      <c r="P555" s="53"/>
      <c r="Q555" s="53"/>
    </row>
    <row r="556" spans="3:17" ht="15.75" customHeight="1">
      <c r="C556" s="53"/>
      <c r="D556" s="73"/>
      <c r="E556" s="73"/>
      <c r="F556" s="73"/>
      <c r="G556" s="73"/>
      <c r="H556" s="73"/>
      <c r="I556" s="73"/>
      <c r="J556" s="73"/>
      <c r="K556" s="53"/>
      <c r="L556" s="53"/>
      <c r="M556" s="53"/>
      <c r="N556" s="53"/>
      <c r="O556" s="53"/>
      <c r="P556" s="53"/>
      <c r="Q556" s="53"/>
    </row>
    <row r="557" spans="3:17" ht="15.75" customHeight="1">
      <c r="C557" s="53"/>
      <c r="D557" s="73"/>
      <c r="E557" s="73"/>
      <c r="F557" s="73"/>
      <c r="G557" s="73"/>
      <c r="H557" s="73"/>
      <c r="I557" s="73"/>
      <c r="J557" s="73"/>
      <c r="K557" s="53"/>
      <c r="L557" s="53"/>
      <c r="M557" s="53"/>
      <c r="N557" s="53"/>
      <c r="O557" s="53"/>
      <c r="P557" s="53"/>
      <c r="Q557" s="53"/>
    </row>
    <row r="558" spans="3:17" ht="15.75" customHeight="1">
      <c r="C558" s="53"/>
      <c r="D558" s="73"/>
      <c r="E558" s="73"/>
      <c r="F558" s="73"/>
      <c r="G558" s="73"/>
      <c r="H558" s="73"/>
      <c r="I558" s="73"/>
      <c r="J558" s="73"/>
      <c r="K558" s="53"/>
      <c r="L558" s="53"/>
      <c r="M558" s="53"/>
      <c r="N558" s="53"/>
      <c r="O558" s="53"/>
      <c r="P558" s="53"/>
      <c r="Q558" s="53"/>
    </row>
    <row r="559" spans="3:17" ht="15.75" customHeight="1">
      <c r="C559" s="53"/>
      <c r="D559" s="73"/>
      <c r="E559" s="73"/>
      <c r="F559" s="73"/>
      <c r="G559" s="73"/>
      <c r="H559" s="73"/>
      <c r="I559" s="73"/>
      <c r="J559" s="73"/>
      <c r="K559" s="53"/>
      <c r="L559" s="53"/>
      <c r="M559" s="53"/>
      <c r="N559" s="53"/>
      <c r="O559" s="53"/>
      <c r="P559" s="53"/>
      <c r="Q559" s="53"/>
    </row>
    <row r="560" spans="3:17" ht="15.75" customHeight="1">
      <c r="C560" s="53"/>
      <c r="D560" s="73"/>
      <c r="E560" s="73"/>
      <c r="F560" s="73"/>
      <c r="G560" s="73"/>
      <c r="H560" s="73"/>
      <c r="I560" s="73"/>
      <c r="J560" s="73"/>
      <c r="K560" s="53"/>
      <c r="L560" s="53"/>
      <c r="M560" s="53"/>
      <c r="N560" s="53"/>
      <c r="O560" s="53"/>
      <c r="P560" s="53"/>
      <c r="Q560" s="53"/>
    </row>
    <row r="561" spans="3:17" ht="15.75" customHeight="1">
      <c r="C561" s="53"/>
      <c r="D561" s="73"/>
      <c r="E561" s="73"/>
      <c r="F561" s="73"/>
      <c r="G561" s="73"/>
      <c r="H561" s="73"/>
      <c r="I561" s="73"/>
      <c r="J561" s="73"/>
      <c r="K561" s="53"/>
      <c r="L561" s="53"/>
      <c r="M561" s="53"/>
      <c r="N561" s="53"/>
      <c r="O561" s="53"/>
      <c r="P561" s="53"/>
      <c r="Q561" s="53"/>
    </row>
    <row r="562" spans="3:17" ht="15.75" customHeight="1">
      <c r="C562" s="53"/>
      <c r="D562" s="73"/>
      <c r="E562" s="73"/>
      <c r="F562" s="73"/>
      <c r="G562" s="73"/>
      <c r="H562" s="73"/>
      <c r="I562" s="73"/>
      <c r="J562" s="73"/>
      <c r="K562" s="53"/>
      <c r="L562" s="53"/>
      <c r="M562" s="53"/>
      <c r="N562" s="53"/>
      <c r="O562" s="53"/>
      <c r="P562" s="53"/>
      <c r="Q562" s="53"/>
    </row>
    <row r="563" spans="3:17" ht="15.75" customHeight="1">
      <c r="C563" s="53"/>
      <c r="D563" s="73"/>
      <c r="E563" s="73"/>
      <c r="F563" s="73"/>
      <c r="G563" s="73"/>
      <c r="H563" s="73"/>
      <c r="I563" s="73"/>
      <c r="J563" s="73"/>
      <c r="K563" s="53"/>
      <c r="L563" s="53"/>
      <c r="M563" s="53"/>
      <c r="N563" s="53"/>
      <c r="O563" s="53"/>
      <c r="P563" s="53"/>
      <c r="Q563" s="53"/>
    </row>
    <row r="564" spans="3:17" ht="15.75" customHeight="1">
      <c r="C564" s="53"/>
      <c r="D564" s="73"/>
      <c r="E564" s="73"/>
      <c r="F564" s="73"/>
      <c r="G564" s="73"/>
      <c r="H564" s="73"/>
      <c r="I564" s="73"/>
      <c r="J564" s="73"/>
      <c r="K564" s="53"/>
      <c r="L564" s="53"/>
      <c r="M564" s="53"/>
      <c r="N564" s="53"/>
      <c r="O564" s="53"/>
      <c r="P564" s="53"/>
      <c r="Q564" s="53"/>
    </row>
    <row r="565" spans="3:17" ht="15.75" customHeight="1">
      <c r="C565" s="53"/>
      <c r="D565" s="73"/>
      <c r="E565" s="73"/>
      <c r="F565" s="73"/>
      <c r="G565" s="73"/>
      <c r="H565" s="73"/>
      <c r="I565" s="73"/>
      <c r="J565" s="73"/>
      <c r="K565" s="53"/>
      <c r="L565" s="53"/>
      <c r="M565" s="53"/>
      <c r="N565" s="53"/>
      <c r="O565" s="53"/>
      <c r="P565" s="53"/>
      <c r="Q565" s="53"/>
    </row>
    <row r="566" spans="3:17" ht="15.75" customHeight="1">
      <c r="C566" s="53"/>
      <c r="D566" s="73"/>
      <c r="E566" s="73"/>
      <c r="F566" s="73"/>
      <c r="G566" s="73"/>
      <c r="H566" s="73"/>
      <c r="I566" s="73"/>
      <c r="J566" s="73"/>
      <c r="K566" s="53"/>
      <c r="L566" s="53"/>
      <c r="M566" s="53"/>
      <c r="N566" s="53"/>
      <c r="O566" s="53"/>
      <c r="P566" s="53"/>
      <c r="Q566" s="53"/>
    </row>
    <row r="567" spans="3:17" ht="15.75" customHeight="1">
      <c r="C567" s="53"/>
      <c r="D567" s="73"/>
      <c r="E567" s="73"/>
      <c r="F567" s="73"/>
      <c r="G567" s="73"/>
      <c r="H567" s="73"/>
      <c r="I567" s="73"/>
      <c r="J567" s="73"/>
      <c r="K567" s="53"/>
      <c r="L567" s="53"/>
      <c r="M567" s="53"/>
      <c r="N567" s="53"/>
      <c r="O567" s="53"/>
      <c r="P567" s="53"/>
      <c r="Q567" s="53"/>
    </row>
    <row r="568" spans="3:17" ht="15.75" customHeight="1">
      <c r="C568" s="53"/>
      <c r="D568" s="73"/>
      <c r="E568" s="73"/>
      <c r="F568" s="73"/>
      <c r="G568" s="73"/>
      <c r="H568" s="73"/>
      <c r="I568" s="73"/>
      <c r="J568" s="73"/>
      <c r="K568" s="53"/>
      <c r="L568" s="53"/>
      <c r="M568" s="53"/>
      <c r="N568" s="53"/>
      <c r="O568" s="53"/>
      <c r="P568" s="53"/>
      <c r="Q568" s="53"/>
    </row>
    <row r="569" spans="3:17" ht="15.75" customHeight="1">
      <c r="C569" s="53"/>
      <c r="D569" s="73"/>
      <c r="E569" s="73"/>
      <c r="F569" s="73"/>
      <c r="G569" s="73"/>
      <c r="H569" s="73"/>
      <c r="I569" s="73"/>
      <c r="J569" s="73"/>
      <c r="K569" s="53"/>
      <c r="L569" s="53"/>
      <c r="M569" s="53"/>
      <c r="N569" s="53"/>
      <c r="O569" s="53"/>
      <c r="P569" s="53"/>
      <c r="Q569" s="53"/>
    </row>
    <row r="570" spans="3:17" ht="15.75" customHeight="1">
      <c r="C570" s="53"/>
      <c r="D570" s="73"/>
      <c r="E570" s="73"/>
      <c r="F570" s="73"/>
      <c r="G570" s="73"/>
      <c r="H570" s="73"/>
      <c r="I570" s="73"/>
      <c r="J570" s="73"/>
      <c r="K570" s="53"/>
      <c r="L570" s="53"/>
      <c r="M570" s="53"/>
      <c r="N570" s="53"/>
      <c r="O570" s="53"/>
      <c r="P570" s="53"/>
      <c r="Q570" s="53"/>
    </row>
    <row r="571" spans="3:17" ht="15.75" customHeight="1">
      <c r="C571" s="53"/>
      <c r="D571" s="73"/>
      <c r="E571" s="73"/>
      <c r="F571" s="73"/>
      <c r="G571" s="73"/>
      <c r="H571" s="73"/>
      <c r="I571" s="73"/>
      <c r="J571" s="73"/>
      <c r="K571" s="53"/>
      <c r="L571" s="53"/>
      <c r="M571" s="53"/>
      <c r="N571" s="53"/>
      <c r="O571" s="53"/>
      <c r="P571" s="53"/>
      <c r="Q571" s="53"/>
    </row>
    <row r="572" spans="3:17" ht="15.75" customHeight="1">
      <c r="C572" s="53"/>
      <c r="D572" s="73"/>
      <c r="E572" s="73"/>
      <c r="F572" s="73"/>
      <c r="G572" s="73"/>
      <c r="H572" s="73"/>
      <c r="I572" s="73"/>
      <c r="J572" s="73"/>
      <c r="K572" s="53"/>
      <c r="L572" s="53"/>
      <c r="M572" s="53"/>
      <c r="N572" s="53"/>
      <c r="O572" s="53"/>
      <c r="P572" s="53"/>
      <c r="Q572" s="53"/>
    </row>
    <row r="573" spans="3:17" ht="15.75" customHeight="1">
      <c r="C573" s="53"/>
      <c r="D573" s="73"/>
      <c r="E573" s="73"/>
      <c r="F573" s="73"/>
      <c r="G573" s="73"/>
      <c r="H573" s="73"/>
      <c r="I573" s="73"/>
      <c r="J573" s="73"/>
      <c r="K573" s="53"/>
      <c r="L573" s="53"/>
      <c r="M573" s="53"/>
      <c r="N573" s="53"/>
      <c r="O573" s="53"/>
      <c r="P573" s="53"/>
      <c r="Q573" s="53"/>
    </row>
    <row r="574" spans="3:17" ht="15.75" customHeight="1">
      <c r="C574" s="53"/>
      <c r="D574" s="73"/>
      <c r="E574" s="73"/>
      <c r="F574" s="73"/>
      <c r="G574" s="73"/>
      <c r="H574" s="73"/>
      <c r="I574" s="73"/>
      <c r="J574" s="73"/>
      <c r="K574" s="53"/>
      <c r="L574" s="53"/>
      <c r="M574" s="53"/>
      <c r="N574" s="53"/>
      <c r="O574" s="53"/>
      <c r="P574" s="53"/>
      <c r="Q574" s="53"/>
    </row>
    <row r="575" spans="3:17" ht="15.75" customHeight="1">
      <c r="C575" s="53"/>
      <c r="D575" s="73"/>
      <c r="E575" s="73"/>
      <c r="F575" s="73"/>
      <c r="G575" s="73"/>
      <c r="H575" s="73"/>
      <c r="I575" s="73"/>
      <c r="J575" s="73"/>
      <c r="K575" s="53"/>
      <c r="L575" s="53"/>
      <c r="M575" s="53"/>
      <c r="N575" s="53"/>
      <c r="O575" s="53"/>
      <c r="P575" s="53"/>
      <c r="Q575" s="53"/>
    </row>
    <row r="576" spans="3:17" ht="15.75" customHeight="1">
      <c r="C576" s="53"/>
      <c r="D576" s="73"/>
      <c r="E576" s="73"/>
      <c r="F576" s="73"/>
      <c r="G576" s="73"/>
      <c r="H576" s="73"/>
      <c r="I576" s="73"/>
      <c r="J576" s="73"/>
      <c r="K576" s="53"/>
      <c r="L576" s="53"/>
      <c r="M576" s="53"/>
      <c r="N576" s="53"/>
      <c r="O576" s="53"/>
      <c r="P576" s="53"/>
      <c r="Q576" s="53"/>
    </row>
    <row r="577" spans="3:17" ht="15.75" customHeight="1">
      <c r="C577" s="53"/>
      <c r="D577" s="73"/>
      <c r="E577" s="73"/>
      <c r="F577" s="73"/>
      <c r="G577" s="73"/>
      <c r="H577" s="73"/>
      <c r="I577" s="73"/>
      <c r="J577" s="73"/>
      <c r="K577" s="53"/>
      <c r="L577" s="53"/>
      <c r="M577" s="53"/>
      <c r="N577" s="53"/>
      <c r="O577" s="53"/>
      <c r="P577" s="53"/>
      <c r="Q577" s="53"/>
    </row>
    <row r="578" spans="3:17" ht="15.75" customHeight="1">
      <c r="C578" s="53"/>
      <c r="D578" s="73"/>
      <c r="E578" s="73"/>
      <c r="F578" s="73"/>
      <c r="G578" s="73"/>
      <c r="H578" s="73"/>
      <c r="I578" s="73"/>
      <c r="J578" s="73"/>
      <c r="K578" s="53"/>
      <c r="L578" s="53"/>
      <c r="M578" s="53"/>
      <c r="N578" s="53"/>
      <c r="O578" s="53"/>
      <c r="P578" s="53"/>
      <c r="Q578" s="53"/>
    </row>
    <row r="579" spans="3:17" ht="15.75" customHeight="1">
      <c r="C579" s="53"/>
      <c r="D579" s="73"/>
      <c r="E579" s="73"/>
      <c r="F579" s="73"/>
      <c r="G579" s="73"/>
      <c r="H579" s="73"/>
      <c r="I579" s="73"/>
      <c r="J579" s="73"/>
      <c r="K579" s="53"/>
      <c r="L579" s="53"/>
      <c r="M579" s="53"/>
      <c r="N579" s="53"/>
      <c r="O579" s="53"/>
      <c r="P579" s="53"/>
      <c r="Q579" s="53"/>
    </row>
    <row r="580" spans="3:17" ht="15.75" customHeight="1">
      <c r="C580" s="53"/>
      <c r="D580" s="73"/>
      <c r="E580" s="73"/>
      <c r="F580" s="73"/>
      <c r="G580" s="73"/>
      <c r="H580" s="73"/>
      <c r="I580" s="73"/>
      <c r="J580" s="73"/>
      <c r="K580" s="53"/>
      <c r="L580" s="53"/>
      <c r="M580" s="53"/>
      <c r="N580" s="53"/>
      <c r="O580" s="53"/>
      <c r="P580" s="53"/>
      <c r="Q580" s="53"/>
    </row>
    <row r="581" spans="3:17" ht="15.75" customHeight="1">
      <c r="C581" s="53"/>
      <c r="D581" s="73"/>
      <c r="E581" s="73"/>
      <c r="F581" s="73"/>
      <c r="G581" s="73"/>
      <c r="H581" s="73"/>
      <c r="I581" s="73"/>
      <c r="J581" s="73"/>
      <c r="K581" s="53"/>
      <c r="L581" s="53"/>
      <c r="M581" s="53"/>
      <c r="N581" s="53"/>
      <c r="O581" s="53"/>
      <c r="P581" s="53"/>
      <c r="Q581" s="53"/>
    </row>
    <row r="582" spans="3:17" ht="15.75" customHeight="1">
      <c r="C582" s="53"/>
      <c r="D582" s="73"/>
      <c r="E582" s="73"/>
      <c r="F582" s="73"/>
      <c r="G582" s="73"/>
      <c r="H582" s="73"/>
      <c r="I582" s="73"/>
      <c r="J582" s="73"/>
      <c r="K582" s="53"/>
      <c r="L582" s="53"/>
      <c r="M582" s="53"/>
      <c r="N582" s="53"/>
      <c r="O582" s="53"/>
      <c r="P582" s="53"/>
      <c r="Q582" s="53"/>
    </row>
    <row r="583" spans="3:17" ht="15.75" customHeight="1">
      <c r="C583" s="53"/>
      <c r="D583" s="73"/>
      <c r="E583" s="73"/>
      <c r="F583" s="73"/>
      <c r="G583" s="73"/>
      <c r="H583" s="73"/>
      <c r="I583" s="73"/>
      <c r="J583" s="73"/>
      <c r="K583" s="53"/>
      <c r="L583" s="53"/>
      <c r="M583" s="53"/>
      <c r="N583" s="53"/>
      <c r="O583" s="53"/>
      <c r="P583" s="53"/>
      <c r="Q583" s="53"/>
    </row>
    <row r="584" spans="3:17" ht="15.75" customHeight="1">
      <c r="C584" s="53"/>
      <c r="D584" s="73"/>
      <c r="E584" s="73"/>
      <c r="F584" s="73"/>
      <c r="G584" s="73"/>
      <c r="H584" s="73"/>
      <c r="I584" s="73"/>
      <c r="J584" s="73"/>
      <c r="K584" s="53"/>
      <c r="L584" s="53"/>
      <c r="M584" s="53"/>
      <c r="N584" s="53"/>
      <c r="O584" s="53"/>
      <c r="P584" s="53"/>
      <c r="Q584" s="53"/>
    </row>
    <row r="585" spans="3:17" ht="15.75" customHeight="1">
      <c r="C585" s="53"/>
      <c r="D585" s="73"/>
      <c r="E585" s="73"/>
      <c r="F585" s="73"/>
      <c r="G585" s="73"/>
      <c r="H585" s="73"/>
      <c r="I585" s="73"/>
      <c r="J585" s="73"/>
      <c r="K585" s="53"/>
      <c r="L585" s="53"/>
      <c r="M585" s="53"/>
      <c r="N585" s="53"/>
      <c r="O585" s="53"/>
      <c r="P585" s="53"/>
      <c r="Q585" s="53"/>
    </row>
    <row r="586" spans="3:17" ht="15.75" customHeight="1">
      <c r="C586" s="53"/>
      <c r="D586" s="73"/>
      <c r="E586" s="73"/>
      <c r="F586" s="73"/>
      <c r="G586" s="73"/>
      <c r="H586" s="73"/>
      <c r="I586" s="73"/>
      <c r="J586" s="73"/>
      <c r="K586" s="53"/>
      <c r="L586" s="53"/>
      <c r="M586" s="53"/>
      <c r="N586" s="53"/>
      <c r="O586" s="53"/>
      <c r="P586" s="53"/>
      <c r="Q586" s="53"/>
    </row>
    <row r="587" spans="3:17" ht="15.75" customHeight="1">
      <c r="C587" s="53"/>
      <c r="D587" s="73"/>
      <c r="E587" s="73"/>
      <c r="F587" s="73"/>
      <c r="G587" s="73"/>
      <c r="H587" s="73"/>
      <c r="I587" s="73"/>
      <c r="J587" s="73"/>
      <c r="K587" s="53"/>
      <c r="L587" s="53"/>
      <c r="M587" s="53"/>
      <c r="N587" s="53"/>
      <c r="O587" s="53"/>
      <c r="P587" s="53"/>
      <c r="Q587" s="53"/>
    </row>
    <row r="588" spans="3:17" ht="15.75" customHeight="1">
      <c r="C588" s="53"/>
      <c r="D588" s="73"/>
      <c r="E588" s="73"/>
      <c r="F588" s="73"/>
      <c r="G588" s="73"/>
      <c r="H588" s="73"/>
      <c r="I588" s="73"/>
      <c r="J588" s="73"/>
      <c r="K588" s="53"/>
      <c r="L588" s="53"/>
      <c r="M588" s="53"/>
      <c r="N588" s="53"/>
      <c r="O588" s="53"/>
      <c r="P588" s="53"/>
      <c r="Q588" s="53"/>
    </row>
    <row r="589" spans="3:17" ht="15.75" customHeight="1">
      <c r="C589" s="53"/>
      <c r="D589" s="73"/>
      <c r="E589" s="73"/>
      <c r="F589" s="73"/>
      <c r="G589" s="73"/>
      <c r="H589" s="73"/>
      <c r="I589" s="73"/>
      <c r="J589" s="73"/>
      <c r="K589" s="53"/>
      <c r="L589" s="53"/>
      <c r="M589" s="53"/>
      <c r="N589" s="53"/>
      <c r="O589" s="53"/>
      <c r="P589" s="53"/>
      <c r="Q589" s="53"/>
    </row>
    <row r="590" spans="3:17" ht="15.75" customHeight="1">
      <c r="C590" s="53"/>
      <c r="D590" s="73"/>
      <c r="E590" s="73"/>
      <c r="F590" s="73"/>
      <c r="G590" s="73"/>
      <c r="H590" s="73"/>
      <c r="I590" s="73"/>
      <c r="J590" s="73"/>
      <c r="K590" s="53"/>
      <c r="L590" s="53"/>
      <c r="M590" s="53"/>
      <c r="N590" s="53"/>
      <c r="O590" s="53"/>
      <c r="P590" s="53"/>
      <c r="Q590" s="53"/>
    </row>
    <row r="591" spans="3:17" ht="15.75" customHeight="1">
      <c r="C591" s="53"/>
      <c r="D591" s="73"/>
      <c r="E591" s="73"/>
      <c r="F591" s="73"/>
      <c r="G591" s="73"/>
      <c r="H591" s="73"/>
      <c r="I591" s="73"/>
      <c r="J591" s="73"/>
      <c r="K591" s="53"/>
      <c r="L591" s="53"/>
      <c r="M591" s="53"/>
      <c r="N591" s="53"/>
      <c r="O591" s="53"/>
      <c r="P591" s="53"/>
      <c r="Q591" s="53"/>
    </row>
    <row r="592" spans="3:17" ht="15.75" customHeight="1">
      <c r="C592" s="53"/>
      <c r="D592" s="73"/>
      <c r="E592" s="73"/>
      <c r="F592" s="73"/>
      <c r="G592" s="73"/>
      <c r="H592" s="73"/>
      <c r="I592" s="73"/>
      <c r="J592" s="73"/>
      <c r="K592" s="53"/>
      <c r="L592" s="53"/>
      <c r="M592" s="53"/>
      <c r="N592" s="53"/>
      <c r="O592" s="53"/>
      <c r="P592" s="53"/>
      <c r="Q592" s="53"/>
    </row>
    <row r="593" spans="3:17" ht="15.75" customHeight="1">
      <c r="C593" s="53"/>
      <c r="D593" s="73"/>
      <c r="E593" s="73"/>
      <c r="F593" s="73"/>
      <c r="G593" s="73"/>
      <c r="H593" s="73"/>
      <c r="I593" s="73"/>
      <c r="J593" s="73"/>
      <c r="K593" s="53"/>
      <c r="L593" s="53"/>
      <c r="M593" s="53"/>
      <c r="N593" s="53"/>
      <c r="O593" s="53"/>
      <c r="P593" s="53"/>
      <c r="Q593" s="53"/>
    </row>
    <row r="594" spans="3:17" ht="15.75" customHeight="1">
      <c r="C594" s="53"/>
      <c r="D594" s="73"/>
      <c r="E594" s="73"/>
      <c r="F594" s="73"/>
      <c r="G594" s="73"/>
      <c r="H594" s="73"/>
      <c r="I594" s="73"/>
      <c r="J594" s="73"/>
      <c r="K594" s="53"/>
      <c r="L594" s="53"/>
      <c r="M594" s="53"/>
      <c r="N594" s="53"/>
      <c r="O594" s="53"/>
      <c r="P594" s="53"/>
      <c r="Q594" s="53"/>
    </row>
    <row r="595" spans="3:17" ht="15.75" customHeight="1">
      <c r="C595" s="53"/>
      <c r="D595" s="73"/>
      <c r="E595" s="73"/>
      <c r="F595" s="73"/>
      <c r="G595" s="73"/>
      <c r="H595" s="73"/>
      <c r="I595" s="73"/>
      <c r="J595" s="73"/>
      <c r="K595" s="53"/>
      <c r="L595" s="53"/>
      <c r="M595" s="53"/>
      <c r="N595" s="53"/>
      <c r="O595" s="53"/>
      <c r="P595" s="53"/>
      <c r="Q595" s="53"/>
    </row>
    <row r="596" spans="3:17" ht="15.75" customHeight="1">
      <c r="C596" s="53"/>
      <c r="D596" s="73"/>
      <c r="E596" s="73"/>
      <c r="F596" s="73"/>
      <c r="G596" s="73"/>
      <c r="H596" s="73"/>
      <c r="I596" s="73"/>
      <c r="J596" s="73"/>
      <c r="K596" s="53"/>
      <c r="L596" s="53"/>
      <c r="M596" s="53"/>
      <c r="N596" s="53"/>
      <c r="O596" s="53"/>
      <c r="P596" s="53"/>
      <c r="Q596" s="53"/>
    </row>
    <row r="597" spans="3:17" ht="15.75" customHeight="1">
      <c r="C597" s="53"/>
      <c r="D597" s="73"/>
      <c r="E597" s="73"/>
      <c r="F597" s="73"/>
      <c r="G597" s="73"/>
      <c r="H597" s="73"/>
      <c r="I597" s="73"/>
      <c r="J597" s="73"/>
      <c r="K597" s="53"/>
      <c r="L597" s="53"/>
      <c r="M597" s="53"/>
      <c r="N597" s="53"/>
      <c r="O597" s="53"/>
      <c r="P597" s="53"/>
      <c r="Q597" s="53"/>
    </row>
    <row r="598" spans="3:17" ht="15.75" customHeight="1">
      <c r="C598" s="53"/>
      <c r="D598" s="73"/>
      <c r="E598" s="73"/>
      <c r="F598" s="73"/>
      <c r="G598" s="73"/>
      <c r="H598" s="73"/>
      <c r="I598" s="73"/>
      <c r="J598" s="73"/>
      <c r="K598" s="53"/>
      <c r="L598" s="53"/>
      <c r="M598" s="53"/>
      <c r="N598" s="53"/>
      <c r="O598" s="53"/>
      <c r="P598" s="53"/>
      <c r="Q598" s="53"/>
    </row>
    <row r="599" spans="3:17" ht="15.75" customHeight="1">
      <c r="C599" s="53"/>
      <c r="D599" s="73"/>
      <c r="E599" s="73"/>
      <c r="F599" s="73"/>
      <c r="G599" s="73"/>
      <c r="H599" s="73"/>
      <c r="I599" s="73"/>
      <c r="J599" s="73"/>
      <c r="K599" s="53"/>
      <c r="L599" s="53"/>
      <c r="M599" s="53"/>
      <c r="N599" s="53"/>
      <c r="O599" s="53"/>
      <c r="P599" s="53"/>
      <c r="Q599" s="53"/>
    </row>
    <row r="600" spans="3:17" ht="15.75" customHeight="1">
      <c r="C600" s="53"/>
      <c r="D600" s="73"/>
      <c r="E600" s="73"/>
      <c r="F600" s="73"/>
      <c r="G600" s="73"/>
      <c r="H600" s="73"/>
      <c r="I600" s="73"/>
      <c r="J600" s="73"/>
      <c r="K600" s="53"/>
      <c r="L600" s="53"/>
      <c r="M600" s="53"/>
      <c r="N600" s="53"/>
      <c r="O600" s="53"/>
      <c r="P600" s="53"/>
      <c r="Q600" s="53"/>
    </row>
    <row r="601" spans="3:17" ht="15.75" customHeight="1">
      <c r="C601" s="53"/>
      <c r="D601" s="73"/>
      <c r="E601" s="73"/>
      <c r="F601" s="73"/>
      <c r="G601" s="73"/>
      <c r="H601" s="73"/>
      <c r="I601" s="73"/>
      <c r="J601" s="73"/>
      <c r="K601" s="53"/>
      <c r="L601" s="53"/>
      <c r="M601" s="53"/>
      <c r="N601" s="53"/>
      <c r="O601" s="53"/>
      <c r="P601" s="53"/>
      <c r="Q601" s="53"/>
    </row>
    <row r="602" spans="3:17" ht="15.75" customHeight="1">
      <c r="C602" s="53"/>
      <c r="D602" s="73"/>
      <c r="E602" s="73"/>
      <c r="F602" s="73"/>
      <c r="G602" s="73"/>
      <c r="H602" s="73"/>
      <c r="I602" s="73"/>
      <c r="J602" s="73"/>
      <c r="K602" s="53"/>
      <c r="L602" s="53"/>
      <c r="M602" s="53"/>
      <c r="N602" s="53"/>
      <c r="O602" s="53"/>
      <c r="P602" s="53"/>
      <c r="Q602" s="53"/>
    </row>
    <row r="603" spans="3:17" ht="15.75" customHeight="1">
      <c r="C603" s="53"/>
      <c r="D603" s="73"/>
      <c r="E603" s="73"/>
      <c r="F603" s="73"/>
      <c r="G603" s="73"/>
      <c r="H603" s="73"/>
      <c r="I603" s="73"/>
      <c r="J603" s="73"/>
      <c r="K603" s="53"/>
      <c r="L603" s="53"/>
      <c r="M603" s="53"/>
      <c r="N603" s="53"/>
      <c r="O603" s="53"/>
      <c r="P603" s="53"/>
      <c r="Q603" s="53"/>
    </row>
    <row r="604" spans="3:17" ht="15.75" customHeight="1">
      <c r="C604" s="53"/>
      <c r="D604" s="73"/>
      <c r="E604" s="73"/>
      <c r="F604" s="73"/>
      <c r="G604" s="73"/>
      <c r="H604" s="73"/>
      <c r="I604" s="73"/>
      <c r="J604" s="73"/>
      <c r="K604" s="53"/>
      <c r="L604" s="53"/>
      <c r="M604" s="53"/>
      <c r="N604" s="53"/>
      <c r="O604" s="53"/>
      <c r="P604" s="53"/>
      <c r="Q604" s="53"/>
    </row>
    <row r="605" spans="3:17" ht="15.75" customHeight="1">
      <c r="C605" s="53"/>
      <c r="D605" s="73"/>
      <c r="E605" s="73"/>
      <c r="F605" s="73"/>
      <c r="G605" s="73"/>
      <c r="H605" s="73"/>
      <c r="I605" s="73"/>
      <c r="J605" s="73"/>
      <c r="K605" s="53"/>
      <c r="L605" s="53"/>
      <c r="M605" s="53"/>
      <c r="N605" s="53"/>
      <c r="O605" s="53"/>
      <c r="P605" s="53"/>
      <c r="Q605" s="53"/>
    </row>
    <row r="606" spans="3:17" ht="15.75" customHeight="1">
      <c r="C606" s="53"/>
      <c r="D606" s="73"/>
      <c r="E606" s="73"/>
      <c r="F606" s="73"/>
      <c r="G606" s="73"/>
      <c r="H606" s="73"/>
      <c r="I606" s="73"/>
      <c r="J606" s="73"/>
      <c r="K606" s="53"/>
      <c r="L606" s="53"/>
      <c r="M606" s="53"/>
      <c r="N606" s="53"/>
      <c r="O606" s="53"/>
      <c r="P606" s="53"/>
      <c r="Q606" s="53"/>
    </row>
    <row r="607" spans="3:17" ht="15.75" customHeight="1">
      <c r="C607" s="53"/>
      <c r="D607" s="73"/>
      <c r="E607" s="73"/>
      <c r="F607" s="73"/>
      <c r="G607" s="73"/>
      <c r="H607" s="73"/>
      <c r="I607" s="73"/>
      <c r="J607" s="73"/>
      <c r="K607" s="53"/>
      <c r="L607" s="53"/>
      <c r="M607" s="53"/>
      <c r="N607" s="53"/>
      <c r="O607" s="53"/>
      <c r="P607" s="53"/>
      <c r="Q607" s="53"/>
    </row>
    <row r="608" spans="3:17" ht="15.75" customHeight="1">
      <c r="C608" s="53"/>
      <c r="D608" s="73"/>
      <c r="E608" s="73"/>
      <c r="F608" s="73"/>
      <c r="G608" s="73"/>
      <c r="H608" s="73"/>
      <c r="I608" s="73"/>
      <c r="J608" s="73"/>
      <c r="K608" s="53"/>
      <c r="L608" s="53"/>
      <c r="M608" s="53"/>
      <c r="N608" s="53"/>
      <c r="O608" s="53"/>
      <c r="P608" s="53"/>
      <c r="Q608" s="53"/>
    </row>
    <row r="609" spans="3:17" ht="15.75" customHeight="1">
      <c r="C609" s="53"/>
      <c r="D609" s="73"/>
      <c r="E609" s="73"/>
      <c r="F609" s="73"/>
      <c r="G609" s="73"/>
      <c r="H609" s="73"/>
      <c r="I609" s="73"/>
      <c r="J609" s="73"/>
      <c r="K609" s="53"/>
      <c r="L609" s="53"/>
      <c r="M609" s="53"/>
      <c r="N609" s="53"/>
      <c r="O609" s="53"/>
      <c r="P609" s="53"/>
      <c r="Q609" s="53"/>
    </row>
    <row r="610" spans="3:17" ht="15.75" customHeight="1">
      <c r="C610" s="53"/>
      <c r="D610" s="73"/>
      <c r="E610" s="73"/>
      <c r="F610" s="73"/>
      <c r="G610" s="73"/>
      <c r="H610" s="73"/>
      <c r="I610" s="73"/>
      <c r="J610" s="73"/>
      <c r="K610" s="53"/>
      <c r="L610" s="53"/>
      <c r="M610" s="53"/>
      <c r="N610" s="53"/>
      <c r="O610" s="53"/>
      <c r="P610" s="53"/>
      <c r="Q610" s="53"/>
    </row>
    <row r="611" spans="3:17" ht="15.75" customHeight="1">
      <c r="C611" s="53"/>
      <c r="D611" s="73"/>
      <c r="E611" s="73"/>
      <c r="F611" s="73"/>
      <c r="G611" s="73"/>
      <c r="H611" s="73"/>
      <c r="I611" s="73"/>
      <c r="J611" s="73"/>
      <c r="K611" s="53"/>
      <c r="L611" s="53"/>
      <c r="M611" s="53"/>
      <c r="N611" s="53"/>
      <c r="O611" s="53"/>
      <c r="P611" s="53"/>
      <c r="Q611" s="53"/>
    </row>
    <row r="612" spans="3:17" ht="15.75" customHeight="1">
      <c r="C612" s="53"/>
      <c r="D612" s="73"/>
      <c r="E612" s="73"/>
      <c r="F612" s="73"/>
      <c r="G612" s="73"/>
      <c r="H612" s="73"/>
      <c r="I612" s="73"/>
      <c r="J612" s="73"/>
      <c r="K612" s="53"/>
      <c r="L612" s="53"/>
      <c r="M612" s="53"/>
      <c r="N612" s="53"/>
      <c r="O612" s="53"/>
      <c r="P612" s="53"/>
      <c r="Q612" s="53"/>
    </row>
    <row r="613" spans="3:17" ht="15.75" customHeight="1">
      <c r="C613" s="53"/>
      <c r="D613" s="73"/>
      <c r="E613" s="73"/>
      <c r="F613" s="73"/>
      <c r="G613" s="73"/>
      <c r="H613" s="73"/>
      <c r="I613" s="73"/>
      <c r="J613" s="73"/>
      <c r="K613" s="53"/>
      <c r="L613" s="53"/>
      <c r="M613" s="53"/>
      <c r="N613" s="53"/>
      <c r="O613" s="53"/>
      <c r="P613" s="53"/>
      <c r="Q613" s="53"/>
    </row>
    <row r="614" spans="3:17" ht="15.75" customHeight="1">
      <c r="C614" s="53"/>
      <c r="D614" s="73"/>
      <c r="E614" s="73"/>
      <c r="F614" s="73"/>
      <c r="G614" s="73"/>
      <c r="H614" s="73"/>
      <c r="I614" s="73"/>
      <c r="J614" s="73"/>
      <c r="K614" s="53"/>
      <c r="L614" s="53"/>
      <c r="M614" s="53"/>
      <c r="N614" s="53"/>
      <c r="O614" s="53"/>
      <c r="P614" s="53"/>
      <c r="Q614" s="53"/>
    </row>
    <row r="615" spans="3:17" ht="15.75" customHeight="1">
      <c r="C615" s="53"/>
      <c r="D615" s="73"/>
      <c r="E615" s="73"/>
      <c r="F615" s="73"/>
      <c r="G615" s="73"/>
      <c r="H615" s="73"/>
      <c r="I615" s="73"/>
      <c r="J615" s="73"/>
      <c r="K615" s="53"/>
      <c r="L615" s="53"/>
      <c r="M615" s="53"/>
      <c r="N615" s="53"/>
      <c r="O615" s="53"/>
      <c r="P615" s="53"/>
      <c r="Q615" s="53"/>
    </row>
    <row r="616" spans="3:17" ht="15.75" customHeight="1">
      <c r="C616" s="53"/>
      <c r="D616" s="73"/>
      <c r="E616" s="73"/>
      <c r="F616" s="73"/>
      <c r="G616" s="73"/>
      <c r="H616" s="73"/>
      <c r="I616" s="73"/>
      <c r="J616" s="73"/>
      <c r="K616" s="53"/>
      <c r="L616" s="53"/>
      <c r="M616" s="53"/>
      <c r="N616" s="53"/>
      <c r="O616" s="53"/>
      <c r="P616" s="53"/>
      <c r="Q616" s="53"/>
    </row>
    <row r="617" spans="3:17" ht="15.75" customHeight="1">
      <c r="C617" s="53"/>
      <c r="D617" s="73"/>
      <c r="E617" s="73"/>
      <c r="F617" s="73"/>
      <c r="G617" s="73"/>
      <c r="H617" s="73"/>
      <c r="I617" s="73"/>
      <c r="J617" s="73"/>
      <c r="K617" s="53"/>
      <c r="L617" s="53"/>
      <c r="M617" s="53"/>
      <c r="N617" s="53"/>
      <c r="O617" s="53"/>
      <c r="P617" s="53"/>
      <c r="Q617" s="53"/>
    </row>
    <row r="618" spans="3:17" ht="15.75" customHeight="1">
      <c r="C618" s="53"/>
      <c r="D618" s="73"/>
      <c r="E618" s="73"/>
      <c r="F618" s="73"/>
      <c r="G618" s="73"/>
      <c r="H618" s="73"/>
      <c r="I618" s="73"/>
      <c r="J618" s="73"/>
      <c r="K618" s="53"/>
      <c r="L618" s="53"/>
      <c r="M618" s="53"/>
      <c r="N618" s="53"/>
      <c r="O618" s="53"/>
      <c r="P618" s="53"/>
      <c r="Q618" s="53"/>
    </row>
    <row r="619" spans="3:17" ht="15.75" customHeight="1">
      <c r="C619" s="53"/>
      <c r="D619" s="73"/>
      <c r="E619" s="73"/>
      <c r="F619" s="73"/>
      <c r="G619" s="73"/>
      <c r="H619" s="73"/>
      <c r="I619" s="73"/>
      <c r="J619" s="73"/>
      <c r="K619" s="53"/>
      <c r="L619" s="53"/>
      <c r="M619" s="53"/>
      <c r="N619" s="53"/>
      <c r="O619" s="53"/>
      <c r="P619" s="53"/>
      <c r="Q619" s="53"/>
    </row>
    <row r="620" spans="3:17" ht="15.75" customHeight="1">
      <c r="C620" s="53"/>
      <c r="D620" s="73"/>
      <c r="E620" s="73"/>
      <c r="F620" s="73"/>
      <c r="G620" s="73"/>
      <c r="H620" s="73"/>
      <c r="I620" s="73"/>
      <c r="J620" s="73"/>
      <c r="K620" s="53"/>
      <c r="L620" s="53"/>
      <c r="M620" s="53"/>
      <c r="N620" s="53"/>
      <c r="O620" s="53"/>
      <c r="P620" s="53"/>
      <c r="Q620" s="53"/>
    </row>
    <row r="621" spans="3:17" ht="15.75" customHeight="1">
      <c r="C621" s="53"/>
      <c r="D621" s="73"/>
      <c r="E621" s="73"/>
      <c r="F621" s="73"/>
      <c r="G621" s="73"/>
      <c r="H621" s="73"/>
      <c r="I621" s="73"/>
      <c r="J621" s="73"/>
      <c r="K621" s="53"/>
      <c r="L621" s="53"/>
      <c r="M621" s="53"/>
      <c r="N621" s="53"/>
      <c r="O621" s="53"/>
      <c r="P621" s="53"/>
      <c r="Q621" s="53"/>
    </row>
    <row r="622" spans="3:17" ht="15.75" customHeight="1">
      <c r="C622" s="53"/>
      <c r="D622" s="73"/>
      <c r="E622" s="73"/>
      <c r="F622" s="73"/>
      <c r="G622" s="73"/>
      <c r="H622" s="73"/>
      <c r="I622" s="73"/>
      <c r="J622" s="73"/>
      <c r="K622" s="53"/>
      <c r="L622" s="53"/>
      <c r="M622" s="53"/>
      <c r="N622" s="53"/>
      <c r="O622" s="53"/>
      <c r="P622" s="53"/>
      <c r="Q622" s="53"/>
    </row>
    <row r="623" spans="3:17" ht="15.75" customHeight="1">
      <c r="C623" s="53"/>
      <c r="D623" s="73"/>
      <c r="E623" s="73"/>
      <c r="F623" s="73"/>
      <c r="G623" s="73"/>
      <c r="H623" s="73"/>
      <c r="I623" s="73"/>
      <c r="J623" s="73"/>
      <c r="K623" s="53"/>
      <c r="L623" s="53"/>
      <c r="M623" s="53"/>
      <c r="N623" s="53"/>
      <c r="O623" s="53"/>
      <c r="P623" s="53"/>
      <c r="Q623" s="53"/>
    </row>
    <row r="624" spans="3:17" ht="15.75" customHeight="1">
      <c r="C624" s="53"/>
      <c r="D624" s="73"/>
      <c r="E624" s="73"/>
      <c r="F624" s="73"/>
      <c r="G624" s="73"/>
      <c r="H624" s="73"/>
      <c r="I624" s="73"/>
      <c r="J624" s="73"/>
      <c r="K624" s="53"/>
      <c r="L624" s="53"/>
      <c r="M624" s="53"/>
      <c r="N624" s="53"/>
      <c r="O624" s="53"/>
      <c r="P624" s="53"/>
      <c r="Q624" s="53"/>
    </row>
    <row r="625" spans="3:17" ht="15.75" customHeight="1">
      <c r="C625" s="53"/>
      <c r="D625" s="73"/>
      <c r="E625" s="73"/>
      <c r="F625" s="73"/>
      <c r="G625" s="73"/>
      <c r="H625" s="73"/>
      <c r="I625" s="73"/>
      <c r="J625" s="73"/>
      <c r="K625" s="53"/>
      <c r="L625" s="53"/>
      <c r="M625" s="53"/>
      <c r="N625" s="53"/>
      <c r="O625" s="53"/>
      <c r="P625" s="53"/>
      <c r="Q625" s="53"/>
    </row>
    <row r="626" spans="3:17" ht="15.75" customHeight="1">
      <c r="C626" s="53"/>
      <c r="D626" s="73"/>
      <c r="E626" s="73"/>
      <c r="F626" s="73"/>
      <c r="G626" s="73"/>
      <c r="H626" s="73"/>
      <c r="I626" s="73"/>
      <c r="J626" s="73"/>
      <c r="K626" s="53"/>
      <c r="L626" s="53"/>
      <c r="M626" s="53"/>
      <c r="N626" s="53"/>
      <c r="O626" s="53"/>
      <c r="P626" s="53"/>
      <c r="Q626" s="53"/>
    </row>
    <row r="627" spans="3:17" ht="15.75" customHeight="1">
      <c r="C627" s="53"/>
      <c r="D627" s="73"/>
      <c r="E627" s="73"/>
      <c r="F627" s="73"/>
      <c r="G627" s="73"/>
      <c r="H627" s="73"/>
      <c r="I627" s="73"/>
      <c r="J627" s="73"/>
      <c r="K627" s="53"/>
      <c r="L627" s="53"/>
      <c r="M627" s="53"/>
      <c r="N627" s="53"/>
      <c r="O627" s="53"/>
      <c r="P627" s="53"/>
      <c r="Q627" s="53"/>
    </row>
    <row r="628" spans="3:17" ht="15.75" customHeight="1">
      <c r="C628" s="53"/>
      <c r="D628" s="73"/>
      <c r="E628" s="73"/>
      <c r="F628" s="73"/>
      <c r="G628" s="73"/>
      <c r="H628" s="73"/>
      <c r="I628" s="73"/>
      <c r="J628" s="73"/>
      <c r="K628" s="53"/>
      <c r="L628" s="53"/>
      <c r="M628" s="53"/>
      <c r="N628" s="53"/>
      <c r="O628" s="53"/>
      <c r="P628" s="53"/>
      <c r="Q628" s="53"/>
    </row>
    <row r="629" spans="3:17" ht="15.75" customHeight="1">
      <c r="C629" s="53"/>
      <c r="D629" s="73"/>
      <c r="E629" s="73"/>
      <c r="F629" s="73"/>
      <c r="G629" s="73"/>
      <c r="H629" s="73"/>
      <c r="I629" s="73"/>
      <c r="J629" s="73"/>
      <c r="K629" s="53"/>
      <c r="L629" s="53"/>
      <c r="M629" s="53"/>
      <c r="N629" s="53"/>
      <c r="O629" s="53"/>
      <c r="P629" s="53"/>
      <c r="Q629" s="53"/>
    </row>
    <row r="630" spans="3:17" ht="15.75" customHeight="1">
      <c r="C630" s="53"/>
      <c r="D630" s="73"/>
      <c r="E630" s="73"/>
      <c r="F630" s="73"/>
      <c r="G630" s="73"/>
      <c r="H630" s="73"/>
      <c r="I630" s="73"/>
      <c r="J630" s="73"/>
      <c r="K630" s="53"/>
      <c r="L630" s="53"/>
      <c r="M630" s="53"/>
      <c r="N630" s="53"/>
      <c r="O630" s="53"/>
      <c r="P630" s="53"/>
      <c r="Q630" s="53"/>
    </row>
    <row r="631" spans="3:17" ht="15.75" customHeight="1">
      <c r="C631" s="53"/>
      <c r="D631" s="73"/>
      <c r="E631" s="73"/>
      <c r="F631" s="73"/>
      <c r="G631" s="73"/>
      <c r="H631" s="73"/>
      <c r="I631" s="73"/>
      <c r="J631" s="73"/>
      <c r="K631" s="53"/>
      <c r="L631" s="53"/>
      <c r="M631" s="53"/>
      <c r="N631" s="53"/>
      <c r="O631" s="53"/>
      <c r="P631" s="53"/>
      <c r="Q631" s="53"/>
    </row>
    <row r="632" spans="3:17" ht="15.75" customHeight="1">
      <c r="C632" s="53"/>
      <c r="D632" s="73"/>
      <c r="E632" s="73"/>
      <c r="F632" s="73"/>
      <c r="G632" s="73"/>
      <c r="H632" s="73"/>
      <c r="I632" s="73"/>
      <c r="J632" s="73"/>
      <c r="K632" s="53"/>
      <c r="L632" s="53"/>
      <c r="M632" s="53"/>
      <c r="N632" s="53"/>
      <c r="O632" s="53"/>
      <c r="P632" s="53"/>
      <c r="Q632" s="53"/>
    </row>
    <row r="633" spans="3:17" ht="15.75" customHeight="1">
      <c r="C633" s="53"/>
      <c r="D633" s="73"/>
      <c r="E633" s="73"/>
      <c r="F633" s="73"/>
      <c r="G633" s="73"/>
      <c r="H633" s="73"/>
      <c r="I633" s="73"/>
      <c r="J633" s="73"/>
      <c r="K633" s="53"/>
      <c r="L633" s="53"/>
      <c r="M633" s="53"/>
      <c r="N633" s="53"/>
      <c r="O633" s="53"/>
      <c r="P633" s="53"/>
      <c r="Q633" s="53"/>
    </row>
    <row r="634" spans="3:17" ht="15.75" customHeight="1">
      <c r="C634" s="53"/>
      <c r="D634" s="73"/>
      <c r="E634" s="73"/>
      <c r="F634" s="73"/>
      <c r="G634" s="73"/>
      <c r="H634" s="73"/>
      <c r="I634" s="73"/>
      <c r="J634" s="73"/>
      <c r="K634" s="53"/>
      <c r="L634" s="53"/>
      <c r="M634" s="53"/>
      <c r="N634" s="53"/>
      <c r="O634" s="53"/>
      <c r="P634" s="53"/>
      <c r="Q634" s="53"/>
    </row>
    <row r="635" spans="3:17" ht="15.75" customHeight="1">
      <c r="C635" s="53"/>
      <c r="D635" s="73"/>
      <c r="E635" s="73"/>
      <c r="F635" s="73"/>
      <c r="G635" s="73"/>
      <c r="H635" s="73"/>
      <c r="I635" s="73"/>
      <c r="J635" s="73"/>
      <c r="K635" s="53"/>
      <c r="L635" s="53"/>
      <c r="M635" s="53"/>
      <c r="N635" s="53"/>
      <c r="O635" s="53"/>
      <c r="P635" s="53"/>
      <c r="Q635" s="53"/>
    </row>
    <row r="636" spans="3:17" ht="15.75" customHeight="1">
      <c r="C636" s="53"/>
      <c r="D636" s="73"/>
      <c r="E636" s="73"/>
      <c r="F636" s="73"/>
      <c r="G636" s="73"/>
      <c r="H636" s="73"/>
      <c r="I636" s="73"/>
      <c r="J636" s="73"/>
      <c r="K636" s="53"/>
      <c r="L636" s="53"/>
      <c r="M636" s="53"/>
      <c r="N636" s="53"/>
      <c r="O636" s="53"/>
      <c r="P636" s="53"/>
      <c r="Q636" s="53"/>
    </row>
    <row r="637" spans="3:17" ht="15.75" customHeight="1">
      <c r="C637" s="53"/>
      <c r="D637" s="73"/>
      <c r="E637" s="73"/>
      <c r="F637" s="73"/>
      <c r="G637" s="73"/>
      <c r="H637" s="73"/>
      <c r="I637" s="73"/>
      <c r="J637" s="73"/>
      <c r="K637" s="53"/>
      <c r="L637" s="53"/>
      <c r="M637" s="53"/>
      <c r="N637" s="53"/>
      <c r="O637" s="53"/>
      <c r="P637" s="53"/>
      <c r="Q637" s="53"/>
    </row>
    <row r="638" spans="3:17" ht="15.75" customHeight="1">
      <c r="C638" s="53"/>
      <c r="D638" s="73"/>
      <c r="E638" s="73"/>
      <c r="F638" s="73"/>
      <c r="G638" s="73"/>
      <c r="H638" s="73"/>
      <c r="I638" s="73"/>
      <c r="J638" s="73"/>
      <c r="K638" s="53"/>
      <c r="L638" s="53"/>
      <c r="M638" s="53"/>
      <c r="N638" s="53"/>
      <c r="O638" s="53"/>
      <c r="P638" s="53"/>
      <c r="Q638" s="53"/>
    </row>
    <row r="639" spans="3:17" ht="15.75" customHeight="1">
      <c r="C639" s="53"/>
      <c r="D639" s="73"/>
      <c r="E639" s="73"/>
      <c r="F639" s="73"/>
      <c r="G639" s="73"/>
      <c r="H639" s="73"/>
      <c r="I639" s="73"/>
      <c r="J639" s="73"/>
      <c r="K639" s="53"/>
      <c r="L639" s="53"/>
      <c r="M639" s="53"/>
      <c r="N639" s="53"/>
      <c r="O639" s="53"/>
      <c r="P639" s="53"/>
      <c r="Q639" s="53"/>
    </row>
    <row r="640" spans="3:17" ht="15.75" customHeight="1">
      <c r="C640" s="53"/>
      <c r="D640" s="73"/>
      <c r="E640" s="73"/>
      <c r="F640" s="73"/>
      <c r="G640" s="73"/>
      <c r="H640" s="73"/>
      <c r="I640" s="73"/>
      <c r="J640" s="73"/>
      <c r="K640" s="53"/>
      <c r="L640" s="53"/>
      <c r="M640" s="53"/>
      <c r="N640" s="53"/>
      <c r="O640" s="53"/>
      <c r="P640" s="53"/>
      <c r="Q640" s="53"/>
    </row>
    <row r="641" spans="3:17" ht="15.75" customHeight="1">
      <c r="C641" s="53"/>
      <c r="D641" s="73"/>
      <c r="E641" s="73"/>
      <c r="F641" s="73"/>
      <c r="G641" s="73"/>
      <c r="H641" s="73"/>
      <c r="I641" s="73"/>
      <c r="J641" s="73"/>
      <c r="K641" s="53"/>
      <c r="L641" s="53"/>
      <c r="M641" s="53"/>
      <c r="N641" s="53"/>
      <c r="O641" s="53"/>
      <c r="P641" s="53"/>
      <c r="Q641" s="53"/>
    </row>
    <row r="642" spans="3:17" ht="15.75" customHeight="1">
      <c r="C642" s="53"/>
      <c r="D642" s="73"/>
      <c r="E642" s="73"/>
      <c r="F642" s="73"/>
      <c r="G642" s="73"/>
      <c r="H642" s="73"/>
      <c r="I642" s="73"/>
      <c r="J642" s="73"/>
      <c r="K642" s="53"/>
      <c r="L642" s="53"/>
      <c r="M642" s="53"/>
      <c r="N642" s="53"/>
      <c r="O642" s="53"/>
      <c r="P642" s="53"/>
      <c r="Q642" s="53"/>
    </row>
    <row r="643" spans="3:17" ht="15.75" customHeight="1">
      <c r="C643" s="53"/>
      <c r="D643" s="73"/>
      <c r="E643" s="73"/>
      <c r="F643" s="73"/>
      <c r="G643" s="73"/>
      <c r="H643" s="73"/>
      <c r="I643" s="73"/>
      <c r="J643" s="73"/>
      <c r="K643" s="53"/>
      <c r="L643" s="53"/>
      <c r="M643" s="53"/>
      <c r="N643" s="53"/>
      <c r="O643" s="53"/>
      <c r="P643" s="53"/>
      <c r="Q643" s="53"/>
    </row>
    <row r="644" spans="3:17" ht="15.75" customHeight="1">
      <c r="C644" s="53"/>
      <c r="D644" s="73"/>
      <c r="E644" s="73"/>
      <c r="F644" s="73"/>
      <c r="G644" s="73"/>
      <c r="H644" s="73"/>
      <c r="I644" s="73"/>
      <c r="J644" s="73"/>
      <c r="K644" s="53"/>
      <c r="L644" s="53"/>
      <c r="M644" s="53"/>
      <c r="N644" s="53"/>
      <c r="O644" s="53"/>
      <c r="P644" s="53"/>
      <c r="Q644" s="53"/>
    </row>
    <row r="645" spans="3:17" ht="15.75" customHeight="1">
      <c r="C645" s="53"/>
      <c r="D645" s="73"/>
      <c r="E645" s="73"/>
      <c r="F645" s="73"/>
      <c r="G645" s="73"/>
      <c r="H645" s="73"/>
      <c r="I645" s="73"/>
      <c r="J645" s="73"/>
      <c r="K645" s="53"/>
      <c r="L645" s="53"/>
      <c r="M645" s="53"/>
      <c r="N645" s="53"/>
      <c r="O645" s="53"/>
      <c r="P645" s="53"/>
      <c r="Q645" s="53"/>
    </row>
    <row r="646" spans="3:17" ht="15.75" customHeight="1">
      <c r="C646" s="53"/>
      <c r="D646" s="73"/>
      <c r="E646" s="73"/>
      <c r="F646" s="73"/>
      <c r="G646" s="73"/>
      <c r="H646" s="73"/>
      <c r="I646" s="73"/>
      <c r="J646" s="73"/>
      <c r="K646" s="53"/>
      <c r="L646" s="53"/>
      <c r="M646" s="53"/>
      <c r="N646" s="53"/>
      <c r="O646" s="53"/>
      <c r="P646" s="53"/>
      <c r="Q646" s="53"/>
    </row>
    <row r="647" spans="3:17" ht="15.75" customHeight="1">
      <c r="C647" s="53"/>
      <c r="D647" s="73"/>
      <c r="E647" s="73"/>
      <c r="F647" s="73"/>
      <c r="G647" s="73"/>
      <c r="H647" s="73"/>
      <c r="I647" s="73"/>
      <c r="J647" s="73"/>
      <c r="K647" s="53"/>
      <c r="L647" s="53"/>
      <c r="M647" s="53"/>
      <c r="N647" s="53"/>
      <c r="O647" s="53"/>
      <c r="P647" s="53"/>
      <c r="Q647" s="53"/>
    </row>
    <row r="648" spans="3:17" ht="15.75" customHeight="1">
      <c r="C648" s="53"/>
      <c r="D648" s="73"/>
      <c r="E648" s="73"/>
      <c r="F648" s="73"/>
      <c r="G648" s="73"/>
      <c r="H648" s="73"/>
      <c r="I648" s="73"/>
      <c r="J648" s="73"/>
      <c r="K648" s="53"/>
      <c r="L648" s="53"/>
      <c r="M648" s="53"/>
      <c r="N648" s="53"/>
      <c r="O648" s="53"/>
      <c r="P648" s="53"/>
      <c r="Q648" s="53"/>
    </row>
    <row r="649" spans="3:17" ht="15.75" customHeight="1">
      <c r="C649" s="53"/>
      <c r="D649" s="73"/>
      <c r="E649" s="73"/>
      <c r="F649" s="73"/>
      <c r="G649" s="73"/>
      <c r="H649" s="73"/>
      <c r="I649" s="73"/>
      <c r="J649" s="73"/>
      <c r="K649" s="53"/>
      <c r="L649" s="53"/>
      <c r="M649" s="53"/>
      <c r="N649" s="53"/>
      <c r="O649" s="53"/>
      <c r="P649" s="53"/>
      <c r="Q649" s="53"/>
    </row>
    <row r="650" spans="3:17" ht="15.75" customHeight="1">
      <c r="C650" s="53"/>
      <c r="D650" s="73"/>
      <c r="E650" s="73"/>
      <c r="F650" s="73"/>
      <c r="G650" s="73"/>
      <c r="H650" s="73"/>
      <c r="I650" s="73"/>
      <c r="J650" s="73"/>
      <c r="K650" s="53"/>
      <c r="L650" s="53"/>
      <c r="M650" s="53"/>
      <c r="N650" s="53"/>
      <c r="O650" s="53"/>
      <c r="P650" s="53"/>
      <c r="Q650" s="53"/>
    </row>
    <row r="651" spans="3:17" ht="15.75" customHeight="1">
      <c r="C651" s="53"/>
      <c r="D651" s="73"/>
      <c r="E651" s="73"/>
      <c r="F651" s="73"/>
      <c r="G651" s="73"/>
      <c r="H651" s="73"/>
      <c r="I651" s="73"/>
      <c r="J651" s="73"/>
      <c r="K651" s="53"/>
      <c r="L651" s="53"/>
      <c r="M651" s="53"/>
      <c r="N651" s="53"/>
      <c r="O651" s="53"/>
      <c r="P651" s="53"/>
      <c r="Q651" s="53"/>
    </row>
    <row r="652" spans="3:17" ht="15.75" customHeight="1">
      <c r="C652" s="53"/>
      <c r="D652" s="73"/>
      <c r="E652" s="73"/>
      <c r="F652" s="73"/>
      <c r="G652" s="73"/>
      <c r="H652" s="73"/>
      <c r="I652" s="73"/>
      <c r="J652" s="73"/>
      <c r="K652" s="53"/>
      <c r="L652" s="53"/>
      <c r="M652" s="53"/>
      <c r="N652" s="53"/>
      <c r="O652" s="53"/>
      <c r="P652" s="53"/>
      <c r="Q652" s="53"/>
    </row>
    <row r="653" spans="3:17" ht="15.75" customHeight="1">
      <c r="C653" s="53"/>
      <c r="D653" s="73"/>
      <c r="E653" s="73"/>
      <c r="F653" s="73"/>
      <c r="G653" s="73"/>
      <c r="H653" s="73"/>
      <c r="I653" s="73"/>
      <c r="J653" s="73"/>
      <c r="K653" s="53"/>
      <c r="L653" s="53"/>
      <c r="M653" s="53"/>
      <c r="N653" s="53"/>
      <c r="O653" s="53"/>
      <c r="P653" s="53"/>
      <c r="Q653" s="53"/>
    </row>
    <row r="654" spans="3:17" ht="15.75" customHeight="1">
      <c r="C654" s="53"/>
      <c r="D654" s="73"/>
      <c r="E654" s="73"/>
      <c r="F654" s="73"/>
      <c r="G654" s="73"/>
      <c r="H654" s="73"/>
      <c r="I654" s="73"/>
      <c r="J654" s="73"/>
      <c r="K654" s="53"/>
      <c r="L654" s="53"/>
      <c r="M654" s="53"/>
      <c r="N654" s="53"/>
      <c r="O654" s="53"/>
      <c r="P654" s="53"/>
      <c r="Q654" s="53"/>
    </row>
    <row r="655" spans="3:17" ht="15.75" customHeight="1">
      <c r="C655" s="53"/>
      <c r="D655" s="73"/>
      <c r="E655" s="73"/>
      <c r="F655" s="73"/>
      <c r="G655" s="73"/>
      <c r="H655" s="73"/>
      <c r="I655" s="73"/>
      <c r="J655" s="73"/>
      <c r="K655" s="53"/>
      <c r="L655" s="53"/>
      <c r="M655" s="53"/>
      <c r="N655" s="53"/>
      <c r="O655" s="53"/>
      <c r="P655" s="53"/>
      <c r="Q655" s="53"/>
    </row>
    <row r="656" spans="3:17" ht="15.75" customHeight="1">
      <c r="C656" s="53"/>
      <c r="D656" s="73"/>
      <c r="E656" s="73"/>
      <c r="F656" s="73"/>
      <c r="G656" s="73"/>
      <c r="H656" s="73"/>
      <c r="I656" s="73"/>
      <c r="J656" s="73"/>
      <c r="K656" s="53"/>
      <c r="L656" s="53"/>
      <c r="M656" s="53"/>
      <c r="N656" s="53"/>
      <c r="O656" s="53"/>
      <c r="P656" s="53"/>
      <c r="Q656" s="53"/>
    </row>
    <row r="657" spans="3:17" ht="15.75" customHeight="1">
      <c r="C657" s="53"/>
      <c r="D657" s="73"/>
      <c r="E657" s="73"/>
      <c r="F657" s="73"/>
      <c r="G657" s="73"/>
      <c r="H657" s="73"/>
      <c r="I657" s="73"/>
      <c r="J657" s="73"/>
      <c r="K657" s="53"/>
      <c r="L657" s="53"/>
      <c r="M657" s="53"/>
      <c r="N657" s="53"/>
      <c r="O657" s="53"/>
      <c r="P657" s="53"/>
      <c r="Q657" s="53"/>
    </row>
    <row r="658" spans="3:17" ht="15.75" customHeight="1">
      <c r="C658" s="53"/>
      <c r="D658" s="73"/>
      <c r="E658" s="73"/>
      <c r="F658" s="73"/>
      <c r="G658" s="73"/>
      <c r="H658" s="73"/>
      <c r="I658" s="73"/>
      <c r="J658" s="73"/>
      <c r="K658" s="53"/>
      <c r="L658" s="53"/>
      <c r="M658" s="53"/>
      <c r="N658" s="53"/>
      <c r="O658" s="53"/>
      <c r="P658" s="53"/>
      <c r="Q658" s="53"/>
    </row>
    <row r="659" spans="3:17" ht="15.75" customHeight="1">
      <c r="C659" s="53"/>
      <c r="D659" s="73"/>
      <c r="E659" s="73"/>
      <c r="F659" s="73"/>
      <c r="G659" s="73"/>
      <c r="H659" s="73"/>
      <c r="I659" s="73"/>
      <c r="J659" s="73"/>
      <c r="K659" s="53"/>
      <c r="L659" s="53"/>
      <c r="M659" s="53"/>
      <c r="N659" s="53"/>
      <c r="O659" s="53"/>
      <c r="P659" s="53"/>
      <c r="Q659" s="53"/>
    </row>
    <row r="660" spans="3:17" ht="15.75" customHeight="1">
      <c r="C660" s="53"/>
      <c r="D660" s="73"/>
      <c r="E660" s="73"/>
      <c r="F660" s="73"/>
      <c r="G660" s="73"/>
      <c r="H660" s="73"/>
      <c r="I660" s="73"/>
      <c r="J660" s="73"/>
      <c r="K660" s="53"/>
      <c r="L660" s="53"/>
      <c r="M660" s="53"/>
      <c r="N660" s="53"/>
      <c r="O660" s="53"/>
      <c r="P660" s="53"/>
      <c r="Q660" s="53"/>
    </row>
    <row r="661" spans="3:17" ht="15.75" customHeight="1">
      <c r="C661" s="53"/>
      <c r="D661" s="73"/>
      <c r="E661" s="73"/>
      <c r="F661" s="73"/>
      <c r="G661" s="73"/>
      <c r="H661" s="73"/>
      <c r="I661" s="73"/>
      <c r="J661" s="73"/>
      <c r="K661" s="53"/>
      <c r="L661" s="53"/>
      <c r="M661" s="53"/>
      <c r="N661" s="53"/>
      <c r="O661" s="53"/>
      <c r="P661" s="53"/>
      <c r="Q661" s="53"/>
    </row>
    <row r="662" spans="3:17" ht="15.75" customHeight="1">
      <c r="C662" s="53"/>
      <c r="D662" s="73"/>
      <c r="E662" s="73"/>
      <c r="F662" s="73"/>
      <c r="G662" s="73"/>
      <c r="H662" s="73"/>
      <c r="I662" s="73"/>
      <c r="J662" s="73"/>
      <c r="K662" s="53"/>
      <c r="L662" s="53"/>
      <c r="M662" s="53"/>
      <c r="N662" s="53"/>
      <c r="O662" s="53"/>
      <c r="P662" s="53"/>
      <c r="Q662" s="53"/>
    </row>
    <row r="663" spans="3:17" ht="15.75" customHeight="1">
      <c r="C663" s="53"/>
      <c r="D663" s="73"/>
      <c r="E663" s="73"/>
      <c r="F663" s="73"/>
      <c r="G663" s="73"/>
      <c r="H663" s="73"/>
      <c r="I663" s="73"/>
      <c r="J663" s="73"/>
      <c r="K663" s="53"/>
      <c r="L663" s="53"/>
      <c r="M663" s="53"/>
      <c r="N663" s="53"/>
      <c r="O663" s="53"/>
      <c r="P663" s="53"/>
      <c r="Q663" s="53"/>
    </row>
    <row r="664" spans="3:17" ht="15.75" customHeight="1">
      <c r="C664" s="53"/>
      <c r="D664" s="73"/>
      <c r="E664" s="73"/>
      <c r="F664" s="73"/>
      <c r="G664" s="73"/>
      <c r="H664" s="73"/>
      <c r="I664" s="73"/>
      <c r="J664" s="73"/>
      <c r="K664" s="53"/>
      <c r="L664" s="53"/>
      <c r="M664" s="53"/>
      <c r="N664" s="53"/>
      <c r="O664" s="53"/>
      <c r="P664" s="53"/>
      <c r="Q664" s="53"/>
    </row>
    <row r="665" spans="3:17" ht="15.75" customHeight="1">
      <c r="C665" s="53"/>
      <c r="D665" s="73"/>
      <c r="E665" s="73"/>
      <c r="F665" s="73"/>
      <c r="G665" s="73"/>
      <c r="H665" s="73"/>
      <c r="I665" s="73"/>
      <c r="J665" s="73"/>
      <c r="K665" s="53"/>
      <c r="L665" s="53"/>
      <c r="M665" s="53"/>
      <c r="N665" s="53"/>
      <c r="O665" s="53"/>
      <c r="P665" s="53"/>
      <c r="Q665" s="53"/>
    </row>
    <row r="666" spans="3:17" ht="15.75" customHeight="1">
      <c r="C666" s="53"/>
      <c r="D666" s="73"/>
      <c r="E666" s="73"/>
      <c r="F666" s="73"/>
      <c r="G666" s="73"/>
      <c r="H666" s="73"/>
      <c r="I666" s="73"/>
      <c r="J666" s="73"/>
      <c r="K666" s="53"/>
      <c r="L666" s="53"/>
      <c r="M666" s="53"/>
      <c r="N666" s="53"/>
      <c r="O666" s="53"/>
      <c r="P666" s="53"/>
      <c r="Q666" s="53"/>
    </row>
    <row r="667" spans="3:17" ht="15.75" customHeight="1">
      <c r="C667" s="53"/>
      <c r="D667" s="73"/>
      <c r="E667" s="73"/>
      <c r="F667" s="73"/>
      <c r="G667" s="73"/>
      <c r="H667" s="73"/>
      <c r="I667" s="73"/>
      <c r="J667" s="73"/>
      <c r="K667" s="53"/>
      <c r="L667" s="53"/>
      <c r="M667" s="53"/>
      <c r="N667" s="53"/>
      <c r="O667" s="53"/>
      <c r="P667" s="53"/>
      <c r="Q667" s="53"/>
    </row>
    <row r="668" spans="3:17" ht="15.75" customHeight="1">
      <c r="C668" s="53"/>
      <c r="D668" s="73"/>
      <c r="E668" s="73"/>
      <c r="F668" s="73"/>
      <c r="G668" s="73"/>
      <c r="H668" s="73"/>
      <c r="I668" s="73"/>
      <c r="J668" s="73"/>
      <c r="K668" s="53"/>
      <c r="L668" s="53"/>
      <c r="M668" s="53"/>
      <c r="N668" s="53"/>
      <c r="O668" s="53"/>
      <c r="P668" s="53"/>
      <c r="Q668" s="53"/>
    </row>
    <row r="669" spans="3:17" ht="15.75" customHeight="1">
      <c r="C669" s="53"/>
      <c r="D669" s="73"/>
      <c r="E669" s="73"/>
      <c r="F669" s="73"/>
      <c r="G669" s="73"/>
      <c r="H669" s="73"/>
      <c r="I669" s="73"/>
      <c r="J669" s="73"/>
      <c r="K669" s="53"/>
      <c r="L669" s="53"/>
      <c r="M669" s="53"/>
      <c r="N669" s="53"/>
      <c r="O669" s="53"/>
      <c r="P669" s="53"/>
      <c r="Q669" s="53"/>
    </row>
    <row r="670" spans="3:17" ht="15.75" customHeight="1">
      <c r="C670" s="53"/>
      <c r="D670" s="73"/>
      <c r="E670" s="73"/>
      <c r="F670" s="73"/>
      <c r="G670" s="73"/>
      <c r="H670" s="73"/>
      <c r="I670" s="73"/>
      <c r="J670" s="73"/>
      <c r="K670" s="53"/>
      <c r="L670" s="53"/>
      <c r="M670" s="53"/>
      <c r="N670" s="53"/>
      <c r="O670" s="53"/>
      <c r="P670" s="53"/>
      <c r="Q670" s="53"/>
    </row>
    <row r="671" spans="3:17" ht="15.75" customHeight="1">
      <c r="C671" s="53"/>
      <c r="D671" s="73"/>
      <c r="E671" s="73"/>
      <c r="F671" s="73"/>
      <c r="G671" s="73"/>
      <c r="H671" s="73"/>
      <c r="I671" s="73"/>
      <c r="J671" s="73"/>
      <c r="K671" s="53"/>
      <c r="L671" s="53"/>
      <c r="M671" s="53"/>
      <c r="N671" s="53"/>
      <c r="O671" s="53"/>
      <c r="P671" s="53"/>
      <c r="Q671" s="53"/>
    </row>
    <row r="672" spans="3:17" ht="15.75" customHeight="1">
      <c r="C672" s="53"/>
      <c r="D672" s="73"/>
      <c r="E672" s="73"/>
      <c r="F672" s="73"/>
      <c r="G672" s="73"/>
      <c r="H672" s="73"/>
      <c r="I672" s="73"/>
      <c r="J672" s="73"/>
      <c r="K672" s="53"/>
      <c r="L672" s="53"/>
      <c r="M672" s="53"/>
      <c r="N672" s="53"/>
      <c r="O672" s="53"/>
      <c r="P672" s="53"/>
      <c r="Q672" s="53"/>
    </row>
    <row r="673" spans="3:17" ht="15.75" customHeight="1">
      <c r="C673" s="53"/>
      <c r="D673" s="73"/>
      <c r="E673" s="73"/>
      <c r="F673" s="73"/>
      <c r="G673" s="73"/>
      <c r="H673" s="73"/>
      <c r="I673" s="73"/>
      <c r="J673" s="73"/>
      <c r="K673" s="53"/>
      <c r="L673" s="53"/>
      <c r="M673" s="53"/>
      <c r="N673" s="53"/>
      <c r="O673" s="53"/>
      <c r="P673" s="53"/>
      <c r="Q673" s="53"/>
    </row>
    <row r="674" spans="3:17" ht="15.75" customHeight="1">
      <c r="C674" s="53"/>
      <c r="D674" s="73"/>
      <c r="E674" s="73"/>
      <c r="F674" s="73"/>
      <c r="G674" s="73"/>
      <c r="H674" s="73"/>
      <c r="I674" s="73"/>
      <c r="J674" s="73"/>
      <c r="K674" s="53"/>
      <c r="L674" s="53"/>
      <c r="M674" s="53"/>
      <c r="N674" s="53"/>
      <c r="O674" s="53"/>
      <c r="P674" s="53"/>
      <c r="Q674" s="53"/>
    </row>
    <row r="675" spans="3:17" ht="15.75" customHeight="1">
      <c r="C675" s="53"/>
      <c r="D675" s="73"/>
      <c r="E675" s="73"/>
      <c r="F675" s="73"/>
      <c r="G675" s="73"/>
      <c r="H675" s="73"/>
      <c r="I675" s="73"/>
      <c r="J675" s="73"/>
      <c r="K675" s="53"/>
      <c r="L675" s="53"/>
      <c r="M675" s="53"/>
      <c r="N675" s="53"/>
      <c r="O675" s="53"/>
      <c r="P675" s="53"/>
      <c r="Q675" s="53"/>
    </row>
    <row r="676" spans="3:17" ht="15.75" customHeight="1">
      <c r="C676" s="53"/>
      <c r="D676" s="73"/>
      <c r="E676" s="73"/>
      <c r="F676" s="73"/>
      <c r="G676" s="73"/>
      <c r="H676" s="73"/>
      <c r="I676" s="73"/>
      <c r="J676" s="73"/>
      <c r="K676" s="53"/>
      <c r="L676" s="53"/>
      <c r="M676" s="53"/>
      <c r="N676" s="53"/>
      <c r="O676" s="53"/>
      <c r="P676" s="53"/>
      <c r="Q676" s="53"/>
    </row>
    <row r="677" spans="3:17" ht="15.75" customHeight="1">
      <c r="C677" s="53"/>
      <c r="D677" s="73"/>
      <c r="E677" s="73"/>
      <c r="F677" s="73"/>
      <c r="G677" s="73"/>
      <c r="H677" s="73"/>
      <c r="I677" s="73"/>
      <c r="J677" s="73"/>
      <c r="K677" s="53"/>
      <c r="L677" s="53"/>
      <c r="M677" s="53"/>
      <c r="N677" s="53"/>
      <c r="O677" s="53"/>
      <c r="P677" s="53"/>
      <c r="Q677" s="53"/>
    </row>
    <row r="678" spans="3:17" ht="15.75" customHeight="1">
      <c r="C678" s="53"/>
      <c r="D678" s="73"/>
      <c r="E678" s="73"/>
      <c r="F678" s="73"/>
      <c r="G678" s="73"/>
      <c r="H678" s="73"/>
      <c r="I678" s="73"/>
      <c r="J678" s="73"/>
      <c r="K678" s="53"/>
      <c r="L678" s="53"/>
      <c r="M678" s="53"/>
      <c r="N678" s="53"/>
      <c r="O678" s="53"/>
      <c r="P678" s="53"/>
      <c r="Q678" s="53"/>
    </row>
    <row r="679" spans="3:17" ht="15.75" customHeight="1">
      <c r="C679" s="53"/>
      <c r="D679" s="73"/>
      <c r="E679" s="73"/>
      <c r="F679" s="73"/>
      <c r="G679" s="73"/>
      <c r="H679" s="73"/>
      <c r="I679" s="73"/>
      <c r="J679" s="73"/>
      <c r="K679" s="53"/>
      <c r="L679" s="53"/>
      <c r="M679" s="53"/>
      <c r="N679" s="53"/>
      <c r="O679" s="53"/>
      <c r="P679" s="53"/>
      <c r="Q679" s="53"/>
    </row>
    <row r="680" spans="3:17" ht="15.75" customHeight="1">
      <c r="C680" s="53"/>
      <c r="D680" s="73"/>
      <c r="E680" s="73"/>
      <c r="F680" s="73"/>
      <c r="G680" s="73"/>
      <c r="H680" s="73"/>
      <c r="I680" s="73"/>
      <c r="J680" s="73"/>
      <c r="K680" s="53"/>
      <c r="L680" s="53"/>
      <c r="M680" s="53"/>
      <c r="N680" s="53"/>
      <c r="O680" s="53"/>
      <c r="P680" s="53"/>
      <c r="Q680" s="53"/>
    </row>
    <row r="681" spans="3:17" ht="15.75" customHeight="1">
      <c r="C681" s="53"/>
      <c r="D681" s="73"/>
      <c r="E681" s="73"/>
      <c r="F681" s="73"/>
      <c r="G681" s="73"/>
      <c r="H681" s="73"/>
      <c r="I681" s="73"/>
      <c r="J681" s="73"/>
      <c r="K681" s="53"/>
      <c r="L681" s="53"/>
      <c r="M681" s="53"/>
      <c r="N681" s="53"/>
      <c r="O681" s="53"/>
      <c r="P681" s="53"/>
      <c r="Q681" s="53"/>
    </row>
    <row r="682" spans="3:17" ht="15.75" customHeight="1">
      <c r="C682" s="53"/>
      <c r="D682" s="73"/>
      <c r="E682" s="73"/>
      <c r="F682" s="73"/>
      <c r="G682" s="73"/>
      <c r="H682" s="73"/>
      <c r="I682" s="73"/>
      <c r="J682" s="73"/>
      <c r="K682" s="53"/>
      <c r="L682" s="53"/>
      <c r="M682" s="53"/>
      <c r="N682" s="53"/>
      <c r="O682" s="53"/>
      <c r="P682" s="53"/>
      <c r="Q682" s="53"/>
    </row>
    <row r="683" spans="3:17" ht="15.75" customHeight="1">
      <c r="C683" s="53"/>
      <c r="D683" s="73"/>
      <c r="E683" s="73"/>
      <c r="F683" s="73"/>
      <c r="G683" s="73"/>
      <c r="H683" s="73"/>
      <c r="I683" s="73"/>
      <c r="J683" s="73"/>
      <c r="K683" s="53"/>
      <c r="L683" s="53"/>
      <c r="M683" s="53"/>
      <c r="N683" s="53"/>
      <c r="O683" s="53"/>
      <c r="P683" s="53"/>
      <c r="Q683" s="53"/>
    </row>
    <row r="684" spans="3:17" ht="15.75" customHeight="1">
      <c r="C684" s="53"/>
      <c r="D684" s="73"/>
      <c r="E684" s="73"/>
      <c r="F684" s="73"/>
      <c r="G684" s="73"/>
      <c r="H684" s="73"/>
      <c r="I684" s="73"/>
      <c r="J684" s="73"/>
      <c r="K684" s="53"/>
      <c r="L684" s="53"/>
      <c r="M684" s="53"/>
      <c r="N684" s="53"/>
      <c r="O684" s="53"/>
      <c r="P684" s="53"/>
      <c r="Q684" s="53"/>
    </row>
    <row r="685" spans="3:17" ht="15.75" customHeight="1">
      <c r="C685" s="53"/>
      <c r="D685" s="73"/>
      <c r="E685" s="73"/>
      <c r="F685" s="73"/>
      <c r="G685" s="73"/>
      <c r="H685" s="73"/>
      <c r="I685" s="73"/>
      <c r="J685" s="73"/>
      <c r="K685" s="53"/>
      <c r="L685" s="53"/>
      <c r="M685" s="53"/>
      <c r="N685" s="53"/>
      <c r="O685" s="53"/>
      <c r="P685" s="53"/>
      <c r="Q685" s="53"/>
    </row>
    <row r="686" spans="3:17" ht="15.75" customHeight="1">
      <c r="C686" s="53"/>
      <c r="D686" s="73"/>
      <c r="E686" s="73"/>
      <c r="F686" s="73"/>
      <c r="G686" s="73"/>
      <c r="H686" s="73"/>
      <c r="I686" s="73"/>
      <c r="J686" s="73"/>
      <c r="K686" s="53"/>
      <c r="L686" s="53"/>
      <c r="M686" s="53"/>
      <c r="N686" s="53"/>
      <c r="O686" s="53"/>
      <c r="P686" s="53"/>
      <c r="Q686" s="53"/>
    </row>
    <row r="687" spans="3:17" ht="15.75" customHeight="1">
      <c r="C687" s="53"/>
      <c r="D687" s="73"/>
      <c r="E687" s="73"/>
      <c r="F687" s="73"/>
      <c r="G687" s="73"/>
      <c r="H687" s="73"/>
      <c r="I687" s="73"/>
      <c r="J687" s="73"/>
      <c r="K687" s="53"/>
      <c r="L687" s="53"/>
      <c r="M687" s="53"/>
      <c r="N687" s="53"/>
      <c r="O687" s="53"/>
      <c r="P687" s="53"/>
      <c r="Q687" s="53"/>
    </row>
    <row r="688" spans="3:17" ht="15.75" customHeight="1">
      <c r="C688" s="53"/>
      <c r="D688" s="73"/>
      <c r="E688" s="73"/>
      <c r="F688" s="73"/>
      <c r="G688" s="73"/>
      <c r="H688" s="73"/>
      <c r="I688" s="73"/>
      <c r="J688" s="73"/>
      <c r="K688" s="53"/>
      <c r="L688" s="53"/>
      <c r="M688" s="53"/>
      <c r="N688" s="53"/>
      <c r="O688" s="53"/>
      <c r="P688" s="53"/>
      <c r="Q688" s="53"/>
    </row>
    <row r="689" spans="3:17" ht="15.75" customHeight="1">
      <c r="C689" s="53"/>
      <c r="D689" s="73"/>
      <c r="E689" s="73"/>
      <c r="F689" s="73"/>
      <c r="G689" s="73"/>
      <c r="H689" s="73"/>
      <c r="I689" s="73"/>
      <c r="J689" s="73"/>
      <c r="K689" s="53"/>
      <c r="L689" s="53"/>
      <c r="M689" s="53"/>
      <c r="N689" s="53"/>
      <c r="O689" s="53"/>
      <c r="P689" s="53"/>
      <c r="Q689" s="53"/>
    </row>
    <row r="690" spans="3:17" ht="15.75" customHeight="1">
      <c r="C690" s="53"/>
      <c r="D690" s="73"/>
      <c r="E690" s="73"/>
      <c r="F690" s="73"/>
      <c r="G690" s="73"/>
      <c r="H690" s="73"/>
      <c r="I690" s="73"/>
      <c r="J690" s="73"/>
      <c r="K690" s="53"/>
      <c r="L690" s="53"/>
      <c r="M690" s="53"/>
      <c r="N690" s="53"/>
      <c r="O690" s="53"/>
      <c r="P690" s="53"/>
      <c r="Q690" s="53"/>
    </row>
    <row r="691" spans="3:17" ht="15.75" customHeight="1">
      <c r="C691" s="53"/>
      <c r="D691" s="73"/>
      <c r="E691" s="73"/>
      <c r="F691" s="73"/>
      <c r="G691" s="73"/>
      <c r="H691" s="73"/>
      <c r="I691" s="73"/>
      <c r="J691" s="73"/>
      <c r="K691" s="53"/>
      <c r="L691" s="53"/>
      <c r="M691" s="53"/>
      <c r="N691" s="53"/>
      <c r="O691" s="53"/>
      <c r="P691" s="53"/>
      <c r="Q691" s="53"/>
    </row>
    <row r="692" spans="3:17" ht="15.75" customHeight="1">
      <c r="C692" s="53"/>
      <c r="D692" s="73"/>
      <c r="E692" s="73"/>
      <c r="F692" s="73"/>
      <c r="G692" s="73"/>
      <c r="H692" s="73"/>
      <c r="I692" s="73"/>
      <c r="J692" s="73"/>
      <c r="K692" s="53"/>
      <c r="L692" s="53"/>
      <c r="M692" s="53"/>
      <c r="N692" s="53"/>
      <c r="O692" s="53"/>
      <c r="P692" s="53"/>
      <c r="Q692" s="53"/>
    </row>
    <row r="693" spans="3:17" ht="15.75" customHeight="1">
      <c r="C693" s="53"/>
      <c r="D693" s="73"/>
      <c r="E693" s="73"/>
      <c r="F693" s="73"/>
      <c r="G693" s="73"/>
      <c r="H693" s="73"/>
      <c r="I693" s="73"/>
      <c r="J693" s="73"/>
      <c r="K693" s="53"/>
      <c r="L693" s="53"/>
      <c r="M693" s="53"/>
      <c r="N693" s="53"/>
      <c r="O693" s="53"/>
      <c r="P693" s="53"/>
      <c r="Q693" s="53"/>
    </row>
    <row r="694" spans="3:17" ht="15.75" customHeight="1">
      <c r="C694" s="53"/>
      <c r="D694" s="73"/>
      <c r="E694" s="73"/>
      <c r="F694" s="73"/>
      <c r="G694" s="73"/>
      <c r="H694" s="73"/>
      <c r="I694" s="73"/>
      <c r="J694" s="73"/>
      <c r="K694" s="53"/>
      <c r="L694" s="53"/>
      <c r="M694" s="53"/>
      <c r="N694" s="53"/>
      <c r="O694" s="53"/>
      <c r="P694" s="53"/>
      <c r="Q694" s="53"/>
    </row>
    <row r="695" spans="3:17" ht="15.75" customHeight="1">
      <c r="C695" s="53"/>
      <c r="D695" s="73"/>
      <c r="E695" s="73"/>
      <c r="F695" s="73"/>
      <c r="G695" s="73"/>
      <c r="H695" s="73"/>
      <c r="I695" s="73"/>
      <c r="J695" s="73"/>
      <c r="K695" s="53"/>
      <c r="L695" s="53"/>
      <c r="M695" s="53"/>
      <c r="N695" s="53"/>
      <c r="O695" s="53"/>
      <c r="P695" s="53"/>
      <c r="Q695" s="53"/>
    </row>
    <row r="696" spans="3:17" ht="15.75" customHeight="1">
      <c r="C696" s="53"/>
      <c r="D696" s="73"/>
      <c r="E696" s="73"/>
      <c r="F696" s="73"/>
      <c r="G696" s="73"/>
      <c r="H696" s="73"/>
      <c r="I696" s="73"/>
      <c r="J696" s="73"/>
      <c r="K696" s="53"/>
      <c r="L696" s="53"/>
      <c r="M696" s="53"/>
      <c r="N696" s="53"/>
      <c r="O696" s="53"/>
      <c r="P696" s="53"/>
      <c r="Q696" s="53"/>
    </row>
    <row r="697" spans="3:17" ht="15.75" customHeight="1">
      <c r="C697" s="53"/>
      <c r="D697" s="73"/>
      <c r="E697" s="73"/>
      <c r="F697" s="73"/>
      <c r="G697" s="73"/>
      <c r="H697" s="73"/>
      <c r="I697" s="73"/>
      <c r="J697" s="73"/>
      <c r="K697" s="53"/>
      <c r="L697" s="53"/>
      <c r="M697" s="53"/>
      <c r="N697" s="53"/>
      <c r="O697" s="53"/>
      <c r="P697" s="53"/>
      <c r="Q697" s="53"/>
    </row>
    <row r="698" spans="3:17" ht="15.75" customHeight="1">
      <c r="C698" s="53"/>
      <c r="D698" s="73"/>
      <c r="E698" s="73"/>
      <c r="F698" s="73"/>
      <c r="G698" s="73"/>
      <c r="H698" s="73"/>
      <c r="I698" s="73"/>
      <c r="J698" s="73"/>
      <c r="K698" s="53"/>
      <c r="L698" s="53"/>
      <c r="M698" s="53"/>
      <c r="N698" s="53"/>
      <c r="O698" s="53"/>
      <c r="P698" s="53"/>
      <c r="Q698" s="53"/>
    </row>
    <row r="699" spans="3:17" ht="15.75" customHeight="1">
      <c r="C699" s="53"/>
      <c r="D699" s="73"/>
      <c r="E699" s="73"/>
      <c r="F699" s="73"/>
      <c r="G699" s="73"/>
      <c r="H699" s="73"/>
      <c r="I699" s="73"/>
      <c r="J699" s="73"/>
      <c r="K699" s="53"/>
      <c r="L699" s="53"/>
      <c r="M699" s="53"/>
      <c r="N699" s="53"/>
      <c r="O699" s="53"/>
      <c r="P699" s="53"/>
      <c r="Q699" s="53"/>
    </row>
    <row r="700" spans="3:17" ht="15.75" customHeight="1">
      <c r="C700" s="53"/>
      <c r="D700" s="73"/>
      <c r="E700" s="73"/>
      <c r="F700" s="73"/>
      <c r="G700" s="73"/>
      <c r="H700" s="73"/>
      <c r="I700" s="73"/>
      <c r="J700" s="73"/>
      <c r="K700" s="53"/>
      <c r="L700" s="53"/>
      <c r="M700" s="53"/>
      <c r="N700" s="53"/>
      <c r="O700" s="53"/>
      <c r="P700" s="53"/>
      <c r="Q700" s="53"/>
    </row>
    <row r="701" spans="3:17" ht="15.75" customHeight="1">
      <c r="C701" s="53"/>
      <c r="D701" s="73"/>
      <c r="E701" s="73"/>
      <c r="F701" s="73"/>
      <c r="G701" s="73"/>
      <c r="H701" s="73"/>
      <c r="I701" s="73"/>
      <c r="J701" s="73"/>
      <c r="K701" s="53"/>
      <c r="L701" s="53"/>
      <c r="M701" s="53"/>
      <c r="N701" s="53"/>
      <c r="O701" s="53"/>
      <c r="P701" s="53"/>
      <c r="Q701" s="53"/>
    </row>
    <row r="702" spans="3:17" ht="15.75" customHeight="1">
      <c r="C702" s="53"/>
      <c r="D702" s="73"/>
      <c r="E702" s="73"/>
      <c r="F702" s="73"/>
      <c r="G702" s="73"/>
      <c r="H702" s="73"/>
      <c r="I702" s="73"/>
      <c r="J702" s="73"/>
      <c r="K702" s="53"/>
      <c r="L702" s="53"/>
      <c r="M702" s="53"/>
      <c r="N702" s="53"/>
      <c r="O702" s="53"/>
      <c r="P702" s="53"/>
      <c r="Q702" s="53"/>
    </row>
    <row r="703" spans="3:17" ht="15.75" customHeight="1">
      <c r="C703" s="53"/>
      <c r="D703" s="73"/>
      <c r="E703" s="73"/>
      <c r="F703" s="73"/>
      <c r="G703" s="73"/>
      <c r="H703" s="73"/>
      <c r="I703" s="73"/>
      <c r="J703" s="73"/>
      <c r="K703" s="53"/>
      <c r="L703" s="53"/>
      <c r="M703" s="53"/>
      <c r="N703" s="53"/>
      <c r="O703" s="53"/>
      <c r="P703" s="53"/>
      <c r="Q703" s="53"/>
    </row>
    <row r="704" spans="3:17" ht="15.75" customHeight="1">
      <c r="C704" s="53"/>
      <c r="D704" s="73"/>
      <c r="E704" s="73"/>
      <c r="F704" s="73"/>
      <c r="G704" s="73"/>
      <c r="H704" s="73"/>
      <c r="I704" s="73"/>
      <c r="J704" s="73"/>
      <c r="K704" s="53"/>
      <c r="L704" s="53"/>
      <c r="M704" s="53"/>
      <c r="N704" s="53"/>
      <c r="O704" s="53"/>
      <c r="P704" s="53"/>
      <c r="Q704" s="53"/>
    </row>
    <row r="705" spans="3:17" ht="15.75" customHeight="1">
      <c r="C705" s="53"/>
      <c r="D705" s="73"/>
      <c r="E705" s="73"/>
      <c r="F705" s="73"/>
      <c r="G705" s="73"/>
      <c r="H705" s="73"/>
      <c r="I705" s="73"/>
      <c r="J705" s="73"/>
      <c r="K705" s="53"/>
      <c r="L705" s="53"/>
      <c r="M705" s="53"/>
      <c r="N705" s="53"/>
      <c r="O705" s="53"/>
      <c r="P705" s="53"/>
      <c r="Q705" s="53"/>
    </row>
    <row r="706" spans="3:17" ht="15.75" customHeight="1">
      <c r="C706" s="53"/>
      <c r="D706" s="73"/>
      <c r="E706" s="73"/>
      <c r="F706" s="73"/>
      <c r="G706" s="73"/>
      <c r="H706" s="73"/>
      <c r="I706" s="73"/>
      <c r="J706" s="73"/>
      <c r="K706" s="53"/>
      <c r="L706" s="53"/>
      <c r="M706" s="53"/>
      <c r="N706" s="53"/>
      <c r="O706" s="53"/>
      <c r="P706" s="53"/>
      <c r="Q706" s="53"/>
    </row>
    <row r="707" spans="3:17" ht="15.75" customHeight="1">
      <c r="C707" s="53"/>
      <c r="D707" s="73"/>
      <c r="E707" s="73"/>
      <c r="F707" s="73"/>
      <c r="G707" s="73"/>
      <c r="H707" s="73"/>
      <c r="I707" s="73"/>
      <c r="J707" s="73"/>
      <c r="K707" s="53"/>
      <c r="L707" s="53"/>
      <c r="M707" s="53"/>
      <c r="N707" s="53"/>
      <c r="O707" s="53"/>
      <c r="P707" s="53"/>
      <c r="Q707" s="53"/>
    </row>
    <row r="708" spans="3:17" ht="15.75" customHeight="1">
      <c r="C708" s="53"/>
      <c r="D708" s="73"/>
      <c r="E708" s="73"/>
      <c r="F708" s="73"/>
      <c r="G708" s="73"/>
      <c r="H708" s="73"/>
      <c r="I708" s="73"/>
      <c r="J708" s="73"/>
      <c r="K708" s="53"/>
      <c r="L708" s="53"/>
      <c r="M708" s="53"/>
      <c r="N708" s="53"/>
      <c r="O708" s="53"/>
      <c r="P708" s="53"/>
      <c r="Q708" s="53"/>
    </row>
    <row r="709" spans="3:17" ht="15.75" customHeight="1">
      <c r="C709" s="53"/>
      <c r="D709" s="73"/>
      <c r="E709" s="73"/>
      <c r="F709" s="73"/>
      <c r="G709" s="73"/>
      <c r="H709" s="73"/>
      <c r="I709" s="73"/>
      <c r="J709" s="73"/>
      <c r="K709" s="53"/>
      <c r="L709" s="53"/>
      <c r="M709" s="53"/>
      <c r="N709" s="53"/>
      <c r="O709" s="53"/>
      <c r="P709" s="53"/>
      <c r="Q709" s="53"/>
    </row>
    <row r="710" spans="3:17" ht="15.75" customHeight="1">
      <c r="C710" s="53"/>
      <c r="D710" s="73"/>
      <c r="E710" s="73"/>
      <c r="F710" s="73"/>
      <c r="G710" s="73"/>
      <c r="H710" s="73"/>
      <c r="I710" s="73"/>
      <c r="J710" s="73"/>
      <c r="K710" s="53"/>
      <c r="L710" s="53"/>
      <c r="M710" s="53"/>
      <c r="N710" s="53"/>
      <c r="O710" s="53"/>
      <c r="P710" s="53"/>
      <c r="Q710" s="53"/>
    </row>
    <row r="711" spans="3:17" ht="15.75" customHeight="1">
      <c r="C711" s="53"/>
      <c r="D711" s="73"/>
      <c r="E711" s="73"/>
      <c r="F711" s="73"/>
      <c r="G711" s="73"/>
      <c r="H711" s="73"/>
      <c r="I711" s="73"/>
      <c r="J711" s="73"/>
      <c r="K711" s="53"/>
      <c r="L711" s="53"/>
      <c r="M711" s="53"/>
      <c r="N711" s="53"/>
      <c r="O711" s="53"/>
      <c r="P711" s="53"/>
      <c r="Q711" s="53"/>
    </row>
    <row r="712" spans="3:17" ht="15.75" customHeight="1">
      <c r="C712" s="53"/>
      <c r="D712" s="73"/>
      <c r="E712" s="73"/>
      <c r="F712" s="73"/>
      <c r="G712" s="73"/>
      <c r="H712" s="73"/>
      <c r="I712" s="73"/>
      <c r="J712" s="73"/>
      <c r="K712" s="53"/>
      <c r="L712" s="53"/>
      <c r="M712" s="53"/>
      <c r="N712" s="53"/>
      <c r="O712" s="53"/>
      <c r="P712" s="53"/>
      <c r="Q712" s="53"/>
    </row>
    <row r="713" spans="3:17" ht="15.75" customHeight="1">
      <c r="C713" s="53"/>
      <c r="D713" s="73"/>
      <c r="E713" s="73"/>
      <c r="F713" s="73"/>
      <c r="G713" s="73"/>
      <c r="H713" s="73"/>
      <c r="I713" s="73"/>
      <c r="J713" s="73"/>
      <c r="K713" s="53"/>
      <c r="L713" s="53"/>
      <c r="M713" s="53"/>
      <c r="N713" s="53"/>
      <c r="O713" s="53"/>
      <c r="P713" s="53"/>
      <c r="Q713" s="53"/>
    </row>
    <row r="714" spans="3:17" ht="15.75" customHeight="1">
      <c r="C714" s="53"/>
      <c r="D714" s="73"/>
      <c r="E714" s="73"/>
      <c r="F714" s="73"/>
      <c r="G714" s="73"/>
      <c r="H714" s="73"/>
      <c r="I714" s="73"/>
      <c r="J714" s="73"/>
      <c r="K714" s="53"/>
      <c r="L714" s="53"/>
      <c r="M714" s="53"/>
      <c r="N714" s="53"/>
      <c r="O714" s="53"/>
      <c r="P714" s="53"/>
      <c r="Q714" s="53"/>
    </row>
    <row r="715" spans="3:17" ht="15.75" customHeight="1">
      <c r="C715" s="53"/>
      <c r="D715" s="73"/>
      <c r="E715" s="73"/>
      <c r="F715" s="73"/>
      <c r="G715" s="73"/>
      <c r="H715" s="73"/>
      <c r="I715" s="73"/>
      <c r="J715" s="73"/>
      <c r="K715" s="53"/>
      <c r="L715" s="53"/>
      <c r="M715" s="53"/>
      <c r="N715" s="53"/>
      <c r="O715" s="53"/>
      <c r="P715" s="53"/>
      <c r="Q715" s="53"/>
    </row>
    <row r="716" spans="3:17" ht="15.75" customHeight="1">
      <c r="C716" s="53"/>
      <c r="D716" s="73"/>
      <c r="E716" s="73"/>
      <c r="F716" s="73"/>
      <c r="G716" s="73"/>
      <c r="H716" s="73"/>
      <c r="I716" s="73"/>
      <c r="J716" s="73"/>
      <c r="K716" s="53"/>
      <c r="L716" s="53"/>
      <c r="M716" s="53"/>
      <c r="N716" s="53"/>
      <c r="O716" s="53"/>
      <c r="P716" s="53"/>
      <c r="Q716" s="53"/>
    </row>
    <row r="717" spans="3:17" ht="15.75" customHeight="1">
      <c r="C717" s="53"/>
      <c r="D717" s="73"/>
      <c r="E717" s="73"/>
      <c r="F717" s="73"/>
      <c r="G717" s="73"/>
      <c r="H717" s="73"/>
      <c r="I717" s="73"/>
      <c r="J717" s="73"/>
      <c r="K717" s="53"/>
      <c r="L717" s="53"/>
      <c r="M717" s="53"/>
      <c r="N717" s="53"/>
      <c r="O717" s="53"/>
      <c r="P717" s="53"/>
      <c r="Q717" s="53"/>
    </row>
    <row r="718" spans="3:17" ht="15.75" customHeight="1">
      <c r="C718" s="53"/>
      <c r="D718" s="73"/>
      <c r="E718" s="73"/>
      <c r="F718" s="73"/>
      <c r="G718" s="73"/>
      <c r="H718" s="73"/>
      <c r="I718" s="73"/>
      <c r="J718" s="73"/>
      <c r="K718" s="53"/>
      <c r="L718" s="53"/>
      <c r="M718" s="53"/>
      <c r="N718" s="53"/>
      <c r="O718" s="53"/>
      <c r="P718" s="53"/>
      <c r="Q718" s="53"/>
    </row>
    <row r="719" spans="3:17" ht="15.75" customHeight="1">
      <c r="C719" s="53"/>
      <c r="D719" s="73"/>
      <c r="E719" s="73"/>
      <c r="F719" s="73"/>
      <c r="G719" s="73"/>
      <c r="H719" s="73"/>
      <c r="I719" s="73"/>
      <c r="J719" s="73"/>
      <c r="K719" s="53"/>
      <c r="L719" s="53"/>
      <c r="M719" s="53"/>
      <c r="N719" s="53"/>
      <c r="O719" s="53"/>
      <c r="P719" s="53"/>
      <c r="Q719" s="53"/>
    </row>
    <row r="720" spans="3:17" ht="15.75" customHeight="1">
      <c r="C720" s="53"/>
      <c r="D720" s="73"/>
      <c r="E720" s="73"/>
      <c r="F720" s="73"/>
      <c r="G720" s="73"/>
      <c r="H720" s="73"/>
      <c r="I720" s="73"/>
      <c r="J720" s="73"/>
      <c r="K720" s="53"/>
      <c r="L720" s="53"/>
      <c r="M720" s="53"/>
      <c r="N720" s="53"/>
      <c r="O720" s="53"/>
      <c r="P720" s="53"/>
      <c r="Q720" s="53"/>
    </row>
    <row r="721" spans="3:17" ht="15.75" customHeight="1">
      <c r="C721" s="53"/>
      <c r="D721" s="73"/>
      <c r="E721" s="73"/>
      <c r="F721" s="73"/>
      <c r="G721" s="73"/>
      <c r="H721" s="73"/>
      <c r="I721" s="73"/>
      <c r="J721" s="73"/>
      <c r="K721" s="53"/>
      <c r="L721" s="53"/>
      <c r="M721" s="53"/>
      <c r="N721" s="53"/>
      <c r="O721" s="53"/>
      <c r="P721" s="53"/>
      <c r="Q721" s="53"/>
    </row>
    <row r="722" spans="3:17" ht="15.75" customHeight="1">
      <c r="C722" s="53"/>
      <c r="D722" s="73"/>
      <c r="E722" s="73"/>
      <c r="F722" s="73"/>
      <c r="G722" s="73"/>
      <c r="H722" s="73"/>
      <c r="I722" s="73"/>
      <c r="J722" s="73"/>
      <c r="K722" s="53"/>
      <c r="L722" s="53"/>
      <c r="M722" s="53"/>
      <c r="N722" s="53"/>
      <c r="O722" s="53"/>
      <c r="P722" s="53"/>
      <c r="Q722" s="53"/>
    </row>
    <row r="723" spans="3:17" ht="15.75" customHeight="1">
      <c r="C723" s="53"/>
      <c r="D723" s="73"/>
      <c r="E723" s="73"/>
      <c r="F723" s="73"/>
      <c r="G723" s="73"/>
      <c r="H723" s="73"/>
      <c r="I723" s="73"/>
      <c r="J723" s="73"/>
      <c r="K723" s="53"/>
      <c r="L723" s="53"/>
      <c r="M723" s="53"/>
      <c r="N723" s="53"/>
      <c r="O723" s="53"/>
      <c r="P723" s="53"/>
      <c r="Q723" s="53"/>
    </row>
    <row r="724" spans="3:17" ht="15.75" customHeight="1">
      <c r="C724" s="53"/>
      <c r="D724" s="73"/>
      <c r="E724" s="73"/>
      <c r="F724" s="73"/>
      <c r="G724" s="73"/>
      <c r="H724" s="73"/>
      <c r="I724" s="73"/>
      <c r="J724" s="73"/>
      <c r="K724" s="53"/>
      <c r="L724" s="53"/>
      <c r="M724" s="53"/>
      <c r="N724" s="53"/>
      <c r="O724" s="53"/>
      <c r="P724" s="53"/>
      <c r="Q724" s="53"/>
    </row>
    <row r="725" spans="3:17" ht="15.75" customHeight="1">
      <c r="C725" s="53"/>
      <c r="D725" s="73"/>
      <c r="E725" s="73"/>
      <c r="F725" s="73"/>
      <c r="G725" s="73"/>
      <c r="H725" s="73"/>
      <c r="I725" s="73"/>
      <c r="J725" s="73"/>
      <c r="K725" s="53"/>
      <c r="L725" s="53"/>
      <c r="M725" s="53"/>
      <c r="N725" s="53"/>
      <c r="O725" s="53"/>
      <c r="P725" s="53"/>
      <c r="Q725" s="53"/>
    </row>
    <row r="726" spans="3:17" ht="15.75" customHeight="1">
      <c r="C726" s="53"/>
      <c r="D726" s="73"/>
      <c r="E726" s="73"/>
      <c r="F726" s="73"/>
      <c r="G726" s="73"/>
      <c r="H726" s="73"/>
      <c r="I726" s="73"/>
      <c r="J726" s="73"/>
      <c r="K726" s="53"/>
      <c r="L726" s="53"/>
      <c r="M726" s="53"/>
      <c r="N726" s="53"/>
      <c r="O726" s="53"/>
      <c r="P726" s="53"/>
      <c r="Q726" s="53"/>
    </row>
    <row r="727" spans="3:17" ht="15.75" customHeight="1">
      <c r="C727" s="53"/>
      <c r="D727" s="73"/>
      <c r="E727" s="73"/>
      <c r="F727" s="73"/>
      <c r="G727" s="73"/>
      <c r="H727" s="73"/>
      <c r="I727" s="73"/>
      <c r="J727" s="73"/>
      <c r="K727" s="53"/>
      <c r="L727" s="53"/>
      <c r="M727" s="53"/>
      <c r="N727" s="53"/>
      <c r="O727" s="53"/>
      <c r="P727" s="53"/>
      <c r="Q727" s="53"/>
    </row>
    <row r="728" spans="3:17" ht="15.75" customHeight="1">
      <c r="C728" s="53"/>
      <c r="D728" s="73"/>
      <c r="E728" s="73"/>
      <c r="F728" s="73"/>
      <c r="G728" s="73"/>
      <c r="H728" s="73"/>
      <c r="I728" s="73"/>
      <c r="J728" s="73"/>
      <c r="K728" s="53"/>
      <c r="L728" s="53"/>
      <c r="M728" s="53"/>
      <c r="N728" s="53"/>
      <c r="O728" s="53"/>
      <c r="P728" s="53"/>
      <c r="Q728" s="53"/>
    </row>
    <row r="729" spans="3:17" ht="15.75" customHeight="1">
      <c r="C729" s="53"/>
      <c r="D729" s="73"/>
      <c r="E729" s="73"/>
      <c r="F729" s="73"/>
      <c r="G729" s="73"/>
      <c r="H729" s="73"/>
      <c r="I729" s="73"/>
      <c r="J729" s="73"/>
      <c r="K729" s="53"/>
      <c r="L729" s="53"/>
      <c r="M729" s="53"/>
      <c r="N729" s="53"/>
      <c r="O729" s="53"/>
      <c r="P729" s="53"/>
      <c r="Q729" s="53"/>
    </row>
    <row r="730" spans="3:17" ht="15.75" customHeight="1">
      <c r="C730" s="53"/>
      <c r="D730" s="73"/>
      <c r="E730" s="73"/>
      <c r="F730" s="73"/>
      <c r="G730" s="73"/>
      <c r="H730" s="73"/>
      <c r="I730" s="73"/>
      <c r="J730" s="73"/>
      <c r="K730" s="53"/>
      <c r="L730" s="53"/>
      <c r="M730" s="53"/>
      <c r="N730" s="53"/>
      <c r="O730" s="53"/>
      <c r="P730" s="53"/>
      <c r="Q730" s="53"/>
    </row>
    <row r="731" spans="3:17" ht="15.75" customHeight="1">
      <c r="C731" s="53"/>
      <c r="D731" s="73"/>
      <c r="E731" s="73"/>
      <c r="F731" s="73"/>
      <c r="G731" s="73"/>
      <c r="H731" s="73"/>
      <c r="I731" s="73"/>
      <c r="J731" s="73"/>
      <c r="K731" s="53"/>
      <c r="L731" s="53"/>
      <c r="M731" s="53"/>
      <c r="N731" s="53"/>
      <c r="O731" s="53"/>
      <c r="P731" s="53"/>
      <c r="Q731" s="53"/>
    </row>
    <row r="732" spans="3:17" ht="15.75" customHeight="1">
      <c r="C732" s="53"/>
      <c r="D732" s="73"/>
      <c r="E732" s="73"/>
      <c r="F732" s="73"/>
      <c r="G732" s="73"/>
      <c r="H732" s="73"/>
      <c r="I732" s="73"/>
      <c r="J732" s="73"/>
      <c r="K732" s="53"/>
      <c r="L732" s="53"/>
      <c r="M732" s="53"/>
      <c r="N732" s="53"/>
      <c r="O732" s="53"/>
      <c r="P732" s="53"/>
      <c r="Q732" s="53"/>
    </row>
    <row r="733" spans="3:17" ht="15.75" customHeight="1">
      <c r="C733" s="53"/>
      <c r="D733" s="73"/>
      <c r="E733" s="73"/>
      <c r="F733" s="73"/>
      <c r="G733" s="73"/>
      <c r="H733" s="73"/>
      <c r="I733" s="73"/>
      <c r="J733" s="73"/>
      <c r="K733" s="53"/>
      <c r="L733" s="53"/>
      <c r="M733" s="53"/>
      <c r="N733" s="53"/>
      <c r="O733" s="53"/>
      <c r="P733" s="53"/>
      <c r="Q733" s="53"/>
    </row>
    <row r="734" spans="3:17" ht="15.75" customHeight="1">
      <c r="C734" s="53"/>
      <c r="D734" s="73"/>
      <c r="E734" s="73"/>
      <c r="F734" s="73"/>
      <c r="G734" s="73"/>
      <c r="H734" s="73"/>
      <c r="I734" s="73"/>
      <c r="J734" s="73"/>
      <c r="K734" s="53"/>
      <c r="L734" s="53"/>
      <c r="M734" s="53"/>
      <c r="N734" s="53"/>
      <c r="O734" s="53"/>
      <c r="P734" s="53"/>
      <c r="Q734" s="53"/>
    </row>
    <row r="735" spans="3:17" ht="15.75" customHeight="1">
      <c r="C735" s="53"/>
      <c r="D735" s="73"/>
      <c r="E735" s="73"/>
      <c r="F735" s="73"/>
      <c r="G735" s="73"/>
      <c r="H735" s="73"/>
      <c r="I735" s="73"/>
      <c r="J735" s="73"/>
      <c r="K735" s="53"/>
      <c r="L735" s="53"/>
      <c r="M735" s="53"/>
      <c r="N735" s="53"/>
      <c r="O735" s="53"/>
      <c r="P735" s="53"/>
      <c r="Q735" s="53"/>
    </row>
    <row r="736" spans="3:17" ht="15.75" customHeight="1">
      <c r="C736" s="53"/>
      <c r="D736" s="73"/>
      <c r="E736" s="73"/>
      <c r="F736" s="73"/>
      <c r="G736" s="73"/>
      <c r="H736" s="73"/>
      <c r="I736" s="73"/>
      <c r="J736" s="73"/>
      <c r="K736" s="53"/>
      <c r="L736" s="53"/>
      <c r="M736" s="53"/>
      <c r="N736" s="53"/>
      <c r="O736" s="53"/>
      <c r="P736" s="53"/>
      <c r="Q736" s="53"/>
    </row>
    <row r="737" spans="3:17" ht="15.75" customHeight="1">
      <c r="C737" s="53"/>
      <c r="D737" s="73"/>
      <c r="E737" s="73"/>
      <c r="F737" s="73"/>
      <c r="G737" s="73"/>
      <c r="H737" s="73"/>
      <c r="I737" s="73"/>
      <c r="J737" s="73"/>
      <c r="K737" s="53"/>
      <c r="L737" s="53"/>
      <c r="M737" s="53"/>
      <c r="N737" s="53"/>
      <c r="O737" s="53"/>
      <c r="P737" s="53"/>
      <c r="Q737" s="53"/>
    </row>
    <row r="738" spans="3:17" ht="15.75" customHeight="1">
      <c r="C738" s="53"/>
      <c r="D738" s="73"/>
      <c r="E738" s="73"/>
      <c r="F738" s="73"/>
      <c r="G738" s="73"/>
      <c r="H738" s="73"/>
      <c r="I738" s="73"/>
      <c r="J738" s="73"/>
      <c r="K738" s="53"/>
      <c r="L738" s="53"/>
      <c r="M738" s="53"/>
      <c r="N738" s="53"/>
      <c r="O738" s="53"/>
      <c r="P738" s="53"/>
      <c r="Q738" s="53"/>
    </row>
    <row r="739" spans="3:17" ht="15.75" customHeight="1">
      <c r="C739" s="53"/>
      <c r="D739" s="73"/>
      <c r="E739" s="73"/>
      <c r="F739" s="73"/>
      <c r="G739" s="73"/>
      <c r="H739" s="73"/>
      <c r="I739" s="73"/>
      <c r="J739" s="73"/>
      <c r="K739" s="53"/>
      <c r="L739" s="53"/>
      <c r="M739" s="53"/>
      <c r="N739" s="53"/>
      <c r="O739" s="53"/>
      <c r="P739" s="53"/>
      <c r="Q739" s="53"/>
    </row>
    <row r="740" spans="3:17" ht="15.75" customHeight="1">
      <c r="C740" s="53"/>
      <c r="D740" s="73"/>
      <c r="E740" s="73"/>
      <c r="F740" s="73"/>
      <c r="G740" s="73"/>
      <c r="H740" s="73"/>
      <c r="I740" s="73"/>
      <c r="J740" s="73"/>
      <c r="K740" s="53"/>
      <c r="L740" s="53"/>
      <c r="M740" s="53"/>
      <c r="N740" s="53"/>
      <c r="O740" s="53"/>
      <c r="P740" s="53"/>
      <c r="Q740" s="53"/>
    </row>
    <row r="741" spans="3:17" ht="15.75" customHeight="1">
      <c r="C741" s="53"/>
      <c r="D741" s="73"/>
      <c r="E741" s="73"/>
      <c r="F741" s="73"/>
      <c r="G741" s="73"/>
      <c r="H741" s="73"/>
      <c r="I741" s="73"/>
      <c r="J741" s="73"/>
      <c r="K741" s="53"/>
      <c r="L741" s="53"/>
      <c r="M741" s="53"/>
      <c r="N741" s="53"/>
      <c r="O741" s="53"/>
      <c r="P741" s="53"/>
      <c r="Q741" s="53"/>
    </row>
    <row r="742" spans="3:17" ht="15.75" customHeight="1">
      <c r="C742" s="53"/>
      <c r="D742" s="73"/>
      <c r="E742" s="73"/>
      <c r="F742" s="73"/>
      <c r="G742" s="73"/>
      <c r="H742" s="73"/>
      <c r="I742" s="73"/>
      <c r="J742" s="73"/>
      <c r="K742" s="53"/>
      <c r="L742" s="53"/>
      <c r="M742" s="53"/>
      <c r="N742" s="53"/>
      <c r="O742" s="53"/>
      <c r="P742" s="53"/>
      <c r="Q742" s="53"/>
    </row>
    <row r="743" spans="3:17" ht="15.75" customHeight="1">
      <c r="C743" s="53"/>
      <c r="D743" s="73"/>
      <c r="E743" s="73"/>
      <c r="F743" s="73"/>
      <c r="G743" s="73"/>
      <c r="H743" s="73"/>
      <c r="I743" s="73"/>
      <c r="J743" s="73"/>
      <c r="K743" s="53"/>
      <c r="L743" s="53"/>
      <c r="M743" s="53"/>
      <c r="N743" s="53"/>
      <c r="O743" s="53"/>
      <c r="P743" s="53"/>
      <c r="Q743" s="53"/>
    </row>
    <row r="744" spans="3:17" ht="15.75" customHeight="1">
      <c r="C744" s="53"/>
      <c r="D744" s="73"/>
      <c r="E744" s="73"/>
      <c r="F744" s="73"/>
      <c r="G744" s="73"/>
      <c r="H744" s="73"/>
      <c r="I744" s="73"/>
      <c r="J744" s="73"/>
      <c r="K744" s="53"/>
      <c r="L744" s="53"/>
      <c r="M744" s="53"/>
      <c r="N744" s="53"/>
      <c r="O744" s="53"/>
      <c r="P744" s="53"/>
      <c r="Q744" s="53"/>
    </row>
    <row r="745" spans="3:17" ht="15.75" customHeight="1">
      <c r="C745" s="53"/>
      <c r="D745" s="73"/>
      <c r="E745" s="73"/>
      <c r="F745" s="73"/>
      <c r="G745" s="73"/>
      <c r="H745" s="73"/>
      <c r="I745" s="73"/>
      <c r="J745" s="73"/>
      <c r="K745" s="53"/>
      <c r="L745" s="53"/>
      <c r="M745" s="53"/>
      <c r="N745" s="53"/>
      <c r="O745" s="53"/>
      <c r="P745" s="53"/>
      <c r="Q745" s="53"/>
    </row>
    <row r="746" spans="3:17" ht="15.75" customHeight="1">
      <c r="C746" s="53"/>
      <c r="D746" s="73"/>
      <c r="E746" s="73"/>
      <c r="F746" s="73"/>
      <c r="G746" s="73"/>
      <c r="H746" s="73"/>
      <c r="I746" s="73"/>
      <c r="J746" s="73"/>
      <c r="K746" s="53"/>
      <c r="L746" s="53"/>
      <c r="M746" s="53"/>
      <c r="N746" s="53"/>
      <c r="O746" s="53"/>
      <c r="P746" s="53"/>
      <c r="Q746" s="53"/>
    </row>
    <row r="747" spans="3:17" ht="15.75" customHeight="1">
      <c r="C747" s="53"/>
      <c r="D747" s="73"/>
      <c r="E747" s="73"/>
      <c r="F747" s="73"/>
      <c r="G747" s="73"/>
      <c r="H747" s="73"/>
      <c r="I747" s="73"/>
      <c r="J747" s="73"/>
      <c r="K747" s="53"/>
      <c r="L747" s="53"/>
      <c r="M747" s="53"/>
      <c r="N747" s="53"/>
      <c r="O747" s="53"/>
      <c r="P747" s="53"/>
      <c r="Q747" s="53"/>
    </row>
    <row r="748" spans="3:17" ht="15.75" customHeight="1">
      <c r="C748" s="53"/>
      <c r="D748" s="73"/>
      <c r="E748" s="73"/>
      <c r="F748" s="73"/>
      <c r="G748" s="73"/>
      <c r="H748" s="73"/>
      <c r="I748" s="73"/>
      <c r="J748" s="73"/>
      <c r="K748" s="53"/>
      <c r="L748" s="53"/>
      <c r="M748" s="53"/>
      <c r="N748" s="53"/>
      <c r="O748" s="53"/>
      <c r="P748" s="53"/>
      <c r="Q748" s="53"/>
    </row>
    <row r="749" spans="3:17" ht="15.75" customHeight="1">
      <c r="C749" s="53"/>
      <c r="D749" s="73"/>
      <c r="E749" s="73"/>
      <c r="F749" s="73"/>
      <c r="G749" s="73"/>
      <c r="H749" s="73"/>
      <c r="I749" s="73"/>
      <c r="J749" s="73"/>
      <c r="K749" s="53"/>
      <c r="L749" s="53"/>
      <c r="M749" s="53"/>
      <c r="N749" s="53"/>
      <c r="O749" s="53"/>
      <c r="P749" s="53"/>
      <c r="Q749" s="53"/>
    </row>
    <row r="750" spans="3:17" ht="15.75" customHeight="1">
      <c r="C750" s="53"/>
      <c r="D750" s="73"/>
      <c r="E750" s="73"/>
      <c r="F750" s="73"/>
      <c r="G750" s="73"/>
      <c r="H750" s="73"/>
      <c r="I750" s="73"/>
      <c r="J750" s="73"/>
      <c r="K750" s="53"/>
      <c r="L750" s="53"/>
      <c r="M750" s="53"/>
      <c r="N750" s="53"/>
      <c r="O750" s="53"/>
      <c r="P750" s="53"/>
      <c r="Q750" s="53"/>
    </row>
    <row r="751" spans="3:17" ht="15.75" customHeight="1">
      <c r="C751" s="53"/>
      <c r="D751" s="73"/>
      <c r="E751" s="73"/>
      <c r="F751" s="73"/>
      <c r="G751" s="73"/>
      <c r="H751" s="73"/>
      <c r="I751" s="73"/>
      <c r="J751" s="73"/>
      <c r="K751" s="53"/>
      <c r="L751" s="53"/>
      <c r="M751" s="53"/>
      <c r="N751" s="53"/>
      <c r="O751" s="53"/>
      <c r="P751" s="53"/>
      <c r="Q751" s="53"/>
    </row>
    <row r="752" spans="3:17" ht="15.75" customHeight="1">
      <c r="C752" s="53"/>
      <c r="D752" s="73"/>
      <c r="E752" s="73"/>
      <c r="F752" s="73"/>
      <c r="G752" s="73"/>
      <c r="H752" s="73"/>
      <c r="I752" s="73"/>
      <c r="J752" s="73"/>
      <c r="K752" s="53"/>
      <c r="L752" s="53"/>
      <c r="M752" s="53"/>
      <c r="N752" s="53"/>
      <c r="O752" s="53"/>
      <c r="P752" s="53"/>
      <c r="Q752" s="53"/>
    </row>
    <row r="753" spans="3:17" ht="15.75" customHeight="1">
      <c r="C753" s="53"/>
      <c r="D753" s="73"/>
      <c r="E753" s="73"/>
      <c r="F753" s="73"/>
      <c r="G753" s="73"/>
      <c r="H753" s="73"/>
      <c r="I753" s="73"/>
      <c r="J753" s="73"/>
      <c r="K753" s="53"/>
      <c r="L753" s="53"/>
      <c r="M753" s="53"/>
      <c r="N753" s="53"/>
      <c r="O753" s="53"/>
      <c r="P753" s="53"/>
      <c r="Q753" s="53"/>
    </row>
    <row r="754" spans="3:17" ht="15.75" customHeight="1">
      <c r="C754" s="53"/>
      <c r="D754" s="73"/>
      <c r="E754" s="73"/>
      <c r="F754" s="73"/>
      <c r="G754" s="73"/>
      <c r="H754" s="73"/>
      <c r="I754" s="73"/>
      <c r="J754" s="73"/>
      <c r="K754" s="53"/>
      <c r="L754" s="53"/>
      <c r="M754" s="53"/>
      <c r="N754" s="53"/>
      <c r="O754" s="53"/>
      <c r="P754" s="53"/>
      <c r="Q754" s="53"/>
    </row>
    <row r="755" spans="3:17" ht="15.75" customHeight="1">
      <c r="C755" s="53"/>
      <c r="D755" s="73"/>
      <c r="E755" s="73"/>
      <c r="F755" s="73"/>
      <c r="G755" s="73"/>
      <c r="H755" s="73"/>
      <c r="I755" s="73"/>
      <c r="J755" s="73"/>
      <c r="K755" s="53"/>
      <c r="L755" s="53"/>
      <c r="M755" s="53"/>
      <c r="N755" s="53"/>
      <c r="O755" s="53"/>
      <c r="P755" s="53"/>
      <c r="Q755" s="53"/>
    </row>
    <row r="756" spans="3:17" ht="15.75" customHeight="1">
      <c r="C756" s="53"/>
      <c r="D756" s="73"/>
      <c r="E756" s="73"/>
      <c r="F756" s="73"/>
      <c r="G756" s="73"/>
      <c r="H756" s="73"/>
      <c r="I756" s="73"/>
      <c r="J756" s="73"/>
      <c r="K756" s="53"/>
      <c r="L756" s="53"/>
      <c r="M756" s="53"/>
      <c r="N756" s="53"/>
      <c r="O756" s="53"/>
      <c r="P756" s="53"/>
      <c r="Q756" s="53"/>
    </row>
    <row r="757" spans="3:17" ht="15.75" customHeight="1">
      <c r="C757" s="53"/>
      <c r="D757" s="73"/>
      <c r="E757" s="73"/>
      <c r="F757" s="73"/>
      <c r="G757" s="73"/>
      <c r="H757" s="73"/>
      <c r="I757" s="73"/>
      <c r="J757" s="73"/>
      <c r="K757" s="53"/>
      <c r="L757" s="53"/>
      <c r="M757" s="53"/>
      <c r="N757" s="53"/>
      <c r="O757" s="53"/>
      <c r="P757" s="53"/>
      <c r="Q757" s="53"/>
    </row>
    <row r="758" spans="3:17" ht="15.75" customHeight="1">
      <c r="C758" s="53"/>
      <c r="D758" s="73"/>
      <c r="E758" s="73"/>
      <c r="F758" s="73"/>
      <c r="G758" s="73"/>
      <c r="H758" s="73"/>
      <c r="I758" s="73"/>
      <c r="J758" s="73"/>
      <c r="K758" s="53"/>
      <c r="L758" s="53"/>
      <c r="M758" s="53"/>
      <c r="N758" s="53"/>
      <c r="O758" s="53"/>
      <c r="P758" s="53"/>
      <c r="Q758" s="53"/>
    </row>
    <row r="759" spans="3:17" ht="15.75" customHeight="1">
      <c r="C759" s="53"/>
      <c r="D759" s="73"/>
      <c r="E759" s="73"/>
      <c r="F759" s="73"/>
      <c r="G759" s="73"/>
      <c r="H759" s="73"/>
      <c r="I759" s="73"/>
      <c r="J759" s="73"/>
      <c r="K759" s="53"/>
      <c r="L759" s="53"/>
      <c r="M759" s="53"/>
      <c r="N759" s="53"/>
      <c r="O759" s="53"/>
      <c r="P759" s="53"/>
      <c r="Q759" s="53"/>
    </row>
    <row r="760" spans="3:17" ht="15.75" customHeight="1">
      <c r="C760" s="53"/>
      <c r="D760" s="73"/>
      <c r="E760" s="73"/>
      <c r="F760" s="73"/>
      <c r="G760" s="73"/>
      <c r="H760" s="73"/>
      <c r="I760" s="73"/>
      <c r="J760" s="73"/>
      <c r="K760" s="53"/>
      <c r="L760" s="53"/>
      <c r="M760" s="53"/>
      <c r="N760" s="53"/>
      <c r="O760" s="53"/>
      <c r="P760" s="53"/>
      <c r="Q760" s="53"/>
    </row>
    <row r="761" spans="3:17" ht="15.75" customHeight="1">
      <c r="C761" s="53"/>
      <c r="D761" s="73"/>
      <c r="E761" s="73"/>
      <c r="F761" s="73"/>
      <c r="G761" s="73"/>
      <c r="H761" s="73"/>
      <c r="I761" s="73"/>
      <c r="J761" s="73"/>
      <c r="K761" s="53"/>
      <c r="L761" s="53"/>
      <c r="M761" s="53"/>
      <c r="N761" s="53"/>
      <c r="O761" s="53"/>
      <c r="P761" s="53"/>
      <c r="Q761" s="53"/>
    </row>
    <row r="762" spans="3:17" ht="15.75" customHeight="1">
      <c r="C762" s="53"/>
      <c r="D762" s="73"/>
      <c r="E762" s="73"/>
      <c r="F762" s="73"/>
      <c r="G762" s="73"/>
      <c r="H762" s="73"/>
      <c r="I762" s="73"/>
      <c r="J762" s="73"/>
      <c r="K762" s="53"/>
      <c r="L762" s="53"/>
      <c r="M762" s="53"/>
      <c r="N762" s="53"/>
      <c r="O762" s="53"/>
      <c r="P762" s="53"/>
      <c r="Q762" s="53"/>
    </row>
    <row r="763" spans="3:17" ht="15.75" customHeight="1">
      <c r="C763" s="53"/>
      <c r="D763" s="73"/>
      <c r="E763" s="73"/>
      <c r="F763" s="73"/>
      <c r="G763" s="73"/>
      <c r="H763" s="73"/>
      <c r="I763" s="73"/>
      <c r="J763" s="73"/>
      <c r="K763" s="53"/>
      <c r="L763" s="53"/>
      <c r="M763" s="53"/>
      <c r="N763" s="53"/>
      <c r="O763" s="53"/>
      <c r="P763" s="53"/>
      <c r="Q763" s="53"/>
    </row>
    <row r="764" spans="3:17" ht="15.75" customHeight="1">
      <c r="C764" s="53"/>
      <c r="D764" s="73"/>
      <c r="E764" s="73"/>
      <c r="F764" s="73"/>
      <c r="G764" s="73"/>
      <c r="H764" s="73"/>
      <c r="I764" s="73"/>
      <c r="J764" s="73"/>
      <c r="K764" s="53"/>
      <c r="L764" s="53"/>
      <c r="M764" s="53"/>
      <c r="N764" s="53"/>
      <c r="O764" s="53"/>
      <c r="P764" s="53"/>
      <c r="Q764" s="53"/>
    </row>
    <row r="765" spans="3:17" ht="15.75" customHeight="1">
      <c r="C765" s="53"/>
      <c r="D765" s="73"/>
      <c r="E765" s="73"/>
      <c r="F765" s="73"/>
      <c r="G765" s="73"/>
      <c r="H765" s="73"/>
      <c r="I765" s="73"/>
      <c r="J765" s="73"/>
      <c r="K765" s="53"/>
      <c r="L765" s="53"/>
      <c r="M765" s="53"/>
      <c r="N765" s="53"/>
      <c r="O765" s="53"/>
      <c r="P765" s="53"/>
      <c r="Q765" s="53"/>
    </row>
    <row r="766" spans="3:17" ht="15.75" customHeight="1">
      <c r="C766" s="53"/>
      <c r="D766" s="73"/>
      <c r="E766" s="73"/>
      <c r="F766" s="73"/>
      <c r="G766" s="73"/>
      <c r="H766" s="73"/>
      <c r="I766" s="73"/>
      <c r="J766" s="73"/>
      <c r="K766" s="53"/>
      <c r="L766" s="53"/>
      <c r="M766" s="53"/>
      <c r="N766" s="53"/>
      <c r="O766" s="53"/>
      <c r="P766" s="53"/>
      <c r="Q766" s="53"/>
    </row>
    <row r="767" spans="3:17" ht="15.75" customHeight="1">
      <c r="C767" s="53"/>
      <c r="D767" s="73"/>
      <c r="E767" s="73"/>
      <c r="F767" s="73"/>
      <c r="G767" s="73"/>
      <c r="H767" s="73"/>
      <c r="I767" s="73"/>
      <c r="J767" s="73"/>
      <c r="K767" s="53"/>
      <c r="L767" s="53"/>
      <c r="M767" s="53"/>
      <c r="N767" s="53"/>
      <c r="O767" s="53"/>
      <c r="P767" s="53"/>
      <c r="Q767" s="53"/>
    </row>
    <row r="768" spans="3:17" ht="15.75" customHeight="1">
      <c r="C768" s="53"/>
      <c r="D768" s="73"/>
      <c r="E768" s="73"/>
      <c r="F768" s="73"/>
      <c r="G768" s="73"/>
      <c r="H768" s="73"/>
      <c r="I768" s="73"/>
      <c r="J768" s="73"/>
      <c r="K768" s="53"/>
      <c r="L768" s="53"/>
      <c r="M768" s="53"/>
      <c r="N768" s="53"/>
      <c r="O768" s="53"/>
      <c r="P768" s="53"/>
      <c r="Q768" s="53"/>
    </row>
    <row r="769" spans="3:17" ht="15.75" customHeight="1">
      <c r="C769" s="53"/>
      <c r="D769" s="73"/>
      <c r="E769" s="73"/>
      <c r="F769" s="73"/>
      <c r="G769" s="73"/>
      <c r="H769" s="73"/>
      <c r="I769" s="73"/>
      <c r="J769" s="73"/>
      <c r="K769" s="53"/>
      <c r="L769" s="53"/>
      <c r="M769" s="53"/>
      <c r="N769" s="53"/>
      <c r="O769" s="53"/>
      <c r="P769" s="53"/>
      <c r="Q769" s="53"/>
    </row>
    <row r="770" spans="3:17" ht="15.75" customHeight="1">
      <c r="C770" s="53"/>
      <c r="D770" s="73"/>
      <c r="E770" s="73"/>
      <c r="F770" s="73"/>
      <c r="G770" s="73"/>
      <c r="H770" s="73"/>
      <c r="I770" s="73"/>
      <c r="J770" s="73"/>
      <c r="K770" s="53"/>
      <c r="L770" s="53"/>
      <c r="M770" s="53"/>
      <c r="N770" s="53"/>
      <c r="O770" s="53"/>
      <c r="P770" s="53"/>
      <c r="Q770" s="53"/>
    </row>
    <row r="771" spans="3:17" ht="15.75" customHeight="1">
      <c r="C771" s="53"/>
      <c r="D771" s="73"/>
      <c r="E771" s="73"/>
      <c r="F771" s="73"/>
      <c r="G771" s="73"/>
      <c r="H771" s="73"/>
      <c r="I771" s="73"/>
      <c r="J771" s="73"/>
      <c r="K771" s="53"/>
      <c r="L771" s="53"/>
      <c r="M771" s="53"/>
      <c r="N771" s="53"/>
      <c r="O771" s="53"/>
      <c r="P771" s="53"/>
      <c r="Q771" s="53"/>
    </row>
    <row r="772" spans="3:17" ht="15.75" customHeight="1">
      <c r="C772" s="53"/>
      <c r="D772" s="73"/>
      <c r="E772" s="73"/>
      <c r="F772" s="73"/>
      <c r="G772" s="73"/>
      <c r="H772" s="73"/>
      <c r="I772" s="73"/>
      <c r="J772" s="73"/>
      <c r="K772" s="53"/>
      <c r="L772" s="53"/>
      <c r="M772" s="53"/>
      <c r="N772" s="53"/>
      <c r="O772" s="53"/>
      <c r="P772" s="53"/>
      <c r="Q772" s="53"/>
    </row>
    <row r="773" spans="3:17" ht="15.75" customHeight="1">
      <c r="C773" s="53"/>
      <c r="D773" s="73"/>
      <c r="E773" s="73"/>
      <c r="F773" s="73"/>
      <c r="G773" s="73"/>
      <c r="H773" s="73"/>
      <c r="I773" s="73"/>
      <c r="J773" s="73"/>
      <c r="K773" s="53"/>
      <c r="L773" s="53"/>
      <c r="M773" s="53"/>
      <c r="N773" s="53"/>
      <c r="O773" s="53"/>
      <c r="P773" s="53"/>
      <c r="Q773" s="53"/>
    </row>
    <row r="774" spans="3:17" ht="15.75" customHeight="1">
      <c r="C774" s="53"/>
      <c r="D774" s="73"/>
      <c r="E774" s="73"/>
      <c r="F774" s="73"/>
      <c r="G774" s="73"/>
      <c r="H774" s="73"/>
      <c r="I774" s="73"/>
      <c r="J774" s="73"/>
      <c r="K774" s="53"/>
      <c r="L774" s="53"/>
      <c r="M774" s="53"/>
      <c r="N774" s="53"/>
      <c r="O774" s="53"/>
      <c r="P774" s="53"/>
      <c r="Q774" s="53"/>
    </row>
    <row r="775" spans="3:17" ht="15.75" customHeight="1">
      <c r="C775" s="53"/>
      <c r="D775" s="73"/>
      <c r="E775" s="73"/>
      <c r="F775" s="73"/>
      <c r="G775" s="73"/>
      <c r="H775" s="73"/>
      <c r="I775" s="73"/>
      <c r="J775" s="73"/>
      <c r="K775" s="53"/>
      <c r="L775" s="53"/>
      <c r="M775" s="53"/>
      <c r="N775" s="53"/>
      <c r="O775" s="53"/>
      <c r="P775" s="53"/>
      <c r="Q775" s="53"/>
    </row>
    <row r="776" spans="3:17" ht="15.75" customHeight="1">
      <c r="C776" s="53"/>
      <c r="D776" s="73"/>
      <c r="E776" s="73"/>
      <c r="F776" s="73"/>
      <c r="G776" s="73"/>
      <c r="H776" s="73"/>
      <c r="I776" s="73"/>
      <c r="J776" s="73"/>
      <c r="K776" s="53"/>
      <c r="L776" s="53"/>
      <c r="M776" s="53"/>
      <c r="N776" s="53"/>
      <c r="O776" s="53"/>
      <c r="P776" s="53"/>
      <c r="Q776" s="53"/>
    </row>
    <row r="777" spans="3:17" ht="15.75" customHeight="1">
      <c r="C777" s="53"/>
      <c r="D777" s="73"/>
      <c r="E777" s="73"/>
      <c r="F777" s="73"/>
      <c r="G777" s="73"/>
      <c r="H777" s="73"/>
      <c r="I777" s="73"/>
      <c r="J777" s="73"/>
      <c r="K777" s="53"/>
      <c r="L777" s="53"/>
      <c r="M777" s="53"/>
      <c r="N777" s="53"/>
      <c r="O777" s="53"/>
      <c r="P777" s="53"/>
      <c r="Q777" s="53"/>
    </row>
    <row r="778" spans="3:17" ht="15.75" customHeight="1">
      <c r="C778" s="53"/>
      <c r="D778" s="73"/>
      <c r="E778" s="73"/>
      <c r="F778" s="73"/>
      <c r="G778" s="73"/>
      <c r="H778" s="73"/>
      <c r="I778" s="73"/>
      <c r="J778" s="73"/>
      <c r="K778" s="53"/>
      <c r="L778" s="53"/>
      <c r="M778" s="53"/>
      <c r="N778" s="53"/>
      <c r="O778" s="53"/>
      <c r="P778" s="53"/>
      <c r="Q778" s="53"/>
    </row>
    <row r="779" spans="3:17" ht="15.75" customHeight="1">
      <c r="C779" s="53"/>
      <c r="D779" s="73"/>
      <c r="E779" s="73"/>
      <c r="F779" s="73"/>
      <c r="G779" s="73"/>
      <c r="H779" s="73"/>
      <c r="I779" s="73"/>
      <c r="J779" s="73"/>
      <c r="K779" s="53"/>
      <c r="L779" s="53"/>
      <c r="M779" s="53"/>
      <c r="N779" s="53"/>
      <c r="O779" s="53"/>
      <c r="P779" s="53"/>
      <c r="Q779" s="53"/>
    </row>
    <row r="780" spans="3:17" ht="15.75" customHeight="1">
      <c r="C780" s="53"/>
      <c r="D780" s="73"/>
      <c r="E780" s="73"/>
      <c r="F780" s="73"/>
      <c r="G780" s="73"/>
      <c r="H780" s="73"/>
      <c r="I780" s="73"/>
      <c r="J780" s="73"/>
      <c r="K780" s="53"/>
      <c r="L780" s="53"/>
      <c r="M780" s="53"/>
      <c r="N780" s="53"/>
      <c r="O780" s="53"/>
      <c r="P780" s="53"/>
      <c r="Q780" s="53"/>
    </row>
    <row r="781" spans="3:17" ht="15.75" customHeight="1">
      <c r="C781" s="53"/>
      <c r="D781" s="73"/>
      <c r="E781" s="73"/>
      <c r="F781" s="73"/>
      <c r="G781" s="73"/>
      <c r="H781" s="73"/>
      <c r="I781" s="73"/>
      <c r="J781" s="73"/>
      <c r="K781" s="53"/>
      <c r="L781" s="53"/>
      <c r="M781" s="53"/>
      <c r="N781" s="53"/>
      <c r="O781" s="53"/>
      <c r="P781" s="53"/>
      <c r="Q781" s="53"/>
    </row>
    <row r="782" spans="3:17" ht="15.75" customHeight="1">
      <c r="C782" s="53"/>
      <c r="D782" s="73"/>
      <c r="E782" s="73"/>
      <c r="F782" s="73"/>
      <c r="G782" s="73"/>
      <c r="H782" s="73"/>
      <c r="I782" s="73"/>
      <c r="J782" s="73"/>
      <c r="K782" s="53"/>
      <c r="L782" s="53"/>
      <c r="M782" s="53"/>
      <c r="N782" s="53"/>
      <c r="O782" s="53"/>
      <c r="P782" s="53"/>
      <c r="Q782" s="53"/>
    </row>
    <row r="783" spans="3:17" ht="15.75" customHeight="1">
      <c r="C783" s="53"/>
      <c r="D783" s="73"/>
      <c r="E783" s="73"/>
      <c r="F783" s="73"/>
      <c r="G783" s="73"/>
      <c r="H783" s="73"/>
      <c r="I783" s="73"/>
      <c r="J783" s="73"/>
      <c r="K783" s="53"/>
      <c r="L783" s="53"/>
      <c r="M783" s="53"/>
      <c r="N783" s="53"/>
      <c r="O783" s="53"/>
      <c r="P783" s="53"/>
      <c r="Q783" s="53"/>
    </row>
    <row r="784" spans="3:17" ht="15.75" customHeight="1">
      <c r="C784" s="53"/>
      <c r="D784" s="73"/>
      <c r="E784" s="73"/>
      <c r="F784" s="73"/>
      <c r="G784" s="73"/>
      <c r="H784" s="73"/>
      <c r="I784" s="73"/>
      <c r="J784" s="73"/>
      <c r="K784" s="53"/>
      <c r="L784" s="53"/>
      <c r="M784" s="53"/>
      <c r="N784" s="53"/>
      <c r="O784" s="53"/>
      <c r="P784" s="53"/>
      <c r="Q784" s="53"/>
    </row>
    <row r="785" spans="3:17" ht="15.75" customHeight="1">
      <c r="C785" s="53"/>
      <c r="D785" s="73"/>
      <c r="E785" s="73"/>
      <c r="F785" s="73"/>
      <c r="G785" s="73"/>
      <c r="H785" s="73"/>
      <c r="I785" s="73"/>
      <c r="J785" s="73"/>
      <c r="K785" s="53"/>
      <c r="L785" s="53"/>
      <c r="M785" s="53"/>
      <c r="N785" s="53"/>
      <c r="O785" s="53"/>
      <c r="P785" s="53"/>
      <c r="Q785" s="53"/>
    </row>
    <row r="786" spans="3:17" ht="15.75" customHeight="1">
      <c r="C786" s="53"/>
      <c r="D786" s="73"/>
      <c r="E786" s="73"/>
      <c r="F786" s="73"/>
      <c r="G786" s="73"/>
      <c r="H786" s="73"/>
      <c r="I786" s="73"/>
      <c r="J786" s="73"/>
      <c r="K786" s="53"/>
      <c r="L786" s="53"/>
      <c r="M786" s="53"/>
      <c r="N786" s="53"/>
      <c r="O786" s="53"/>
      <c r="P786" s="53"/>
      <c r="Q786" s="53"/>
    </row>
    <row r="787" spans="3:17" ht="15.75" customHeight="1">
      <c r="C787" s="53"/>
      <c r="D787" s="73"/>
      <c r="E787" s="73"/>
      <c r="F787" s="73"/>
      <c r="G787" s="73"/>
      <c r="H787" s="73"/>
      <c r="I787" s="73"/>
      <c r="J787" s="73"/>
      <c r="K787" s="53"/>
      <c r="L787" s="53"/>
      <c r="M787" s="53"/>
      <c r="N787" s="53"/>
      <c r="O787" s="53"/>
      <c r="P787" s="53"/>
      <c r="Q787" s="53"/>
    </row>
    <row r="788" spans="3:17" ht="15.75" customHeight="1">
      <c r="C788" s="53"/>
      <c r="D788" s="73"/>
      <c r="E788" s="73"/>
      <c r="F788" s="73"/>
      <c r="G788" s="73"/>
      <c r="H788" s="73"/>
      <c r="I788" s="73"/>
      <c r="J788" s="73"/>
      <c r="K788" s="53"/>
      <c r="L788" s="53"/>
      <c r="M788" s="53"/>
      <c r="N788" s="53"/>
      <c r="O788" s="53"/>
      <c r="P788" s="53"/>
      <c r="Q788" s="53"/>
    </row>
    <row r="789" spans="3:17" ht="15.75" customHeight="1">
      <c r="C789" s="53"/>
      <c r="D789" s="73"/>
      <c r="E789" s="73"/>
      <c r="F789" s="73"/>
      <c r="G789" s="73"/>
      <c r="H789" s="73"/>
      <c r="I789" s="73"/>
      <c r="J789" s="73"/>
      <c r="K789" s="53"/>
      <c r="L789" s="53"/>
      <c r="M789" s="53"/>
      <c r="N789" s="53"/>
      <c r="O789" s="53"/>
      <c r="P789" s="53"/>
      <c r="Q789" s="53"/>
    </row>
    <row r="790" spans="3:17" ht="15.75" customHeight="1">
      <c r="C790" s="53"/>
      <c r="D790" s="73"/>
      <c r="E790" s="73"/>
      <c r="F790" s="73"/>
      <c r="G790" s="73"/>
      <c r="H790" s="73"/>
      <c r="I790" s="73"/>
      <c r="J790" s="73"/>
      <c r="K790" s="53"/>
      <c r="L790" s="53"/>
      <c r="M790" s="53"/>
      <c r="N790" s="53"/>
      <c r="O790" s="53"/>
      <c r="P790" s="53"/>
      <c r="Q790" s="53"/>
    </row>
    <row r="791" spans="3:17" ht="15.75" customHeight="1">
      <c r="C791" s="53"/>
      <c r="D791" s="73"/>
      <c r="E791" s="73"/>
      <c r="F791" s="73"/>
      <c r="G791" s="73"/>
      <c r="H791" s="73"/>
      <c r="I791" s="73"/>
      <c r="J791" s="73"/>
      <c r="K791" s="53"/>
      <c r="L791" s="53"/>
      <c r="M791" s="53"/>
      <c r="N791" s="53"/>
      <c r="O791" s="53"/>
      <c r="P791" s="53"/>
      <c r="Q791" s="53"/>
    </row>
    <row r="792" spans="3:17" ht="15.75" customHeight="1">
      <c r="C792" s="53"/>
      <c r="D792" s="73"/>
      <c r="E792" s="73"/>
      <c r="F792" s="73"/>
      <c r="G792" s="73"/>
      <c r="H792" s="73"/>
      <c r="I792" s="73"/>
      <c r="J792" s="73"/>
      <c r="K792" s="53"/>
      <c r="L792" s="53"/>
      <c r="M792" s="53"/>
      <c r="N792" s="53"/>
      <c r="O792" s="53"/>
      <c r="P792" s="53"/>
      <c r="Q792" s="53"/>
    </row>
    <row r="793" spans="3:17" ht="15.75" customHeight="1">
      <c r="C793" s="53"/>
      <c r="D793" s="73"/>
      <c r="E793" s="73"/>
      <c r="F793" s="73"/>
      <c r="G793" s="73"/>
      <c r="H793" s="73"/>
      <c r="I793" s="73"/>
      <c r="J793" s="73"/>
      <c r="K793" s="53"/>
      <c r="L793" s="53"/>
      <c r="M793" s="53"/>
      <c r="N793" s="53"/>
      <c r="O793" s="53"/>
      <c r="P793" s="53"/>
      <c r="Q793" s="53"/>
    </row>
    <row r="794" spans="3:17" ht="15.75" customHeight="1">
      <c r="C794" s="53"/>
      <c r="D794" s="73"/>
      <c r="E794" s="73"/>
      <c r="F794" s="73"/>
      <c r="G794" s="73"/>
      <c r="H794" s="73"/>
      <c r="I794" s="73"/>
      <c r="J794" s="73"/>
      <c r="K794" s="53"/>
      <c r="L794" s="53"/>
      <c r="M794" s="53"/>
      <c r="N794" s="53"/>
      <c r="O794" s="53"/>
      <c r="P794" s="53"/>
      <c r="Q794" s="53"/>
    </row>
    <row r="795" spans="3:17" ht="15.75" customHeight="1">
      <c r="C795" s="53"/>
      <c r="D795" s="73"/>
      <c r="E795" s="73"/>
      <c r="F795" s="73"/>
      <c r="G795" s="73"/>
      <c r="H795" s="73"/>
      <c r="I795" s="73"/>
      <c r="J795" s="73"/>
      <c r="K795" s="53"/>
      <c r="L795" s="53"/>
      <c r="M795" s="53"/>
      <c r="N795" s="53"/>
      <c r="O795" s="53"/>
      <c r="P795" s="53"/>
      <c r="Q795" s="53"/>
    </row>
    <row r="796" spans="3:17" ht="15.75" customHeight="1">
      <c r="C796" s="53"/>
      <c r="D796" s="73"/>
      <c r="E796" s="73"/>
      <c r="F796" s="73"/>
      <c r="G796" s="73"/>
      <c r="H796" s="73"/>
      <c r="I796" s="73"/>
      <c r="J796" s="73"/>
      <c r="K796" s="53"/>
      <c r="L796" s="53"/>
      <c r="M796" s="53"/>
      <c r="N796" s="53"/>
      <c r="O796" s="53"/>
      <c r="P796" s="53"/>
      <c r="Q796" s="53"/>
    </row>
    <row r="797" spans="3:17" ht="15.75" customHeight="1">
      <c r="C797" s="53"/>
      <c r="D797" s="73"/>
      <c r="E797" s="73"/>
      <c r="F797" s="73"/>
      <c r="G797" s="73"/>
      <c r="H797" s="73"/>
      <c r="I797" s="73"/>
      <c r="J797" s="73"/>
      <c r="K797" s="53"/>
      <c r="L797" s="53"/>
      <c r="M797" s="53"/>
      <c r="N797" s="53"/>
      <c r="O797" s="53"/>
      <c r="P797" s="53"/>
      <c r="Q797" s="53"/>
    </row>
    <row r="798" spans="3:17" ht="15.75" customHeight="1">
      <c r="C798" s="53"/>
      <c r="D798" s="73"/>
      <c r="E798" s="73"/>
      <c r="F798" s="73"/>
      <c r="G798" s="73"/>
      <c r="H798" s="73"/>
      <c r="I798" s="73"/>
      <c r="J798" s="73"/>
      <c r="K798" s="53"/>
      <c r="L798" s="53"/>
      <c r="M798" s="53"/>
      <c r="N798" s="53"/>
      <c r="O798" s="53"/>
      <c r="P798" s="53"/>
      <c r="Q798" s="53"/>
    </row>
    <row r="799" spans="3:17" ht="15.75" customHeight="1">
      <c r="C799" s="53"/>
      <c r="D799" s="73"/>
      <c r="E799" s="73"/>
      <c r="F799" s="73"/>
      <c r="G799" s="73"/>
      <c r="H799" s="73"/>
      <c r="I799" s="73"/>
      <c r="J799" s="73"/>
      <c r="K799" s="53"/>
      <c r="L799" s="53"/>
      <c r="M799" s="53"/>
      <c r="N799" s="53"/>
      <c r="O799" s="53"/>
      <c r="P799" s="53"/>
      <c r="Q799" s="53"/>
    </row>
    <row r="800" spans="3:17" ht="15.75" customHeight="1">
      <c r="C800" s="53"/>
      <c r="D800" s="73"/>
      <c r="E800" s="73"/>
      <c r="F800" s="73"/>
      <c r="G800" s="73"/>
      <c r="H800" s="73"/>
      <c r="I800" s="73"/>
      <c r="J800" s="73"/>
      <c r="K800" s="53"/>
      <c r="L800" s="53"/>
      <c r="M800" s="53"/>
      <c r="N800" s="53"/>
      <c r="O800" s="53"/>
      <c r="P800" s="53"/>
      <c r="Q800" s="53"/>
    </row>
    <row r="801" spans="3:17" ht="15.75" customHeight="1">
      <c r="C801" s="53"/>
      <c r="D801" s="73"/>
      <c r="E801" s="73"/>
      <c r="F801" s="73"/>
      <c r="G801" s="73"/>
      <c r="H801" s="73"/>
      <c r="I801" s="73"/>
      <c r="J801" s="73"/>
      <c r="K801" s="53"/>
      <c r="L801" s="53"/>
      <c r="M801" s="53"/>
      <c r="N801" s="53"/>
      <c r="O801" s="53"/>
      <c r="P801" s="53"/>
      <c r="Q801" s="53"/>
    </row>
    <row r="802" spans="3:17" ht="15.75" customHeight="1">
      <c r="C802" s="53"/>
      <c r="D802" s="73"/>
      <c r="E802" s="73"/>
      <c r="F802" s="73"/>
      <c r="G802" s="73"/>
      <c r="H802" s="73"/>
      <c r="I802" s="73"/>
      <c r="J802" s="73"/>
      <c r="K802" s="53"/>
      <c r="L802" s="53"/>
      <c r="M802" s="53"/>
      <c r="N802" s="53"/>
      <c r="O802" s="53"/>
      <c r="P802" s="53"/>
      <c r="Q802" s="53"/>
    </row>
    <row r="803" spans="3:17" ht="15.75" customHeight="1">
      <c r="C803" s="53"/>
      <c r="D803" s="73"/>
      <c r="E803" s="73"/>
      <c r="F803" s="73"/>
      <c r="G803" s="73"/>
      <c r="H803" s="73"/>
      <c r="I803" s="73"/>
      <c r="J803" s="73"/>
      <c r="K803" s="53"/>
      <c r="L803" s="53"/>
      <c r="M803" s="53"/>
      <c r="N803" s="53"/>
      <c r="O803" s="53"/>
      <c r="P803" s="53"/>
      <c r="Q803" s="53"/>
    </row>
    <row r="804" spans="3:17" ht="15.75" customHeight="1">
      <c r="C804" s="53"/>
      <c r="D804" s="73"/>
      <c r="E804" s="73"/>
      <c r="F804" s="73"/>
      <c r="G804" s="73"/>
      <c r="H804" s="73"/>
      <c r="I804" s="73"/>
      <c r="J804" s="73"/>
      <c r="K804" s="53"/>
      <c r="L804" s="53"/>
      <c r="M804" s="53"/>
      <c r="N804" s="53"/>
      <c r="O804" s="53"/>
      <c r="P804" s="53"/>
      <c r="Q804" s="53"/>
    </row>
    <row r="805" spans="3:17" ht="15.75" customHeight="1">
      <c r="C805" s="53"/>
      <c r="D805" s="73"/>
      <c r="E805" s="73"/>
      <c r="F805" s="73"/>
      <c r="G805" s="73"/>
      <c r="H805" s="73"/>
      <c r="I805" s="73"/>
      <c r="J805" s="73"/>
      <c r="K805" s="53"/>
      <c r="L805" s="53"/>
      <c r="M805" s="53"/>
      <c r="N805" s="53"/>
      <c r="O805" s="53"/>
      <c r="P805" s="53"/>
      <c r="Q805" s="53"/>
    </row>
    <row r="806" spans="3:17" ht="15.75" customHeight="1">
      <c r="C806" s="53"/>
      <c r="D806" s="73"/>
      <c r="E806" s="73"/>
      <c r="F806" s="73"/>
      <c r="G806" s="73"/>
      <c r="H806" s="73"/>
      <c r="I806" s="73"/>
      <c r="J806" s="73"/>
      <c r="K806" s="53"/>
      <c r="L806" s="53"/>
      <c r="M806" s="53"/>
      <c r="N806" s="53"/>
      <c r="O806" s="53"/>
      <c r="P806" s="53"/>
      <c r="Q806" s="53"/>
    </row>
    <row r="807" spans="3:17" ht="15.75" customHeight="1">
      <c r="C807" s="53"/>
      <c r="D807" s="73"/>
      <c r="E807" s="73"/>
      <c r="F807" s="73"/>
      <c r="G807" s="73"/>
      <c r="H807" s="73"/>
      <c r="I807" s="73"/>
      <c r="J807" s="73"/>
      <c r="K807" s="53"/>
      <c r="L807" s="53"/>
      <c r="M807" s="53"/>
      <c r="N807" s="53"/>
      <c r="O807" s="53"/>
      <c r="P807" s="53"/>
      <c r="Q807" s="53"/>
    </row>
    <row r="808" spans="3:17" ht="15.75" customHeight="1">
      <c r="C808" s="53"/>
      <c r="D808" s="73"/>
      <c r="E808" s="73"/>
      <c r="F808" s="73"/>
      <c r="G808" s="73"/>
      <c r="H808" s="73"/>
      <c r="I808" s="73"/>
      <c r="J808" s="73"/>
      <c r="K808" s="53"/>
      <c r="L808" s="53"/>
      <c r="M808" s="53"/>
      <c r="N808" s="53"/>
      <c r="O808" s="53"/>
      <c r="P808" s="53"/>
      <c r="Q808" s="53"/>
    </row>
    <row r="809" spans="3:17" ht="15.75" customHeight="1">
      <c r="C809" s="53"/>
      <c r="D809" s="73"/>
      <c r="E809" s="73"/>
      <c r="F809" s="73"/>
      <c r="G809" s="73"/>
      <c r="H809" s="73"/>
      <c r="I809" s="73"/>
      <c r="J809" s="73"/>
      <c r="K809" s="53"/>
      <c r="L809" s="53"/>
      <c r="M809" s="53"/>
      <c r="N809" s="53"/>
      <c r="O809" s="53"/>
      <c r="P809" s="53"/>
      <c r="Q809" s="53"/>
    </row>
    <row r="810" spans="3:17" ht="15.75" customHeight="1">
      <c r="C810" s="53"/>
      <c r="D810" s="73"/>
      <c r="E810" s="73"/>
      <c r="F810" s="73"/>
      <c r="G810" s="73"/>
      <c r="H810" s="73"/>
      <c r="I810" s="73"/>
      <c r="J810" s="73"/>
      <c r="K810" s="53"/>
      <c r="L810" s="53"/>
      <c r="M810" s="53"/>
      <c r="N810" s="53"/>
      <c r="O810" s="53"/>
      <c r="P810" s="53"/>
      <c r="Q810" s="53"/>
    </row>
    <row r="811" spans="3:17" ht="15.75" customHeight="1">
      <c r="C811" s="53"/>
      <c r="D811" s="73"/>
      <c r="E811" s="73"/>
      <c r="F811" s="73"/>
      <c r="G811" s="73"/>
      <c r="H811" s="73"/>
      <c r="I811" s="73"/>
      <c r="J811" s="73"/>
      <c r="K811" s="53"/>
      <c r="L811" s="53"/>
      <c r="M811" s="53"/>
      <c r="N811" s="53"/>
      <c r="O811" s="53"/>
      <c r="P811" s="53"/>
      <c r="Q811" s="53"/>
    </row>
    <row r="812" spans="3:17" ht="15.75" customHeight="1">
      <c r="C812" s="53"/>
      <c r="D812" s="73"/>
      <c r="E812" s="73"/>
      <c r="F812" s="73"/>
      <c r="G812" s="73"/>
      <c r="H812" s="73"/>
      <c r="I812" s="73"/>
      <c r="J812" s="73"/>
      <c r="K812" s="53"/>
      <c r="L812" s="53"/>
      <c r="M812" s="53"/>
      <c r="N812" s="53"/>
      <c r="O812" s="53"/>
      <c r="P812" s="53"/>
      <c r="Q812" s="53"/>
    </row>
    <row r="813" spans="3:17" ht="15.75" customHeight="1">
      <c r="C813" s="53"/>
      <c r="D813" s="73"/>
      <c r="E813" s="73"/>
      <c r="F813" s="73"/>
      <c r="G813" s="73"/>
      <c r="H813" s="73"/>
      <c r="I813" s="73"/>
      <c r="J813" s="73"/>
      <c r="K813" s="53"/>
      <c r="L813" s="53"/>
      <c r="M813" s="53"/>
      <c r="N813" s="53"/>
      <c r="O813" s="53"/>
      <c r="P813" s="53"/>
      <c r="Q813" s="53"/>
    </row>
    <row r="814" spans="3:17" ht="15.75" customHeight="1">
      <c r="C814" s="53"/>
      <c r="D814" s="73"/>
      <c r="E814" s="73"/>
      <c r="F814" s="73"/>
      <c r="G814" s="73"/>
      <c r="H814" s="73"/>
      <c r="I814" s="73"/>
      <c r="J814" s="73"/>
      <c r="K814" s="53"/>
      <c r="L814" s="53"/>
      <c r="M814" s="53"/>
      <c r="N814" s="53"/>
      <c r="O814" s="53"/>
      <c r="P814" s="53"/>
      <c r="Q814" s="53"/>
    </row>
    <row r="815" spans="3:17" ht="15.75" customHeight="1">
      <c r="C815" s="53"/>
      <c r="D815" s="73"/>
      <c r="E815" s="73"/>
      <c r="F815" s="73"/>
      <c r="G815" s="73"/>
      <c r="H815" s="73"/>
      <c r="I815" s="73"/>
      <c r="J815" s="73"/>
      <c r="K815" s="53"/>
      <c r="L815" s="53"/>
      <c r="M815" s="53"/>
      <c r="N815" s="53"/>
      <c r="O815" s="53"/>
      <c r="P815" s="53"/>
      <c r="Q815" s="53"/>
    </row>
    <row r="816" spans="3:17" ht="15.75" customHeight="1">
      <c r="C816" s="53"/>
      <c r="D816" s="73"/>
      <c r="E816" s="73"/>
      <c r="F816" s="73"/>
      <c r="G816" s="73"/>
      <c r="H816" s="73"/>
      <c r="I816" s="73"/>
      <c r="J816" s="73"/>
      <c r="K816" s="53"/>
      <c r="L816" s="53"/>
      <c r="M816" s="53"/>
      <c r="N816" s="53"/>
      <c r="O816" s="53"/>
      <c r="P816" s="53"/>
      <c r="Q816" s="53"/>
    </row>
    <row r="817" spans="3:17" ht="15.75" customHeight="1">
      <c r="C817" s="53"/>
      <c r="D817" s="73"/>
      <c r="E817" s="73"/>
      <c r="F817" s="73"/>
      <c r="G817" s="73"/>
      <c r="H817" s="73"/>
      <c r="I817" s="73"/>
      <c r="J817" s="73"/>
      <c r="K817" s="53"/>
      <c r="L817" s="53"/>
      <c r="M817" s="53"/>
      <c r="N817" s="53"/>
      <c r="O817" s="53"/>
      <c r="P817" s="53"/>
      <c r="Q817" s="53"/>
    </row>
    <row r="818" spans="3:17" ht="15.75" customHeight="1">
      <c r="C818" s="53"/>
      <c r="D818" s="73"/>
      <c r="E818" s="73"/>
      <c r="F818" s="73"/>
      <c r="G818" s="73"/>
      <c r="H818" s="73"/>
      <c r="I818" s="73"/>
      <c r="J818" s="73"/>
      <c r="K818" s="53"/>
      <c r="L818" s="53"/>
      <c r="M818" s="53"/>
      <c r="N818" s="53"/>
      <c r="O818" s="53"/>
      <c r="P818" s="53"/>
      <c r="Q818" s="53"/>
    </row>
    <row r="819" spans="3:17" ht="15.75" customHeight="1">
      <c r="C819" s="53"/>
      <c r="D819" s="73"/>
      <c r="E819" s="73"/>
      <c r="F819" s="73"/>
      <c r="G819" s="73"/>
      <c r="H819" s="73"/>
      <c r="I819" s="73"/>
      <c r="J819" s="73"/>
      <c r="K819" s="53"/>
      <c r="L819" s="53"/>
      <c r="M819" s="53"/>
      <c r="N819" s="53"/>
      <c r="O819" s="53"/>
      <c r="P819" s="53"/>
      <c r="Q819" s="53"/>
    </row>
    <row r="820" spans="3:17" ht="15.75" customHeight="1">
      <c r="C820" s="53"/>
      <c r="D820" s="73"/>
      <c r="E820" s="73"/>
      <c r="F820" s="73"/>
      <c r="G820" s="73"/>
      <c r="H820" s="73"/>
      <c r="I820" s="73"/>
      <c r="J820" s="73"/>
      <c r="K820" s="53"/>
      <c r="L820" s="53"/>
      <c r="M820" s="53"/>
      <c r="N820" s="53"/>
      <c r="O820" s="53"/>
      <c r="P820" s="53"/>
      <c r="Q820" s="53"/>
    </row>
    <row r="821" spans="3:17" ht="15.75" customHeight="1">
      <c r="C821" s="53"/>
      <c r="D821" s="73"/>
      <c r="E821" s="73"/>
      <c r="F821" s="73"/>
      <c r="G821" s="73"/>
      <c r="H821" s="73"/>
      <c r="I821" s="73"/>
      <c r="J821" s="73"/>
      <c r="K821" s="53"/>
      <c r="L821" s="53"/>
      <c r="M821" s="53"/>
      <c r="N821" s="53"/>
      <c r="O821" s="53"/>
      <c r="P821" s="53"/>
      <c r="Q821" s="53"/>
    </row>
    <row r="822" spans="3:17" ht="15.75" customHeight="1">
      <c r="C822" s="53"/>
      <c r="D822" s="73"/>
      <c r="E822" s="73"/>
      <c r="F822" s="73"/>
      <c r="G822" s="73"/>
      <c r="H822" s="73"/>
      <c r="I822" s="73"/>
      <c r="J822" s="73"/>
      <c r="K822" s="53"/>
      <c r="L822" s="53"/>
      <c r="M822" s="53"/>
      <c r="N822" s="53"/>
      <c r="O822" s="53"/>
      <c r="P822" s="53"/>
      <c r="Q822" s="53"/>
    </row>
    <row r="823" spans="3:17" ht="15.75" customHeight="1">
      <c r="C823" s="53"/>
      <c r="D823" s="73"/>
      <c r="E823" s="73"/>
      <c r="F823" s="73"/>
      <c r="G823" s="73"/>
      <c r="H823" s="73"/>
      <c r="I823" s="73"/>
      <c r="J823" s="73"/>
      <c r="K823" s="53"/>
      <c r="L823" s="53"/>
      <c r="M823" s="53"/>
      <c r="N823" s="53"/>
      <c r="O823" s="53"/>
      <c r="P823" s="53"/>
      <c r="Q823" s="53"/>
    </row>
    <row r="824" spans="3:17" ht="15.75" customHeight="1">
      <c r="C824" s="53"/>
      <c r="D824" s="73"/>
      <c r="E824" s="73"/>
      <c r="F824" s="73"/>
      <c r="G824" s="73"/>
      <c r="H824" s="73"/>
      <c r="I824" s="73"/>
      <c r="J824" s="73"/>
      <c r="K824" s="53"/>
      <c r="L824" s="53"/>
      <c r="M824" s="53"/>
      <c r="N824" s="53"/>
      <c r="O824" s="53"/>
      <c r="P824" s="53"/>
      <c r="Q824" s="53"/>
    </row>
    <row r="825" spans="3:17" ht="15.75" customHeight="1">
      <c r="C825" s="53"/>
      <c r="D825" s="73"/>
      <c r="E825" s="73"/>
      <c r="F825" s="73"/>
      <c r="G825" s="73"/>
      <c r="H825" s="73"/>
      <c r="I825" s="73"/>
      <c r="J825" s="73"/>
      <c r="K825" s="53"/>
      <c r="L825" s="53"/>
      <c r="M825" s="53"/>
      <c r="N825" s="53"/>
      <c r="O825" s="53"/>
      <c r="P825" s="53"/>
      <c r="Q825" s="53"/>
    </row>
    <row r="826" spans="3:17" ht="15.75" customHeight="1">
      <c r="C826" s="53"/>
      <c r="D826" s="73"/>
      <c r="E826" s="73"/>
      <c r="F826" s="73"/>
      <c r="G826" s="73"/>
      <c r="H826" s="73"/>
      <c r="I826" s="73"/>
      <c r="J826" s="73"/>
      <c r="K826" s="53"/>
      <c r="L826" s="53"/>
      <c r="M826" s="53"/>
      <c r="N826" s="53"/>
      <c r="O826" s="53"/>
      <c r="P826" s="53"/>
      <c r="Q826" s="53"/>
    </row>
    <row r="827" spans="3:17" ht="15.75" customHeight="1">
      <c r="C827" s="53"/>
      <c r="D827" s="73"/>
      <c r="E827" s="73"/>
      <c r="F827" s="73"/>
      <c r="G827" s="73"/>
      <c r="H827" s="73"/>
      <c r="I827" s="73"/>
      <c r="J827" s="73"/>
      <c r="K827" s="53"/>
      <c r="L827" s="53"/>
      <c r="M827" s="53"/>
      <c r="N827" s="53"/>
      <c r="O827" s="53"/>
      <c r="P827" s="53"/>
      <c r="Q827" s="53"/>
    </row>
    <row r="828" spans="3:17" ht="15.75" customHeight="1">
      <c r="C828" s="53"/>
      <c r="D828" s="73"/>
      <c r="E828" s="73"/>
      <c r="F828" s="73"/>
      <c r="G828" s="73"/>
      <c r="H828" s="73"/>
      <c r="I828" s="73"/>
      <c r="J828" s="73"/>
      <c r="K828" s="53"/>
      <c r="L828" s="53"/>
      <c r="M828" s="53"/>
      <c r="N828" s="53"/>
      <c r="O828" s="53"/>
      <c r="P828" s="53"/>
      <c r="Q828" s="53"/>
    </row>
    <row r="829" spans="3:17" ht="15.75" customHeight="1">
      <c r="C829" s="53"/>
      <c r="D829" s="73"/>
      <c r="E829" s="73"/>
      <c r="F829" s="73"/>
      <c r="G829" s="73"/>
      <c r="H829" s="73"/>
      <c r="I829" s="73"/>
      <c r="J829" s="73"/>
      <c r="K829" s="53"/>
      <c r="L829" s="53"/>
      <c r="M829" s="53"/>
      <c r="N829" s="53"/>
      <c r="O829" s="53"/>
      <c r="P829" s="53"/>
      <c r="Q829" s="53"/>
    </row>
    <row r="830" spans="3:17" ht="15.75" customHeight="1">
      <c r="C830" s="53"/>
      <c r="D830" s="73"/>
      <c r="E830" s="73"/>
      <c r="F830" s="73"/>
      <c r="G830" s="73"/>
      <c r="H830" s="73"/>
      <c r="I830" s="73"/>
      <c r="J830" s="73"/>
      <c r="K830" s="53"/>
      <c r="L830" s="53"/>
      <c r="M830" s="53"/>
      <c r="N830" s="53"/>
      <c r="O830" s="53"/>
      <c r="P830" s="53"/>
      <c r="Q830" s="53"/>
    </row>
    <row r="831" spans="3:17" ht="15.75" customHeight="1">
      <c r="C831" s="53"/>
      <c r="D831" s="73"/>
      <c r="E831" s="73"/>
      <c r="F831" s="73"/>
      <c r="G831" s="73"/>
      <c r="H831" s="73"/>
      <c r="I831" s="73"/>
      <c r="J831" s="73"/>
      <c r="K831" s="53"/>
      <c r="L831" s="53"/>
      <c r="M831" s="53"/>
      <c r="N831" s="53"/>
      <c r="O831" s="53"/>
      <c r="P831" s="53"/>
      <c r="Q831" s="53"/>
    </row>
    <row r="832" spans="3:17" ht="15.75" customHeight="1">
      <c r="C832" s="53"/>
      <c r="D832" s="73"/>
      <c r="E832" s="73"/>
      <c r="F832" s="73"/>
      <c r="G832" s="73"/>
      <c r="H832" s="73"/>
      <c r="I832" s="73"/>
      <c r="J832" s="73"/>
      <c r="K832" s="53"/>
      <c r="L832" s="53"/>
      <c r="M832" s="53"/>
      <c r="N832" s="53"/>
      <c r="O832" s="53"/>
      <c r="P832" s="53"/>
      <c r="Q832" s="53"/>
    </row>
    <row r="833" spans="3:17" ht="15.75" customHeight="1">
      <c r="C833" s="53"/>
      <c r="D833" s="73"/>
      <c r="E833" s="73"/>
      <c r="F833" s="73"/>
      <c r="G833" s="73"/>
      <c r="H833" s="73"/>
      <c r="I833" s="73"/>
      <c r="J833" s="73"/>
      <c r="K833" s="53"/>
      <c r="L833" s="53"/>
      <c r="M833" s="53"/>
      <c r="N833" s="53"/>
      <c r="O833" s="53"/>
      <c r="P833" s="53"/>
      <c r="Q833" s="53"/>
    </row>
    <row r="834" spans="3:17" ht="15.75" customHeight="1">
      <c r="C834" s="53"/>
      <c r="D834" s="73"/>
      <c r="E834" s="73"/>
      <c r="F834" s="73"/>
      <c r="G834" s="73"/>
      <c r="H834" s="73"/>
      <c r="I834" s="73"/>
      <c r="J834" s="73"/>
      <c r="K834" s="53"/>
      <c r="L834" s="53"/>
      <c r="M834" s="53"/>
      <c r="N834" s="53"/>
      <c r="O834" s="53"/>
      <c r="P834" s="53"/>
      <c r="Q834" s="53"/>
    </row>
    <row r="835" spans="3:17" ht="15.75" customHeight="1">
      <c r="C835" s="53"/>
      <c r="D835" s="73"/>
      <c r="E835" s="73"/>
      <c r="F835" s="73"/>
      <c r="G835" s="73"/>
      <c r="H835" s="73"/>
      <c r="I835" s="73"/>
      <c r="J835" s="73"/>
      <c r="K835" s="53"/>
      <c r="L835" s="53"/>
      <c r="M835" s="53"/>
      <c r="N835" s="53"/>
      <c r="O835" s="53"/>
      <c r="P835" s="53"/>
      <c r="Q835" s="53"/>
    </row>
    <row r="836" spans="3:17" ht="15.75" customHeight="1">
      <c r="C836" s="53"/>
      <c r="D836" s="73"/>
      <c r="E836" s="73"/>
      <c r="F836" s="73"/>
      <c r="G836" s="73"/>
      <c r="H836" s="73"/>
      <c r="I836" s="73"/>
      <c r="J836" s="73"/>
      <c r="K836" s="53"/>
      <c r="L836" s="53"/>
      <c r="M836" s="53"/>
      <c r="N836" s="53"/>
      <c r="O836" s="53"/>
      <c r="P836" s="53"/>
      <c r="Q836" s="53"/>
    </row>
    <row r="837" spans="3:17" ht="15.75" customHeight="1">
      <c r="C837" s="53"/>
      <c r="D837" s="73"/>
      <c r="E837" s="73"/>
      <c r="F837" s="73"/>
      <c r="G837" s="73"/>
      <c r="H837" s="73"/>
      <c r="I837" s="73"/>
      <c r="J837" s="73"/>
      <c r="K837" s="53"/>
      <c r="L837" s="53"/>
      <c r="M837" s="53"/>
      <c r="N837" s="53"/>
      <c r="O837" s="53"/>
      <c r="P837" s="53"/>
      <c r="Q837" s="53"/>
    </row>
    <row r="838" spans="3:17" ht="15.75" customHeight="1">
      <c r="C838" s="53"/>
      <c r="D838" s="73"/>
      <c r="E838" s="73"/>
      <c r="F838" s="73"/>
      <c r="G838" s="73"/>
      <c r="H838" s="73"/>
      <c r="I838" s="73"/>
      <c r="J838" s="73"/>
      <c r="K838" s="53"/>
      <c r="L838" s="53"/>
      <c r="M838" s="53"/>
      <c r="N838" s="53"/>
      <c r="O838" s="53"/>
      <c r="P838" s="53"/>
      <c r="Q838" s="53"/>
    </row>
    <row r="839" spans="3:17" ht="15.75" customHeight="1">
      <c r="C839" s="53"/>
      <c r="D839" s="73"/>
      <c r="E839" s="73"/>
      <c r="F839" s="73"/>
      <c r="G839" s="73"/>
      <c r="H839" s="73"/>
      <c r="I839" s="73"/>
      <c r="J839" s="73"/>
      <c r="K839" s="53"/>
      <c r="L839" s="53"/>
      <c r="M839" s="53"/>
      <c r="N839" s="53"/>
      <c r="O839" s="53"/>
      <c r="P839" s="53"/>
      <c r="Q839" s="53"/>
    </row>
    <row r="840" spans="3:17" ht="15.75" customHeight="1">
      <c r="C840" s="53"/>
      <c r="D840" s="73"/>
      <c r="E840" s="73"/>
      <c r="F840" s="73"/>
      <c r="G840" s="73"/>
      <c r="H840" s="73"/>
      <c r="I840" s="73"/>
      <c r="J840" s="73"/>
      <c r="K840" s="53"/>
      <c r="L840" s="53"/>
      <c r="M840" s="53"/>
      <c r="N840" s="53"/>
      <c r="O840" s="53"/>
      <c r="P840" s="53"/>
      <c r="Q840" s="53"/>
    </row>
    <row r="841" spans="3:17" ht="15.75" customHeight="1">
      <c r="C841" s="53"/>
      <c r="D841" s="73"/>
      <c r="E841" s="73"/>
      <c r="F841" s="73"/>
      <c r="G841" s="73"/>
      <c r="H841" s="73"/>
      <c r="I841" s="73"/>
      <c r="J841" s="73"/>
      <c r="K841" s="53"/>
      <c r="L841" s="53"/>
      <c r="M841" s="53"/>
      <c r="N841" s="53"/>
      <c r="O841" s="53"/>
      <c r="P841" s="53"/>
      <c r="Q841" s="53"/>
    </row>
    <row r="842" spans="3:17" ht="15.75" customHeight="1">
      <c r="C842" s="53"/>
      <c r="D842" s="73"/>
      <c r="E842" s="73"/>
      <c r="F842" s="73"/>
      <c r="G842" s="73"/>
      <c r="H842" s="73"/>
      <c r="I842" s="73"/>
      <c r="J842" s="73"/>
      <c r="K842" s="53"/>
      <c r="L842" s="53"/>
      <c r="M842" s="53"/>
      <c r="N842" s="53"/>
      <c r="O842" s="53"/>
      <c r="P842" s="53"/>
      <c r="Q842" s="53"/>
    </row>
    <row r="843" spans="3:17" ht="15.75" customHeight="1">
      <c r="C843" s="53"/>
      <c r="D843" s="73"/>
      <c r="E843" s="73"/>
      <c r="F843" s="73"/>
      <c r="G843" s="73"/>
      <c r="H843" s="73"/>
      <c r="I843" s="73"/>
      <c r="J843" s="73"/>
      <c r="K843" s="53"/>
      <c r="L843" s="53"/>
      <c r="M843" s="53"/>
      <c r="N843" s="53"/>
      <c r="O843" s="53"/>
      <c r="P843" s="53"/>
      <c r="Q843" s="53"/>
    </row>
    <row r="844" spans="3:17" ht="15.75" customHeight="1">
      <c r="C844" s="53"/>
      <c r="D844" s="73"/>
      <c r="E844" s="73"/>
      <c r="F844" s="73"/>
      <c r="G844" s="73"/>
      <c r="H844" s="73"/>
      <c r="I844" s="73"/>
      <c r="J844" s="73"/>
      <c r="K844" s="53"/>
      <c r="L844" s="53"/>
      <c r="M844" s="53"/>
      <c r="N844" s="53"/>
      <c r="O844" s="53"/>
      <c r="P844" s="53"/>
      <c r="Q844" s="53"/>
    </row>
    <row r="845" spans="3:17" ht="15.75" customHeight="1">
      <c r="C845" s="53"/>
      <c r="D845" s="73"/>
      <c r="E845" s="73"/>
      <c r="F845" s="73"/>
      <c r="G845" s="73"/>
      <c r="H845" s="73"/>
      <c r="I845" s="73"/>
      <c r="J845" s="73"/>
      <c r="K845" s="53"/>
      <c r="L845" s="53"/>
      <c r="M845" s="53"/>
      <c r="N845" s="53"/>
      <c r="O845" s="53"/>
      <c r="P845" s="53"/>
      <c r="Q845" s="53"/>
    </row>
    <row r="846" spans="3:17" ht="15.75" customHeight="1">
      <c r="C846" s="53"/>
      <c r="D846" s="73"/>
      <c r="E846" s="73"/>
      <c r="F846" s="73"/>
      <c r="G846" s="73"/>
      <c r="H846" s="73"/>
      <c r="I846" s="73"/>
      <c r="J846" s="73"/>
      <c r="K846" s="53"/>
      <c r="L846" s="53"/>
      <c r="M846" s="53"/>
      <c r="N846" s="53"/>
      <c r="O846" s="53"/>
      <c r="P846" s="53"/>
      <c r="Q846" s="53"/>
    </row>
    <row r="847" spans="3:17" ht="15.75" customHeight="1">
      <c r="C847" s="53"/>
      <c r="D847" s="73"/>
      <c r="E847" s="73"/>
      <c r="F847" s="73"/>
      <c r="G847" s="73"/>
      <c r="H847" s="73"/>
      <c r="I847" s="73"/>
      <c r="J847" s="73"/>
      <c r="K847" s="53"/>
      <c r="L847" s="53"/>
      <c r="M847" s="53"/>
      <c r="N847" s="53"/>
      <c r="O847" s="53"/>
      <c r="P847" s="53"/>
      <c r="Q847" s="53"/>
    </row>
    <row r="848" spans="3:17" ht="15.75" customHeight="1">
      <c r="C848" s="53"/>
      <c r="D848" s="73"/>
      <c r="E848" s="73"/>
      <c r="F848" s="73"/>
      <c r="G848" s="73"/>
      <c r="H848" s="73"/>
      <c r="I848" s="73"/>
      <c r="J848" s="73"/>
      <c r="K848" s="53"/>
      <c r="L848" s="53"/>
      <c r="M848" s="53"/>
      <c r="N848" s="53"/>
      <c r="O848" s="53"/>
      <c r="P848" s="53"/>
      <c r="Q848" s="53"/>
    </row>
    <row r="849" spans="3:17" ht="15.75" customHeight="1">
      <c r="C849" s="53"/>
      <c r="D849" s="73"/>
      <c r="E849" s="73"/>
      <c r="F849" s="73"/>
      <c r="G849" s="73"/>
      <c r="H849" s="73"/>
      <c r="I849" s="73"/>
      <c r="J849" s="73"/>
      <c r="K849" s="53"/>
      <c r="L849" s="53"/>
      <c r="M849" s="53"/>
      <c r="N849" s="53"/>
      <c r="O849" s="53"/>
      <c r="P849" s="53"/>
      <c r="Q849" s="53"/>
    </row>
    <row r="850" spans="3:17" ht="15.75" customHeight="1">
      <c r="C850" s="53"/>
      <c r="D850" s="73"/>
      <c r="E850" s="73"/>
      <c r="F850" s="73"/>
      <c r="G850" s="73"/>
      <c r="H850" s="73"/>
      <c r="I850" s="73"/>
      <c r="J850" s="73"/>
      <c r="K850" s="53"/>
      <c r="L850" s="53"/>
      <c r="M850" s="53"/>
      <c r="N850" s="53"/>
      <c r="O850" s="53"/>
      <c r="P850" s="53"/>
      <c r="Q850" s="53"/>
    </row>
    <row r="851" spans="3:17" ht="15.75" customHeight="1">
      <c r="C851" s="53"/>
      <c r="D851" s="73"/>
      <c r="E851" s="73"/>
      <c r="F851" s="73"/>
      <c r="G851" s="73"/>
      <c r="H851" s="73"/>
      <c r="I851" s="73"/>
      <c r="J851" s="73"/>
      <c r="K851" s="53"/>
      <c r="L851" s="53"/>
      <c r="M851" s="53"/>
      <c r="N851" s="53"/>
      <c r="O851" s="53"/>
      <c r="P851" s="53"/>
      <c r="Q851" s="53"/>
    </row>
    <row r="852" spans="3:17" ht="15.75" customHeight="1">
      <c r="C852" s="53"/>
      <c r="D852" s="73"/>
      <c r="E852" s="73"/>
      <c r="F852" s="73"/>
      <c r="G852" s="73"/>
      <c r="H852" s="73"/>
      <c r="I852" s="73"/>
      <c r="J852" s="73"/>
      <c r="K852" s="53"/>
      <c r="L852" s="53"/>
      <c r="M852" s="53"/>
      <c r="N852" s="53"/>
      <c r="O852" s="53"/>
      <c r="P852" s="53"/>
      <c r="Q852" s="53"/>
    </row>
    <row r="853" spans="3:17" ht="15.75" customHeight="1">
      <c r="C853" s="53"/>
      <c r="D853" s="73"/>
      <c r="E853" s="73"/>
      <c r="F853" s="73"/>
      <c r="G853" s="73"/>
      <c r="H853" s="73"/>
      <c r="I853" s="73"/>
      <c r="J853" s="73"/>
      <c r="K853" s="53"/>
      <c r="L853" s="53"/>
      <c r="M853" s="53"/>
      <c r="N853" s="53"/>
      <c r="O853" s="53"/>
      <c r="P853" s="53"/>
      <c r="Q853" s="53"/>
    </row>
    <row r="854" spans="3:17" ht="15.75" customHeight="1">
      <c r="C854" s="53"/>
      <c r="D854" s="73"/>
      <c r="E854" s="73"/>
      <c r="F854" s="73"/>
      <c r="G854" s="73"/>
      <c r="H854" s="73"/>
      <c r="I854" s="73"/>
      <c r="J854" s="73"/>
      <c r="K854" s="53"/>
      <c r="L854" s="53"/>
      <c r="M854" s="53"/>
      <c r="N854" s="53"/>
      <c r="O854" s="53"/>
      <c r="P854" s="53"/>
      <c r="Q854" s="53"/>
    </row>
    <row r="855" spans="3:17" ht="15.75" customHeight="1">
      <c r="C855" s="53"/>
      <c r="D855" s="73"/>
      <c r="E855" s="73"/>
      <c r="F855" s="73"/>
      <c r="G855" s="73"/>
      <c r="H855" s="73"/>
      <c r="I855" s="73"/>
      <c r="J855" s="73"/>
      <c r="K855" s="53"/>
      <c r="L855" s="53"/>
      <c r="M855" s="53"/>
      <c r="N855" s="53"/>
      <c r="O855" s="53"/>
      <c r="P855" s="53"/>
      <c r="Q855" s="53"/>
    </row>
    <row r="856" spans="3:17" ht="15.75" customHeight="1">
      <c r="C856" s="53"/>
      <c r="D856" s="73"/>
      <c r="E856" s="73"/>
      <c r="F856" s="73"/>
      <c r="G856" s="73"/>
      <c r="H856" s="73"/>
      <c r="I856" s="73"/>
      <c r="J856" s="73"/>
      <c r="K856" s="53"/>
      <c r="L856" s="53"/>
      <c r="M856" s="53"/>
      <c r="N856" s="53"/>
      <c r="O856" s="53"/>
      <c r="P856" s="53"/>
      <c r="Q856" s="53"/>
    </row>
    <row r="857" spans="3:17" ht="15.75" customHeight="1">
      <c r="C857" s="53"/>
      <c r="D857" s="73"/>
      <c r="E857" s="73"/>
      <c r="F857" s="73"/>
      <c r="G857" s="73"/>
      <c r="H857" s="73"/>
      <c r="I857" s="73"/>
      <c r="J857" s="73"/>
      <c r="K857" s="53"/>
      <c r="L857" s="53"/>
      <c r="M857" s="53"/>
      <c r="N857" s="53"/>
      <c r="O857" s="53"/>
      <c r="P857" s="53"/>
      <c r="Q857" s="53"/>
    </row>
    <row r="858" spans="3:17" ht="15.75" customHeight="1">
      <c r="C858" s="53"/>
      <c r="D858" s="73"/>
      <c r="E858" s="73"/>
      <c r="F858" s="73"/>
      <c r="G858" s="73"/>
      <c r="H858" s="73"/>
      <c r="I858" s="73"/>
      <c r="J858" s="73"/>
      <c r="K858" s="53"/>
      <c r="L858" s="53"/>
      <c r="M858" s="53"/>
      <c r="N858" s="53"/>
      <c r="O858" s="53"/>
      <c r="P858" s="53"/>
      <c r="Q858" s="53"/>
    </row>
    <row r="859" spans="3:17" ht="15.75" customHeight="1">
      <c r="C859" s="53"/>
      <c r="D859" s="73"/>
      <c r="E859" s="73"/>
      <c r="F859" s="73"/>
      <c r="G859" s="73"/>
      <c r="H859" s="73"/>
      <c r="I859" s="73"/>
      <c r="J859" s="73"/>
      <c r="K859" s="53"/>
      <c r="L859" s="53"/>
      <c r="M859" s="53"/>
      <c r="N859" s="53"/>
      <c r="O859" s="53"/>
      <c r="P859" s="53"/>
      <c r="Q859" s="53"/>
    </row>
    <row r="860" spans="3:17" ht="15.75" customHeight="1">
      <c r="C860" s="53"/>
      <c r="D860" s="73"/>
      <c r="E860" s="73"/>
      <c r="F860" s="73"/>
      <c r="G860" s="73"/>
      <c r="H860" s="73"/>
      <c r="I860" s="73"/>
      <c r="J860" s="73"/>
      <c r="K860" s="53"/>
      <c r="L860" s="53"/>
      <c r="M860" s="53"/>
      <c r="N860" s="53"/>
      <c r="O860" s="53"/>
      <c r="P860" s="53"/>
      <c r="Q860" s="53"/>
    </row>
    <row r="861" spans="3:17" ht="15.75" customHeight="1">
      <c r="C861" s="53"/>
      <c r="D861" s="73"/>
      <c r="E861" s="73"/>
      <c r="F861" s="73"/>
      <c r="G861" s="73"/>
      <c r="H861" s="73"/>
      <c r="I861" s="73"/>
      <c r="J861" s="73"/>
      <c r="K861" s="53"/>
      <c r="L861" s="53"/>
      <c r="M861" s="53"/>
      <c r="N861" s="53"/>
      <c r="O861" s="53"/>
      <c r="P861" s="53"/>
      <c r="Q861" s="53"/>
    </row>
    <row r="862" spans="3:17" ht="15.75" customHeight="1">
      <c r="C862" s="53"/>
      <c r="D862" s="73"/>
      <c r="E862" s="73"/>
      <c r="F862" s="73"/>
      <c r="G862" s="73"/>
      <c r="H862" s="73"/>
      <c r="I862" s="73"/>
      <c r="J862" s="73"/>
      <c r="K862" s="53"/>
      <c r="L862" s="53"/>
      <c r="M862" s="53"/>
      <c r="N862" s="53"/>
      <c r="O862" s="53"/>
      <c r="P862" s="53"/>
      <c r="Q862" s="53"/>
    </row>
    <row r="863" spans="3:17" ht="15.75" customHeight="1">
      <c r="C863" s="53"/>
      <c r="D863" s="73"/>
      <c r="E863" s="73"/>
      <c r="F863" s="73"/>
      <c r="G863" s="73"/>
      <c r="H863" s="73"/>
      <c r="I863" s="73"/>
      <c r="J863" s="73"/>
      <c r="K863" s="53"/>
      <c r="L863" s="53"/>
      <c r="M863" s="53"/>
      <c r="N863" s="53"/>
      <c r="O863" s="53"/>
      <c r="P863" s="53"/>
      <c r="Q863" s="53"/>
    </row>
    <row r="864" spans="3:17" ht="15.75" customHeight="1">
      <c r="C864" s="53"/>
      <c r="D864" s="73"/>
      <c r="E864" s="73"/>
      <c r="F864" s="73"/>
      <c r="G864" s="73"/>
      <c r="H864" s="73"/>
      <c r="I864" s="73"/>
      <c r="J864" s="73"/>
      <c r="K864" s="53"/>
      <c r="L864" s="53"/>
      <c r="M864" s="53"/>
      <c r="N864" s="53"/>
      <c r="O864" s="53"/>
      <c r="P864" s="53"/>
      <c r="Q864" s="53"/>
    </row>
    <row r="865" spans="3:17" ht="15.75" customHeight="1">
      <c r="C865" s="53"/>
      <c r="D865" s="73"/>
      <c r="E865" s="73"/>
      <c r="F865" s="73"/>
      <c r="G865" s="73"/>
      <c r="H865" s="73"/>
      <c r="I865" s="73"/>
      <c r="J865" s="73"/>
      <c r="K865" s="53"/>
      <c r="L865" s="53"/>
      <c r="M865" s="53"/>
      <c r="N865" s="53"/>
      <c r="O865" s="53"/>
      <c r="P865" s="53"/>
      <c r="Q865" s="53"/>
    </row>
    <row r="866" spans="3:17" ht="15.75" customHeight="1">
      <c r="C866" s="53"/>
      <c r="D866" s="73"/>
      <c r="E866" s="73"/>
      <c r="F866" s="73"/>
      <c r="G866" s="73"/>
      <c r="H866" s="73"/>
      <c r="I866" s="73"/>
      <c r="J866" s="73"/>
      <c r="K866" s="53"/>
      <c r="L866" s="53"/>
      <c r="M866" s="53"/>
      <c r="N866" s="53"/>
      <c r="O866" s="53"/>
      <c r="P866" s="53"/>
      <c r="Q866" s="53"/>
    </row>
    <row r="867" spans="3:17" ht="15.75" customHeight="1">
      <c r="C867" s="53"/>
      <c r="D867" s="73"/>
      <c r="E867" s="73"/>
      <c r="F867" s="73"/>
      <c r="G867" s="73"/>
      <c r="H867" s="73"/>
      <c r="I867" s="73"/>
      <c r="J867" s="73"/>
      <c r="K867" s="53"/>
      <c r="L867" s="53"/>
      <c r="M867" s="53"/>
      <c r="N867" s="53"/>
      <c r="O867" s="53"/>
      <c r="P867" s="53"/>
      <c r="Q867" s="53"/>
    </row>
    <row r="868" spans="3:17" ht="15.75" customHeight="1">
      <c r="C868" s="53"/>
      <c r="D868" s="73"/>
      <c r="E868" s="73"/>
      <c r="F868" s="73"/>
      <c r="G868" s="73"/>
      <c r="H868" s="73"/>
      <c r="I868" s="73"/>
      <c r="J868" s="73"/>
      <c r="K868" s="53"/>
      <c r="L868" s="53"/>
      <c r="M868" s="53"/>
      <c r="N868" s="53"/>
      <c r="O868" s="53"/>
      <c r="P868" s="53"/>
      <c r="Q868" s="53"/>
    </row>
    <row r="869" spans="3:17" ht="15.75" customHeight="1">
      <c r="C869" s="53"/>
      <c r="D869" s="73"/>
      <c r="E869" s="73"/>
      <c r="F869" s="73"/>
      <c r="G869" s="73"/>
      <c r="H869" s="73"/>
      <c r="I869" s="73"/>
      <c r="J869" s="73"/>
      <c r="K869" s="53"/>
      <c r="L869" s="53"/>
      <c r="M869" s="53"/>
      <c r="N869" s="53"/>
      <c r="O869" s="53"/>
      <c r="P869" s="53"/>
      <c r="Q869" s="53"/>
    </row>
    <row r="870" spans="3:17" ht="15.75" customHeight="1">
      <c r="C870" s="53"/>
      <c r="D870" s="73"/>
      <c r="E870" s="73"/>
      <c r="F870" s="73"/>
      <c r="G870" s="73"/>
      <c r="H870" s="73"/>
      <c r="I870" s="73"/>
      <c r="J870" s="73"/>
      <c r="K870" s="53"/>
      <c r="L870" s="53"/>
      <c r="M870" s="53"/>
      <c r="N870" s="53"/>
      <c r="O870" s="53"/>
      <c r="P870" s="53"/>
      <c r="Q870" s="53"/>
    </row>
    <row r="871" spans="3:17" ht="15.75" customHeight="1">
      <c r="C871" s="53"/>
      <c r="D871" s="73"/>
      <c r="E871" s="73"/>
      <c r="F871" s="73"/>
      <c r="G871" s="73"/>
      <c r="H871" s="73"/>
      <c r="I871" s="73"/>
      <c r="J871" s="73"/>
      <c r="K871" s="53"/>
      <c r="L871" s="53"/>
      <c r="M871" s="53"/>
      <c r="N871" s="53"/>
      <c r="O871" s="53"/>
      <c r="P871" s="53"/>
      <c r="Q871" s="53"/>
    </row>
    <row r="872" spans="3:17" ht="15.75" customHeight="1">
      <c r="C872" s="53"/>
      <c r="D872" s="73"/>
      <c r="E872" s="73"/>
      <c r="F872" s="73"/>
      <c r="G872" s="73"/>
      <c r="H872" s="73"/>
      <c r="I872" s="73"/>
      <c r="J872" s="73"/>
      <c r="K872" s="53"/>
      <c r="L872" s="53"/>
      <c r="M872" s="53"/>
      <c r="N872" s="53"/>
      <c r="O872" s="53"/>
      <c r="P872" s="53"/>
      <c r="Q872" s="53"/>
    </row>
    <row r="873" spans="3:17" ht="15.75" customHeight="1">
      <c r="C873" s="53"/>
      <c r="D873" s="73"/>
      <c r="E873" s="73"/>
      <c r="F873" s="73"/>
      <c r="G873" s="73"/>
      <c r="H873" s="73"/>
      <c r="I873" s="73"/>
      <c r="J873" s="73"/>
      <c r="K873" s="53"/>
      <c r="L873" s="53"/>
      <c r="M873" s="53"/>
      <c r="N873" s="53"/>
      <c r="O873" s="53"/>
      <c r="P873" s="53"/>
      <c r="Q873" s="53"/>
    </row>
    <row r="874" spans="3:17" ht="15.75" customHeight="1">
      <c r="C874" s="53"/>
      <c r="D874" s="73"/>
      <c r="E874" s="73"/>
      <c r="F874" s="73"/>
      <c r="G874" s="73"/>
      <c r="H874" s="73"/>
      <c r="I874" s="73"/>
      <c r="J874" s="73"/>
      <c r="K874" s="53"/>
      <c r="L874" s="53"/>
      <c r="M874" s="53"/>
      <c r="N874" s="53"/>
      <c r="O874" s="53"/>
      <c r="P874" s="53"/>
      <c r="Q874" s="53"/>
    </row>
    <row r="875" spans="3:17" ht="15.75" customHeight="1">
      <c r="C875" s="53"/>
      <c r="D875" s="73"/>
      <c r="E875" s="73"/>
      <c r="F875" s="73"/>
      <c r="G875" s="73"/>
      <c r="H875" s="73"/>
      <c r="I875" s="73"/>
      <c r="J875" s="73"/>
      <c r="K875" s="53"/>
      <c r="L875" s="53"/>
      <c r="M875" s="53"/>
      <c r="N875" s="53"/>
      <c r="O875" s="53"/>
      <c r="P875" s="53"/>
      <c r="Q875" s="53"/>
    </row>
    <row r="876" spans="3:17" ht="15.75" customHeight="1">
      <c r="C876" s="53"/>
      <c r="D876" s="73"/>
      <c r="E876" s="73"/>
      <c r="F876" s="73"/>
      <c r="G876" s="73"/>
      <c r="H876" s="73"/>
      <c r="I876" s="73"/>
      <c r="J876" s="73"/>
      <c r="K876" s="53"/>
      <c r="L876" s="53"/>
      <c r="M876" s="53"/>
      <c r="N876" s="53"/>
      <c r="O876" s="53"/>
      <c r="P876" s="53"/>
      <c r="Q876" s="53"/>
    </row>
    <row r="877" spans="3:17" ht="15.75" customHeight="1">
      <c r="C877" s="53"/>
      <c r="D877" s="73"/>
      <c r="E877" s="73"/>
      <c r="F877" s="73"/>
      <c r="G877" s="73"/>
      <c r="H877" s="73"/>
      <c r="I877" s="73"/>
      <c r="J877" s="73"/>
      <c r="K877" s="53"/>
      <c r="L877" s="53"/>
      <c r="M877" s="53"/>
      <c r="N877" s="53"/>
      <c r="O877" s="53"/>
      <c r="P877" s="53"/>
      <c r="Q877" s="53"/>
    </row>
    <row r="878" spans="3:17" ht="15.75" customHeight="1">
      <c r="C878" s="53"/>
      <c r="D878" s="73"/>
      <c r="E878" s="73"/>
      <c r="F878" s="73"/>
      <c r="G878" s="73"/>
      <c r="H878" s="73"/>
      <c r="I878" s="73"/>
      <c r="J878" s="73"/>
      <c r="K878" s="53"/>
      <c r="L878" s="53"/>
      <c r="M878" s="53"/>
      <c r="N878" s="53"/>
      <c r="O878" s="53"/>
      <c r="P878" s="53"/>
      <c r="Q878" s="53"/>
    </row>
    <row r="879" spans="3:17" ht="15.75" customHeight="1">
      <c r="C879" s="53"/>
      <c r="D879" s="73"/>
      <c r="E879" s="73"/>
      <c r="F879" s="73"/>
      <c r="G879" s="73"/>
      <c r="H879" s="73"/>
      <c r="I879" s="73"/>
      <c r="J879" s="73"/>
      <c r="K879" s="53"/>
      <c r="L879" s="53"/>
      <c r="M879" s="53"/>
      <c r="N879" s="53"/>
      <c r="O879" s="53"/>
      <c r="P879" s="53"/>
      <c r="Q879" s="53"/>
    </row>
    <row r="880" spans="3:17" ht="15.75" customHeight="1">
      <c r="C880" s="53"/>
      <c r="D880" s="73"/>
      <c r="E880" s="73"/>
      <c r="F880" s="73"/>
      <c r="G880" s="73"/>
      <c r="H880" s="73"/>
      <c r="I880" s="73"/>
      <c r="J880" s="73"/>
      <c r="K880" s="53"/>
      <c r="L880" s="53"/>
      <c r="M880" s="53"/>
      <c r="N880" s="53"/>
      <c r="O880" s="53"/>
      <c r="P880" s="53"/>
      <c r="Q880" s="53"/>
    </row>
    <row r="881" spans="3:17" ht="15.75" customHeight="1">
      <c r="C881" s="53"/>
      <c r="D881" s="73"/>
      <c r="E881" s="73"/>
      <c r="F881" s="73"/>
      <c r="G881" s="73"/>
      <c r="H881" s="73"/>
      <c r="I881" s="73"/>
      <c r="J881" s="73"/>
      <c r="K881" s="53"/>
      <c r="L881" s="53"/>
      <c r="M881" s="53"/>
      <c r="N881" s="53"/>
      <c r="O881" s="53"/>
      <c r="P881" s="53"/>
      <c r="Q881" s="53"/>
    </row>
    <row r="882" spans="3:17" ht="15.75" customHeight="1">
      <c r="C882" s="53"/>
      <c r="D882" s="73"/>
      <c r="E882" s="73"/>
      <c r="F882" s="73"/>
      <c r="G882" s="73"/>
      <c r="H882" s="73"/>
      <c r="I882" s="73"/>
      <c r="J882" s="73"/>
      <c r="K882" s="53"/>
      <c r="L882" s="53"/>
      <c r="M882" s="53"/>
      <c r="N882" s="53"/>
      <c r="O882" s="53"/>
      <c r="P882" s="53"/>
      <c r="Q882" s="53"/>
    </row>
    <row r="883" spans="3:17" ht="15.75" customHeight="1">
      <c r="C883" s="53"/>
      <c r="D883" s="73"/>
      <c r="E883" s="73"/>
      <c r="F883" s="73"/>
      <c r="G883" s="73"/>
      <c r="H883" s="73"/>
      <c r="I883" s="73"/>
      <c r="J883" s="73"/>
      <c r="K883" s="53"/>
      <c r="L883" s="53"/>
      <c r="M883" s="53"/>
      <c r="N883" s="53"/>
      <c r="O883" s="53"/>
      <c r="P883" s="53"/>
      <c r="Q883" s="53"/>
    </row>
    <row r="884" spans="3:17" ht="15.75" customHeight="1">
      <c r="C884" s="53"/>
      <c r="D884" s="73"/>
      <c r="E884" s="73"/>
      <c r="F884" s="73"/>
      <c r="G884" s="73"/>
      <c r="H884" s="73"/>
      <c r="I884" s="73"/>
      <c r="J884" s="73"/>
      <c r="K884" s="53"/>
      <c r="L884" s="53"/>
      <c r="M884" s="53"/>
      <c r="N884" s="53"/>
      <c r="O884" s="53"/>
      <c r="P884" s="53"/>
      <c r="Q884" s="53"/>
    </row>
    <row r="885" spans="3:17" ht="15.75" customHeight="1">
      <c r="C885" s="53"/>
      <c r="D885" s="73"/>
      <c r="E885" s="73"/>
      <c r="F885" s="73"/>
      <c r="G885" s="73"/>
      <c r="H885" s="73"/>
      <c r="I885" s="73"/>
      <c r="J885" s="73"/>
      <c r="K885" s="53"/>
      <c r="L885" s="53"/>
      <c r="M885" s="53"/>
      <c r="N885" s="53"/>
      <c r="O885" s="53"/>
      <c r="P885" s="53"/>
      <c r="Q885" s="53"/>
    </row>
    <row r="886" spans="3:17" ht="15.75" customHeight="1">
      <c r="C886" s="53"/>
      <c r="D886" s="73"/>
      <c r="E886" s="73"/>
      <c r="F886" s="73"/>
      <c r="G886" s="73"/>
      <c r="H886" s="73"/>
      <c r="I886" s="73"/>
      <c r="J886" s="73"/>
      <c r="K886" s="53"/>
      <c r="L886" s="53"/>
      <c r="M886" s="53"/>
      <c r="N886" s="53"/>
      <c r="O886" s="53"/>
      <c r="P886" s="53"/>
      <c r="Q886" s="53"/>
    </row>
    <row r="887" spans="3:17" ht="15.75" customHeight="1">
      <c r="C887" s="53"/>
      <c r="D887" s="73"/>
      <c r="E887" s="73"/>
      <c r="F887" s="73"/>
      <c r="G887" s="73"/>
      <c r="H887" s="73"/>
      <c r="I887" s="73"/>
      <c r="J887" s="73"/>
      <c r="K887" s="53"/>
      <c r="L887" s="53"/>
      <c r="M887" s="53"/>
      <c r="N887" s="53"/>
      <c r="O887" s="53"/>
      <c r="P887" s="53"/>
      <c r="Q887" s="53"/>
    </row>
    <row r="888" spans="3:17" ht="15.75" customHeight="1">
      <c r="C888" s="53"/>
      <c r="D888" s="73"/>
      <c r="E888" s="73"/>
      <c r="F888" s="73"/>
      <c r="G888" s="73"/>
      <c r="H888" s="73"/>
      <c r="I888" s="73"/>
      <c r="J888" s="73"/>
      <c r="K888" s="53"/>
      <c r="L888" s="53"/>
      <c r="M888" s="53"/>
      <c r="N888" s="53"/>
      <c r="O888" s="53"/>
      <c r="P888" s="53"/>
      <c r="Q888" s="53"/>
    </row>
    <row r="889" spans="3:17" ht="15.75" customHeight="1">
      <c r="C889" s="53"/>
      <c r="D889" s="73"/>
      <c r="E889" s="73"/>
      <c r="F889" s="73"/>
      <c r="G889" s="73"/>
      <c r="H889" s="73"/>
      <c r="I889" s="73"/>
      <c r="J889" s="73"/>
      <c r="K889" s="53"/>
      <c r="L889" s="53"/>
      <c r="M889" s="53"/>
      <c r="N889" s="53"/>
      <c r="O889" s="53"/>
      <c r="P889" s="53"/>
      <c r="Q889" s="53"/>
    </row>
    <row r="890" spans="3:17" ht="15.75" customHeight="1">
      <c r="C890" s="53"/>
      <c r="D890" s="73"/>
      <c r="E890" s="73"/>
      <c r="F890" s="73"/>
      <c r="G890" s="73"/>
      <c r="H890" s="73"/>
      <c r="I890" s="73"/>
      <c r="J890" s="73"/>
      <c r="K890" s="53"/>
      <c r="L890" s="53"/>
      <c r="M890" s="53"/>
      <c r="N890" s="53"/>
      <c r="O890" s="53"/>
      <c r="P890" s="53"/>
      <c r="Q890" s="53"/>
    </row>
    <row r="891" spans="3:17" ht="15.75" customHeight="1">
      <c r="C891" s="53"/>
      <c r="D891" s="73"/>
      <c r="E891" s="73"/>
      <c r="F891" s="73"/>
      <c r="G891" s="73"/>
      <c r="H891" s="73"/>
      <c r="I891" s="73"/>
      <c r="J891" s="73"/>
      <c r="K891" s="53"/>
      <c r="L891" s="53"/>
      <c r="M891" s="53"/>
      <c r="N891" s="53"/>
      <c r="O891" s="53"/>
      <c r="P891" s="53"/>
      <c r="Q891" s="53"/>
    </row>
    <row r="892" spans="3:17" ht="15.75" customHeight="1">
      <c r="C892" s="53"/>
      <c r="D892" s="73"/>
      <c r="E892" s="73"/>
      <c r="F892" s="73"/>
      <c r="G892" s="73"/>
      <c r="H892" s="73"/>
      <c r="I892" s="73"/>
      <c r="J892" s="73"/>
      <c r="K892" s="53"/>
      <c r="L892" s="53"/>
      <c r="M892" s="53"/>
      <c r="N892" s="53"/>
      <c r="O892" s="53"/>
      <c r="P892" s="53"/>
      <c r="Q892" s="53"/>
    </row>
    <row r="893" spans="3:17" ht="15.75" customHeight="1">
      <c r="C893" s="53"/>
      <c r="D893" s="73"/>
      <c r="E893" s="73"/>
      <c r="F893" s="73"/>
      <c r="G893" s="73"/>
      <c r="H893" s="73"/>
      <c r="I893" s="73"/>
      <c r="J893" s="73"/>
      <c r="K893" s="53"/>
      <c r="L893" s="53"/>
      <c r="M893" s="53"/>
      <c r="N893" s="53"/>
      <c r="O893" s="53"/>
      <c r="P893" s="53"/>
      <c r="Q893" s="53"/>
    </row>
    <row r="894" spans="3:17" ht="15.75" customHeight="1">
      <c r="C894" s="53"/>
      <c r="D894" s="73"/>
      <c r="E894" s="73"/>
      <c r="F894" s="73"/>
      <c r="G894" s="73"/>
      <c r="H894" s="73"/>
      <c r="I894" s="73"/>
      <c r="J894" s="73"/>
      <c r="K894" s="53"/>
      <c r="L894" s="53"/>
      <c r="M894" s="53"/>
      <c r="N894" s="53"/>
      <c r="O894" s="53"/>
      <c r="P894" s="53"/>
      <c r="Q894" s="53"/>
    </row>
    <row r="895" spans="3:17" ht="15.75" customHeight="1">
      <c r="C895" s="53"/>
      <c r="D895" s="73"/>
      <c r="E895" s="73"/>
      <c r="F895" s="73"/>
      <c r="G895" s="73"/>
      <c r="H895" s="73"/>
      <c r="I895" s="73"/>
      <c r="J895" s="73"/>
      <c r="K895" s="53"/>
      <c r="L895" s="53"/>
      <c r="M895" s="53"/>
      <c r="N895" s="53"/>
      <c r="O895" s="53"/>
      <c r="P895" s="53"/>
      <c r="Q895" s="53"/>
    </row>
    <row r="896" spans="3:17" ht="15.75" customHeight="1">
      <c r="C896" s="53"/>
      <c r="D896" s="73"/>
      <c r="E896" s="73"/>
      <c r="F896" s="73"/>
      <c r="G896" s="73"/>
      <c r="H896" s="73"/>
      <c r="I896" s="73"/>
      <c r="J896" s="73"/>
      <c r="K896" s="53"/>
      <c r="L896" s="53"/>
      <c r="M896" s="53"/>
      <c r="N896" s="53"/>
      <c r="O896" s="53"/>
      <c r="P896" s="53"/>
      <c r="Q896" s="53"/>
    </row>
    <row r="897" spans="3:17" ht="15.75" customHeight="1">
      <c r="C897" s="53"/>
      <c r="D897" s="73"/>
      <c r="E897" s="73"/>
      <c r="F897" s="73"/>
      <c r="G897" s="73"/>
      <c r="H897" s="73"/>
      <c r="I897" s="73"/>
      <c r="J897" s="73"/>
      <c r="K897" s="53"/>
      <c r="L897" s="53"/>
      <c r="M897" s="53"/>
      <c r="N897" s="53"/>
      <c r="O897" s="53"/>
      <c r="P897" s="53"/>
      <c r="Q897" s="53"/>
    </row>
    <row r="898" spans="3:17" ht="15.75" customHeight="1">
      <c r="C898" s="53"/>
      <c r="D898" s="73"/>
      <c r="E898" s="73"/>
      <c r="F898" s="73"/>
      <c r="G898" s="73"/>
      <c r="H898" s="73"/>
      <c r="I898" s="73"/>
      <c r="J898" s="73"/>
      <c r="K898" s="53"/>
      <c r="L898" s="53"/>
      <c r="M898" s="53"/>
      <c r="N898" s="53"/>
      <c r="O898" s="53"/>
      <c r="P898" s="53"/>
      <c r="Q898" s="53"/>
    </row>
    <row r="899" spans="3:17" ht="15.75" customHeight="1">
      <c r="C899" s="53"/>
      <c r="D899" s="73"/>
      <c r="E899" s="73"/>
      <c r="F899" s="73"/>
      <c r="G899" s="73"/>
      <c r="H899" s="73"/>
      <c r="I899" s="73"/>
      <c r="J899" s="73"/>
      <c r="K899" s="53"/>
      <c r="L899" s="53"/>
      <c r="M899" s="53"/>
      <c r="N899" s="53"/>
      <c r="O899" s="53"/>
      <c r="P899" s="53"/>
      <c r="Q899" s="53"/>
    </row>
    <row r="900" spans="3:17" ht="15.75" customHeight="1">
      <c r="C900" s="53"/>
      <c r="D900" s="73"/>
      <c r="E900" s="73"/>
      <c r="F900" s="73"/>
      <c r="G900" s="73"/>
      <c r="H900" s="73"/>
      <c r="I900" s="73"/>
      <c r="J900" s="73"/>
      <c r="K900" s="53"/>
      <c r="L900" s="53"/>
      <c r="M900" s="53"/>
      <c r="N900" s="53"/>
      <c r="O900" s="53"/>
      <c r="P900" s="53"/>
      <c r="Q900" s="53"/>
    </row>
    <row r="901" spans="3:17" ht="15.75" customHeight="1">
      <c r="C901" s="53"/>
      <c r="D901" s="73"/>
      <c r="E901" s="73"/>
      <c r="F901" s="73"/>
      <c r="G901" s="73"/>
      <c r="H901" s="73"/>
      <c r="I901" s="73"/>
      <c r="J901" s="73"/>
      <c r="K901" s="53"/>
      <c r="L901" s="53"/>
      <c r="M901" s="53"/>
      <c r="N901" s="53"/>
      <c r="O901" s="53"/>
      <c r="P901" s="53"/>
      <c r="Q901" s="53"/>
    </row>
    <row r="902" spans="3:17" ht="15.75" customHeight="1">
      <c r="C902" s="53"/>
      <c r="D902" s="73"/>
      <c r="E902" s="73"/>
      <c r="F902" s="73"/>
      <c r="G902" s="73"/>
      <c r="H902" s="73"/>
      <c r="I902" s="73"/>
      <c r="J902" s="73"/>
      <c r="K902" s="53"/>
      <c r="L902" s="53"/>
      <c r="M902" s="53"/>
      <c r="N902" s="53"/>
      <c r="O902" s="53"/>
      <c r="P902" s="53"/>
      <c r="Q902" s="53"/>
    </row>
    <row r="903" spans="3:17" ht="15.75" customHeight="1">
      <c r="C903" s="53"/>
      <c r="D903" s="73"/>
      <c r="E903" s="73"/>
      <c r="F903" s="73"/>
      <c r="G903" s="73"/>
      <c r="H903" s="73"/>
      <c r="I903" s="73"/>
      <c r="J903" s="73"/>
      <c r="K903" s="53"/>
      <c r="L903" s="53"/>
      <c r="M903" s="53"/>
      <c r="N903" s="53"/>
      <c r="O903" s="53"/>
      <c r="P903" s="53"/>
      <c r="Q903" s="53"/>
    </row>
    <row r="904" spans="3:17" ht="15.75" customHeight="1">
      <c r="C904" s="53"/>
      <c r="D904" s="73"/>
      <c r="E904" s="73"/>
      <c r="F904" s="73"/>
      <c r="G904" s="73"/>
      <c r="H904" s="73"/>
      <c r="I904" s="73"/>
      <c r="J904" s="73"/>
      <c r="K904" s="53"/>
      <c r="L904" s="53"/>
      <c r="M904" s="53"/>
      <c r="N904" s="53"/>
      <c r="O904" s="53"/>
      <c r="P904" s="53"/>
      <c r="Q904" s="53"/>
    </row>
    <row r="905" spans="3:17" ht="15.75" customHeight="1">
      <c r="C905" s="53"/>
      <c r="D905" s="73"/>
      <c r="E905" s="73"/>
      <c r="F905" s="73"/>
      <c r="G905" s="73"/>
      <c r="H905" s="73"/>
      <c r="I905" s="73"/>
      <c r="J905" s="73"/>
      <c r="K905" s="53"/>
      <c r="L905" s="53"/>
      <c r="M905" s="53"/>
      <c r="N905" s="53"/>
      <c r="O905" s="53"/>
      <c r="P905" s="53"/>
      <c r="Q905" s="53"/>
    </row>
    <row r="906" spans="3:17" ht="15.75" customHeight="1">
      <c r="C906" s="53"/>
      <c r="D906" s="73"/>
      <c r="E906" s="73"/>
      <c r="F906" s="73"/>
      <c r="G906" s="73"/>
      <c r="H906" s="73"/>
      <c r="I906" s="73"/>
      <c r="J906" s="73"/>
      <c r="K906" s="53"/>
      <c r="L906" s="53"/>
      <c r="M906" s="53"/>
      <c r="N906" s="53"/>
      <c r="O906" s="53"/>
      <c r="P906" s="53"/>
      <c r="Q906" s="53"/>
    </row>
    <row r="907" spans="3:17" ht="15.75" customHeight="1">
      <c r="C907" s="53"/>
      <c r="D907" s="73"/>
      <c r="E907" s="73"/>
      <c r="F907" s="73"/>
      <c r="G907" s="73"/>
      <c r="H907" s="73"/>
      <c r="I907" s="73"/>
      <c r="J907" s="73"/>
      <c r="K907" s="53"/>
      <c r="L907" s="53"/>
      <c r="M907" s="53"/>
      <c r="N907" s="53"/>
      <c r="O907" s="53"/>
      <c r="P907" s="53"/>
      <c r="Q907" s="53"/>
    </row>
    <row r="908" spans="3:17" ht="15.75" customHeight="1">
      <c r="C908" s="53"/>
      <c r="D908" s="73"/>
      <c r="E908" s="73"/>
      <c r="F908" s="73"/>
      <c r="G908" s="73"/>
      <c r="H908" s="73"/>
      <c r="I908" s="73"/>
      <c r="J908" s="73"/>
      <c r="K908" s="53"/>
      <c r="L908" s="53"/>
      <c r="M908" s="53"/>
      <c r="N908" s="53"/>
      <c r="O908" s="53"/>
      <c r="P908" s="53"/>
      <c r="Q908" s="53"/>
    </row>
    <row r="909" spans="3:17" ht="15.75" customHeight="1">
      <c r="C909" s="53"/>
      <c r="D909" s="73"/>
      <c r="E909" s="73"/>
      <c r="F909" s="73"/>
      <c r="G909" s="73"/>
      <c r="H909" s="73"/>
      <c r="I909" s="73"/>
      <c r="J909" s="73"/>
      <c r="K909" s="53"/>
      <c r="L909" s="53"/>
      <c r="M909" s="53"/>
      <c r="N909" s="53"/>
      <c r="O909" s="53"/>
      <c r="P909" s="53"/>
      <c r="Q909" s="53"/>
    </row>
    <row r="910" spans="3:17" ht="15.75" customHeight="1">
      <c r="C910" s="53"/>
      <c r="D910" s="73"/>
      <c r="E910" s="73"/>
      <c r="F910" s="73"/>
      <c r="G910" s="73"/>
      <c r="H910" s="73"/>
      <c r="I910" s="73"/>
      <c r="J910" s="73"/>
      <c r="K910" s="53"/>
      <c r="L910" s="53"/>
      <c r="M910" s="53"/>
      <c r="N910" s="53"/>
      <c r="O910" s="53"/>
      <c r="P910" s="53"/>
      <c r="Q910" s="53"/>
    </row>
    <row r="911" spans="3:17" ht="15.75" customHeight="1">
      <c r="C911" s="53"/>
      <c r="D911" s="73"/>
      <c r="E911" s="73"/>
      <c r="F911" s="73"/>
      <c r="G911" s="73"/>
      <c r="H911" s="73"/>
      <c r="I911" s="73"/>
      <c r="J911" s="73"/>
      <c r="K911" s="53"/>
      <c r="L911" s="53"/>
      <c r="M911" s="53"/>
      <c r="N911" s="53"/>
      <c r="O911" s="53"/>
      <c r="P911" s="53"/>
      <c r="Q911" s="53"/>
    </row>
    <row r="912" spans="3:17" ht="15.75" customHeight="1">
      <c r="C912" s="53"/>
      <c r="D912" s="73"/>
      <c r="E912" s="73"/>
      <c r="F912" s="73"/>
      <c r="G912" s="73"/>
      <c r="H912" s="73"/>
      <c r="I912" s="73"/>
      <c r="J912" s="73"/>
      <c r="K912" s="53"/>
      <c r="L912" s="53"/>
      <c r="M912" s="53"/>
      <c r="N912" s="53"/>
      <c r="O912" s="53"/>
      <c r="P912" s="53"/>
      <c r="Q912" s="53"/>
    </row>
    <row r="913" spans="3:17" ht="15.75" customHeight="1">
      <c r="C913" s="53"/>
      <c r="D913" s="73"/>
      <c r="E913" s="73"/>
      <c r="F913" s="73"/>
      <c r="G913" s="73"/>
      <c r="H913" s="73"/>
      <c r="I913" s="73"/>
      <c r="J913" s="73"/>
      <c r="K913" s="53"/>
      <c r="L913" s="53"/>
      <c r="M913" s="53"/>
      <c r="N913" s="53"/>
      <c r="O913" s="53"/>
      <c r="P913" s="53"/>
      <c r="Q913" s="53"/>
    </row>
    <row r="914" spans="3:17" ht="15.75" customHeight="1">
      <c r="C914" s="53"/>
      <c r="D914" s="73"/>
      <c r="E914" s="73"/>
      <c r="F914" s="73"/>
      <c r="G914" s="73"/>
      <c r="H914" s="73"/>
      <c r="I914" s="73"/>
      <c r="J914" s="73"/>
      <c r="K914" s="53"/>
      <c r="L914" s="53"/>
      <c r="M914" s="53"/>
      <c r="N914" s="53"/>
      <c r="O914" s="53"/>
      <c r="P914" s="53"/>
      <c r="Q914" s="53"/>
    </row>
    <row r="915" spans="3:17" ht="15.75" customHeight="1">
      <c r="C915" s="53"/>
      <c r="D915" s="73"/>
      <c r="E915" s="73"/>
      <c r="F915" s="73"/>
      <c r="G915" s="73"/>
      <c r="H915" s="73"/>
      <c r="I915" s="73"/>
      <c r="J915" s="73"/>
      <c r="K915" s="53"/>
      <c r="L915" s="53"/>
      <c r="M915" s="53"/>
      <c r="N915" s="53"/>
      <c r="O915" s="53"/>
      <c r="P915" s="53"/>
      <c r="Q915" s="53"/>
    </row>
    <row r="916" spans="3:17" ht="15.75" customHeight="1">
      <c r="C916" s="53"/>
      <c r="D916" s="73"/>
      <c r="E916" s="73"/>
      <c r="F916" s="73"/>
      <c r="G916" s="73"/>
      <c r="H916" s="73"/>
      <c r="I916" s="73"/>
      <c r="J916" s="73"/>
      <c r="K916" s="53"/>
      <c r="L916" s="53"/>
      <c r="M916" s="53"/>
      <c r="N916" s="53"/>
      <c r="O916" s="53"/>
      <c r="P916" s="53"/>
      <c r="Q916" s="53"/>
    </row>
    <row r="917" spans="3:17" ht="15.75" customHeight="1">
      <c r="C917" s="53"/>
      <c r="D917" s="73"/>
      <c r="E917" s="73"/>
      <c r="F917" s="73"/>
      <c r="G917" s="73"/>
      <c r="H917" s="73"/>
      <c r="I917" s="73"/>
      <c r="J917" s="73"/>
      <c r="K917" s="53"/>
      <c r="L917" s="53"/>
      <c r="M917" s="53"/>
      <c r="N917" s="53"/>
      <c r="O917" s="53"/>
      <c r="P917" s="53"/>
      <c r="Q917" s="53"/>
    </row>
    <row r="918" spans="3:17" ht="15.75" customHeight="1">
      <c r="C918" s="53"/>
      <c r="D918" s="73"/>
      <c r="E918" s="73"/>
      <c r="F918" s="73"/>
      <c r="G918" s="73"/>
      <c r="H918" s="73"/>
      <c r="I918" s="73"/>
      <c r="J918" s="73"/>
      <c r="K918" s="53"/>
      <c r="L918" s="53"/>
      <c r="M918" s="53"/>
      <c r="N918" s="53"/>
      <c r="O918" s="53"/>
      <c r="P918" s="53"/>
      <c r="Q918" s="53"/>
    </row>
    <row r="919" spans="3:17" ht="15.75" customHeight="1">
      <c r="C919" s="53"/>
      <c r="D919" s="73"/>
      <c r="E919" s="73"/>
      <c r="F919" s="73"/>
      <c r="G919" s="73"/>
      <c r="H919" s="73"/>
      <c r="I919" s="73"/>
      <c r="J919" s="73"/>
      <c r="K919" s="53"/>
      <c r="L919" s="53"/>
      <c r="M919" s="53"/>
      <c r="N919" s="53"/>
      <c r="O919" s="53"/>
      <c r="P919" s="53"/>
      <c r="Q919" s="53"/>
    </row>
    <row r="920" spans="3:17" ht="15.75" customHeight="1">
      <c r="C920" s="53"/>
      <c r="D920" s="73"/>
      <c r="E920" s="73"/>
      <c r="F920" s="73"/>
      <c r="G920" s="73"/>
      <c r="H920" s="73"/>
      <c r="I920" s="73"/>
      <c r="J920" s="73"/>
      <c r="K920" s="53"/>
      <c r="L920" s="53"/>
      <c r="M920" s="53"/>
      <c r="N920" s="53"/>
      <c r="O920" s="53"/>
      <c r="P920" s="53"/>
      <c r="Q920" s="53"/>
    </row>
    <row r="921" spans="3:17" ht="15.75" customHeight="1">
      <c r="C921" s="53"/>
      <c r="D921" s="73"/>
      <c r="E921" s="73"/>
      <c r="F921" s="73"/>
      <c r="G921" s="73"/>
      <c r="H921" s="73"/>
      <c r="I921" s="73"/>
      <c r="J921" s="73"/>
      <c r="K921" s="53"/>
      <c r="L921" s="53"/>
      <c r="M921" s="53"/>
      <c r="N921" s="53"/>
      <c r="O921" s="53"/>
      <c r="P921" s="53"/>
      <c r="Q921" s="53"/>
    </row>
    <row r="922" spans="3:17" ht="15.75" customHeight="1">
      <c r="C922" s="53"/>
      <c r="D922" s="73"/>
      <c r="E922" s="73"/>
      <c r="F922" s="73"/>
      <c r="G922" s="73"/>
      <c r="H922" s="73"/>
      <c r="I922" s="73"/>
      <c r="J922" s="73"/>
      <c r="K922" s="53"/>
      <c r="L922" s="53"/>
      <c r="M922" s="53"/>
      <c r="N922" s="53"/>
      <c r="O922" s="53"/>
      <c r="P922" s="53"/>
      <c r="Q922" s="53"/>
    </row>
    <row r="923" spans="3:17" ht="15.75" customHeight="1">
      <c r="C923" s="53"/>
      <c r="D923" s="73"/>
      <c r="E923" s="73"/>
      <c r="F923" s="73"/>
      <c r="G923" s="73"/>
      <c r="H923" s="73"/>
      <c r="I923" s="73"/>
      <c r="J923" s="73"/>
      <c r="K923" s="53"/>
      <c r="L923" s="53"/>
      <c r="M923" s="53"/>
      <c r="N923" s="53"/>
      <c r="O923" s="53"/>
      <c r="P923" s="53"/>
      <c r="Q923" s="53"/>
    </row>
    <row r="924" spans="3:17" ht="15.75" customHeight="1">
      <c r="C924" s="53"/>
      <c r="D924" s="73"/>
      <c r="E924" s="73"/>
      <c r="F924" s="73"/>
      <c r="G924" s="73"/>
      <c r="H924" s="73"/>
      <c r="I924" s="73"/>
      <c r="J924" s="73"/>
      <c r="K924" s="53"/>
      <c r="L924" s="53"/>
      <c r="M924" s="53"/>
      <c r="N924" s="53"/>
      <c r="O924" s="53"/>
      <c r="P924" s="53"/>
      <c r="Q924" s="53"/>
    </row>
    <row r="925" spans="3:17" ht="15.75" customHeight="1">
      <c r="C925" s="53"/>
      <c r="D925" s="73"/>
      <c r="E925" s="73"/>
      <c r="F925" s="73"/>
      <c r="G925" s="73"/>
      <c r="H925" s="73"/>
      <c r="I925" s="73"/>
      <c r="J925" s="73"/>
      <c r="K925" s="53"/>
      <c r="L925" s="53"/>
      <c r="M925" s="53"/>
      <c r="N925" s="53"/>
      <c r="O925" s="53"/>
      <c r="P925" s="53"/>
      <c r="Q925" s="53"/>
    </row>
    <row r="926" spans="3:17" ht="15.75" customHeight="1">
      <c r="C926" s="53"/>
      <c r="D926" s="73"/>
      <c r="E926" s="73"/>
      <c r="F926" s="73"/>
      <c r="G926" s="73"/>
      <c r="H926" s="73"/>
      <c r="I926" s="73"/>
      <c r="J926" s="73"/>
      <c r="K926" s="53"/>
      <c r="L926" s="53"/>
      <c r="M926" s="53"/>
      <c r="N926" s="53"/>
      <c r="O926" s="53"/>
      <c r="P926" s="53"/>
      <c r="Q926" s="53"/>
    </row>
    <row r="927" spans="3:17" ht="15.75" customHeight="1">
      <c r="C927" s="53"/>
      <c r="D927" s="73"/>
      <c r="E927" s="73"/>
      <c r="F927" s="73"/>
      <c r="G927" s="73"/>
      <c r="H927" s="73"/>
      <c r="I927" s="73"/>
      <c r="J927" s="73"/>
      <c r="K927" s="53"/>
      <c r="L927" s="53"/>
      <c r="M927" s="53"/>
      <c r="N927" s="53"/>
      <c r="O927" s="53"/>
      <c r="P927" s="53"/>
      <c r="Q927" s="53"/>
    </row>
    <row r="928" spans="3:17" ht="15.75" customHeight="1">
      <c r="C928" s="53"/>
      <c r="D928" s="73"/>
      <c r="E928" s="73"/>
      <c r="F928" s="73"/>
      <c r="G928" s="73"/>
      <c r="H928" s="73"/>
      <c r="I928" s="73"/>
      <c r="J928" s="73"/>
      <c r="K928" s="53"/>
      <c r="L928" s="53"/>
      <c r="M928" s="53"/>
      <c r="N928" s="53"/>
      <c r="O928" s="53"/>
      <c r="P928" s="53"/>
      <c r="Q928" s="53"/>
    </row>
    <row r="929" spans="3:17" ht="15.75" customHeight="1">
      <c r="C929" s="53"/>
      <c r="D929" s="73"/>
      <c r="E929" s="73"/>
      <c r="F929" s="73"/>
      <c r="G929" s="73"/>
      <c r="H929" s="73"/>
      <c r="I929" s="73"/>
      <c r="J929" s="73"/>
      <c r="K929" s="53"/>
      <c r="L929" s="53"/>
      <c r="M929" s="53"/>
      <c r="N929" s="53"/>
      <c r="O929" s="53"/>
      <c r="P929" s="53"/>
      <c r="Q929" s="53"/>
    </row>
    <row r="930" spans="3:17" ht="15.75" customHeight="1">
      <c r="C930" s="53"/>
      <c r="D930" s="73"/>
      <c r="E930" s="73"/>
      <c r="F930" s="73"/>
      <c r="G930" s="73"/>
      <c r="H930" s="73"/>
      <c r="I930" s="73"/>
      <c r="J930" s="73"/>
      <c r="K930" s="53"/>
      <c r="L930" s="53"/>
      <c r="M930" s="53"/>
      <c r="N930" s="53"/>
      <c r="O930" s="53"/>
      <c r="P930" s="53"/>
      <c r="Q930" s="53"/>
    </row>
    <row r="931" spans="3:17" ht="15.75" customHeight="1">
      <c r="C931" s="53"/>
      <c r="D931" s="73"/>
      <c r="E931" s="73"/>
      <c r="F931" s="73"/>
      <c r="G931" s="73"/>
      <c r="H931" s="73"/>
      <c r="I931" s="73"/>
      <c r="J931" s="73"/>
      <c r="K931" s="53"/>
      <c r="L931" s="53"/>
      <c r="M931" s="53"/>
      <c r="N931" s="53"/>
      <c r="O931" s="53"/>
      <c r="P931" s="53"/>
      <c r="Q931" s="53"/>
    </row>
    <row r="932" spans="3:17" ht="15.75" customHeight="1">
      <c r="C932" s="53"/>
      <c r="D932" s="73"/>
      <c r="E932" s="73"/>
      <c r="F932" s="73"/>
      <c r="G932" s="73"/>
      <c r="H932" s="73"/>
      <c r="I932" s="73"/>
      <c r="J932" s="73"/>
      <c r="K932" s="53"/>
      <c r="L932" s="53"/>
      <c r="M932" s="53"/>
      <c r="N932" s="53"/>
      <c r="O932" s="53"/>
      <c r="P932" s="53"/>
      <c r="Q932" s="53"/>
    </row>
    <row r="933" spans="3:17" ht="15.75" customHeight="1">
      <c r="C933" s="53"/>
      <c r="D933" s="73"/>
      <c r="E933" s="73"/>
      <c r="F933" s="73"/>
      <c r="G933" s="73"/>
      <c r="H933" s="73"/>
      <c r="I933" s="73"/>
      <c r="J933" s="73"/>
      <c r="K933" s="53"/>
      <c r="L933" s="53"/>
      <c r="M933" s="53"/>
      <c r="N933" s="53"/>
      <c r="O933" s="53"/>
      <c r="P933" s="53"/>
      <c r="Q933" s="53"/>
    </row>
    <row r="934" spans="3:17" ht="15.75" customHeight="1">
      <c r="C934" s="53"/>
      <c r="D934" s="73"/>
      <c r="E934" s="73"/>
      <c r="F934" s="73"/>
      <c r="G934" s="73"/>
      <c r="H934" s="73"/>
      <c r="I934" s="73"/>
      <c r="J934" s="73"/>
      <c r="K934" s="53"/>
      <c r="L934" s="53"/>
      <c r="M934" s="53"/>
      <c r="N934" s="53"/>
      <c r="O934" s="53"/>
      <c r="P934" s="53"/>
      <c r="Q934" s="53"/>
    </row>
    <row r="935" spans="3:17" ht="15.75" customHeight="1">
      <c r="C935" s="53"/>
      <c r="D935" s="73"/>
      <c r="E935" s="73"/>
      <c r="F935" s="73"/>
      <c r="G935" s="73"/>
      <c r="H935" s="73"/>
      <c r="I935" s="73"/>
      <c r="J935" s="73"/>
      <c r="K935" s="53"/>
      <c r="L935" s="53"/>
      <c r="M935" s="53"/>
      <c r="N935" s="53"/>
      <c r="O935" s="53"/>
      <c r="P935" s="53"/>
      <c r="Q935" s="53"/>
    </row>
    <row r="936" spans="3:17" ht="15.75" customHeight="1">
      <c r="C936" s="53"/>
      <c r="D936" s="73"/>
      <c r="E936" s="73"/>
      <c r="F936" s="73"/>
      <c r="G936" s="73"/>
      <c r="H936" s="73"/>
      <c r="I936" s="73"/>
      <c r="J936" s="73"/>
      <c r="K936" s="53"/>
      <c r="L936" s="53"/>
      <c r="M936" s="53"/>
      <c r="N936" s="53"/>
      <c r="O936" s="53"/>
      <c r="P936" s="53"/>
      <c r="Q936" s="53"/>
    </row>
    <row r="937" spans="3:17" ht="15.75" customHeight="1">
      <c r="C937" s="53"/>
      <c r="D937" s="73"/>
      <c r="E937" s="73"/>
      <c r="F937" s="73"/>
      <c r="G937" s="73"/>
      <c r="H937" s="73"/>
      <c r="I937" s="73"/>
      <c r="J937" s="73"/>
      <c r="K937" s="53"/>
      <c r="L937" s="53"/>
      <c r="M937" s="53"/>
      <c r="N937" s="53"/>
      <c r="O937" s="53"/>
      <c r="P937" s="53"/>
      <c r="Q937" s="53"/>
    </row>
    <row r="938" spans="3:17" ht="15.75" customHeight="1">
      <c r="C938" s="53"/>
      <c r="D938" s="73"/>
      <c r="E938" s="73"/>
      <c r="F938" s="73"/>
      <c r="G938" s="73"/>
      <c r="H938" s="73"/>
      <c r="I938" s="73"/>
      <c r="J938" s="73"/>
      <c r="K938" s="53"/>
      <c r="L938" s="53"/>
      <c r="M938" s="53"/>
      <c r="N938" s="53"/>
      <c r="O938" s="53"/>
      <c r="P938" s="53"/>
      <c r="Q938" s="53"/>
    </row>
    <row r="939" spans="3:17" ht="15.75" customHeight="1">
      <c r="C939" s="53"/>
      <c r="D939" s="73"/>
      <c r="E939" s="73"/>
      <c r="F939" s="73"/>
      <c r="G939" s="73"/>
      <c r="H939" s="73"/>
      <c r="I939" s="73"/>
      <c r="J939" s="73"/>
      <c r="K939" s="53"/>
      <c r="L939" s="53"/>
      <c r="M939" s="53"/>
      <c r="N939" s="53"/>
      <c r="O939" s="53"/>
      <c r="P939" s="53"/>
      <c r="Q939" s="53"/>
    </row>
    <row r="940" spans="3:17" ht="15.75" customHeight="1">
      <c r="C940" s="53"/>
      <c r="D940" s="73"/>
      <c r="E940" s="73"/>
      <c r="F940" s="73"/>
      <c r="G940" s="73"/>
      <c r="H940" s="73"/>
      <c r="I940" s="73"/>
      <c r="J940" s="73"/>
      <c r="K940" s="53"/>
      <c r="L940" s="53"/>
      <c r="M940" s="53"/>
      <c r="N940" s="53"/>
      <c r="O940" s="53"/>
      <c r="P940" s="53"/>
      <c r="Q940" s="53"/>
    </row>
    <row r="941" spans="3:17" ht="15.75" customHeight="1">
      <c r="C941" s="53"/>
      <c r="D941" s="73"/>
      <c r="E941" s="73"/>
      <c r="F941" s="73"/>
      <c r="G941" s="73"/>
      <c r="H941" s="73"/>
      <c r="I941" s="73"/>
      <c r="J941" s="73"/>
      <c r="K941" s="53"/>
      <c r="L941" s="53"/>
      <c r="M941" s="53"/>
      <c r="N941" s="53"/>
      <c r="O941" s="53"/>
      <c r="P941" s="53"/>
      <c r="Q941" s="53"/>
    </row>
    <row r="942" spans="3:17" ht="15.75" customHeight="1">
      <c r="C942" s="53"/>
      <c r="D942" s="73"/>
      <c r="E942" s="73"/>
      <c r="F942" s="73"/>
      <c r="G942" s="73"/>
      <c r="H942" s="73"/>
      <c r="I942" s="73"/>
      <c r="J942" s="73"/>
      <c r="K942" s="53"/>
      <c r="L942" s="53"/>
      <c r="M942" s="53"/>
      <c r="N942" s="53"/>
      <c r="O942" s="53"/>
      <c r="P942" s="53"/>
      <c r="Q942" s="53"/>
    </row>
    <row r="943" spans="3:17" ht="15.75" customHeight="1">
      <c r="C943" s="53"/>
      <c r="D943" s="73"/>
      <c r="E943" s="73"/>
      <c r="F943" s="73"/>
      <c r="G943" s="73"/>
      <c r="H943" s="73"/>
      <c r="I943" s="73"/>
      <c r="J943" s="73"/>
      <c r="K943" s="53"/>
      <c r="L943" s="53"/>
      <c r="M943" s="53"/>
      <c r="N943" s="53"/>
      <c r="O943" s="53"/>
      <c r="P943" s="53"/>
      <c r="Q943" s="53"/>
    </row>
    <row r="944" spans="3:17" ht="15.75" customHeight="1">
      <c r="C944" s="53"/>
      <c r="D944" s="73"/>
      <c r="E944" s="73"/>
      <c r="F944" s="73"/>
      <c r="G944" s="73"/>
      <c r="H944" s="73"/>
      <c r="I944" s="73"/>
      <c r="J944" s="73"/>
      <c r="K944" s="53"/>
      <c r="L944" s="53"/>
      <c r="M944" s="53"/>
      <c r="N944" s="53"/>
      <c r="O944" s="53"/>
      <c r="P944" s="53"/>
      <c r="Q944" s="53"/>
    </row>
    <row r="945" spans="3:17" ht="15.75" customHeight="1">
      <c r="C945" s="53"/>
      <c r="D945" s="73"/>
      <c r="E945" s="73"/>
      <c r="F945" s="73"/>
      <c r="G945" s="73"/>
      <c r="H945" s="73"/>
      <c r="I945" s="73"/>
      <c r="J945" s="73"/>
      <c r="K945" s="53"/>
      <c r="L945" s="53"/>
      <c r="M945" s="53"/>
      <c r="N945" s="53"/>
      <c r="O945" s="53"/>
      <c r="P945" s="53"/>
      <c r="Q945" s="53"/>
    </row>
    <row r="946" spans="3:17" ht="15.75" customHeight="1">
      <c r="C946" s="53"/>
      <c r="D946" s="73"/>
      <c r="E946" s="73"/>
      <c r="F946" s="73"/>
      <c r="G946" s="73"/>
      <c r="H946" s="73"/>
      <c r="I946" s="73"/>
      <c r="J946" s="73"/>
      <c r="K946" s="53"/>
      <c r="L946" s="53"/>
      <c r="M946" s="53"/>
      <c r="N946" s="53"/>
      <c r="O946" s="53"/>
      <c r="P946" s="53"/>
      <c r="Q946" s="53"/>
    </row>
    <row r="947" spans="3:17" ht="15.75" customHeight="1">
      <c r="C947" s="53"/>
      <c r="D947" s="73"/>
      <c r="E947" s="73"/>
      <c r="F947" s="73"/>
      <c r="G947" s="73"/>
      <c r="H947" s="73"/>
      <c r="I947" s="73"/>
      <c r="J947" s="73"/>
      <c r="K947" s="53"/>
      <c r="L947" s="53"/>
      <c r="M947" s="53"/>
      <c r="N947" s="53"/>
      <c r="O947" s="53"/>
      <c r="P947" s="53"/>
      <c r="Q947" s="53"/>
    </row>
    <row r="948" spans="3:17" ht="15.75" customHeight="1">
      <c r="C948" s="53"/>
      <c r="D948" s="73"/>
      <c r="E948" s="73"/>
      <c r="F948" s="73"/>
      <c r="G948" s="73"/>
      <c r="H948" s="73"/>
      <c r="I948" s="73"/>
      <c r="J948" s="73"/>
      <c r="K948" s="53"/>
      <c r="L948" s="53"/>
      <c r="M948" s="53"/>
      <c r="N948" s="53"/>
      <c r="O948" s="53"/>
      <c r="P948" s="53"/>
      <c r="Q948" s="53"/>
    </row>
    <row r="949" spans="3:17" ht="15.75" customHeight="1">
      <c r="C949" s="53"/>
      <c r="D949" s="73"/>
      <c r="E949" s="73"/>
      <c r="F949" s="73"/>
      <c r="G949" s="73"/>
      <c r="H949" s="73"/>
      <c r="I949" s="73"/>
      <c r="J949" s="73"/>
      <c r="K949" s="53"/>
      <c r="L949" s="53"/>
      <c r="M949" s="53"/>
      <c r="N949" s="53"/>
      <c r="O949" s="53"/>
      <c r="P949" s="53"/>
      <c r="Q949" s="53"/>
    </row>
    <row r="950" spans="3:17" ht="15.75" customHeight="1">
      <c r="C950" s="53"/>
      <c r="D950" s="73"/>
      <c r="E950" s="73"/>
      <c r="F950" s="73"/>
      <c r="G950" s="73"/>
      <c r="H950" s="73"/>
      <c r="I950" s="73"/>
      <c r="J950" s="73"/>
      <c r="K950" s="53"/>
      <c r="L950" s="53"/>
      <c r="M950" s="53"/>
      <c r="N950" s="53"/>
      <c r="O950" s="53"/>
      <c r="P950" s="53"/>
      <c r="Q950" s="53"/>
    </row>
    <row r="951" spans="3:17" ht="15.75" customHeight="1">
      <c r="C951" s="53"/>
      <c r="D951" s="73"/>
      <c r="E951" s="73"/>
      <c r="F951" s="73"/>
      <c r="G951" s="73"/>
      <c r="H951" s="73"/>
      <c r="I951" s="73"/>
      <c r="J951" s="73"/>
      <c r="K951" s="53"/>
      <c r="L951" s="53"/>
      <c r="M951" s="53"/>
      <c r="N951" s="53"/>
      <c r="O951" s="53"/>
      <c r="P951" s="53"/>
      <c r="Q951" s="53"/>
    </row>
    <row r="952" spans="3:17" ht="15.75" customHeight="1">
      <c r="C952" s="53"/>
      <c r="D952" s="73"/>
      <c r="E952" s="73"/>
      <c r="F952" s="73"/>
      <c r="G952" s="73"/>
      <c r="H952" s="73"/>
      <c r="I952" s="73"/>
      <c r="J952" s="73"/>
      <c r="K952" s="53"/>
      <c r="L952" s="53"/>
      <c r="M952" s="53"/>
      <c r="N952" s="53"/>
      <c r="O952" s="53"/>
      <c r="P952" s="53"/>
      <c r="Q952" s="53"/>
    </row>
    <row r="953" spans="3:17" ht="15.75" customHeight="1">
      <c r="C953" s="53"/>
      <c r="D953" s="73"/>
      <c r="E953" s="73"/>
      <c r="F953" s="73"/>
      <c r="G953" s="73"/>
      <c r="H953" s="73"/>
      <c r="I953" s="73"/>
      <c r="J953" s="73"/>
      <c r="K953" s="53"/>
      <c r="L953" s="53"/>
      <c r="M953" s="53"/>
      <c r="N953" s="53"/>
      <c r="O953" s="53"/>
      <c r="P953" s="53"/>
      <c r="Q953" s="53"/>
    </row>
    <row r="954" spans="3:17" ht="15.75" customHeight="1">
      <c r="C954" s="53"/>
      <c r="D954" s="73"/>
      <c r="E954" s="73"/>
      <c r="F954" s="73"/>
      <c r="G954" s="73"/>
      <c r="H954" s="73"/>
      <c r="I954" s="73"/>
      <c r="J954" s="73"/>
      <c r="K954" s="53"/>
      <c r="L954" s="53"/>
      <c r="M954" s="53"/>
      <c r="N954" s="53"/>
      <c r="O954" s="53"/>
      <c r="P954" s="53"/>
      <c r="Q954" s="53"/>
    </row>
    <row r="955" spans="3:17" ht="15.75" customHeight="1">
      <c r="C955" s="53"/>
      <c r="D955" s="73"/>
      <c r="E955" s="73"/>
      <c r="F955" s="73"/>
      <c r="G955" s="73"/>
      <c r="H955" s="73"/>
      <c r="I955" s="73"/>
      <c r="J955" s="73"/>
      <c r="K955" s="53"/>
      <c r="L955" s="53"/>
      <c r="M955" s="53"/>
      <c r="N955" s="53"/>
      <c r="O955" s="53"/>
      <c r="P955" s="53"/>
      <c r="Q955" s="53"/>
    </row>
    <row r="956" spans="3:17" ht="15.75" customHeight="1">
      <c r="C956" s="53"/>
      <c r="D956" s="73"/>
      <c r="E956" s="73"/>
      <c r="F956" s="73"/>
      <c r="G956" s="73"/>
      <c r="H956" s="73"/>
      <c r="I956" s="73"/>
      <c r="J956" s="73"/>
      <c r="K956" s="53"/>
      <c r="L956" s="53"/>
      <c r="M956" s="53"/>
      <c r="N956" s="53"/>
      <c r="O956" s="53"/>
      <c r="P956" s="53"/>
      <c r="Q956" s="53"/>
    </row>
    <row r="957" spans="3:17" ht="15.75" customHeight="1">
      <c r="C957" s="53"/>
      <c r="D957" s="73"/>
      <c r="E957" s="73"/>
      <c r="F957" s="73"/>
      <c r="G957" s="73"/>
      <c r="H957" s="73"/>
      <c r="I957" s="73"/>
      <c r="J957" s="73"/>
      <c r="K957" s="53"/>
      <c r="L957" s="53"/>
      <c r="M957" s="53"/>
      <c r="N957" s="53"/>
      <c r="O957" s="53"/>
      <c r="P957" s="53"/>
      <c r="Q957" s="53"/>
    </row>
    <row r="958" spans="3:17" ht="15.75" customHeight="1">
      <c r="C958" s="53"/>
      <c r="D958" s="73"/>
      <c r="E958" s="73"/>
      <c r="F958" s="73"/>
      <c r="G958" s="73"/>
      <c r="H958" s="73"/>
      <c r="I958" s="73"/>
      <c r="J958" s="73"/>
      <c r="K958" s="53"/>
      <c r="L958" s="53"/>
      <c r="M958" s="53"/>
      <c r="N958" s="53"/>
      <c r="O958" s="53"/>
      <c r="P958" s="53"/>
      <c r="Q958" s="53"/>
    </row>
    <row r="959" spans="3:17" ht="15.75" customHeight="1">
      <c r="C959" s="53"/>
      <c r="D959" s="73"/>
      <c r="E959" s="73"/>
      <c r="F959" s="73"/>
      <c r="G959" s="73"/>
      <c r="H959" s="73"/>
      <c r="I959" s="73"/>
      <c r="J959" s="73"/>
      <c r="K959" s="53"/>
      <c r="L959" s="53"/>
      <c r="M959" s="53"/>
      <c r="N959" s="53"/>
      <c r="O959" s="53"/>
      <c r="P959" s="53"/>
      <c r="Q959" s="53"/>
    </row>
    <row r="960" spans="3:17" ht="15.75" customHeight="1">
      <c r="C960" s="53"/>
      <c r="D960" s="73"/>
      <c r="E960" s="73"/>
      <c r="F960" s="73"/>
      <c r="G960" s="73"/>
      <c r="H960" s="73"/>
      <c r="I960" s="73"/>
      <c r="J960" s="73"/>
      <c r="K960" s="53"/>
      <c r="L960" s="53"/>
      <c r="M960" s="53"/>
      <c r="N960" s="53"/>
      <c r="O960" s="53"/>
      <c r="P960" s="53"/>
      <c r="Q960" s="53"/>
    </row>
    <row r="961" spans="3:17" ht="15.75" customHeight="1">
      <c r="C961" s="53"/>
      <c r="D961" s="73"/>
      <c r="E961" s="73"/>
      <c r="F961" s="73"/>
      <c r="G961" s="73"/>
      <c r="H961" s="73"/>
      <c r="I961" s="73"/>
      <c r="J961" s="73"/>
      <c r="K961" s="53"/>
      <c r="L961" s="53"/>
      <c r="M961" s="53"/>
      <c r="N961" s="53"/>
      <c r="O961" s="53"/>
      <c r="P961" s="53"/>
      <c r="Q961" s="53"/>
    </row>
    <row r="962" spans="3:17" ht="15.75" customHeight="1">
      <c r="C962" s="53"/>
      <c r="D962" s="73"/>
      <c r="E962" s="73"/>
      <c r="F962" s="73"/>
      <c r="G962" s="73"/>
      <c r="H962" s="73"/>
      <c r="I962" s="73"/>
      <c r="J962" s="73"/>
      <c r="K962" s="53"/>
      <c r="L962" s="53"/>
      <c r="M962" s="53"/>
      <c r="N962" s="53"/>
      <c r="O962" s="53"/>
      <c r="P962" s="53"/>
      <c r="Q962" s="53"/>
    </row>
    <row r="963" spans="3:17" ht="15.75" customHeight="1">
      <c r="C963" s="53"/>
      <c r="D963" s="73"/>
      <c r="E963" s="73"/>
      <c r="F963" s="73"/>
      <c r="G963" s="73"/>
      <c r="H963" s="73"/>
      <c r="I963" s="73"/>
      <c r="J963" s="73"/>
      <c r="K963" s="53"/>
      <c r="L963" s="53"/>
      <c r="M963" s="53"/>
      <c r="N963" s="53"/>
      <c r="O963" s="53"/>
      <c r="P963" s="53"/>
      <c r="Q963" s="53"/>
    </row>
    <row r="964" spans="3:17" ht="15.75" customHeight="1">
      <c r="C964" s="53"/>
      <c r="D964" s="73"/>
      <c r="E964" s="73"/>
      <c r="F964" s="73"/>
      <c r="G964" s="73"/>
      <c r="H964" s="73"/>
      <c r="I964" s="73"/>
      <c r="J964" s="73"/>
      <c r="K964" s="53"/>
      <c r="L964" s="53"/>
      <c r="M964" s="53"/>
      <c r="N964" s="53"/>
      <c r="O964" s="53"/>
      <c r="P964" s="53"/>
      <c r="Q964" s="53"/>
    </row>
    <row r="965" spans="3:17" ht="15.75" customHeight="1">
      <c r="C965" s="53"/>
      <c r="D965" s="73"/>
      <c r="E965" s="73"/>
      <c r="F965" s="73"/>
      <c r="G965" s="73"/>
      <c r="H965" s="73"/>
      <c r="I965" s="73"/>
      <c r="J965" s="73"/>
      <c r="K965" s="53"/>
      <c r="L965" s="53"/>
      <c r="M965" s="53"/>
      <c r="N965" s="53"/>
      <c r="O965" s="53"/>
      <c r="P965" s="53"/>
      <c r="Q965" s="53"/>
    </row>
    <row r="966" spans="3:17" ht="15.75" customHeight="1">
      <c r="C966" s="53"/>
      <c r="D966" s="73"/>
      <c r="E966" s="73"/>
      <c r="F966" s="73"/>
      <c r="G966" s="73"/>
      <c r="H966" s="73"/>
      <c r="I966" s="73"/>
      <c r="J966" s="73"/>
      <c r="K966" s="53"/>
      <c r="L966" s="53"/>
      <c r="M966" s="53"/>
      <c r="N966" s="53"/>
      <c r="O966" s="53"/>
      <c r="P966" s="53"/>
      <c r="Q966" s="53"/>
    </row>
    <row r="967" spans="3:17" ht="15.75" customHeight="1">
      <c r="C967" s="53"/>
      <c r="D967" s="73"/>
      <c r="E967" s="73"/>
      <c r="F967" s="73"/>
      <c r="G967" s="73"/>
      <c r="H967" s="73"/>
      <c r="I967" s="73"/>
      <c r="J967" s="73"/>
      <c r="K967" s="53"/>
      <c r="L967" s="53"/>
      <c r="M967" s="53"/>
      <c r="N967" s="53"/>
      <c r="O967" s="53"/>
      <c r="P967" s="53"/>
      <c r="Q967" s="53"/>
    </row>
    <row r="968" spans="3:17" ht="15.75" customHeight="1">
      <c r="C968" s="53"/>
      <c r="D968" s="73"/>
      <c r="E968" s="73"/>
      <c r="F968" s="73"/>
      <c r="G968" s="73"/>
      <c r="H968" s="73"/>
      <c r="I968" s="73"/>
      <c r="J968" s="73"/>
      <c r="K968" s="53"/>
      <c r="L968" s="53"/>
      <c r="M968" s="53"/>
      <c r="N968" s="53"/>
      <c r="O968" s="53"/>
      <c r="P968" s="53"/>
      <c r="Q968" s="53"/>
    </row>
    <row r="969" spans="3:17" ht="15.75" customHeight="1">
      <c r="C969" s="53"/>
      <c r="D969" s="73"/>
      <c r="E969" s="73"/>
      <c r="F969" s="73"/>
      <c r="G969" s="73"/>
      <c r="H969" s="73"/>
      <c r="I969" s="73"/>
      <c r="J969" s="73"/>
      <c r="K969" s="53"/>
      <c r="L969" s="53"/>
      <c r="M969" s="53"/>
      <c r="N969" s="53"/>
      <c r="O969" s="53"/>
      <c r="P969" s="53"/>
      <c r="Q969" s="53"/>
    </row>
    <row r="970" spans="3:17" ht="15.75" customHeight="1">
      <c r="C970" s="53"/>
      <c r="D970" s="73"/>
      <c r="E970" s="73"/>
      <c r="F970" s="73"/>
      <c r="G970" s="73"/>
      <c r="H970" s="73"/>
      <c r="I970" s="73"/>
      <c r="J970" s="73"/>
      <c r="K970" s="53"/>
      <c r="L970" s="53"/>
      <c r="M970" s="53"/>
      <c r="N970" s="53"/>
      <c r="O970" s="53"/>
      <c r="P970" s="53"/>
      <c r="Q970" s="53"/>
    </row>
    <row r="971" spans="3:17" ht="15.75" customHeight="1">
      <c r="C971" s="53"/>
      <c r="D971" s="73"/>
      <c r="E971" s="73"/>
      <c r="F971" s="73"/>
      <c r="G971" s="73"/>
      <c r="H971" s="73"/>
      <c r="I971" s="73"/>
      <c r="J971" s="73"/>
      <c r="K971" s="53"/>
      <c r="L971" s="53"/>
      <c r="M971" s="53"/>
      <c r="N971" s="53"/>
      <c r="O971" s="53"/>
      <c r="P971" s="53"/>
      <c r="Q971" s="53"/>
    </row>
    <row r="972" spans="3:17" ht="15.75" customHeight="1">
      <c r="C972" s="53"/>
      <c r="D972" s="73"/>
      <c r="E972" s="73"/>
      <c r="F972" s="73"/>
      <c r="G972" s="73"/>
      <c r="H972" s="73"/>
      <c r="I972" s="73"/>
      <c r="J972" s="73"/>
      <c r="K972" s="53"/>
      <c r="L972" s="53"/>
      <c r="M972" s="53"/>
      <c r="N972" s="53"/>
      <c r="O972" s="53"/>
      <c r="P972" s="53"/>
      <c r="Q972" s="53"/>
    </row>
    <row r="973" spans="3:17" ht="15.75" customHeight="1">
      <c r="C973" s="53"/>
      <c r="D973" s="73"/>
      <c r="E973" s="73"/>
      <c r="F973" s="73"/>
      <c r="G973" s="73"/>
      <c r="H973" s="73"/>
      <c r="I973" s="73"/>
      <c r="J973" s="73"/>
      <c r="K973" s="53"/>
      <c r="L973" s="53"/>
      <c r="M973" s="53"/>
      <c r="N973" s="53"/>
      <c r="O973" s="53"/>
      <c r="P973" s="53"/>
      <c r="Q973" s="53"/>
    </row>
    <row r="974" spans="3:17" ht="15.75" customHeight="1">
      <c r="C974" s="53"/>
      <c r="D974" s="73"/>
      <c r="E974" s="73"/>
      <c r="F974" s="73"/>
      <c r="G974" s="73"/>
      <c r="H974" s="73"/>
      <c r="I974" s="73"/>
      <c r="J974" s="73"/>
      <c r="K974" s="53"/>
      <c r="L974" s="53"/>
      <c r="M974" s="53"/>
      <c r="N974" s="53"/>
      <c r="O974" s="53"/>
      <c r="P974" s="53"/>
      <c r="Q974" s="53"/>
    </row>
    <row r="975" spans="3:17" ht="15.75" customHeight="1">
      <c r="C975" s="53"/>
      <c r="D975" s="73"/>
      <c r="E975" s="73"/>
      <c r="F975" s="73"/>
      <c r="G975" s="73"/>
      <c r="H975" s="73"/>
      <c r="I975" s="73"/>
      <c r="J975" s="73"/>
      <c r="K975" s="53"/>
      <c r="L975" s="53"/>
      <c r="M975" s="53"/>
      <c r="N975" s="53"/>
      <c r="O975" s="53"/>
      <c r="P975" s="53"/>
      <c r="Q975" s="53"/>
    </row>
    <row r="976" spans="3:17" ht="15.75" customHeight="1">
      <c r="C976" s="53"/>
      <c r="D976" s="73"/>
      <c r="E976" s="73"/>
      <c r="F976" s="73"/>
      <c r="G976" s="73"/>
      <c r="H976" s="73"/>
      <c r="I976" s="73"/>
      <c r="J976" s="73"/>
      <c r="K976" s="53"/>
      <c r="L976" s="53"/>
      <c r="M976" s="53"/>
      <c r="N976" s="53"/>
      <c r="O976" s="53"/>
      <c r="P976" s="53"/>
      <c r="Q976" s="53"/>
    </row>
    <row r="977" spans="3:17" ht="15.75" customHeight="1">
      <c r="C977" s="53"/>
      <c r="D977" s="73"/>
      <c r="E977" s="73"/>
      <c r="F977" s="73"/>
      <c r="G977" s="73"/>
      <c r="H977" s="73"/>
      <c r="I977" s="73"/>
      <c r="J977" s="73"/>
      <c r="K977" s="53"/>
      <c r="L977" s="53"/>
      <c r="M977" s="53"/>
      <c r="N977" s="53"/>
      <c r="O977" s="53"/>
      <c r="P977" s="53"/>
      <c r="Q977" s="53"/>
    </row>
    <row r="978" spans="3:17" ht="15.75" customHeight="1">
      <c r="C978" s="53"/>
      <c r="D978" s="73"/>
      <c r="E978" s="73"/>
      <c r="F978" s="73"/>
      <c r="G978" s="73"/>
      <c r="H978" s="73"/>
      <c r="I978" s="73"/>
      <c r="J978" s="73"/>
      <c r="K978" s="53"/>
      <c r="L978" s="53"/>
      <c r="M978" s="53"/>
      <c r="N978" s="53"/>
      <c r="O978" s="53"/>
      <c r="P978" s="53"/>
      <c r="Q978" s="53"/>
    </row>
    <row r="979" spans="3:17" ht="15.75" customHeight="1">
      <c r="C979" s="53"/>
      <c r="D979" s="73"/>
      <c r="E979" s="73"/>
      <c r="F979" s="73"/>
      <c r="G979" s="73"/>
      <c r="H979" s="73"/>
      <c r="I979" s="73"/>
      <c r="J979" s="73"/>
      <c r="K979" s="53"/>
      <c r="L979" s="53"/>
      <c r="M979" s="53"/>
      <c r="N979" s="53"/>
      <c r="O979" s="53"/>
      <c r="P979" s="53"/>
      <c r="Q979" s="53"/>
    </row>
    <row r="980" spans="3:17" ht="15.75" customHeight="1">
      <c r="C980" s="53"/>
      <c r="D980" s="73"/>
      <c r="E980" s="73"/>
      <c r="F980" s="73"/>
      <c r="G980" s="73"/>
      <c r="H980" s="73"/>
      <c r="I980" s="73"/>
      <c r="J980" s="73"/>
      <c r="K980" s="53"/>
      <c r="L980" s="53"/>
      <c r="M980" s="53"/>
      <c r="N980" s="53"/>
      <c r="O980" s="53"/>
      <c r="P980" s="53"/>
      <c r="Q980" s="53"/>
    </row>
    <row r="981" spans="3:17" ht="15.75" customHeight="1">
      <c r="C981" s="53"/>
      <c r="D981" s="73"/>
      <c r="E981" s="73"/>
      <c r="F981" s="73"/>
      <c r="G981" s="73"/>
      <c r="H981" s="73"/>
      <c r="I981" s="73"/>
      <c r="J981" s="73"/>
      <c r="K981" s="53"/>
      <c r="L981" s="53"/>
      <c r="M981" s="53"/>
      <c r="N981" s="53"/>
      <c r="O981" s="53"/>
      <c r="P981" s="53"/>
      <c r="Q981" s="53"/>
    </row>
    <row r="982" spans="3:17" ht="15.75" customHeight="1">
      <c r="C982" s="53"/>
      <c r="D982" s="73"/>
      <c r="E982" s="73"/>
      <c r="F982" s="73"/>
      <c r="G982" s="73"/>
      <c r="H982" s="73"/>
      <c r="I982" s="73"/>
      <c r="J982" s="73"/>
      <c r="K982" s="53"/>
      <c r="L982" s="53"/>
      <c r="M982" s="53"/>
      <c r="N982" s="53"/>
      <c r="O982" s="53"/>
      <c r="P982" s="53"/>
      <c r="Q982" s="53"/>
    </row>
    <row r="983" spans="3:17" ht="15.75" customHeight="1">
      <c r="C983" s="53"/>
      <c r="D983" s="73"/>
      <c r="E983" s="73"/>
      <c r="F983" s="73"/>
      <c r="G983" s="73"/>
      <c r="H983" s="73"/>
      <c r="I983" s="73"/>
      <c r="J983" s="73"/>
      <c r="K983" s="53"/>
      <c r="L983" s="53"/>
      <c r="M983" s="53"/>
      <c r="N983" s="53"/>
      <c r="O983" s="53"/>
      <c r="P983" s="53"/>
      <c r="Q983" s="53"/>
    </row>
    <row r="984" spans="3:17" ht="15.75" customHeight="1">
      <c r="C984" s="53"/>
      <c r="D984" s="73"/>
      <c r="E984" s="73"/>
      <c r="F984" s="73"/>
      <c r="G984" s="73"/>
      <c r="H984" s="73"/>
      <c r="I984" s="73"/>
      <c r="J984" s="73"/>
      <c r="K984" s="53"/>
      <c r="L984" s="53"/>
      <c r="M984" s="53"/>
      <c r="N984" s="53"/>
      <c r="O984" s="53"/>
      <c r="P984" s="53"/>
      <c r="Q984" s="53"/>
    </row>
    <row r="985" spans="3:17" ht="15.75" customHeight="1">
      <c r="C985" s="53"/>
      <c r="D985" s="73"/>
      <c r="E985" s="73"/>
      <c r="F985" s="73"/>
      <c r="G985" s="73"/>
      <c r="H985" s="73"/>
      <c r="I985" s="73"/>
      <c r="J985" s="73"/>
      <c r="K985" s="53"/>
      <c r="L985" s="53"/>
      <c r="M985" s="53"/>
      <c r="N985" s="53"/>
      <c r="O985" s="53"/>
      <c r="P985" s="53"/>
      <c r="Q985" s="53"/>
    </row>
    <row r="986" spans="3:17" ht="15.75" customHeight="1">
      <c r="C986" s="53"/>
      <c r="D986" s="73"/>
      <c r="E986" s="73"/>
      <c r="F986" s="73"/>
      <c r="G986" s="73"/>
      <c r="H986" s="73"/>
      <c r="I986" s="73"/>
      <c r="J986" s="73"/>
      <c r="K986" s="53"/>
      <c r="L986" s="53"/>
      <c r="M986" s="53"/>
      <c r="N986" s="53"/>
      <c r="O986" s="53"/>
      <c r="P986" s="53"/>
      <c r="Q986" s="53"/>
    </row>
    <row r="987" spans="3:17" ht="15.75" customHeight="1">
      <c r="C987" s="53"/>
      <c r="D987" s="73"/>
      <c r="E987" s="73"/>
      <c r="F987" s="73"/>
      <c r="G987" s="73"/>
      <c r="H987" s="73"/>
      <c r="I987" s="73"/>
      <c r="J987" s="73"/>
      <c r="K987" s="53"/>
      <c r="L987" s="53"/>
      <c r="M987" s="53"/>
      <c r="N987" s="53"/>
      <c r="O987" s="53"/>
      <c r="P987" s="53"/>
      <c r="Q987" s="53"/>
    </row>
    <row r="988" spans="3:17" ht="15.75" customHeight="1">
      <c r="C988" s="53"/>
      <c r="D988" s="73"/>
      <c r="E988" s="73"/>
      <c r="F988" s="73"/>
      <c r="G988" s="73"/>
      <c r="H988" s="73"/>
      <c r="I988" s="73"/>
      <c r="J988" s="73"/>
      <c r="K988" s="53"/>
      <c r="L988" s="53"/>
      <c r="M988" s="53"/>
      <c r="N988" s="53"/>
      <c r="O988" s="53"/>
      <c r="P988" s="53"/>
      <c r="Q988" s="53"/>
    </row>
    <row r="989" spans="3:17" ht="15.75" customHeight="1">
      <c r="C989" s="53"/>
      <c r="D989" s="73"/>
      <c r="E989" s="73"/>
      <c r="F989" s="73"/>
      <c r="G989" s="73"/>
      <c r="H989" s="73"/>
      <c r="I989" s="73"/>
      <c r="J989" s="73"/>
      <c r="K989" s="53"/>
      <c r="L989" s="53"/>
      <c r="M989" s="53"/>
      <c r="N989" s="53"/>
      <c r="O989" s="53"/>
      <c r="P989" s="53"/>
      <c r="Q989" s="53"/>
    </row>
    <row r="990" spans="3:17" ht="15.75" customHeight="1">
      <c r="C990" s="53"/>
      <c r="D990" s="73"/>
      <c r="E990" s="73"/>
      <c r="F990" s="73"/>
      <c r="G990" s="73"/>
      <c r="H990" s="73"/>
      <c r="I990" s="73"/>
      <c r="J990" s="73"/>
      <c r="K990" s="53"/>
      <c r="L990" s="53"/>
      <c r="M990" s="53"/>
      <c r="N990" s="53"/>
      <c r="O990" s="53"/>
      <c r="P990" s="53"/>
      <c r="Q990" s="53"/>
    </row>
    <row r="991" spans="3:17" ht="15.75" customHeight="1">
      <c r="C991" s="53"/>
      <c r="D991" s="73"/>
      <c r="E991" s="73"/>
      <c r="F991" s="73"/>
      <c r="G991" s="73"/>
      <c r="H991" s="73"/>
      <c r="I991" s="73"/>
      <c r="J991" s="73"/>
      <c r="K991" s="53"/>
      <c r="L991" s="53"/>
      <c r="M991" s="53"/>
      <c r="N991" s="53"/>
      <c r="O991" s="53"/>
      <c r="P991" s="53"/>
      <c r="Q991" s="53"/>
    </row>
    <row r="992" spans="3:17" ht="15.75" customHeight="1">
      <c r="C992" s="53"/>
      <c r="D992" s="73"/>
      <c r="E992" s="73"/>
      <c r="F992" s="73"/>
      <c r="G992" s="73"/>
      <c r="H992" s="73"/>
      <c r="I992" s="73"/>
      <c r="J992" s="73"/>
      <c r="K992" s="53"/>
      <c r="L992" s="53"/>
      <c r="M992" s="53"/>
      <c r="N992" s="53"/>
      <c r="O992" s="53"/>
      <c r="P992" s="53"/>
      <c r="Q992" s="53"/>
    </row>
    <row r="993" spans="3:17" ht="15.75" customHeight="1">
      <c r="C993" s="53"/>
      <c r="D993" s="73"/>
      <c r="E993" s="73"/>
      <c r="F993" s="73"/>
      <c r="G993" s="73"/>
      <c r="H993" s="73"/>
      <c r="I993" s="73"/>
      <c r="J993" s="73"/>
      <c r="K993" s="53"/>
      <c r="L993" s="53"/>
      <c r="M993" s="53"/>
      <c r="N993" s="53"/>
      <c r="O993" s="53"/>
      <c r="P993" s="53"/>
      <c r="Q993" s="53"/>
    </row>
    <row r="994" spans="3:17" ht="15.75" customHeight="1">
      <c r="C994" s="53"/>
      <c r="D994" s="73"/>
      <c r="E994" s="73"/>
      <c r="F994" s="73"/>
      <c r="G994" s="73"/>
      <c r="H994" s="73"/>
      <c r="I994" s="73"/>
      <c r="J994" s="73"/>
      <c r="K994" s="53"/>
      <c r="L994" s="53"/>
      <c r="M994" s="53"/>
      <c r="N994" s="53"/>
      <c r="O994" s="53"/>
      <c r="P994" s="53"/>
      <c r="Q994" s="53"/>
    </row>
    <row r="995" spans="3:17" ht="15.75" customHeight="1">
      <c r="C995" s="53"/>
      <c r="D995" s="73"/>
      <c r="E995" s="73"/>
      <c r="F995" s="73"/>
      <c r="G995" s="73"/>
      <c r="H995" s="73"/>
      <c r="I995" s="73"/>
      <c r="J995" s="73"/>
      <c r="K995" s="53"/>
      <c r="L995" s="53"/>
      <c r="M995" s="53"/>
      <c r="N995" s="53"/>
      <c r="O995" s="53"/>
      <c r="P995" s="53"/>
      <c r="Q995" s="53"/>
    </row>
    <row r="996" spans="3:17" ht="15.75" customHeight="1">
      <c r="C996" s="53"/>
      <c r="D996" s="73"/>
      <c r="E996" s="73"/>
      <c r="F996" s="73"/>
      <c r="G996" s="73"/>
      <c r="H996" s="73"/>
      <c r="I996" s="73"/>
      <c r="J996" s="73"/>
      <c r="K996" s="53"/>
      <c r="L996" s="53"/>
      <c r="M996" s="53"/>
      <c r="N996" s="53"/>
      <c r="O996" s="53"/>
      <c r="P996" s="53"/>
      <c r="Q996" s="53"/>
    </row>
    <row r="997" spans="3:17" ht="15.75" customHeight="1">
      <c r="C997" s="53"/>
      <c r="D997" s="73"/>
      <c r="E997" s="73"/>
      <c r="F997" s="73"/>
      <c r="G997" s="73"/>
      <c r="H997" s="73"/>
      <c r="I997" s="73"/>
      <c r="J997" s="73"/>
      <c r="K997" s="53"/>
      <c r="L997" s="53"/>
      <c r="M997" s="53"/>
      <c r="N997" s="53"/>
      <c r="O997" s="53"/>
      <c r="P997" s="53"/>
      <c r="Q997" s="53"/>
    </row>
    <row r="998" spans="3:17" ht="15.75" customHeight="1">
      <c r="C998" s="53"/>
      <c r="D998" s="73"/>
      <c r="E998" s="73"/>
      <c r="F998" s="73"/>
      <c r="G998" s="73"/>
      <c r="H998" s="73"/>
      <c r="I998" s="73"/>
      <c r="J998" s="73"/>
      <c r="K998" s="53"/>
      <c r="L998" s="53"/>
      <c r="M998" s="53"/>
      <c r="N998" s="53"/>
      <c r="O998" s="53"/>
      <c r="P998" s="53"/>
      <c r="Q998" s="53"/>
    </row>
    <row r="999" spans="3:17" ht="15.75" customHeight="1">
      <c r="C999" s="53"/>
      <c r="D999" s="73"/>
      <c r="E999" s="73"/>
      <c r="F999" s="73"/>
      <c r="G999" s="73"/>
      <c r="H999" s="73"/>
      <c r="I999" s="73"/>
      <c r="J999" s="73"/>
      <c r="K999" s="53"/>
      <c r="L999" s="53"/>
      <c r="M999" s="53"/>
      <c r="N999" s="53"/>
      <c r="O999" s="53"/>
      <c r="P999" s="53"/>
      <c r="Q999" s="53"/>
    </row>
    <row r="1000" spans="3:17" ht="15.75" customHeight="1">
      <c r="C1000" s="53"/>
      <c r="D1000" s="73"/>
      <c r="E1000" s="73"/>
      <c r="F1000" s="73"/>
      <c r="G1000" s="73"/>
      <c r="H1000" s="73"/>
      <c r="I1000" s="73"/>
      <c r="J1000" s="73"/>
      <c r="K1000" s="53"/>
      <c r="L1000" s="53"/>
      <c r="M1000" s="53"/>
      <c r="N1000" s="53"/>
      <c r="O1000" s="53"/>
      <c r="P1000" s="53"/>
      <c r="Q1000" s="53"/>
    </row>
  </sheetData>
  <mergeCells count="12">
    <mergeCell ref="A1:J1"/>
    <mergeCell ref="A2:J2"/>
    <mergeCell ref="A3:J3"/>
    <mergeCell ref="A4:B4"/>
    <mergeCell ref="D4:E4"/>
    <mergeCell ref="F4:G4"/>
    <mergeCell ref="H4:J4"/>
    <mergeCell ref="A5:C5"/>
    <mergeCell ref="D5:J5"/>
    <mergeCell ref="A6:A7"/>
    <mergeCell ref="B6:B7"/>
    <mergeCell ref="C6:C7"/>
  </mergeCells>
  <conditionalFormatting sqref="J8:J207">
    <cfRule type="cellIs" dxfId="0" priority="1" operator="lessThanOrEqual">
      <formula>6</formula>
    </cfRule>
  </conditionalFormatting>
  <printOptions horizontalCentered="1"/>
  <pageMargins left="0.70866141732283505" right="0.70866141732283505" top="0.74803149606299202" bottom="0.74803149606299202" header="0" footer="0"/>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19" workbookViewId="0">
      <selection activeCell="D8" sqref="D8:H138"/>
    </sheetView>
  </sheetViews>
  <sheetFormatPr defaultColWidth="14.44140625" defaultRowHeight="15" customHeight="1"/>
  <cols>
    <col min="1" max="1" width="9.109375" customWidth="1"/>
    <col min="2" max="2" width="24.5546875" customWidth="1"/>
    <col min="3" max="3" width="50.88671875" customWidth="1"/>
    <col min="4" max="10" width="7.33203125" customWidth="1"/>
    <col min="11" max="16" width="6.33203125" customWidth="1"/>
    <col min="17" max="17" width="16.44140625" customWidth="1"/>
    <col min="18" max="23" width="6.88671875" customWidth="1"/>
    <col min="24" max="24" width="14.109375" customWidth="1"/>
    <col min="25" max="26" width="9" customWidth="1"/>
  </cols>
  <sheetData>
    <row r="1" spans="1:24" ht="22.5" customHeight="1">
      <c r="A1" s="373" t="s">
        <v>65</v>
      </c>
      <c r="B1" s="374"/>
      <c r="C1" s="374"/>
      <c r="D1" s="374"/>
      <c r="E1" s="374"/>
      <c r="F1" s="374"/>
      <c r="G1" s="374"/>
      <c r="H1" s="374"/>
      <c r="I1" s="374"/>
      <c r="J1" s="38"/>
      <c r="K1" s="54"/>
      <c r="L1" s="54"/>
      <c r="M1" s="54"/>
      <c r="N1" s="54"/>
      <c r="O1" s="54"/>
      <c r="P1" s="54"/>
      <c r="Q1" s="54"/>
    </row>
    <row r="2" spans="1:24" ht="21" customHeight="1">
      <c r="A2" s="375" t="str">
        <f>'CO-PO Mapping'!A1:N1</f>
        <v xml:space="preserve">Robotics </v>
      </c>
      <c r="B2" s="374"/>
      <c r="C2" s="374"/>
      <c r="D2" s="374"/>
      <c r="E2" s="374"/>
      <c r="F2" s="374"/>
      <c r="G2" s="374"/>
      <c r="H2" s="374"/>
      <c r="I2" s="374"/>
      <c r="J2" s="37"/>
      <c r="K2" s="55"/>
      <c r="L2" s="55"/>
      <c r="M2" s="55"/>
      <c r="N2" s="55"/>
      <c r="O2" s="55"/>
      <c r="P2" s="55"/>
      <c r="Q2" s="55"/>
    </row>
    <row r="3" spans="1:24" ht="18.75" customHeight="1">
      <c r="A3" s="375" t="s">
        <v>76</v>
      </c>
      <c r="B3" s="374"/>
      <c r="C3" s="374"/>
      <c r="D3" s="374"/>
      <c r="E3" s="374"/>
      <c r="F3" s="374"/>
      <c r="G3" s="374"/>
      <c r="H3" s="374"/>
      <c r="I3" s="374"/>
      <c r="J3" s="33"/>
      <c r="K3" s="9"/>
      <c r="L3" s="9"/>
      <c r="M3" s="9"/>
      <c r="N3" s="9"/>
      <c r="O3" s="9"/>
      <c r="P3" s="9"/>
      <c r="Q3" s="9"/>
    </row>
    <row r="4" spans="1:24" ht="18.75" customHeight="1">
      <c r="A4" s="380" t="s">
        <v>70</v>
      </c>
      <c r="B4" s="374"/>
      <c r="C4" s="55" t="str">
        <f>'CO-PO Mapping'!B2</f>
        <v>English</v>
      </c>
      <c r="D4" s="380" t="s">
        <v>71</v>
      </c>
      <c r="E4" s="374"/>
      <c r="F4" s="380">
        <f>'CO-PO Mapping'!A2</f>
        <v>3110002</v>
      </c>
      <c r="G4" s="374"/>
      <c r="H4" s="380"/>
      <c r="I4" s="374"/>
      <c r="J4" s="56"/>
      <c r="K4" s="74"/>
      <c r="L4" s="9"/>
      <c r="M4" s="9"/>
      <c r="N4" s="9"/>
      <c r="O4" s="9"/>
      <c r="P4" s="9"/>
      <c r="Q4" s="9"/>
    </row>
    <row r="5" spans="1:24" ht="28.5" customHeight="1">
      <c r="A5" s="376"/>
      <c r="B5" s="374"/>
      <c r="C5" s="374"/>
      <c r="D5" s="379" t="s">
        <v>77</v>
      </c>
      <c r="E5" s="342"/>
      <c r="F5" s="342"/>
      <c r="G5" s="342"/>
      <c r="H5" s="342"/>
      <c r="I5" s="342"/>
      <c r="J5" s="340"/>
      <c r="K5" s="381"/>
      <c r="L5" s="374"/>
      <c r="M5" s="374"/>
      <c r="N5" s="374"/>
      <c r="O5" s="374"/>
      <c r="P5" s="374"/>
      <c r="Q5" s="374"/>
      <c r="R5" s="381"/>
      <c r="S5" s="374"/>
      <c r="T5" s="374"/>
      <c r="U5" s="374"/>
      <c r="V5" s="374"/>
      <c r="W5" s="374"/>
      <c r="X5" s="374"/>
    </row>
    <row r="6" spans="1:24" ht="32.25" customHeight="1">
      <c r="A6" s="345" t="s">
        <v>40</v>
      </c>
      <c r="B6" s="345" t="s">
        <v>67</v>
      </c>
      <c r="C6" s="348" t="s">
        <v>68</v>
      </c>
      <c r="D6" s="57" t="s">
        <v>29</v>
      </c>
      <c r="E6" s="57" t="s">
        <v>30</v>
      </c>
      <c r="F6" s="57" t="s">
        <v>32</v>
      </c>
      <c r="G6" s="57" t="s">
        <v>35</v>
      </c>
      <c r="H6" s="57" t="s">
        <v>36</v>
      </c>
      <c r="I6" s="57" t="s">
        <v>37</v>
      </c>
      <c r="J6" s="57" t="s">
        <v>73</v>
      </c>
      <c r="K6" s="58" t="s">
        <v>74</v>
      </c>
      <c r="L6" s="58" t="s">
        <v>30</v>
      </c>
      <c r="M6" s="58" t="s">
        <v>32</v>
      </c>
      <c r="N6" s="58" t="s">
        <v>35</v>
      </c>
      <c r="O6" s="58" t="s">
        <v>36</v>
      </c>
      <c r="P6" s="58" t="s">
        <v>37</v>
      </c>
      <c r="Q6" s="58" t="s">
        <v>78</v>
      </c>
      <c r="R6" s="58" t="s">
        <v>74</v>
      </c>
      <c r="S6" s="58" t="s">
        <v>30</v>
      </c>
      <c r="T6" s="58" t="s">
        <v>32</v>
      </c>
      <c r="U6" s="58" t="s">
        <v>35</v>
      </c>
      <c r="V6" s="58" t="s">
        <v>36</v>
      </c>
      <c r="W6" s="58" t="s">
        <v>37</v>
      </c>
      <c r="X6" s="58" t="s">
        <v>79</v>
      </c>
    </row>
    <row r="7" spans="1:24" ht="15.75" customHeight="1">
      <c r="A7" s="346"/>
      <c r="B7" s="346"/>
      <c r="C7" s="352"/>
      <c r="D7" s="59"/>
      <c r="E7" s="59"/>
      <c r="F7" s="59"/>
      <c r="G7" s="59"/>
      <c r="H7" s="59"/>
      <c r="I7" s="59"/>
      <c r="J7" s="60">
        <f t="shared" ref="J7:J207" si="0">SUM(D7:I7)</f>
        <v>0</v>
      </c>
      <c r="K7" s="61" t="str">
        <f t="shared" ref="K7:M7" si="1">IF(D7=0,"",D7)</f>
        <v/>
      </c>
      <c r="L7" s="61" t="str">
        <f t="shared" si="1"/>
        <v/>
      </c>
      <c r="M7" s="61" t="str">
        <f t="shared" si="1"/>
        <v/>
      </c>
      <c r="N7" s="61">
        <f>IF('CO-PO Mapping'!A10="",0,IF(G7=0,0,G7))</f>
        <v>0</v>
      </c>
      <c r="O7" s="61">
        <f>IF('CO-PO Mapping'!A11="",0,IF(H7=0,0,H7))</f>
        <v>0</v>
      </c>
      <c r="P7" s="61">
        <f>IF('CO-PO Mapping'!A12="",0,IF(I7=0,0,I7))</f>
        <v>0</v>
      </c>
      <c r="Q7" s="61">
        <f t="shared" ref="Q7:Q207" si="2">SUM(K7:P7)</f>
        <v>0</v>
      </c>
      <c r="R7" s="61" t="str">
        <f t="shared" ref="R7:W7" si="3">IFERROR(K7,"")</f>
        <v/>
      </c>
      <c r="S7" s="61" t="str">
        <f t="shared" si="3"/>
        <v/>
      </c>
      <c r="T7" s="61" t="str">
        <f t="shared" si="3"/>
        <v/>
      </c>
      <c r="U7" s="61">
        <f t="shared" si="3"/>
        <v>0</v>
      </c>
      <c r="V7" s="61">
        <f t="shared" si="3"/>
        <v>0</v>
      </c>
      <c r="W7" s="61">
        <f t="shared" si="3"/>
        <v>0</v>
      </c>
      <c r="X7" s="61">
        <f>SUM(R7:W7)</f>
        <v>0</v>
      </c>
    </row>
    <row r="8" spans="1:24" ht="15" customHeight="1">
      <c r="A8" s="62">
        <v>1</v>
      </c>
      <c r="B8" s="63" t="str">
        <f>IF('Students Details'!B7="","",'Students Details'!B7)</f>
        <v/>
      </c>
      <c r="C8" s="64" t="str">
        <f>IF('Students Details'!C7="","",'Students Details'!C7)</f>
        <v/>
      </c>
      <c r="D8" s="65"/>
      <c r="E8" s="65"/>
      <c r="F8" s="65"/>
      <c r="G8" s="65"/>
      <c r="H8" s="65"/>
      <c r="I8" s="66"/>
      <c r="J8" s="67">
        <f t="shared" si="0"/>
        <v>0</v>
      </c>
      <c r="K8" s="61">
        <f t="shared" ref="K8:M8" si="4">D8</f>
        <v>0</v>
      </c>
      <c r="L8" s="61">
        <f t="shared" si="4"/>
        <v>0</v>
      </c>
      <c r="M8" s="61">
        <f t="shared" si="4"/>
        <v>0</v>
      </c>
      <c r="N8" s="61">
        <f>IF('CO-PO Mapping'!$A$10="",0,G8)</f>
        <v>0</v>
      </c>
      <c r="O8" s="61">
        <f>IF('CO-PO Mapping'!$A$11="",0,H8)</f>
        <v>0</v>
      </c>
      <c r="P8" s="61">
        <f>IF('CO-PO Mapping'!$A$12="",0,I8)</f>
        <v>0</v>
      </c>
      <c r="Q8" s="61">
        <f t="shared" si="2"/>
        <v>0</v>
      </c>
      <c r="R8" s="61">
        <f t="shared" ref="R8:W8" si="5">K8</f>
        <v>0</v>
      </c>
      <c r="S8" s="61">
        <f t="shared" si="5"/>
        <v>0</v>
      </c>
      <c r="T8" s="61">
        <f t="shared" si="5"/>
        <v>0</v>
      </c>
      <c r="U8" s="61">
        <f t="shared" si="5"/>
        <v>0</v>
      </c>
      <c r="V8" s="61">
        <f t="shared" si="5"/>
        <v>0</v>
      </c>
      <c r="W8" s="61">
        <f t="shared" si="5"/>
        <v>0</v>
      </c>
      <c r="X8" s="61">
        <f t="shared" ref="X8:X207" si="6">SUM(R8:V8)</f>
        <v>0</v>
      </c>
    </row>
    <row r="9" spans="1:24" ht="15.6">
      <c r="A9" s="62">
        <v>2</v>
      </c>
      <c r="B9" s="63" t="str">
        <f>IF('Students Details'!B8="","",'Students Details'!B8)</f>
        <v/>
      </c>
      <c r="C9" s="64" t="str">
        <f>IF('Students Details'!C8="","",'Students Details'!C8)</f>
        <v/>
      </c>
      <c r="D9" s="69"/>
      <c r="E9" s="69"/>
      <c r="F9" s="69"/>
      <c r="G9" s="69"/>
      <c r="H9" s="65"/>
      <c r="I9" s="66"/>
      <c r="J9" s="67">
        <f t="shared" si="0"/>
        <v>0</v>
      </c>
      <c r="K9" s="61">
        <f t="shared" ref="K9:M9" si="7">D9</f>
        <v>0</v>
      </c>
      <c r="L9" s="61">
        <f t="shared" si="7"/>
        <v>0</v>
      </c>
      <c r="M9" s="61">
        <f t="shared" si="7"/>
        <v>0</v>
      </c>
      <c r="N9" s="61">
        <f>IF('CO-PO Mapping'!$A$10="",0,G9)</f>
        <v>0</v>
      </c>
      <c r="O9" s="61">
        <f>IF('CO-PO Mapping'!$A$11="",0,H9)</f>
        <v>0</v>
      </c>
      <c r="P9" s="61">
        <f>IF('CO-PO Mapping'!$A$12="",0,I9)</f>
        <v>0</v>
      </c>
      <c r="Q9" s="61">
        <f t="shared" si="2"/>
        <v>0</v>
      </c>
      <c r="R9" s="61">
        <f t="shared" ref="R9:W9" si="8">K9</f>
        <v>0</v>
      </c>
      <c r="S9" s="61">
        <f t="shared" si="8"/>
        <v>0</v>
      </c>
      <c r="T9" s="61">
        <f t="shared" si="8"/>
        <v>0</v>
      </c>
      <c r="U9" s="61">
        <f t="shared" si="8"/>
        <v>0</v>
      </c>
      <c r="V9" s="61">
        <f t="shared" si="8"/>
        <v>0</v>
      </c>
      <c r="W9" s="61">
        <f t="shared" si="8"/>
        <v>0</v>
      </c>
      <c r="X9" s="61">
        <f t="shared" si="6"/>
        <v>0</v>
      </c>
    </row>
    <row r="10" spans="1:24" ht="15.6">
      <c r="A10" s="62">
        <v>3</v>
      </c>
      <c r="B10" s="63" t="str">
        <f>IF('Students Details'!B9="","",'Students Details'!B9)</f>
        <v/>
      </c>
      <c r="C10" s="64" t="str">
        <f>IF('Students Details'!C9="","",'Students Details'!C9)</f>
        <v/>
      </c>
      <c r="D10" s="65"/>
      <c r="E10" s="65"/>
      <c r="F10" s="65"/>
      <c r="G10" s="65"/>
      <c r="H10" s="65"/>
      <c r="I10" s="66"/>
      <c r="J10" s="67">
        <f t="shared" si="0"/>
        <v>0</v>
      </c>
      <c r="K10" s="61">
        <f t="shared" ref="K10:M10" si="9">D10</f>
        <v>0</v>
      </c>
      <c r="L10" s="61">
        <f t="shared" si="9"/>
        <v>0</v>
      </c>
      <c r="M10" s="61">
        <f t="shared" si="9"/>
        <v>0</v>
      </c>
      <c r="N10" s="61">
        <f>IF('CO-PO Mapping'!$A$10="",0,G10)</f>
        <v>0</v>
      </c>
      <c r="O10" s="61">
        <f>IF('CO-PO Mapping'!$A$11="",0,H10)</f>
        <v>0</v>
      </c>
      <c r="P10" s="61">
        <f>IF('CO-PO Mapping'!$A$12="",0,I10)</f>
        <v>0</v>
      </c>
      <c r="Q10" s="61">
        <f t="shared" si="2"/>
        <v>0</v>
      </c>
      <c r="R10" s="61">
        <f t="shared" ref="R10:W10" si="10">K10</f>
        <v>0</v>
      </c>
      <c r="S10" s="61">
        <f t="shared" si="10"/>
        <v>0</v>
      </c>
      <c r="T10" s="61">
        <f t="shared" si="10"/>
        <v>0</v>
      </c>
      <c r="U10" s="61">
        <f t="shared" si="10"/>
        <v>0</v>
      </c>
      <c r="V10" s="61">
        <f t="shared" si="10"/>
        <v>0</v>
      </c>
      <c r="W10" s="61">
        <f t="shared" si="10"/>
        <v>0</v>
      </c>
      <c r="X10" s="61">
        <f t="shared" si="6"/>
        <v>0</v>
      </c>
    </row>
    <row r="11" spans="1:24" ht="15.6">
      <c r="A11" s="62">
        <v>4</v>
      </c>
      <c r="B11" s="63" t="str">
        <f>IF('Students Details'!B10="","",'Students Details'!B10)</f>
        <v/>
      </c>
      <c r="C11" s="64" t="str">
        <f>IF('Students Details'!C10="","",'Students Details'!C10)</f>
        <v/>
      </c>
      <c r="D11" s="69"/>
      <c r="E11" s="69"/>
      <c r="F11" s="69"/>
      <c r="G11" s="69"/>
      <c r="H11" s="65"/>
      <c r="I11" s="66"/>
      <c r="J11" s="67">
        <f t="shared" si="0"/>
        <v>0</v>
      </c>
      <c r="K11" s="61">
        <f t="shared" ref="K11:M11" si="11">D11</f>
        <v>0</v>
      </c>
      <c r="L11" s="61">
        <f t="shared" si="11"/>
        <v>0</v>
      </c>
      <c r="M11" s="61">
        <f t="shared" si="11"/>
        <v>0</v>
      </c>
      <c r="N11" s="61">
        <f>IF('CO-PO Mapping'!$A$10="",0,G11)</f>
        <v>0</v>
      </c>
      <c r="O11" s="61">
        <f>IF('CO-PO Mapping'!$A$11="",0,H11)</f>
        <v>0</v>
      </c>
      <c r="P11" s="61">
        <f>IF('CO-PO Mapping'!$A$12="",0,I11)</f>
        <v>0</v>
      </c>
      <c r="Q11" s="61">
        <f t="shared" si="2"/>
        <v>0</v>
      </c>
      <c r="R11" s="61">
        <f t="shared" ref="R11:W11" si="12">K11</f>
        <v>0</v>
      </c>
      <c r="S11" s="61">
        <f t="shared" si="12"/>
        <v>0</v>
      </c>
      <c r="T11" s="61">
        <f t="shared" si="12"/>
        <v>0</v>
      </c>
      <c r="U11" s="61">
        <f t="shared" si="12"/>
        <v>0</v>
      </c>
      <c r="V11" s="61">
        <f t="shared" si="12"/>
        <v>0</v>
      </c>
      <c r="W11" s="61">
        <f t="shared" si="12"/>
        <v>0</v>
      </c>
      <c r="X11" s="61">
        <f t="shared" si="6"/>
        <v>0</v>
      </c>
    </row>
    <row r="12" spans="1:24" ht="15.6">
      <c r="A12" s="62">
        <v>5</v>
      </c>
      <c r="B12" s="63" t="str">
        <f>IF('Students Details'!B11="","",'Students Details'!B11)</f>
        <v/>
      </c>
      <c r="C12" s="64" t="str">
        <f>IF('Students Details'!C11="","",'Students Details'!C11)</f>
        <v/>
      </c>
      <c r="D12" s="65"/>
      <c r="E12" s="65"/>
      <c r="F12" s="65"/>
      <c r="G12" s="65"/>
      <c r="H12" s="65"/>
      <c r="I12" s="66"/>
      <c r="J12" s="67">
        <f t="shared" si="0"/>
        <v>0</v>
      </c>
      <c r="K12" s="61">
        <f t="shared" ref="K12:M12" si="13">D12</f>
        <v>0</v>
      </c>
      <c r="L12" s="61">
        <f t="shared" si="13"/>
        <v>0</v>
      </c>
      <c r="M12" s="61">
        <f t="shared" si="13"/>
        <v>0</v>
      </c>
      <c r="N12" s="61">
        <f>IF('CO-PO Mapping'!$A$10="",0,G12)</f>
        <v>0</v>
      </c>
      <c r="O12" s="61">
        <f>IF('CO-PO Mapping'!$A$11="",0,H12)</f>
        <v>0</v>
      </c>
      <c r="P12" s="61">
        <f>IF('CO-PO Mapping'!$A$12="",0,I12)</f>
        <v>0</v>
      </c>
      <c r="Q12" s="61">
        <f t="shared" si="2"/>
        <v>0</v>
      </c>
      <c r="R12" s="61">
        <f t="shared" ref="R12:W12" si="14">K12</f>
        <v>0</v>
      </c>
      <c r="S12" s="61">
        <f t="shared" si="14"/>
        <v>0</v>
      </c>
      <c r="T12" s="61">
        <f t="shared" si="14"/>
        <v>0</v>
      </c>
      <c r="U12" s="61">
        <f t="shared" si="14"/>
        <v>0</v>
      </c>
      <c r="V12" s="61">
        <f t="shared" si="14"/>
        <v>0</v>
      </c>
      <c r="W12" s="61">
        <f t="shared" si="14"/>
        <v>0</v>
      </c>
      <c r="X12" s="61">
        <f t="shared" si="6"/>
        <v>0</v>
      </c>
    </row>
    <row r="13" spans="1:24" ht="15.6">
      <c r="A13" s="62">
        <v>6</v>
      </c>
      <c r="B13" s="63" t="str">
        <f>IF('Students Details'!B12="","",'Students Details'!B12)</f>
        <v/>
      </c>
      <c r="C13" s="64" t="str">
        <f>IF('Students Details'!C12="","",'Students Details'!C12)</f>
        <v/>
      </c>
      <c r="D13" s="69"/>
      <c r="E13" s="69"/>
      <c r="F13" s="69"/>
      <c r="G13" s="69"/>
      <c r="H13" s="65"/>
      <c r="I13" s="66"/>
      <c r="J13" s="67">
        <f t="shared" si="0"/>
        <v>0</v>
      </c>
      <c r="K13" s="61">
        <f t="shared" ref="K13:M13" si="15">D13</f>
        <v>0</v>
      </c>
      <c r="L13" s="61">
        <f t="shared" si="15"/>
        <v>0</v>
      </c>
      <c r="M13" s="61">
        <f t="shared" si="15"/>
        <v>0</v>
      </c>
      <c r="N13" s="61">
        <f>IF('CO-PO Mapping'!$A$10="",0,G13)</f>
        <v>0</v>
      </c>
      <c r="O13" s="61">
        <f>IF('CO-PO Mapping'!$A$11="",0,H13)</f>
        <v>0</v>
      </c>
      <c r="P13" s="61">
        <f>IF('CO-PO Mapping'!$A$12="",0,I13)</f>
        <v>0</v>
      </c>
      <c r="Q13" s="61">
        <f t="shared" si="2"/>
        <v>0</v>
      </c>
      <c r="R13" s="61">
        <f t="shared" ref="R13:W13" si="16">K13</f>
        <v>0</v>
      </c>
      <c r="S13" s="61">
        <f t="shared" si="16"/>
        <v>0</v>
      </c>
      <c r="T13" s="61">
        <f t="shared" si="16"/>
        <v>0</v>
      </c>
      <c r="U13" s="61">
        <f t="shared" si="16"/>
        <v>0</v>
      </c>
      <c r="V13" s="61">
        <f t="shared" si="16"/>
        <v>0</v>
      </c>
      <c r="W13" s="61">
        <f t="shared" si="16"/>
        <v>0</v>
      </c>
      <c r="X13" s="61">
        <f t="shared" si="6"/>
        <v>0</v>
      </c>
    </row>
    <row r="14" spans="1:24" ht="15.6">
      <c r="A14" s="62">
        <v>7</v>
      </c>
      <c r="B14" s="63" t="str">
        <f>IF('Students Details'!B13="","",'Students Details'!B13)</f>
        <v/>
      </c>
      <c r="C14" s="64" t="str">
        <f>IF('Students Details'!C13="","",'Students Details'!C13)</f>
        <v/>
      </c>
      <c r="D14" s="65"/>
      <c r="E14" s="65"/>
      <c r="F14" s="65"/>
      <c r="G14" s="65"/>
      <c r="H14" s="65"/>
      <c r="I14" s="66"/>
      <c r="J14" s="67">
        <f t="shared" si="0"/>
        <v>0</v>
      </c>
      <c r="K14" s="61">
        <f t="shared" ref="K14:M14" si="17">D14</f>
        <v>0</v>
      </c>
      <c r="L14" s="61">
        <f t="shared" si="17"/>
        <v>0</v>
      </c>
      <c r="M14" s="61">
        <f t="shared" si="17"/>
        <v>0</v>
      </c>
      <c r="N14" s="61">
        <f>IF('CO-PO Mapping'!$A$10="",0,G14)</f>
        <v>0</v>
      </c>
      <c r="O14" s="61">
        <f>IF('CO-PO Mapping'!$A$11="",0,H14)</f>
        <v>0</v>
      </c>
      <c r="P14" s="61">
        <f>IF('CO-PO Mapping'!$A$12="",0,I14)</f>
        <v>0</v>
      </c>
      <c r="Q14" s="61">
        <f t="shared" si="2"/>
        <v>0</v>
      </c>
      <c r="R14" s="61">
        <f t="shared" ref="R14:W14" si="18">K14</f>
        <v>0</v>
      </c>
      <c r="S14" s="61">
        <f t="shared" si="18"/>
        <v>0</v>
      </c>
      <c r="T14" s="61">
        <f t="shared" si="18"/>
        <v>0</v>
      </c>
      <c r="U14" s="61">
        <f t="shared" si="18"/>
        <v>0</v>
      </c>
      <c r="V14" s="61">
        <f t="shared" si="18"/>
        <v>0</v>
      </c>
      <c r="W14" s="61">
        <f t="shared" si="18"/>
        <v>0</v>
      </c>
      <c r="X14" s="61">
        <f t="shared" si="6"/>
        <v>0</v>
      </c>
    </row>
    <row r="15" spans="1:24" ht="15.6">
      <c r="A15" s="62">
        <v>8</v>
      </c>
      <c r="B15" s="63" t="str">
        <f>IF('Students Details'!B14="","",'Students Details'!B14)</f>
        <v/>
      </c>
      <c r="C15" s="64" t="str">
        <f>IF('Students Details'!C14="","",'Students Details'!C14)</f>
        <v/>
      </c>
      <c r="D15" s="69"/>
      <c r="E15" s="69"/>
      <c r="F15" s="69"/>
      <c r="G15" s="69"/>
      <c r="H15" s="65"/>
      <c r="I15" s="66"/>
      <c r="J15" s="67">
        <f t="shared" si="0"/>
        <v>0</v>
      </c>
      <c r="K15" s="61">
        <f t="shared" ref="K15:M15" si="19">D15</f>
        <v>0</v>
      </c>
      <c r="L15" s="61">
        <f t="shared" si="19"/>
        <v>0</v>
      </c>
      <c r="M15" s="61">
        <f t="shared" si="19"/>
        <v>0</v>
      </c>
      <c r="N15" s="61">
        <f>IF('CO-PO Mapping'!$A$10="",0,G15)</f>
        <v>0</v>
      </c>
      <c r="O15" s="61">
        <f>IF('CO-PO Mapping'!$A$11="",0,H15)</f>
        <v>0</v>
      </c>
      <c r="P15" s="61">
        <f>IF('CO-PO Mapping'!$A$12="",0,I15)</f>
        <v>0</v>
      </c>
      <c r="Q15" s="61">
        <f t="shared" si="2"/>
        <v>0</v>
      </c>
      <c r="R15" s="61">
        <f t="shared" ref="R15:W15" si="20">K15</f>
        <v>0</v>
      </c>
      <c r="S15" s="61">
        <f t="shared" si="20"/>
        <v>0</v>
      </c>
      <c r="T15" s="61">
        <f t="shared" si="20"/>
        <v>0</v>
      </c>
      <c r="U15" s="61">
        <f t="shared" si="20"/>
        <v>0</v>
      </c>
      <c r="V15" s="61">
        <f t="shared" si="20"/>
        <v>0</v>
      </c>
      <c r="W15" s="61">
        <f t="shared" si="20"/>
        <v>0</v>
      </c>
      <c r="X15" s="61">
        <f t="shared" si="6"/>
        <v>0</v>
      </c>
    </row>
    <row r="16" spans="1:24" ht="15.6">
      <c r="A16" s="62">
        <v>9</v>
      </c>
      <c r="B16" s="63" t="str">
        <f>IF('Students Details'!B15="","",'Students Details'!B15)</f>
        <v/>
      </c>
      <c r="C16" s="64" t="str">
        <f>IF('Students Details'!C15="","",'Students Details'!C15)</f>
        <v/>
      </c>
      <c r="D16" s="65"/>
      <c r="E16" s="65"/>
      <c r="F16" s="65"/>
      <c r="G16" s="65"/>
      <c r="H16" s="65"/>
      <c r="I16" s="66"/>
      <c r="J16" s="67">
        <f t="shared" si="0"/>
        <v>0</v>
      </c>
      <c r="K16" s="61">
        <f t="shared" ref="K16:M16" si="21">D16</f>
        <v>0</v>
      </c>
      <c r="L16" s="61">
        <f t="shared" si="21"/>
        <v>0</v>
      </c>
      <c r="M16" s="61">
        <f t="shared" si="21"/>
        <v>0</v>
      </c>
      <c r="N16" s="61">
        <f>IF('CO-PO Mapping'!$A$10="",0,G16)</f>
        <v>0</v>
      </c>
      <c r="O16" s="61">
        <f>IF('CO-PO Mapping'!$A$11="",0,H16)</f>
        <v>0</v>
      </c>
      <c r="P16" s="61">
        <f>IF('CO-PO Mapping'!$A$12="",0,I16)</f>
        <v>0</v>
      </c>
      <c r="Q16" s="61">
        <f t="shared" si="2"/>
        <v>0</v>
      </c>
      <c r="R16" s="61">
        <f t="shared" ref="R16:W16" si="22">K16</f>
        <v>0</v>
      </c>
      <c r="S16" s="61">
        <f t="shared" si="22"/>
        <v>0</v>
      </c>
      <c r="T16" s="61">
        <f t="shared" si="22"/>
        <v>0</v>
      </c>
      <c r="U16" s="61">
        <f t="shared" si="22"/>
        <v>0</v>
      </c>
      <c r="V16" s="61">
        <f t="shared" si="22"/>
        <v>0</v>
      </c>
      <c r="W16" s="61">
        <f t="shared" si="22"/>
        <v>0</v>
      </c>
      <c r="X16" s="61">
        <f t="shared" si="6"/>
        <v>0</v>
      </c>
    </row>
    <row r="17" spans="1:26" ht="15.6">
      <c r="A17" s="62">
        <v>10</v>
      </c>
      <c r="B17" s="63" t="str">
        <f>IF('Students Details'!B16="","",'Students Details'!B16)</f>
        <v/>
      </c>
      <c r="C17" s="64" t="str">
        <f>IF('Students Details'!C16="","",'Students Details'!C16)</f>
        <v/>
      </c>
      <c r="D17" s="69"/>
      <c r="E17" s="69"/>
      <c r="F17" s="69"/>
      <c r="G17" s="69"/>
      <c r="H17" s="65"/>
      <c r="I17" s="66"/>
      <c r="J17" s="67">
        <f t="shared" si="0"/>
        <v>0</v>
      </c>
      <c r="K17" s="61">
        <f t="shared" ref="K17:M17" si="23">D17</f>
        <v>0</v>
      </c>
      <c r="L17" s="61">
        <f t="shared" si="23"/>
        <v>0</v>
      </c>
      <c r="M17" s="61">
        <f t="shared" si="23"/>
        <v>0</v>
      </c>
      <c r="N17" s="61">
        <f>IF('CO-PO Mapping'!$A$10="",0,G17)</f>
        <v>0</v>
      </c>
      <c r="O17" s="61">
        <f>IF('CO-PO Mapping'!$A$11="",0,H17)</f>
        <v>0</v>
      </c>
      <c r="P17" s="61">
        <f>IF('CO-PO Mapping'!$A$12="",0,I17)</f>
        <v>0</v>
      </c>
      <c r="Q17" s="61">
        <f t="shared" si="2"/>
        <v>0</v>
      </c>
      <c r="R17" s="61">
        <f t="shared" ref="R17:W17" si="24">K17</f>
        <v>0</v>
      </c>
      <c r="S17" s="61">
        <f t="shared" si="24"/>
        <v>0</v>
      </c>
      <c r="T17" s="61">
        <f t="shared" si="24"/>
        <v>0</v>
      </c>
      <c r="U17" s="61">
        <f t="shared" si="24"/>
        <v>0</v>
      </c>
      <c r="V17" s="61">
        <f t="shared" si="24"/>
        <v>0</v>
      </c>
      <c r="W17" s="61">
        <f t="shared" si="24"/>
        <v>0</v>
      </c>
      <c r="X17" s="61">
        <f t="shared" si="6"/>
        <v>0</v>
      </c>
    </row>
    <row r="18" spans="1:26" ht="15.6">
      <c r="A18" s="62">
        <v>11</v>
      </c>
      <c r="B18" s="63" t="str">
        <f>IF('Students Details'!B17="","",'Students Details'!B17)</f>
        <v/>
      </c>
      <c r="C18" s="64" t="str">
        <f>IF('Students Details'!C17="","",'Students Details'!C17)</f>
        <v/>
      </c>
      <c r="D18" s="65"/>
      <c r="E18" s="65"/>
      <c r="F18" s="65"/>
      <c r="G18" s="65"/>
      <c r="H18" s="65"/>
      <c r="I18" s="66"/>
      <c r="J18" s="67">
        <f t="shared" si="0"/>
        <v>0</v>
      </c>
      <c r="K18" s="61">
        <f t="shared" ref="K18:M18" si="25">D18</f>
        <v>0</v>
      </c>
      <c r="L18" s="61">
        <f t="shared" si="25"/>
        <v>0</v>
      </c>
      <c r="M18" s="61">
        <f t="shared" si="25"/>
        <v>0</v>
      </c>
      <c r="N18" s="61">
        <f>IF('CO-PO Mapping'!$A$10="",0,G18)</f>
        <v>0</v>
      </c>
      <c r="O18" s="61">
        <f>IF('CO-PO Mapping'!$A$11="",0,H18)</f>
        <v>0</v>
      </c>
      <c r="P18" s="61">
        <f>IF('CO-PO Mapping'!$A$12="",0,I18)</f>
        <v>0</v>
      </c>
      <c r="Q18" s="61">
        <f t="shared" si="2"/>
        <v>0</v>
      </c>
      <c r="R18" s="61">
        <f t="shared" ref="R18:W18" si="26">K18</f>
        <v>0</v>
      </c>
      <c r="S18" s="61">
        <f t="shared" si="26"/>
        <v>0</v>
      </c>
      <c r="T18" s="61">
        <f t="shared" si="26"/>
        <v>0</v>
      </c>
      <c r="U18" s="61">
        <f t="shared" si="26"/>
        <v>0</v>
      </c>
      <c r="V18" s="61">
        <f t="shared" si="26"/>
        <v>0</v>
      </c>
      <c r="W18" s="61">
        <f t="shared" si="26"/>
        <v>0</v>
      </c>
      <c r="X18" s="61">
        <f t="shared" si="6"/>
        <v>0</v>
      </c>
    </row>
    <row r="19" spans="1:26" ht="15.6">
      <c r="A19" s="62">
        <v>12</v>
      </c>
      <c r="B19" s="63" t="str">
        <f>IF('Students Details'!B18="","",'Students Details'!B18)</f>
        <v/>
      </c>
      <c r="C19" s="64" t="str">
        <f>IF('Students Details'!C18="","",'Students Details'!C18)</f>
        <v/>
      </c>
      <c r="D19" s="69"/>
      <c r="E19" s="69"/>
      <c r="F19" s="69"/>
      <c r="G19" s="69"/>
      <c r="H19" s="65"/>
      <c r="I19" s="66"/>
      <c r="J19" s="67">
        <f t="shared" si="0"/>
        <v>0</v>
      </c>
      <c r="K19" s="61">
        <f t="shared" ref="K19:M19" si="27">D19</f>
        <v>0</v>
      </c>
      <c r="L19" s="61">
        <f t="shared" si="27"/>
        <v>0</v>
      </c>
      <c r="M19" s="61">
        <f t="shared" si="27"/>
        <v>0</v>
      </c>
      <c r="N19" s="61">
        <f>IF('CO-PO Mapping'!$A$10="",0,G19)</f>
        <v>0</v>
      </c>
      <c r="O19" s="61">
        <f>IF('CO-PO Mapping'!$A$11="",0,H19)</f>
        <v>0</v>
      </c>
      <c r="P19" s="61">
        <f>IF('CO-PO Mapping'!$A$12="",0,I19)</f>
        <v>0</v>
      </c>
      <c r="Q19" s="61">
        <f t="shared" si="2"/>
        <v>0</v>
      </c>
      <c r="R19" s="61">
        <f t="shared" ref="R19:W19" si="28">K19</f>
        <v>0</v>
      </c>
      <c r="S19" s="61">
        <f t="shared" si="28"/>
        <v>0</v>
      </c>
      <c r="T19" s="61">
        <f t="shared" si="28"/>
        <v>0</v>
      </c>
      <c r="U19" s="61">
        <f t="shared" si="28"/>
        <v>0</v>
      </c>
      <c r="V19" s="61">
        <f t="shared" si="28"/>
        <v>0</v>
      </c>
      <c r="W19" s="61">
        <f t="shared" si="28"/>
        <v>0</v>
      </c>
      <c r="X19" s="61">
        <f t="shared" si="6"/>
        <v>0</v>
      </c>
    </row>
    <row r="20" spans="1:26" ht="15.6">
      <c r="A20" s="62">
        <v>13</v>
      </c>
      <c r="B20" s="63" t="str">
        <f>IF('Students Details'!B19="","",'Students Details'!B19)</f>
        <v/>
      </c>
      <c r="C20" s="64" t="str">
        <f>IF('Students Details'!C19="","",'Students Details'!C19)</f>
        <v/>
      </c>
      <c r="D20" s="65"/>
      <c r="E20" s="65"/>
      <c r="F20" s="65"/>
      <c r="G20" s="65"/>
      <c r="H20" s="65"/>
      <c r="I20" s="66"/>
      <c r="J20" s="67">
        <f t="shared" si="0"/>
        <v>0</v>
      </c>
      <c r="K20" s="61">
        <f t="shared" ref="K20:M20" si="29">D20</f>
        <v>0</v>
      </c>
      <c r="L20" s="61">
        <f t="shared" si="29"/>
        <v>0</v>
      </c>
      <c r="M20" s="61">
        <f t="shared" si="29"/>
        <v>0</v>
      </c>
      <c r="N20" s="61">
        <f>IF('CO-PO Mapping'!$A$10="",0,G20)</f>
        <v>0</v>
      </c>
      <c r="O20" s="61">
        <f>IF('CO-PO Mapping'!$A$11="",0,H20)</f>
        <v>0</v>
      </c>
      <c r="P20" s="61">
        <f>IF('CO-PO Mapping'!$A$12="",0,I20)</f>
        <v>0</v>
      </c>
      <c r="Q20" s="61">
        <f t="shared" si="2"/>
        <v>0</v>
      </c>
      <c r="R20" s="61">
        <f t="shared" ref="R20:W20" si="30">K20</f>
        <v>0</v>
      </c>
      <c r="S20" s="61">
        <f t="shared" si="30"/>
        <v>0</v>
      </c>
      <c r="T20" s="61">
        <f t="shared" si="30"/>
        <v>0</v>
      </c>
      <c r="U20" s="61">
        <f t="shared" si="30"/>
        <v>0</v>
      </c>
      <c r="V20" s="61">
        <f t="shared" si="30"/>
        <v>0</v>
      </c>
      <c r="W20" s="61">
        <f t="shared" si="30"/>
        <v>0</v>
      </c>
      <c r="X20" s="61">
        <f t="shared" si="6"/>
        <v>0</v>
      </c>
    </row>
    <row r="21" spans="1:26" ht="15.75" customHeight="1">
      <c r="A21" s="62">
        <v>14</v>
      </c>
      <c r="B21" s="63" t="str">
        <f>IF('Students Details'!B20="","",'Students Details'!B20)</f>
        <v/>
      </c>
      <c r="C21" s="64" t="str">
        <f>IF('Students Details'!C20="","",'Students Details'!C20)</f>
        <v/>
      </c>
      <c r="D21" s="69"/>
      <c r="E21" s="69"/>
      <c r="F21" s="69"/>
      <c r="G21" s="69"/>
      <c r="H21" s="65"/>
      <c r="I21" s="66"/>
      <c r="J21" s="67">
        <f t="shared" si="0"/>
        <v>0</v>
      </c>
      <c r="K21" s="61">
        <f t="shared" ref="K21:M21" si="31">D21</f>
        <v>0</v>
      </c>
      <c r="L21" s="61">
        <f t="shared" si="31"/>
        <v>0</v>
      </c>
      <c r="M21" s="61">
        <f t="shared" si="31"/>
        <v>0</v>
      </c>
      <c r="N21" s="61">
        <f>IF('CO-PO Mapping'!$A$10="",0,G21)</f>
        <v>0</v>
      </c>
      <c r="O21" s="61">
        <f>IF('CO-PO Mapping'!$A$11="",0,H21)</f>
        <v>0</v>
      </c>
      <c r="P21" s="61">
        <f>IF('CO-PO Mapping'!$A$12="",0,I21)</f>
        <v>0</v>
      </c>
      <c r="Q21" s="61">
        <f t="shared" si="2"/>
        <v>0</v>
      </c>
      <c r="R21" s="61">
        <f t="shared" ref="R21:W21" si="32">K21</f>
        <v>0</v>
      </c>
      <c r="S21" s="61">
        <f t="shared" si="32"/>
        <v>0</v>
      </c>
      <c r="T21" s="61">
        <f t="shared" si="32"/>
        <v>0</v>
      </c>
      <c r="U21" s="61">
        <f t="shared" si="32"/>
        <v>0</v>
      </c>
      <c r="V21" s="61">
        <f t="shared" si="32"/>
        <v>0</v>
      </c>
      <c r="W21" s="61">
        <f t="shared" si="32"/>
        <v>0</v>
      </c>
      <c r="X21" s="61">
        <f t="shared" si="6"/>
        <v>0</v>
      </c>
    </row>
    <row r="22" spans="1:26" ht="15.75" customHeight="1">
      <c r="A22" s="62">
        <v>15</v>
      </c>
      <c r="B22" s="63" t="str">
        <f>IF('Students Details'!B21="","",'Students Details'!B21)</f>
        <v/>
      </c>
      <c r="C22" s="64" t="str">
        <f>IF('Students Details'!C21="","",'Students Details'!C21)</f>
        <v/>
      </c>
      <c r="D22" s="65"/>
      <c r="E22" s="65"/>
      <c r="F22" s="65"/>
      <c r="G22" s="65"/>
      <c r="H22" s="65"/>
      <c r="I22" s="66"/>
      <c r="J22" s="67">
        <f t="shared" si="0"/>
        <v>0</v>
      </c>
      <c r="K22" s="61">
        <f t="shared" ref="K22:M22" si="33">D22</f>
        <v>0</v>
      </c>
      <c r="L22" s="61">
        <f t="shared" si="33"/>
        <v>0</v>
      </c>
      <c r="M22" s="61">
        <f t="shared" si="33"/>
        <v>0</v>
      </c>
      <c r="N22" s="61">
        <f>IF('CO-PO Mapping'!$A$10="",0,G22)</f>
        <v>0</v>
      </c>
      <c r="O22" s="61">
        <f>IF('CO-PO Mapping'!$A$11="",0,H22)</f>
        <v>0</v>
      </c>
      <c r="P22" s="61">
        <f>IF('CO-PO Mapping'!$A$12="",0,I22)</f>
        <v>0</v>
      </c>
      <c r="Q22" s="61">
        <f t="shared" si="2"/>
        <v>0</v>
      </c>
      <c r="R22" s="61">
        <f t="shared" ref="R22:W22" si="34">K22</f>
        <v>0</v>
      </c>
      <c r="S22" s="61">
        <f t="shared" si="34"/>
        <v>0</v>
      </c>
      <c r="T22" s="61">
        <f t="shared" si="34"/>
        <v>0</v>
      </c>
      <c r="U22" s="61">
        <f t="shared" si="34"/>
        <v>0</v>
      </c>
      <c r="V22" s="61">
        <f t="shared" si="34"/>
        <v>0</v>
      </c>
      <c r="W22" s="61">
        <f t="shared" si="34"/>
        <v>0</v>
      </c>
      <c r="X22" s="61">
        <f t="shared" si="6"/>
        <v>0</v>
      </c>
    </row>
    <row r="23" spans="1:26" ht="15.75" customHeight="1">
      <c r="A23" s="62">
        <v>16</v>
      </c>
      <c r="B23" s="63" t="str">
        <f>IF('Students Details'!B22="","",'Students Details'!B22)</f>
        <v/>
      </c>
      <c r="C23" s="64" t="str">
        <f>IF('Students Details'!C22="","",'Students Details'!C22)</f>
        <v/>
      </c>
      <c r="D23" s="69"/>
      <c r="E23" s="69"/>
      <c r="F23" s="69"/>
      <c r="G23" s="69"/>
      <c r="H23" s="65"/>
      <c r="I23" s="66"/>
      <c r="J23" s="67">
        <f t="shared" si="0"/>
        <v>0</v>
      </c>
      <c r="K23" s="61">
        <f t="shared" ref="K23:M23" si="35">D23</f>
        <v>0</v>
      </c>
      <c r="L23" s="61">
        <f t="shared" si="35"/>
        <v>0</v>
      </c>
      <c r="M23" s="61">
        <f t="shared" si="35"/>
        <v>0</v>
      </c>
      <c r="N23" s="61">
        <f>IF('CO-PO Mapping'!$A$10="",0,G23)</f>
        <v>0</v>
      </c>
      <c r="O23" s="61">
        <f>IF('CO-PO Mapping'!$A$11="",0,H23)</f>
        <v>0</v>
      </c>
      <c r="P23" s="61">
        <f>IF('CO-PO Mapping'!$A$12="",0,I23)</f>
        <v>0</v>
      </c>
      <c r="Q23" s="61">
        <f t="shared" si="2"/>
        <v>0</v>
      </c>
      <c r="R23" s="61">
        <f t="shared" ref="R23:W23" si="36">K23</f>
        <v>0</v>
      </c>
      <c r="S23" s="61">
        <f t="shared" si="36"/>
        <v>0</v>
      </c>
      <c r="T23" s="61">
        <f t="shared" si="36"/>
        <v>0</v>
      </c>
      <c r="U23" s="61">
        <f t="shared" si="36"/>
        <v>0</v>
      </c>
      <c r="V23" s="61">
        <f t="shared" si="36"/>
        <v>0</v>
      </c>
      <c r="W23" s="61">
        <f t="shared" si="36"/>
        <v>0</v>
      </c>
      <c r="X23" s="61">
        <f t="shared" si="6"/>
        <v>0</v>
      </c>
    </row>
    <row r="24" spans="1:26" ht="15.75" customHeight="1">
      <c r="A24" s="62">
        <v>17</v>
      </c>
      <c r="B24" s="63" t="str">
        <f>IF('Students Details'!B23="","",'Students Details'!B23)</f>
        <v/>
      </c>
      <c r="C24" s="64" t="str">
        <f>IF('Students Details'!C23="","",'Students Details'!C23)</f>
        <v/>
      </c>
      <c r="D24" s="65"/>
      <c r="E24" s="65"/>
      <c r="F24" s="65"/>
      <c r="G24" s="65"/>
      <c r="H24" s="65"/>
      <c r="I24" s="66"/>
      <c r="J24" s="67">
        <f t="shared" si="0"/>
        <v>0</v>
      </c>
      <c r="K24" s="61">
        <f t="shared" ref="K24:M24" si="37">D24</f>
        <v>0</v>
      </c>
      <c r="L24" s="61">
        <f t="shared" si="37"/>
        <v>0</v>
      </c>
      <c r="M24" s="61">
        <f t="shared" si="37"/>
        <v>0</v>
      </c>
      <c r="N24" s="61">
        <f>IF('CO-PO Mapping'!$A$10="",0,G24)</f>
        <v>0</v>
      </c>
      <c r="O24" s="61">
        <f>IF('CO-PO Mapping'!$A$11="",0,H24)</f>
        <v>0</v>
      </c>
      <c r="P24" s="61">
        <f>IF('CO-PO Mapping'!$A$12="",0,I24)</f>
        <v>0</v>
      </c>
      <c r="Q24" s="61">
        <f t="shared" si="2"/>
        <v>0</v>
      </c>
      <c r="R24" s="61">
        <f t="shared" ref="R24:W24" si="38">K24</f>
        <v>0</v>
      </c>
      <c r="S24" s="61">
        <f t="shared" si="38"/>
        <v>0</v>
      </c>
      <c r="T24" s="61">
        <f t="shared" si="38"/>
        <v>0</v>
      </c>
      <c r="U24" s="61">
        <f t="shared" si="38"/>
        <v>0</v>
      </c>
      <c r="V24" s="61">
        <f t="shared" si="38"/>
        <v>0</v>
      </c>
      <c r="W24" s="61">
        <f t="shared" si="38"/>
        <v>0</v>
      </c>
      <c r="X24" s="61">
        <f t="shared" si="6"/>
        <v>0</v>
      </c>
    </row>
    <row r="25" spans="1:26" ht="15.75" customHeight="1">
      <c r="A25" s="62">
        <v>18</v>
      </c>
      <c r="B25" s="63" t="str">
        <f>IF('Students Details'!B24="","",'Students Details'!B24)</f>
        <v/>
      </c>
      <c r="C25" s="64" t="str">
        <f>IF('Students Details'!C24="","",'Students Details'!C24)</f>
        <v/>
      </c>
      <c r="D25" s="69"/>
      <c r="E25" s="69"/>
      <c r="F25" s="69"/>
      <c r="G25" s="69"/>
      <c r="H25" s="65"/>
      <c r="I25" s="66"/>
      <c r="J25" s="67">
        <f t="shared" si="0"/>
        <v>0</v>
      </c>
      <c r="K25" s="61">
        <f t="shared" ref="K25:M25" si="39">D25</f>
        <v>0</v>
      </c>
      <c r="L25" s="61">
        <f t="shared" si="39"/>
        <v>0</v>
      </c>
      <c r="M25" s="61">
        <f t="shared" si="39"/>
        <v>0</v>
      </c>
      <c r="N25" s="61">
        <f>IF('CO-PO Mapping'!$A$10="",0,G25)</f>
        <v>0</v>
      </c>
      <c r="O25" s="61">
        <f>IF('CO-PO Mapping'!$A$11="",0,H25)</f>
        <v>0</v>
      </c>
      <c r="P25" s="61">
        <f>IF('CO-PO Mapping'!$A$12="",0,I25)</f>
        <v>0</v>
      </c>
      <c r="Q25" s="61">
        <f t="shared" si="2"/>
        <v>0</v>
      </c>
      <c r="R25" s="61">
        <f t="shared" ref="R25:W25" si="40">K25</f>
        <v>0</v>
      </c>
      <c r="S25" s="61">
        <f t="shared" si="40"/>
        <v>0</v>
      </c>
      <c r="T25" s="61">
        <f t="shared" si="40"/>
        <v>0</v>
      </c>
      <c r="U25" s="61">
        <f t="shared" si="40"/>
        <v>0</v>
      </c>
      <c r="V25" s="61">
        <f t="shared" si="40"/>
        <v>0</v>
      </c>
      <c r="W25" s="61">
        <f t="shared" si="40"/>
        <v>0</v>
      </c>
      <c r="X25" s="61">
        <f t="shared" si="6"/>
        <v>0</v>
      </c>
    </row>
    <row r="26" spans="1:26" ht="15.75" customHeight="1">
      <c r="A26" s="62">
        <v>19</v>
      </c>
      <c r="B26" s="63" t="str">
        <f>IF('Students Details'!B25="","",'Students Details'!B25)</f>
        <v/>
      </c>
      <c r="C26" s="64" t="str">
        <f>IF('Students Details'!C25="","",'Students Details'!C25)</f>
        <v/>
      </c>
      <c r="D26" s="65"/>
      <c r="E26" s="65"/>
      <c r="F26" s="65"/>
      <c r="G26" s="65"/>
      <c r="H26" s="65"/>
      <c r="I26" s="66"/>
      <c r="J26" s="67">
        <f t="shared" si="0"/>
        <v>0</v>
      </c>
      <c r="K26" s="61">
        <f t="shared" ref="K26:M26" si="41">D26</f>
        <v>0</v>
      </c>
      <c r="L26" s="61">
        <f t="shared" si="41"/>
        <v>0</v>
      </c>
      <c r="M26" s="61">
        <f t="shared" si="41"/>
        <v>0</v>
      </c>
      <c r="N26" s="61">
        <f>IF('CO-PO Mapping'!$A$10="",0,G26)</f>
        <v>0</v>
      </c>
      <c r="O26" s="61">
        <f>IF('CO-PO Mapping'!$A$11="",0,H26)</f>
        <v>0</v>
      </c>
      <c r="P26" s="61">
        <f>IF('CO-PO Mapping'!$A$12="",0,I26)</f>
        <v>0</v>
      </c>
      <c r="Q26" s="61">
        <f t="shared" si="2"/>
        <v>0</v>
      </c>
      <c r="R26" s="61">
        <f t="shared" ref="R26:W26" si="42">K26</f>
        <v>0</v>
      </c>
      <c r="S26" s="61">
        <f t="shared" si="42"/>
        <v>0</v>
      </c>
      <c r="T26" s="61">
        <f t="shared" si="42"/>
        <v>0</v>
      </c>
      <c r="U26" s="61">
        <f t="shared" si="42"/>
        <v>0</v>
      </c>
      <c r="V26" s="61">
        <f t="shared" si="42"/>
        <v>0</v>
      </c>
      <c r="W26" s="61">
        <f t="shared" si="42"/>
        <v>0</v>
      </c>
      <c r="X26" s="61">
        <f t="shared" si="6"/>
        <v>0</v>
      </c>
    </row>
    <row r="27" spans="1:26" ht="15.75" customHeight="1">
      <c r="A27" s="62">
        <v>20</v>
      </c>
      <c r="B27" s="63" t="str">
        <f>IF('Students Details'!B26="","",'Students Details'!B26)</f>
        <v/>
      </c>
      <c r="C27" s="64" t="str">
        <f>IF('Students Details'!C26="","",'Students Details'!C26)</f>
        <v/>
      </c>
      <c r="D27" s="69"/>
      <c r="E27" s="69"/>
      <c r="F27" s="69"/>
      <c r="G27" s="69"/>
      <c r="H27" s="65"/>
      <c r="I27" s="66"/>
      <c r="J27" s="67">
        <f t="shared" si="0"/>
        <v>0</v>
      </c>
      <c r="K27" s="61">
        <f t="shared" ref="K27:M27" si="43">D27</f>
        <v>0</v>
      </c>
      <c r="L27" s="61">
        <f t="shared" si="43"/>
        <v>0</v>
      </c>
      <c r="M27" s="61">
        <f t="shared" si="43"/>
        <v>0</v>
      </c>
      <c r="N27" s="61">
        <f>IF('CO-PO Mapping'!$A$10="",0,G27)</f>
        <v>0</v>
      </c>
      <c r="O27" s="61">
        <f>IF('CO-PO Mapping'!$A$11="",0,H27)</f>
        <v>0</v>
      </c>
      <c r="P27" s="61">
        <f>IF('CO-PO Mapping'!$A$12="",0,I27)</f>
        <v>0</v>
      </c>
      <c r="Q27" s="61">
        <f t="shared" si="2"/>
        <v>0</v>
      </c>
      <c r="R27" s="61">
        <f t="shared" ref="R27:W27" si="44">K27</f>
        <v>0</v>
      </c>
      <c r="S27" s="61">
        <f t="shared" si="44"/>
        <v>0</v>
      </c>
      <c r="T27" s="61">
        <f t="shared" si="44"/>
        <v>0</v>
      </c>
      <c r="U27" s="61">
        <f t="shared" si="44"/>
        <v>0</v>
      </c>
      <c r="V27" s="61">
        <f t="shared" si="44"/>
        <v>0</v>
      </c>
      <c r="W27" s="61">
        <f t="shared" si="44"/>
        <v>0</v>
      </c>
      <c r="X27" s="61">
        <f t="shared" si="6"/>
        <v>0</v>
      </c>
    </row>
    <row r="28" spans="1:26" ht="15.75" customHeight="1">
      <c r="A28" s="62">
        <v>21</v>
      </c>
      <c r="B28" s="63" t="str">
        <f>IF('Students Details'!B27="","",'Students Details'!B27)</f>
        <v/>
      </c>
      <c r="C28" s="64" t="str">
        <f>IF('Students Details'!C27="","",'Students Details'!C27)</f>
        <v/>
      </c>
      <c r="D28" s="65"/>
      <c r="E28" s="65"/>
      <c r="F28" s="65"/>
      <c r="G28" s="65"/>
      <c r="H28" s="65"/>
      <c r="I28" s="66"/>
      <c r="J28" s="67">
        <f t="shared" si="0"/>
        <v>0</v>
      </c>
      <c r="K28" s="61">
        <f t="shared" ref="K28:M28" si="45">D28</f>
        <v>0</v>
      </c>
      <c r="L28" s="61">
        <f t="shared" si="45"/>
        <v>0</v>
      </c>
      <c r="M28" s="61">
        <f t="shared" si="45"/>
        <v>0</v>
      </c>
      <c r="N28" s="61">
        <f>IF('CO-PO Mapping'!$A$10="",0,G28)</f>
        <v>0</v>
      </c>
      <c r="O28" s="61">
        <f>IF('CO-PO Mapping'!$A$11="",0,H28)</f>
        <v>0</v>
      </c>
      <c r="P28" s="61">
        <f>IF('CO-PO Mapping'!$A$12="",0,I28)</f>
        <v>0</v>
      </c>
      <c r="Q28" s="61">
        <f t="shared" si="2"/>
        <v>0</v>
      </c>
      <c r="R28" s="61">
        <f t="shared" ref="R28:W28" si="46">K28</f>
        <v>0</v>
      </c>
      <c r="S28" s="61">
        <f t="shared" si="46"/>
        <v>0</v>
      </c>
      <c r="T28" s="61">
        <f t="shared" si="46"/>
        <v>0</v>
      </c>
      <c r="U28" s="61">
        <f t="shared" si="46"/>
        <v>0</v>
      </c>
      <c r="V28" s="61">
        <f t="shared" si="46"/>
        <v>0</v>
      </c>
      <c r="W28" s="61">
        <f t="shared" si="46"/>
        <v>0</v>
      </c>
      <c r="X28" s="61">
        <f t="shared" si="6"/>
        <v>0</v>
      </c>
      <c r="Y28" s="43"/>
      <c r="Z28" s="43"/>
    </row>
    <row r="29" spans="1:26" ht="15.75" customHeight="1">
      <c r="A29" s="62">
        <v>22</v>
      </c>
      <c r="B29" s="63" t="str">
        <f>IF('Students Details'!B28="","",'Students Details'!B28)</f>
        <v/>
      </c>
      <c r="C29" s="64" t="str">
        <f>IF('Students Details'!C28="","",'Students Details'!C28)</f>
        <v/>
      </c>
      <c r="D29" s="69"/>
      <c r="E29" s="69"/>
      <c r="F29" s="69"/>
      <c r="G29" s="69"/>
      <c r="H29" s="65"/>
      <c r="I29" s="66"/>
      <c r="J29" s="67">
        <f t="shared" si="0"/>
        <v>0</v>
      </c>
      <c r="K29" s="61">
        <f t="shared" ref="K29:M29" si="47">D29</f>
        <v>0</v>
      </c>
      <c r="L29" s="61">
        <f t="shared" si="47"/>
        <v>0</v>
      </c>
      <c r="M29" s="61">
        <f t="shared" si="47"/>
        <v>0</v>
      </c>
      <c r="N29" s="61">
        <f>IF('CO-PO Mapping'!$A$10="",0,G29)</f>
        <v>0</v>
      </c>
      <c r="O29" s="61">
        <f>IF('CO-PO Mapping'!$A$11="",0,H29)</f>
        <v>0</v>
      </c>
      <c r="P29" s="61">
        <f>IF('CO-PO Mapping'!$A$12="",0,I29)</f>
        <v>0</v>
      </c>
      <c r="Q29" s="61">
        <f t="shared" si="2"/>
        <v>0</v>
      </c>
      <c r="R29" s="61">
        <f t="shared" ref="R29:W29" si="48">K29</f>
        <v>0</v>
      </c>
      <c r="S29" s="61">
        <f t="shared" si="48"/>
        <v>0</v>
      </c>
      <c r="T29" s="61">
        <f t="shared" si="48"/>
        <v>0</v>
      </c>
      <c r="U29" s="61">
        <f t="shared" si="48"/>
        <v>0</v>
      </c>
      <c r="V29" s="61">
        <f t="shared" si="48"/>
        <v>0</v>
      </c>
      <c r="W29" s="61">
        <f t="shared" si="48"/>
        <v>0</v>
      </c>
      <c r="X29" s="61">
        <f t="shared" si="6"/>
        <v>0</v>
      </c>
    </row>
    <row r="30" spans="1:26" ht="15.75" customHeight="1">
      <c r="A30" s="62">
        <v>23</v>
      </c>
      <c r="B30" s="63" t="str">
        <f>IF('Students Details'!B29="","",'Students Details'!B29)</f>
        <v/>
      </c>
      <c r="C30" s="64" t="str">
        <f>IF('Students Details'!C29="","",'Students Details'!C29)</f>
        <v/>
      </c>
      <c r="D30" s="65"/>
      <c r="E30" s="65"/>
      <c r="F30" s="65"/>
      <c r="G30" s="65"/>
      <c r="H30" s="65"/>
      <c r="I30" s="66"/>
      <c r="J30" s="67">
        <f t="shared" si="0"/>
        <v>0</v>
      </c>
      <c r="K30" s="61">
        <f t="shared" ref="K30:M30" si="49">D30</f>
        <v>0</v>
      </c>
      <c r="L30" s="61">
        <f t="shared" si="49"/>
        <v>0</v>
      </c>
      <c r="M30" s="61">
        <f t="shared" si="49"/>
        <v>0</v>
      </c>
      <c r="N30" s="61">
        <f>IF('CO-PO Mapping'!$A$10="",0,G30)</f>
        <v>0</v>
      </c>
      <c r="O30" s="61">
        <f>IF('CO-PO Mapping'!$A$11="",0,H30)</f>
        <v>0</v>
      </c>
      <c r="P30" s="61">
        <f>IF('CO-PO Mapping'!$A$12="",0,I30)</f>
        <v>0</v>
      </c>
      <c r="Q30" s="61">
        <f t="shared" si="2"/>
        <v>0</v>
      </c>
      <c r="R30" s="61">
        <f t="shared" ref="R30:W30" si="50">K30</f>
        <v>0</v>
      </c>
      <c r="S30" s="61">
        <f t="shared" si="50"/>
        <v>0</v>
      </c>
      <c r="T30" s="61">
        <f t="shared" si="50"/>
        <v>0</v>
      </c>
      <c r="U30" s="61">
        <f t="shared" si="50"/>
        <v>0</v>
      </c>
      <c r="V30" s="61">
        <f t="shared" si="50"/>
        <v>0</v>
      </c>
      <c r="W30" s="61">
        <f t="shared" si="50"/>
        <v>0</v>
      </c>
      <c r="X30" s="61">
        <f t="shared" si="6"/>
        <v>0</v>
      </c>
    </row>
    <row r="31" spans="1:26" ht="15.75" customHeight="1">
      <c r="A31" s="62">
        <v>24</v>
      </c>
      <c r="B31" s="63" t="str">
        <f>IF('Students Details'!B30="","",'Students Details'!B30)</f>
        <v/>
      </c>
      <c r="C31" s="64" t="str">
        <f>IF('Students Details'!C30="","",'Students Details'!C30)</f>
        <v/>
      </c>
      <c r="D31" s="69"/>
      <c r="E31" s="69"/>
      <c r="F31" s="69"/>
      <c r="G31" s="69"/>
      <c r="H31" s="65"/>
      <c r="I31" s="66"/>
      <c r="J31" s="67">
        <f t="shared" si="0"/>
        <v>0</v>
      </c>
      <c r="K31" s="61">
        <f t="shared" ref="K31:M31" si="51">D31</f>
        <v>0</v>
      </c>
      <c r="L31" s="61">
        <f t="shared" si="51"/>
        <v>0</v>
      </c>
      <c r="M31" s="61">
        <f t="shared" si="51"/>
        <v>0</v>
      </c>
      <c r="N31" s="61">
        <f>IF('CO-PO Mapping'!$A$10="",0,G31)</f>
        <v>0</v>
      </c>
      <c r="O31" s="61">
        <f>IF('CO-PO Mapping'!$A$11="",0,H31)</f>
        <v>0</v>
      </c>
      <c r="P31" s="61">
        <f>IF('CO-PO Mapping'!$A$12="",0,I31)</f>
        <v>0</v>
      </c>
      <c r="Q31" s="61">
        <f t="shared" si="2"/>
        <v>0</v>
      </c>
      <c r="R31" s="61">
        <f t="shared" ref="R31:W31" si="52">K31</f>
        <v>0</v>
      </c>
      <c r="S31" s="61">
        <f t="shared" si="52"/>
        <v>0</v>
      </c>
      <c r="T31" s="61">
        <f t="shared" si="52"/>
        <v>0</v>
      </c>
      <c r="U31" s="61">
        <f t="shared" si="52"/>
        <v>0</v>
      </c>
      <c r="V31" s="61">
        <f t="shared" si="52"/>
        <v>0</v>
      </c>
      <c r="W31" s="61">
        <f t="shared" si="52"/>
        <v>0</v>
      </c>
      <c r="X31" s="61">
        <f t="shared" si="6"/>
        <v>0</v>
      </c>
    </row>
    <row r="32" spans="1:26" ht="15.75" customHeight="1">
      <c r="A32" s="62">
        <v>25</v>
      </c>
      <c r="B32" s="63" t="str">
        <f>IF('Students Details'!B31="","",'Students Details'!B31)</f>
        <v/>
      </c>
      <c r="C32" s="64" t="str">
        <f>IF('Students Details'!C31="","",'Students Details'!C31)</f>
        <v/>
      </c>
      <c r="D32" s="65"/>
      <c r="E32" s="65"/>
      <c r="F32" s="65"/>
      <c r="G32" s="65"/>
      <c r="H32" s="65"/>
      <c r="I32" s="66"/>
      <c r="J32" s="67">
        <f t="shared" si="0"/>
        <v>0</v>
      </c>
      <c r="K32" s="61">
        <f t="shared" ref="K32:M32" si="53">D32</f>
        <v>0</v>
      </c>
      <c r="L32" s="61">
        <f t="shared" si="53"/>
        <v>0</v>
      </c>
      <c r="M32" s="61">
        <f t="shared" si="53"/>
        <v>0</v>
      </c>
      <c r="N32" s="61">
        <f>IF('CO-PO Mapping'!$A$10="",0,G32)</f>
        <v>0</v>
      </c>
      <c r="O32" s="61">
        <f>IF('CO-PO Mapping'!$A$11="",0,H32)</f>
        <v>0</v>
      </c>
      <c r="P32" s="61">
        <f>IF('CO-PO Mapping'!$A$12="",0,I32)</f>
        <v>0</v>
      </c>
      <c r="Q32" s="61">
        <f t="shared" si="2"/>
        <v>0</v>
      </c>
      <c r="R32" s="61">
        <f t="shared" ref="R32:W32" si="54">K32</f>
        <v>0</v>
      </c>
      <c r="S32" s="61">
        <f t="shared" si="54"/>
        <v>0</v>
      </c>
      <c r="T32" s="61">
        <f t="shared" si="54"/>
        <v>0</v>
      </c>
      <c r="U32" s="61">
        <f t="shared" si="54"/>
        <v>0</v>
      </c>
      <c r="V32" s="61">
        <f t="shared" si="54"/>
        <v>0</v>
      </c>
      <c r="W32" s="61">
        <f t="shared" si="54"/>
        <v>0</v>
      </c>
      <c r="X32" s="61">
        <f t="shared" si="6"/>
        <v>0</v>
      </c>
    </row>
    <row r="33" spans="1:24" ht="15.75" customHeight="1">
      <c r="A33" s="62">
        <v>26</v>
      </c>
      <c r="B33" s="63" t="str">
        <f>IF('Students Details'!B32="","",'Students Details'!B32)</f>
        <v/>
      </c>
      <c r="C33" s="64" t="str">
        <f>IF('Students Details'!C32="","",'Students Details'!C32)</f>
        <v/>
      </c>
      <c r="D33" s="69"/>
      <c r="E33" s="69"/>
      <c r="F33" s="69"/>
      <c r="G33" s="69"/>
      <c r="H33" s="65"/>
      <c r="I33" s="66"/>
      <c r="J33" s="67">
        <f t="shared" si="0"/>
        <v>0</v>
      </c>
      <c r="K33" s="61">
        <f t="shared" ref="K33:M33" si="55">D33</f>
        <v>0</v>
      </c>
      <c r="L33" s="61">
        <f t="shared" si="55"/>
        <v>0</v>
      </c>
      <c r="M33" s="61">
        <f t="shared" si="55"/>
        <v>0</v>
      </c>
      <c r="N33" s="61">
        <f>IF('CO-PO Mapping'!$A$10="",0,G33)</f>
        <v>0</v>
      </c>
      <c r="O33" s="61">
        <f>IF('CO-PO Mapping'!$A$11="",0,H33)</f>
        <v>0</v>
      </c>
      <c r="P33" s="61">
        <f>IF('CO-PO Mapping'!$A$12="",0,I33)</f>
        <v>0</v>
      </c>
      <c r="Q33" s="61">
        <f t="shared" si="2"/>
        <v>0</v>
      </c>
      <c r="R33" s="61">
        <f t="shared" ref="R33:W33" si="56">K33</f>
        <v>0</v>
      </c>
      <c r="S33" s="61">
        <f t="shared" si="56"/>
        <v>0</v>
      </c>
      <c r="T33" s="61">
        <f t="shared" si="56"/>
        <v>0</v>
      </c>
      <c r="U33" s="61">
        <f t="shared" si="56"/>
        <v>0</v>
      </c>
      <c r="V33" s="61">
        <f t="shared" si="56"/>
        <v>0</v>
      </c>
      <c r="W33" s="61">
        <f t="shared" si="56"/>
        <v>0</v>
      </c>
      <c r="X33" s="61">
        <f t="shared" si="6"/>
        <v>0</v>
      </c>
    </row>
    <row r="34" spans="1:24" ht="15.75" customHeight="1">
      <c r="A34" s="62">
        <v>27</v>
      </c>
      <c r="B34" s="63" t="str">
        <f>IF('Students Details'!B33="","",'Students Details'!B33)</f>
        <v/>
      </c>
      <c r="C34" s="64" t="str">
        <f>IF('Students Details'!C33="","",'Students Details'!C33)</f>
        <v/>
      </c>
      <c r="D34" s="65"/>
      <c r="E34" s="65"/>
      <c r="F34" s="65"/>
      <c r="G34" s="65"/>
      <c r="H34" s="65"/>
      <c r="I34" s="66"/>
      <c r="J34" s="67">
        <f t="shared" si="0"/>
        <v>0</v>
      </c>
      <c r="K34" s="61">
        <f t="shared" ref="K34:M34" si="57">D34</f>
        <v>0</v>
      </c>
      <c r="L34" s="61">
        <f t="shared" si="57"/>
        <v>0</v>
      </c>
      <c r="M34" s="61">
        <f t="shared" si="57"/>
        <v>0</v>
      </c>
      <c r="N34" s="61">
        <f>IF('CO-PO Mapping'!$A$10="",0,G34)</f>
        <v>0</v>
      </c>
      <c r="O34" s="61">
        <f>IF('CO-PO Mapping'!$A$11="",0,H34)</f>
        <v>0</v>
      </c>
      <c r="P34" s="61">
        <f>IF('CO-PO Mapping'!$A$12="",0,I34)</f>
        <v>0</v>
      </c>
      <c r="Q34" s="61">
        <f t="shared" si="2"/>
        <v>0</v>
      </c>
      <c r="R34" s="61">
        <f t="shared" ref="R34:W34" si="58">K34</f>
        <v>0</v>
      </c>
      <c r="S34" s="61">
        <f t="shared" si="58"/>
        <v>0</v>
      </c>
      <c r="T34" s="61">
        <f t="shared" si="58"/>
        <v>0</v>
      </c>
      <c r="U34" s="61">
        <f t="shared" si="58"/>
        <v>0</v>
      </c>
      <c r="V34" s="61">
        <f t="shared" si="58"/>
        <v>0</v>
      </c>
      <c r="W34" s="61">
        <f t="shared" si="58"/>
        <v>0</v>
      </c>
      <c r="X34" s="61">
        <f t="shared" si="6"/>
        <v>0</v>
      </c>
    </row>
    <row r="35" spans="1:24" ht="15.75" customHeight="1">
      <c r="A35" s="62">
        <v>28</v>
      </c>
      <c r="B35" s="63" t="str">
        <f>IF('Students Details'!B34="","",'Students Details'!B34)</f>
        <v/>
      </c>
      <c r="C35" s="64" t="str">
        <f>IF('Students Details'!C34="","",'Students Details'!C34)</f>
        <v/>
      </c>
      <c r="D35" s="69"/>
      <c r="E35" s="69"/>
      <c r="F35" s="69"/>
      <c r="G35" s="69"/>
      <c r="H35" s="65"/>
      <c r="I35" s="66"/>
      <c r="J35" s="67">
        <f t="shared" si="0"/>
        <v>0</v>
      </c>
      <c r="K35" s="61">
        <f t="shared" ref="K35:M35" si="59">D35</f>
        <v>0</v>
      </c>
      <c r="L35" s="61">
        <f t="shared" si="59"/>
        <v>0</v>
      </c>
      <c r="M35" s="61">
        <f t="shared" si="59"/>
        <v>0</v>
      </c>
      <c r="N35" s="61">
        <f>IF('CO-PO Mapping'!$A$10="",0,G35)</f>
        <v>0</v>
      </c>
      <c r="O35" s="61">
        <f>IF('CO-PO Mapping'!$A$11="",0,H35)</f>
        <v>0</v>
      </c>
      <c r="P35" s="61">
        <f>IF('CO-PO Mapping'!$A$12="",0,I35)</f>
        <v>0</v>
      </c>
      <c r="Q35" s="61">
        <f t="shared" si="2"/>
        <v>0</v>
      </c>
      <c r="R35" s="61">
        <f t="shared" ref="R35:W35" si="60">K35</f>
        <v>0</v>
      </c>
      <c r="S35" s="61">
        <f t="shared" si="60"/>
        <v>0</v>
      </c>
      <c r="T35" s="61">
        <f t="shared" si="60"/>
        <v>0</v>
      </c>
      <c r="U35" s="61">
        <f t="shared" si="60"/>
        <v>0</v>
      </c>
      <c r="V35" s="61">
        <f t="shared" si="60"/>
        <v>0</v>
      </c>
      <c r="W35" s="61">
        <f t="shared" si="60"/>
        <v>0</v>
      </c>
      <c r="X35" s="61">
        <f t="shared" si="6"/>
        <v>0</v>
      </c>
    </row>
    <row r="36" spans="1:24" ht="15.75" customHeight="1">
      <c r="A36" s="62">
        <v>29</v>
      </c>
      <c r="B36" s="63" t="str">
        <f>IF('Students Details'!B35="","",'Students Details'!B35)</f>
        <v/>
      </c>
      <c r="C36" s="64" t="str">
        <f>IF('Students Details'!C35="","",'Students Details'!C35)</f>
        <v/>
      </c>
      <c r="D36" s="65"/>
      <c r="E36" s="65"/>
      <c r="F36" s="65"/>
      <c r="G36" s="65"/>
      <c r="H36" s="65"/>
      <c r="I36" s="66"/>
      <c r="J36" s="67">
        <f t="shared" si="0"/>
        <v>0</v>
      </c>
      <c r="K36" s="61">
        <f t="shared" ref="K36:M36" si="61">D36</f>
        <v>0</v>
      </c>
      <c r="L36" s="61">
        <f t="shared" si="61"/>
        <v>0</v>
      </c>
      <c r="M36" s="61">
        <f t="shared" si="61"/>
        <v>0</v>
      </c>
      <c r="N36" s="61">
        <f>IF('CO-PO Mapping'!$A$10="",0,G36)</f>
        <v>0</v>
      </c>
      <c r="O36" s="61">
        <f>IF('CO-PO Mapping'!$A$11="",0,H36)</f>
        <v>0</v>
      </c>
      <c r="P36" s="61">
        <f>IF('CO-PO Mapping'!$A$12="",0,I36)</f>
        <v>0</v>
      </c>
      <c r="Q36" s="61">
        <f t="shared" si="2"/>
        <v>0</v>
      </c>
      <c r="R36" s="61">
        <f t="shared" ref="R36:W36" si="62">K36</f>
        <v>0</v>
      </c>
      <c r="S36" s="61">
        <f t="shared" si="62"/>
        <v>0</v>
      </c>
      <c r="T36" s="61">
        <f t="shared" si="62"/>
        <v>0</v>
      </c>
      <c r="U36" s="61">
        <f t="shared" si="62"/>
        <v>0</v>
      </c>
      <c r="V36" s="61">
        <f t="shared" si="62"/>
        <v>0</v>
      </c>
      <c r="W36" s="61">
        <f t="shared" si="62"/>
        <v>0</v>
      </c>
      <c r="X36" s="61">
        <f t="shared" si="6"/>
        <v>0</v>
      </c>
    </row>
    <row r="37" spans="1:24" ht="15.75" customHeight="1">
      <c r="A37" s="62">
        <v>30</v>
      </c>
      <c r="B37" s="63" t="str">
        <f>IF('Students Details'!B36="","",'Students Details'!B36)</f>
        <v/>
      </c>
      <c r="C37" s="64" t="str">
        <f>IF('Students Details'!C36="","",'Students Details'!C36)</f>
        <v/>
      </c>
      <c r="D37" s="69"/>
      <c r="E37" s="69"/>
      <c r="F37" s="69"/>
      <c r="G37" s="69"/>
      <c r="H37" s="65"/>
      <c r="I37" s="66"/>
      <c r="J37" s="67">
        <f t="shared" si="0"/>
        <v>0</v>
      </c>
      <c r="K37" s="61">
        <f t="shared" ref="K37:M37" si="63">D37</f>
        <v>0</v>
      </c>
      <c r="L37" s="61">
        <f t="shared" si="63"/>
        <v>0</v>
      </c>
      <c r="M37" s="61">
        <f t="shared" si="63"/>
        <v>0</v>
      </c>
      <c r="N37" s="61">
        <f>IF('CO-PO Mapping'!$A$10="",0,G37)</f>
        <v>0</v>
      </c>
      <c r="O37" s="61">
        <f>IF('CO-PO Mapping'!$A$11="",0,H37)</f>
        <v>0</v>
      </c>
      <c r="P37" s="61">
        <f>IF('CO-PO Mapping'!$A$12="",0,I37)</f>
        <v>0</v>
      </c>
      <c r="Q37" s="61">
        <f t="shared" si="2"/>
        <v>0</v>
      </c>
      <c r="R37" s="61">
        <f t="shared" ref="R37:W37" si="64">K37</f>
        <v>0</v>
      </c>
      <c r="S37" s="61">
        <f t="shared" si="64"/>
        <v>0</v>
      </c>
      <c r="T37" s="61">
        <f t="shared" si="64"/>
        <v>0</v>
      </c>
      <c r="U37" s="61">
        <f t="shared" si="64"/>
        <v>0</v>
      </c>
      <c r="V37" s="61">
        <f t="shared" si="64"/>
        <v>0</v>
      </c>
      <c r="W37" s="61">
        <f t="shared" si="64"/>
        <v>0</v>
      </c>
      <c r="X37" s="61">
        <f t="shared" si="6"/>
        <v>0</v>
      </c>
    </row>
    <row r="38" spans="1:24" ht="15.75" customHeight="1">
      <c r="A38" s="62">
        <v>31</v>
      </c>
      <c r="B38" s="63" t="str">
        <f>IF('Students Details'!B37="","",'Students Details'!B37)</f>
        <v/>
      </c>
      <c r="C38" s="64" t="str">
        <f>IF('Students Details'!C37="","",'Students Details'!C37)</f>
        <v/>
      </c>
      <c r="D38" s="65"/>
      <c r="E38" s="65"/>
      <c r="F38" s="65"/>
      <c r="G38" s="65"/>
      <c r="H38" s="65"/>
      <c r="I38" s="66"/>
      <c r="J38" s="67">
        <f t="shared" si="0"/>
        <v>0</v>
      </c>
      <c r="K38" s="61">
        <f t="shared" ref="K38:M38" si="65">D38</f>
        <v>0</v>
      </c>
      <c r="L38" s="61">
        <f t="shared" si="65"/>
        <v>0</v>
      </c>
      <c r="M38" s="61">
        <f t="shared" si="65"/>
        <v>0</v>
      </c>
      <c r="N38" s="61">
        <f>IF('CO-PO Mapping'!$A$10="",0,G38)</f>
        <v>0</v>
      </c>
      <c r="O38" s="61">
        <f>IF('CO-PO Mapping'!$A$11="",0,H38)</f>
        <v>0</v>
      </c>
      <c r="P38" s="61">
        <f>IF('CO-PO Mapping'!$A$12="",0,I38)</f>
        <v>0</v>
      </c>
      <c r="Q38" s="61">
        <f t="shared" si="2"/>
        <v>0</v>
      </c>
      <c r="R38" s="61">
        <f t="shared" ref="R38:W38" si="66">K38</f>
        <v>0</v>
      </c>
      <c r="S38" s="61">
        <f t="shared" si="66"/>
        <v>0</v>
      </c>
      <c r="T38" s="61">
        <f t="shared" si="66"/>
        <v>0</v>
      </c>
      <c r="U38" s="61">
        <f t="shared" si="66"/>
        <v>0</v>
      </c>
      <c r="V38" s="61">
        <f t="shared" si="66"/>
        <v>0</v>
      </c>
      <c r="W38" s="61">
        <f t="shared" si="66"/>
        <v>0</v>
      </c>
      <c r="X38" s="61">
        <f t="shared" si="6"/>
        <v>0</v>
      </c>
    </row>
    <row r="39" spans="1:24" ht="15.75" customHeight="1">
      <c r="A39" s="62">
        <v>32</v>
      </c>
      <c r="B39" s="63" t="str">
        <f>IF('Students Details'!B38="","",'Students Details'!B38)</f>
        <v/>
      </c>
      <c r="C39" s="64" t="str">
        <f>IF('Students Details'!C38="","",'Students Details'!C38)</f>
        <v/>
      </c>
      <c r="D39" s="69"/>
      <c r="E39" s="69"/>
      <c r="F39" s="69"/>
      <c r="G39" s="69"/>
      <c r="H39" s="65"/>
      <c r="I39" s="66"/>
      <c r="J39" s="67">
        <f t="shared" si="0"/>
        <v>0</v>
      </c>
      <c r="K39" s="61">
        <f t="shared" ref="K39:M39" si="67">D39</f>
        <v>0</v>
      </c>
      <c r="L39" s="61">
        <f t="shared" si="67"/>
        <v>0</v>
      </c>
      <c r="M39" s="61">
        <f t="shared" si="67"/>
        <v>0</v>
      </c>
      <c r="N39" s="61">
        <f>IF('CO-PO Mapping'!$A$10="",0,G39)</f>
        <v>0</v>
      </c>
      <c r="O39" s="61">
        <f>IF('CO-PO Mapping'!$A$11="",0,H39)</f>
        <v>0</v>
      </c>
      <c r="P39" s="61">
        <f>IF('CO-PO Mapping'!$A$12="",0,I39)</f>
        <v>0</v>
      </c>
      <c r="Q39" s="61">
        <f t="shared" si="2"/>
        <v>0</v>
      </c>
      <c r="R39" s="61">
        <f t="shared" ref="R39:W39" si="68">K39</f>
        <v>0</v>
      </c>
      <c r="S39" s="61">
        <f t="shared" si="68"/>
        <v>0</v>
      </c>
      <c r="T39" s="61">
        <f t="shared" si="68"/>
        <v>0</v>
      </c>
      <c r="U39" s="61">
        <f t="shared" si="68"/>
        <v>0</v>
      </c>
      <c r="V39" s="61">
        <f t="shared" si="68"/>
        <v>0</v>
      </c>
      <c r="W39" s="61">
        <f t="shared" si="68"/>
        <v>0</v>
      </c>
      <c r="X39" s="61">
        <f t="shared" si="6"/>
        <v>0</v>
      </c>
    </row>
    <row r="40" spans="1:24" ht="15.75" customHeight="1">
      <c r="A40" s="62">
        <v>33</v>
      </c>
      <c r="B40" s="63" t="str">
        <f>IF('Students Details'!B39="","",'Students Details'!B39)</f>
        <v/>
      </c>
      <c r="C40" s="64" t="str">
        <f>IF('Students Details'!C39="","",'Students Details'!C39)</f>
        <v/>
      </c>
      <c r="D40" s="65"/>
      <c r="E40" s="65"/>
      <c r="F40" s="65"/>
      <c r="G40" s="65"/>
      <c r="H40" s="65"/>
      <c r="I40" s="66"/>
      <c r="J40" s="67">
        <f t="shared" si="0"/>
        <v>0</v>
      </c>
      <c r="K40" s="61">
        <f t="shared" ref="K40:M40" si="69">D40</f>
        <v>0</v>
      </c>
      <c r="L40" s="61">
        <f t="shared" si="69"/>
        <v>0</v>
      </c>
      <c r="M40" s="61">
        <f t="shared" si="69"/>
        <v>0</v>
      </c>
      <c r="N40" s="61">
        <f>IF('CO-PO Mapping'!$A$10="",0,G40)</f>
        <v>0</v>
      </c>
      <c r="O40" s="61">
        <f>IF('CO-PO Mapping'!$A$11="",0,H40)</f>
        <v>0</v>
      </c>
      <c r="P40" s="61">
        <f>IF('CO-PO Mapping'!$A$12="",0,I40)</f>
        <v>0</v>
      </c>
      <c r="Q40" s="61">
        <f t="shared" si="2"/>
        <v>0</v>
      </c>
      <c r="R40" s="61">
        <f t="shared" ref="R40:W40" si="70">K40</f>
        <v>0</v>
      </c>
      <c r="S40" s="61">
        <f t="shared" si="70"/>
        <v>0</v>
      </c>
      <c r="T40" s="61">
        <f t="shared" si="70"/>
        <v>0</v>
      </c>
      <c r="U40" s="61">
        <f t="shared" si="70"/>
        <v>0</v>
      </c>
      <c r="V40" s="61">
        <f t="shared" si="70"/>
        <v>0</v>
      </c>
      <c r="W40" s="61">
        <f t="shared" si="70"/>
        <v>0</v>
      </c>
      <c r="X40" s="61">
        <f t="shared" si="6"/>
        <v>0</v>
      </c>
    </row>
    <row r="41" spans="1:24" ht="15.75" customHeight="1">
      <c r="A41" s="62">
        <v>34</v>
      </c>
      <c r="B41" s="63" t="str">
        <f>IF('Students Details'!B40="","",'Students Details'!B40)</f>
        <v/>
      </c>
      <c r="C41" s="64" t="str">
        <f>IF('Students Details'!C40="","",'Students Details'!C40)</f>
        <v/>
      </c>
      <c r="D41" s="69"/>
      <c r="E41" s="69"/>
      <c r="F41" s="69"/>
      <c r="G41" s="69"/>
      <c r="H41" s="65"/>
      <c r="I41" s="66"/>
      <c r="J41" s="67">
        <f t="shared" si="0"/>
        <v>0</v>
      </c>
      <c r="K41" s="61">
        <f t="shared" ref="K41:M41" si="71">D41</f>
        <v>0</v>
      </c>
      <c r="L41" s="61">
        <f t="shared" si="71"/>
        <v>0</v>
      </c>
      <c r="M41" s="61">
        <f t="shared" si="71"/>
        <v>0</v>
      </c>
      <c r="N41" s="61">
        <f>IF('CO-PO Mapping'!$A$10="",0,G41)</f>
        <v>0</v>
      </c>
      <c r="O41" s="61">
        <f>IF('CO-PO Mapping'!$A$11="",0,H41)</f>
        <v>0</v>
      </c>
      <c r="P41" s="61">
        <f>IF('CO-PO Mapping'!$A$12="",0,I41)</f>
        <v>0</v>
      </c>
      <c r="Q41" s="61">
        <f t="shared" si="2"/>
        <v>0</v>
      </c>
      <c r="R41" s="61">
        <f t="shared" ref="R41:W41" si="72">K41</f>
        <v>0</v>
      </c>
      <c r="S41" s="61">
        <f t="shared" si="72"/>
        <v>0</v>
      </c>
      <c r="T41" s="61">
        <f t="shared" si="72"/>
        <v>0</v>
      </c>
      <c r="U41" s="61">
        <f t="shared" si="72"/>
        <v>0</v>
      </c>
      <c r="V41" s="61">
        <f t="shared" si="72"/>
        <v>0</v>
      </c>
      <c r="W41" s="61">
        <f t="shared" si="72"/>
        <v>0</v>
      </c>
      <c r="X41" s="61">
        <f t="shared" si="6"/>
        <v>0</v>
      </c>
    </row>
    <row r="42" spans="1:24" ht="15.75" customHeight="1">
      <c r="A42" s="62">
        <v>35</v>
      </c>
      <c r="B42" s="63" t="str">
        <f>IF('Students Details'!B41="","",'Students Details'!B41)</f>
        <v/>
      </c>
      <c r="C42" s="64" t="str">
        <f>IF('Students Details'!C41="","",'Students Details'!C41)</f>
        <v/>
      </c>
      <c r="D42" s="65"/>
      <c r="E42" s="65"/>
      <c r="F42" s="65"/>
      <c r="G42" s="65"/>
      <c r="H42" s="65"/>
      <c r="I42" s="66"/>
      <c r="J42" s="67">
        <f t="shared" si="0"/>
        <v>0</v>
      </c>
      <c r="K42" s="61">
        <f t="shared" ref="K42:M42" si="73">D42</f>
        <v>0</v>
      </c>
      <c r="L42" s="61">
        <f t="shared" si="73"/>
        <v>0</v>
      </c>
      <c r="M42" s="61">
        <f t="shared" si="73"/>
        <v>0</v>
      </c>
      <c r="N42" s="61">
        <f>IF('CO-PO Mapping'!$A$10="",0,G42)</f>
        <v>0</v>
      </c>
      <c r="O42" s="61">
        <f>IF('CO-PO Mapping'!$A$11="",0,H42)</f>
        <v>0</v>
      </c>
      <c r="P42" s="61">
        <f>IF('CO-PO Mapping'!$A$12="",0,I42)</f>
        <v>0</v>
      </c>
      <c r="Q42" s="61">
        <f t="shared" si="2"/>
        <v>0</v>
      </c>
      <c r="R42" s="61">
        <f t="shared" ref="R42:W42" si="74">K42</f>
        <v>0</v>
      </c>
      <c r="S42" s="61">
        <f t="shared" si="74"/>
        <v>0</v>
      </c>
      <c r="T42" s="61">
        <f t="shared" si="74"/>
        <v>0</v>
      </c>
      <c r="U42" s="61">
        <f t="shared" si="74"/>
        <v>0</v>
      </c>
      <c r="V42" s="61">
        <f t="shared" si="74"/>
        <v>0</v>
      </c>
      <c r="W42" s="61">
        <f t="shared" si="74"/>
        <v>0</v>
      </c>
      <c r="X42" s="61">
        <f t="shared" si="6"/>
        <v>0</v>
      </c>
    </row>
    <row r="43" spans="1:24" ht="15.75" customHeight="1">
      <c r="A43" s="62">
        <v>36</v>
      </c>
      <c r="B43" s="63" t="str">
        <f>IF('Students Details'!B42="","",'Students Details'!B42)</f>
        <v/>
      </c>
      <c r="C43" s="64" t="str">
        <f>IF('Students Details'!C42="","",'Students Details'!C42)</f>
        <v/>
      </c>
      <c r="D43" s="69"/>
      <c r="E43" s="69"/>
      <c r="F43" s="69"/>
      <c r="G43" s="69"/>
      <c r="H43" s="65"/>
      <c r="I43" s="66"/>
      <c r="J43" s="67">
        <f t="shared" si="0"/>
        <v>0</v>
      </c>
      <c r="K43" s="61">
        <f t="shared" ref="K43:M43" si="75">D43</f>
        <v>0</v>
      </c>
      <c r="L43" s="61">
        <f t="shared" si="75"/>
        <v>0</v>
      </c>
      <c r="M43" s="61">
        <f t="shared" si="75"/>
        <v>0</v>
      </c>
      <c r="N43" s="61">
        <f>IF('CO-PO Mapping'!$A$10="",0,G43)</f>
        <v>0</v>
      </c>
      <c r="O43" s="61">
        <f>IF('CO-PO Mapping'!$A$11="",0,H43)</f>
        <v>0</v>
      </c>
      <c r="P43" s="61">
        <f>IF('CO-PO Mapping'!$A$12="",0,I43)</f>
        <v>0</v>
      </c>
      <c r="Q43" s="61">
        <f t="shared" si="2"/>
        <v>0</v>
      </c>
      <c r="R43" s="61">
        <f t="shared" ref="R43:W43" si="76">K43</f>
        <v>0</v>
      </c>
      <c r="S43" s="61">
        <f t="shared" si="76"/>
        <v>0</v>
      </c>
      <c r="T43" s="61">
        <f t="shared" si="76"/>
        <v>0</v>
      </c>
      <c r="U43" s="61">
        <f t="shared" si="76"/>
        <v>0</v>
      </c>
      <c r="V43" s="61">
        <f t="shared" si="76"/>
        <v>0</v>
      </c>
      <c r="W43" s="61">
        <f t="shared" si="76"/>
        <v>0</v>
      </c>
      <c r="X43" s="61">
        <f t="shared" si="6"/>
        <v>0</v>
      </c>
    </row>
    <row r="44" spans="1:24" ht="15.75" customHeight="1">
      <c r="A44" s="62">
        <v>37</v>
      </c>
      <c r="B44" s="63" t="str">
        <f>IF('Students Details'!B43="","",'Students Details'!B43)</f>
        <v/>
      </c>
      <c r="C44" s="64" t="str">
        <f>IF('Students Details'!C43="","",'Students Details'!C43)</f>
        <v/>
      </c>
      <c r="D44" s="65"/>
      <c r="E44" s="65"/>
      <c r="F44" s="65"/>
      <c r="G44" s="65"/>
      <c r="H44" s="65"/>
      <c r="I44" s="66"/>
      <c r="J44" s="67">
        <f t="shared" si="0"/>
        <v>0</v>
      </c>
      <c r="K44" s="61">
        <f t="shared" ref="K44:M44" si="77">D44</f>
        <v>0</v>
      </c>
      <c r="L44" s="61">
        <f t="shared" si="77"/>
        <v>0</v>
      </c>
      <c r="M44" s="61">
        <f t="shared" si="77"/>
        <v>0</v>
      </c>
      <c r="N44" s="61">
        <f>IF('CO-PO Mapping'!$A$10="",0,G44)</f>
        <v>0</v>
      </c>
      <c r="O44" s="61">
        <f>IF('CO-PO Mapping'!$A$11="",0,H44)</f>
        <v>0</v>
      </c>
      <c r="P44" s="61">
        <f>IF('CO-PO Mapping'!$A$12="",0,I44)</f>
        <v>0</v>
      </c>
      <c r="Q44" s="61">
        <f t="shared" si="2"/>
        <v>0</v>
      </c>
      <c r="R44" s="61">
        <f t="shared" ref="R44:W44" si="78">K44</f>
        <v>0</v>
      </c>
      <c r="S44" s="61">
        <f t="shared" si="78"/>
        <v>0</v>
      </c>
      <c r="T44" s="61">
        <f t="shared" si="78"/>
        <v>0</v>
      </c>
      <c r="U44" s="61">
        <f t="shared" si="78"/>
        <v>0</v>
      </c>
      <c r="V44" s="61">
        <f t="shared" si="78"/>
        <v>0</v>
      </c>
      <c r="W44" s="61">
        <f t="shared" si="78"/>
        <v>0</v>
      </c>
      <c r="X44" s="61">
        <f t="shared" si="6"/>
        <v>0</v>
      </c>
    </row>
    <row r="45" spans="1:24" ht="15.75" customHeight="1">
      <c r="A45" s="62">
        <v>38</v>
      </c>
      <c r="B45" s="63" t="str">
        <f>IF('Students Details'!B44="","",'Students Details'!B44)</f>
        <v/>
      </c>
      <c r="C45" s="64" t="str">
        <f>IF('Students Details'!C44="","",'Students Details'!C44)</f>
        <v/>
      </c>
      <c r="D45" s="69"/>
      <c r="E45" s="69"/>
      <c r="F45" s="69"/>
      <c r="G45" s="69"/>
      <c r="H45" s="65"/>
      <c r="I45" s="66"/>
      <c r="J45" s="67">
        <f t="shared" si="0"/>
        <v>0</v>
      </c>
      <c r="K45" s="61">
        <f t="shared" ref="K45:M45" si="79">D45</f>
        <v>0</v>
      </c>
      <c r="L45" s="61">
        <f t="shared" si="79"/>
        <v>0</v>
      </c>
      <c r="M45" s="61">
        <f t="shared" si="79"/>
        <v>0</v>
      </c>
      <c r="N45" s="61">
        <f>IF('CO-PO Mapping'!$A$10="",0,G45)</f>
        <v>0</v>
      </c>
      <c r="O45" s="61">
        <f>IF('CO-PO Mapping'!$A$11="",0,H45)</f>
        <v>0</v>
      </c>
      <c r="P45" s="61">
        <f>IF('CO-PO Mapping'!$A$12="",0,I45)</f>
        <v>0</v>
      </c>
      <c r="Q45" s="61">
        <f t="shared" si="2"/>
        <v>0</v>
      </c>
      <c r="R45" s="61">
        <f t="shared" ref="R45:W45" si="80">K45</f>
        <v>0</v>
      </c>
      <c r="S45" s="61">
        <f t="shared" si="80"/>
        <v>0</v>
      </c>
      <c r="T45" s="61">
        <f t="shared" si="80"/>
        <v>0</v>
      </c>
      <c r="U45" s="61">
        <f t="shared" si="80"/>
        <v>0</v>
      </c>
      <c r="V45" s="61">
        <f t="shared" si="80"/>
        <v>0</v>
      </c>
      <c r="W45" s="61">
        <f t="shared" si="80"/>
        <v>0</v>
      </c>
      <c r="X45" s="61">
        <f t="shared" si="6"/>
        <v>0</v>
      </c>
    </row>
    <row r="46" spans="1:24" ht="15.75" customHeight="1">
      <c r="A46" s="62">
        <v>39</v>
      </c>
      <c r="B46" s="63" t="str">
        <f>IF('Students Details'!B45="","",'Students Details'!B45)</f>
        <v/>
      </c>
      <c r="C46" s="64" t="str">
        <f>IF('Students Details'!C45="","",'Students Details'!C45)</f>
        <v/>
      </c>
      <c r="D46" s="65"/>
      <c r="E46" s="65"/>
      <c r="F46" s="65"/>
      <c r="G46" s="65"/>
      <c r="H46" s="65"/>
      <c r="I46" s="66"/>
      <c r="J46" s="67">
        <f t="shared" si="0"/>
        <v>0</v>
      </c>
      <c r="K46" s="61">
        <f t="shared" ref="K46:M46" si="81">D46</f>
        <v>0</v>
      </c>
      <c r="L46" s="61">
        <f t="shared" si="81"/>
        <v>0</v>
      </c>
      <c r="M46" s="61">
        <f t="shared" si="81"/>
        <v>0</v>
      </c>
      <c r="N46" s="61">
        <f>IF('CO-PO Mapping'!$A$10="",0,G46)</f>
        <v>0</v>
      </c>
      <c r="O46" s="61">
        <f>IF('CO-PO Mapping'!$A$11="",0,H46)</f>
        <v>0</v>
      </c>
      <c r="P46" s="61">
        <f>IF('CO-PO Mapping'!$A$12="",0,I46)</f>
        <v>0</v>
      </c>
      <c r="Q46" s="61">
        <f t="shared" si="2"/>
        <v>0</v>
      </c>
      <c r="R46" s="61">
        <f t="shared" ref="R46:W46" si="82">K46</f>
        <v>0</v>
      </c>
      <c r="S46" s="61">
        <f t="shared" si="82"/>
        <v>0</v>
      </c>
      <c r="T46" s="61">
        <f t="shared" si="82"/>
        <v>0</v>
      </c>
      <c r="U46" s="61">
        <f t="shared" si="82"/>
        <v>0</v>
      </c>
      <c r="V46" s="61">
        <f t="shared" si="82"/>
        <v>0</v>
      </c>
      <c r="W46" s="61">
        <f t="shared" si="82"/>
        <v>0</v>
      </c>
      <c r="X46" s="61">
        <f t="shared" si="6"/>
        <v>0</v>
      </c>
    </row>
    <row r="47" spans="1:24" ht="15.75" customHeight="1">
      <c r="A47" s="62">
        <v>40</v>
      </c>
      <c r="B47" s="63" t="str">
        <f>IF('Students Details'!B46="","",'Students Details'!B46)</f>
        <v/>
      </c>
      <c r="C47" s="64" t="str">
        <f>IF('Students Details'!C46="","",'Students Details'!C46)</f>
        <v/>
      </c>
      <c r="D47" s="69"/>
      <c r="E47" s="69"/>
      <c r="F47" s="69"/>
      <c r="G47" s="69"/>
      <c r="H47" s="65"/>
      <c r="I47" s="66"/>
      <c r="J47" s="67">
        <f t="shared" si="0"/>
        <v>0</v>
      </c>
      <c r="K47" s="61">
        <f t="shared" ref="K47:M47" si="83">D47</f>
        <v>0</v>
      </c>
      <c r="L47" s="61">
        <f t="shared" si="83"/>
        <v>0</v>
      </c>
      <c r="M47" s="61">
        <f t="shared" si="83"/>
        <v>0</v>
      </c>
      <c r="N47" s="61">
        <f>IF('CO-PO Mapping'!$A$10="",0,G47)</f>
        <v>0</v>
      </c>
      <c r="O47" s="61">
        <f>IF('CO-PO Mapping'!$A$11="",0,H47)</f>
        <v>0</v>
      </c>
      <c r="P47" s="61">
        <f>IF('CO-PO Mapping'!$A$12="",0,I47)</f>
        <v>0</v>
      </c>
      <c r="Q47" s="61">
        <f t="shared" si="2"/>
        <v>0</v>
      </c>
      <c r="R47" s="61">
        <f t="shared" ref="R47:W47" si="84">K47</f>
        <v>0</v>
      </c>
      <c r="S47" s="61">
        <f t="shared" si="84"/>
        <v>0</v>
      </c>
      <c r="T47" s="61">
        <f t="shared" si="84"/>
        <v>0</v>
      </c>
      <c r="U47" s="61">
        <f t="shared" si="84"/>
        <v>0</v>
      </c>
      <c r="V47" s="61">
        <f t="shared" si="84"/>
        <v>0</v>
      </c>
      <c r="W47" s="61">
        <f t="shared" si="84"/>
        <v>0</v>
      </c>
      <c r="X47" s="61">
        <f t="shared" si="6"/>
        <v>0</v>
      </c>
    </row>
    <row r="48" spans="1:24" ht="15.75" customHeight="1">
      <c r="A48" s="62">
        <v>41</v>
      </c>
      <c r="B48" s="63" t="str">
        <f>IF('Students Details'!B47="","",'Students Details'!B47)</f>
        <v/>
      </c>
      <c r="C48" s="64" t="str">
        <f>IF('Students Details'!C47="","",'Students Details'!C47)</f>
        <v/>
      </c>
      <c r="D48" s="65"/>
      <c r="E48" s="65"/>
      <c r="F48" s="65"/>
      <c r="G48" s="65"/>
      <c r="H48" s="65"/>
      <c r="I48" s="66"/>
      <c r="J48" s="67">
        <f t="shared" si="0"/>
        <v>0</v>
      </c>
      <c r="K48" s="61">
        <f t="shared" ref="K48:M48" si="85">D48</f>
        <v>0</v>
      </c>
      <c r="L48" s="61">
        <f t="shared" si="85"/>
        <v>0</v>
      </c>
      <c r="M48" s="61">
        <f t="shared" si="85"/>
        <v>0</v>
      </c>
      <c r="N48" s="61">
        <f>IF('CO-PO Mapping'!$A$10="",0,G48)</f>
        <v>0</v>
      </c>
      <c r="O48" s="61">
        <f>IF('CO-PO Mapping'!$A$11="",0,H48)</f>
        <v>0</v>
      </c>
      <c r="P48" s="61">
        <f>IF('CO-PO Mapping'!$A$12="",0,I48)</f>
        <v>0</v>
      </c>
      <c r="Q48" s="61">
        <f t="shared" si="2"/>
        <v>0</v>
      </c>
      <c r="R48" s="61">
        <f t="shared" ref="R48:W48" si="86">K48</f>
        <v>0</v>
      </c>
      <c r="S48" s="61">
        <f t="shared" si="86"/>
        <v>0</v>
      </c>
      <c r="T48" s="61">
        <f t="shared" si="86"/>
        <v>0</v>
      </c>
      <c r="U48" s="61">
        <f t="shared" si="86"/>
        <v>0</v>
      </c>
      <c r="V48" s="61">
        <f t="shared" si="86"/>
        <v>0</v>
      </c>
      <c r="W48" s="61">
        <f t="shared" si="86"/>
        <v>0</v>
      </c>
      <c r="X48" s="61">
        <f t="shared" si="6"/>
        <v>0</v>
      </c>
    </row>
    <row r="49" spans="1:24" ht="15.75" customHeight="1">
      <c r="A49" s="62">
        <v>42</v>
      </c>
      <c r="B49" s="63" t="str">
        <f>IF('Students Details'!B48="","",'Students Details'!B48)</f>
        <v/>
      </c>
      <c r="C49" s="64" t="str">
        <f>IF('Students Details'!C48="","",'Students Details'!C48)</f>
        <v/>
      </c>
      <c r="D49" s="69"/>
      <c r="E49" s="69"/>
      <c r="F49" s="69"/>
      <c r="G49" s="69"/>
      <c r="H49" s="65"/>
      <c r="I49" s="66"/>
      <c r="J49" s="67">
        <f t="shared" si="0"/>
        <v>0</v>
      </c>
      <c r="K49" s="61">
        <f t="shared" ref="K49:M49" si="87">D49</f>
        <v>0</v>
      </c>
      <c r="L49" s="61">
        <f t="shared" si="87"/>
        <v>0</v>
      </c>
      <c r="M49" s="61">
        <f t="shared" si="87"/>
        <v>0</v>
      </c>
      <c r="N49" s="61">
        <f>IF('CO-PO Mapping'!$A$10="",0,G49)</f>
        <v>0</v>
      </c>
      <c r="O49" s="61">
        <f>IF('CO-PO Mapping'!$A$11="",0,H49)</f>
        <v>0</v>
      </c>
      <c r="P49" s="61">
        <f>IF('CO-PO Mapping'!$A$12="",0,I49)</f>
        <v>0</v>
      </c>
      <c r="Q49" s="61">
        <f t="shared" si="2"/>
        <v>0</v>
      </c>
      <c r="R49" s="61">
        <f t="shared" ref="R49:W49" si="88">K49</f>
        <v>0</v>
      </c>
      <c r="S49" s="61">
        <f t="shared" si="88"/>
        <v>0</v>
      </c>
      <c r="T49" s="61">
        <f t="shared" si="88"/>
        <v>0</v>
      </c>
      <c r="U49" s="61">
        <f t="shared" si="88"/>
        <v>0</v>
      </c>
      <c r="V49" s="61">
        <f t="shared" si="88"/>
        <v>0</v>
      </c>
      <c r="W49" s="61">
        <f t="shared" si="88"/>
        <v>0</v>
      </c>
      <c r="X49" s="61">
        <f t="shared" si="6"/>
        <v>0</v>
      </c>
    </row>
    <row r="50" spans="1:24" ht="15.75" customHeight="1">
      <c r="A50" s="62">
        <v>43</v>
      </c>
      <c r="B50" s="63" t="str">
        <f>IF('Students Details'!B49="","",'Students Details'!B49)</f>
        <v/>
      </c>
      <c r="C50" s="64" t="str">
        <f>IF('Students Details'!C49="","",'Students Details'!C49)</f>
        <v/>
      </c>
      <c r="D50" s="65"/>
      <c r="E50" s="65"/>
      <c r="F50" s="65"/>
      <c r="G50" s="65"/>
      <c r="H50" s="65"/>
      <c r="I50" s="66"/>
      <c r="J50" s="67">
        <f t="shared" si="0"/>
        <v>0</v>
      </c>
      <c r="K50" s="61">
        <f t="shared" ref="K50:M50" si="89">D50</f>
        <v>0</v>
      </c>
      <c r="L50" s="61">
        <f t="shared" si="89"/>
        <v>0</v>
      </c>
      <c r="M50" s="61">
        <f t="shared" si="89"/>
        <v>0</v>
      </c>
      <c r="N50" s="61">
        <f>IF('CO-PO Mapping'!$A$10="",0,G50)</f>
        <v>0</v>
      </c>
      <c r="O50" s="61">
        <f>IF('CO-PO Mapping'!$A$11="",0,H50)</f>
        <v>0</v>
      </c>
      <c r="P50" s="61">
        <f>IF('CO-PO Mapping'!$A$12="",0,I50)</f>
        <v>0</v>
      </c>
      <c r="Q50" s="61">
        <f t="shared" si="2"/>
        <v>0</v>
      </c>
      <c r="R50" s="61">
        <f t="shared" ref="R50:W50" si="90">K50</f>
        <v>0</v>
      </c>
      <c r="S50" s="61">
        <f t="shared" si="90"/>
        <v>0</v>
      </c>
      <c r="T50" s="61">
        <f t="shared" si="90"/>
        <v>0</v>
      </c>
      <c r="U50" s="61">
        <f t="shared" si="90"/>
        <v>0</v>
      </c>
      <c r="V50" s="61">
        <f t="shared" si="90"/>
        <v>0</v>
      </c>
      <c r="W50" s="61">
        <f t="shared" si="90"/>
        <v>0</v>
      </c>
      <c r="X50" s="61">
        <f t="shared" si="6"/>
        <v>0</v>
      </c>
    </row>
    <row r="51" spans="1:24" ht="15.75" customHeight="1">
      <c r="A51" s="62">
        <v>44</v>
      </c>
      <c r="B51" s="63" t="str">
        <f>IF('Students Details'!B50="","",'Students Details'!B50)</f>
        <v/>
      </c>
      <c r="C51" s="64" t="str">
        <f>IF('Students Details'!C50="","",'Students Details'!C50)</f>
        <v/>
      </c>
      <c r="D51" s="69"/>
      <c r="E51" s="69"/>
      <c r="F51" s="69"/>
      <c r="G51" s="69"/>
      <c r="H51" s="65"/>
      <c r="I51" s="66"/>
      <c r="J51" s="67">
        <f t="shared" si="0"/>
        <v>0</v>
      </c>
      <c r="K51" s="61">
        <f t="shared" ref="K51:M51" si="91">D51</f>
        <v>0</v>
      </c>
      <c r="L51" s="61">
        <f t="shared" si="91"/>
        <v>0</v>
      </c>
      <c r="M51" s="61">
        <f t="shared" si="91"/>
        <v>0</v>
      </c>
      <c r="N51" s="61">
        <f>IF('CO-PO Mapping'!$A$10="",0,G51)</f>
        <v>0</v>
      </c>
      <c r="O51" s="61">
        <f>IF('CO-PO Mapping'!$A$11="",0,H51)</f>
        <v>0</v>
      </c>
      <c r="P51" s="61">
        <f>IF('CO-PO Mapping'!$A$12="",0,I51)</f>
        <v>0</v>
      </c>
      <c r="Q51" s="61">
        <f t="shared" si="2"/>
        <v>0</v>
      </c>
      <c r="R51" s="61">
        <f t="shared" ref="R51:W51" si="92">K51</f>
        <v>0</v>
      </c>
      <c r="S51" s="61">
        <f t="shared" si="92"/>
        <v>0</v>
      </c>
      <c r="T51" s="61">
        <f t="shared" si="92"/>
        <v>0</v>
      </c>
      <c r="U51" s="61">
        <f t="shared" si="92"/>
        <v>0</v>
      </c>
      <c r="V51" s="61">
        <f t="shared" si="92"/>
        <v>0</v>
      </c>
      <c r="W51" s="61">
        <f t="shared" si="92"/>
        <v>0</v>
      </c>
      <c r="X51" s="61">
        <f t="shared" si="6"/>
        <v>0</v>
      </c>
    </row>
    <row r="52" spans="1:24" ht="15.75" customHeight="1">
      <c r="A52" s="62">
        <v>45</v>
      </c>
      <c r="B52" s="63" t="str">
        <f>IF('Students Details'!B51="","",'Students Details'!B51)</f>
        <v/>
      </c>
      <c r="C52" s="64" t="str">
        <f>IF('Students Details'!C51="","",'Students Details'!C51)</f>
        <v/>
      </c>
      <c r="D52" s="65"/>
      <c r="E52" s="65"/>
      <c r="F52" s="65"/>
      <c r="G52" s="65"/>
      <c r="H52" s="65"/>
      <c r="I52" s="66"/>
      <c r="J52" s="67">
        <f t="shared" si="0"/>
        <v>0</v>
      </c>
      <c r="K52" s="61">
        <f t="shared" ref="K52:M52" si="93">D52</f>
        <v>0</v>
      </c>
      <c r="L52" s="61">
        <f t="shared" si="93"/>
        <v>0</v>
      </c>
      <c r="M52" s="61">
        <f t="shared" si="93"/>
        <v>0</v>
      </c>
      <c r="N52" s="61">
        <f>IF('CO-PO Mapping'!$A$10="",0,G52)</f>
        <v>0</v>
      </c>
      <c r="O52" s="61">
        <f>IF('CO-PO Mapping'!$A$11="",0,H52)</f>
        <v>0</v>
      </c>
      <c r="P52" s="61">
        <f>IF('CO-PO Mapping'!$A$12="",0,I52)</f>
        <v>0</v>
      </c>
      <c r="Q52" s="61">
        <f t="shared" si="2"/>
        <v>0</v>
      </c>
      <c r="R52" s="61">
        <f t="shared" ref="R52:W52" si="94">K52</f>
        <v>0</v>
      </c>
      <c r="S52" s="61">
        <f t="shared" si="94"/>
        <v>0</v>
      </c>
      <c r="T52" s="61">
        <f t="shared" si="94"/>
        <v>0</v>
      </c>
      <c r="U52" s="61">
        <f t="shared" si="94"/>
        <v>0</v>
      </c>
      <c r="V52" s="61">
        <f t="shared" si="94"/>
        <v>0</v>
      </c>
      <c r="W52" s="61">
        <f t="shared" si="94"/>
        <v>0</v>
      </c>
      <c r="X52" s="61">
        <f t="shared" si="6"/>
        <v>0</v>
      </c>
    </row>
    <row r="53" spans="1:24" ht="15.75" customHeight="1">
      <c r="A53" s="62">
        <v>46</v>
      </c>
      <c r="B53" s="63" t="str">
        <f>IF('Students Details'!B52="","",'Students Details'!B52)</f>
        <v/>
      </c>
      <c r="C53" s="64" t="str">
        <f>IF('Students Details'!C52="","",'Students Details'!C52)</f>
        <v/>
      </c>
      <c r="D53" s="69"/>
      <c r="E53" s="69"/>
      <c r="F53" s="69"/>
      <c r="G53" s="69"/>
      <c r="H53" s="65"/>
      <c r="I53" s="66"/>
      <c r="J53" s="67">
        <f t="shared" si="0"/>
        <v>0</v>
      </c>
      <c r="K53" s="61">
        <f t="shared" ref="K53:M53" si="95">D53</f>
        <v>0</v>
      </c>
      <c r="L53" s="61">
        <f t="shared" si="95"/>
        <v>0</v>
      </c>
      <c r="M53" s="61">
        <f t="shared" si="95"/>
        <v>0</v>
      </c>
      <c r="N53" s="61">
        <f>IF('CO-PO Mapping'!$A$10="",0,G53)</f>
        <v>0</v>
      </c>
      <c r="O53" s="61">
        <f>IF('CO-PO Mapping'!$A$11="",0,H53)</f>
        <v>0</v>
      </c>
      <c r="P53" s="61">
        <f>IF('CO-PO Mapping'!$A$12="",0,I53)</f>
        <v>0</v>
      </c>
      <c r="Q53" s="61">
        <f t="shared" si="2"/>
        <v>0</v>
      </c>
      <c r="R53" s="61">
        <f t="shared" ref="R53:W53" si="96">K53</f>
        <v>0</v>
      </c>
      <c r="S53" s="61">
        <f t="shared" si="96"/>
        <v>0</v>
      </c>
      <c r="T53" s="61">
        <f t="shared" si="96"/>
        <v>0</v>
      </c>
      <c r="U53" s="61">
        <f t="shared" si="96"/>
        <v>0</v>
      </c>
      <c r="V53" s="61">
        <f t="shared" si="96"/>
        <v>0</v>
      </c>
      <c r="W53" s="61">
        <f t="shared" si="96"/>
        <v>0</v>
      </c>
      <c r="X53" s="61">
        <f t="shared" si="6"/>
        <v>0</v>
      </c>
    </row>
    <row r="54" spans="1:24" ht="15.75" customHeight="1">
      <c r="A54" s="62">
        <v>47</v>
      </c>
      <c r="B54" s="63" t="str">
        <f>IF('Students Details'!B53="","",'Students Details'!B53)</f>
        <v/>
      </c>
      <c r="C54" s="64" t="str">
        <f>IF('Students Details'!C53="","",'Students Details'!C53)</f>
        <v/>
      </c>
      <c r="D54" s="65"/>
      <c r="E54" s="65"/>
      <c r="F54" s="65"/>
      <c r="G54" s="65"/>
      <c r="H54" s="65"/>
      <c r="I54" s="66"/>
      <c r="J54" s="67">
        <f t="shared" si="0"/>
        <v>0</v>
      </c>
      <c r="K54" s="61">
        <f t="shared" ref="K54:M54" si="97">D54</f>
        <v>0</v>
      </c>
      <c r="L54" s="61">
        <f t="shared" si="97"/>
        <v>0</v>
      </c>
      <c r="M54" s="61">
        <f t="shared" si="97"/>
        <v>0</v>
      </c>
      <c r="N54" s="61">
        <f>IF('CO-PO Mapping'!$A$10="",0,G54)</f>
        <v>0</v>
      </c>
      <c r="O54" s="61">
        <f>IF('CO-PO Mapping'!$A$11="",0,H54)</f>
        <v>0</v>
      </c>
      <c r="P54" s="61">
        <f>IF('CO-PO Mapping'!$A$12="",0,I54)</f>
        <v>0</v>
      </c>
      <c r="Q54" s="61">
        <f t="shared" si="2"/>
        <v>0</v>
      </c>
      <c r="R54" s="61">
        <f t="shared" ref="R54:W54" si="98">K54</f>
        <v>0</v>
      </c>
      <c r="S54" s="61">
        <f t="shared" si="98"/>
        <v>0</v>
      </c>
      <c r="T54" s="61">
        <f t="shared" si="98"/>
        <v>0</v>
      </c>
      <c r="U54" s="61">
        <f t="shared" si="98"/>
        <v>0</v>
      </c>
      <c r="V54" s="61">
        <f t="shared" si="98"/>
        <v>0</v>
      </c>
      <c r="W54" s="61">
        <f t="shared" si="98"/>
        <v>0</v>
      </c>
      <c r="X54" s="61">
        <f t="shared" si="6"/>
        <v>0</v>
      </c>
    </row>
    <row r="55" spans="1:24" ht="15.75" customHeight="1">
      <c r="A55" s="62">
        <v>48</v>
      </c>
      <c r="B55" s="63" t="str">
        <f>IF('Students Details'!B54="","",'Students Details'!B54)</f>
        <v/>
      </c>
      <c r="C55" s="64" t="str">
        <f>IF('Students Details'!C54="","",'Students Details'!C54)</f>
        <v/>
      </c>
      <c r="D55" s="69"/>
      <c r="E55" s="69"/>
      <c r="F55" s="69"/>
      <c r="G55" s="69"/>
      <c r="H55" s="65"/>
      <c r="I55" s="66"/>
      <c r="J55" s="67">
        <f t="shared" si="0"/>
        <v>0</v>
      </c>
      <c r="K55" s="61">
        <f t="shared" ref="K55:M55" si="99">D55</f>
        <v>0</v>
      </c>
      <c r="L55" s="61">
        <f t="shared" si="99"/>
        <v>0</v>
      </c>
      <c r="M55" s="61">
        <f t="shared" si="99"/>
        <v>0</v>
      </c>
      <c r="N55" s="61">
        <f>IF('CO-PO Mapping'!$A$10="",0,G55)</f>
        <v>0</v>
      </c>
      <c r="O55" s="61">
        <f>IF('CO-PO Mapping'!$A$11="",0,H55)</f>
        <v>0</v>
      </c>
      <c r="P55" s="61">
        <f>IF('CO-PO Mapping'!$A$12="",0,I55)</f>
        <v>0</v>
      </c>
      <c r="Q55" s="61">
        <f t="shared" si="2"/>
        <v>0</v>
      </c>
      <c r="R55" s="61">
        <f t="shared" ref="R55:W55" si="100">K55</f>
        <v>0</v>
      </c>
      <c r="S55" s="61">
        <f t="shared" si="100"/>
        <v>0</v>
      </c>
      <c r="T55" s="61">
        <f t="shared" si="100"/>
        <v>0</v>
      </c>
      <c r="U55" s="61">
        <f t="shared" si="100"/>
        <v>0</v>
      </c>
      <c r="V55" s="61">
        <f t="shared" si="100"/>
        <v>0</v>
      </c>
      <c r="W55" s="61">
        <f t="shared" si="100"/>
        <v>0</v>
      </c>
      <c r="X55" s="61">
        <f t="shared" si="6"/>
        <v>0</v>
      </c>
    </row>
    <row r="56" spans="1:24" ht="15.75" customHeight="1">
      <c r="A56" s="62">
        <v>49</v>
      </c>
      <c r="B56" s="63" t="str">
        <f>IF('Students Details'!B55="","",'Students Details'!B55)</f>
        <v/>
      </c>
      <c r="C56" s="64" t="str">
        <f>IF('Students Details'!C55="","",'Students Details'!C55)</f>
        <v/>
      </c>
      <c r="D56" s="65"/>
      <c r="E56" s="65"/>
      <c r="F56" s="65"/>
      <c r="G56" s="65"/>
      <c r="H56" s="65"/>
      <c r="I56" s="66"/>
      <c r="J56" s="67">
        <f t="shared" si="0"/>
        <v>0</v>
      </c>
      <c r="K56" s="61">
        <f t="shared" ref="K56:M56" si="101">D56</f>
        <v>0</v>
      </c>
      <c r="L56" s="61">
        <f t="shared" si="101"/>
        <v>0</v>
      </c>
      <c r="M56" s="61">
        <f t="shared" si="101"/>
        <v>0</v>
      </c>
      <c r="N56" s="61">
        <f>IF('CO-PO Mapping'!$A$10="",0,G56)</f>
        <v>0</v>
      </c>
      <c r="O56" s="61">
        <f>IF('CO-PO Mapping'!$A$11="",0,H56)</f>
        <v>0</v>
      </c>
      <c r="P56" s="61">
        <f>IF('CO-PO Mapping'!$A$12="",0,I56)</f>
        <v>0</v>
      </c>
      <c r="Q56" s="61">
        <f t="shared" si="2"/>
        <v>0</v>
      </c>
      <c r="R56" s="61">
        <f t="shared" ref="R56:W56" si="102">K56</f>
        <v>0</v>
      </c>
      <c r="S56" s="61">
        <f t="shared" si="102"/>
        <v>0</v>
      </c>
      <c r="T56" s="61">
        <f t="shared" si="102"/>
        <v>0</v>
      </c>
      <c r="U56" s="61">
        <f t="shared" si="102"/>
        <v>0</v>
      </c>
      <c r="V56" s="61">
        <f t="shared" si="102"/>
        <v>0</v>
      </c>
      <c r="W56" s="61">
        <f t="shared" si="102"/>
        <v>0</v>
      </c>
      <c r="X56" s="61">
        <f t="shared" si="6"/>
        <v>0</v>
      </c>
    </row>
    <row r="57" spans="1:24" ht="15.75" customHeight="1">
      <c r="A57" s="62">
        <v>50</v>
      </c>
      <c r="B57" s="63" t="str">
        <f>IF('Students Details'!B56="","",'Students Details'!B56)</f>
        <v/>
      </c>
      <c r="C57" s="64" t="str">
        <f>IF('Students Details'!C56="","",'Students Details'!C56)</f>
        <v/>
      </c>
      <c r="D57" s="69"/>
      <c r="E57" s="69"/>
      <c r="F57" s="69"/>
      <c r="G57" s="69"/>
      <c r="H57" s="65"/>
      <c r="I57" s="66"/>
      <c r="J57" s="67">
        <f t="shared" si="0"/>
        <v>0</v>
      </c>
      <c r="K57" s="61">
        <f t="shared" ref="K57:M57" si="103">D57</f>
        <v>0</v>
      </c>
      <c r="L57" s="61">
        <f t="shared" si="103"/>
        <v>0</v>
      </c>
      <c r="M57" s="61">
        <f t="shared" si="103"/>
        <v>0</v>
      </c>
      <c r="N57" s="61">
        <f>IF('CO-PO Mapping'!$A$10="",0,G57)</f>
        <v>0</v>
      </c>
      <c r="O57" s="61">
        <f>IF('CO-PO Mapping'!$A$11="",0,H57)</f>
        <v>0</v>
      </c>
      <c r="P57" s="61">
        <f>IF('CO-PO Mapping'!$A$12="",0,I57)</f>
        <v>0</v>
      </c>
      <c r="Q57" s="61">
        <f t="shared" si="2"/>
        <v>0</v>
      </c>
      <c r="R57" s="61">
        <f t="shared" ref="R57:W57" si="104">K57</f>
        <v>0</v>
      </c>
      <c r="S57" s="61">
        <f t="shared" si="104"/>
        <v>0</v>
      </c>
      <c r="T57" s="61">
        <f t="shared" si="104"/>
        <v>0</v>
      </c>
      <c r="U57" s="61">
        <f t="shared" si="104"/>
        <v>0</v>
      </c>
      <c r="V57" s="61">
        <f t="shared" si="104"/>
        <v>0</v>
      </c>
      <c r="W57" s="61">
        <f t="shared" si="104"/>
        <v>0</v>
      </c>
      <c r="X57" s="61">
        <f t="shared" si="6"/>
        <v>0</v>
      </c>
    </row>
    <row r="58" spans="1:24" ht="15.75" customHeight="1">
      <c r="A58" s="62">
        <v>51</v>
      </c>
      <c r="B58" s="63" t="str">
        <f>IF('Students Details'!B57="","",'Students Details'!B57)</f>
        <v/>
      </c>
      <c r="C58" s="64" t="str">
        <f>IF('Students Details'!C57="","",'Students Details'!C57)</f>
        <v/>
      </c>
      <c r="D58" s="65"/>
      <c r="E58" s="65"/>
      <c r="F58" s="65"/>
      <c r="G58" s="65"/>
      <c r="H58" s="65"/>
      <c r="I58" s="66"/>
      <c r="J58" s="67">
        <f t="shared" si="0"/>
        <v>0</v>
      </c>
      <c r="K58" s="61">
        <f t="shared" ref="K58:M58" si="105">D58</f>
        <v>0</v>
      </c>
      <c r="L58" s="61">
        <f t="shared" si="105"/>
        <v>0</v>
      </c>
      <c r="M58" s="61">
        <f t="shared" si="105"/>
        <v>0</v>
      </c>
      <c r="N58" s="61">
        <f>IF('CO-PO Mapping'!$A$10="",0,G58)</f>
        <v>0</v>
      </c>
      <c r="O58" s="61">
        <f>IF('CO-PO Mapping'!$A$11="",0,H58)</f>
        <v>0</v>
      </c>
      <c r="P58" s="61">
        <f>IF('CO-PO Mapping'!$A$12="",0,I58)</f>
        <v>0</v>
      </c>
      <c r="Q58" s="61">
        <f t="shared" si="2"/>
        <v>0</v>
      </c>
      <c r="R58" s="61">
        <f t="shared" ref="R58:W58" si="106">K58</f>
        <v>0</v>
      </c>
      <c r="S58" s="61">
        <f t="shared" si="106"/>
        <v>0</v>
      </c>
      <c r="T58" s="61">
        <f t="shared" si="106"/>
        <v>0</v>
      </c>
      <c r="U58" s="61">
        <f t="shared" si="106"/>
        <v>0</v>
      </c>
      <c r="V58" s="61">
        <f t="shared" si="106"/>
        <v>0</v>
      </c>
      <c r="W58" s="61">
        <f t="shared" si="106"/>
        <v>0</v>
      </c>
      <c r="X58" s="61">
        <f t="shared" si="6"/>
        <v>0</v>
      </c>
    </row>
    <row r="59" spans="1:24" ht="15.75" customHeight="1">
      <c r="A59" s="62">
        <v>52</v>
      </c>
      <c r="B59" s="63" t="str">
        <f>IF('Students Details'!B58="","",'Students Details'!B58)</f>
        <v/>
      </c>
      <c r="C59" s="64" t="str">
        <f>IF('Students Details'!C58="","",'Students Details'!C58)</f>
        <v/>
      </c>
      <c r="D59" s="69"/>
      <c r="E59" s="69"/>
      <c r="F59" s="69"/>
      <c r="G59" s="69"/>
      <c r="H59" s="65"/>
      <c r="I59" s="66"/>
      <c r="J59" s="67">
        <f t="shared" si="0"/>
        <v>0</v>
      </c>
      <c r="K59" s="61">
        <f t="shared" ref="K59:M59" si="107">D59</f>
        <v>0</v>
      </c>
      <c r="L59" s="61">
        <f t="shared" si="107"/>
        <v>0</v>
      </c>
      <c r="M59" s="61">
        <f t="shared" si="107"/>
        <v>0</v>
      </c>
      <c r="N59" s="61">
        <f>IF('CO-PO Mapping'!$A$10="",0,G59)</f>
        <v>0</v>
      </c>
      <c r="O59" s="61">
        <f>IF('CO-PO Mapping'!$A$11="",0,H59)</f>
        <v>0</v>
      </c>
      <c r="P59" s="61">
        <f>IF('CO-PO Mapping'!$A$12="",0,I59)</f>
        <v>0</v>
      </c>
      <c r="Q59" s="61">
        <f t="shared" si="2"/>
        <v>0</v>
      </c>
      <c r="R59" s="61">
        <f t="shared" ref="R59:W59" si="108">K59</f>
        <v>0</v>
      </c>
      <c r="S59" s="61">
        <f t="shared" si="108"/>
        <v>0</v>
      </c>
      <c r="T59" s="61">
        <f t="shared" si="108"/>
        <v>0</v>
      </c>
      <c r="U59" s="61">
        <f t="shared" si="108"/>
        <v>0</v>
      </c>
      <c r="V59" s="61">
        <f t="shared" si="108"/>
        <v>0</v>
      </c>
      <c r="W59" s="61">
        <f t="shared" si="108"/>
        <v>0</v>
      </c>
      <c r="X59" s="61">
        <f t="shared" si="6"/>
        <v>0</v>
      </c>
    </row>
    <row r="60" spans="1:24" ht="15.75" customHeight="1">
      <c r="A60" s="62">
        <v>53</v>
      </c>
      <c r="B60" s="63" t="str">
        <f>IF('Students Details'!B59="","",'Students Details'!B59)</f>
        <v/>
      </c>
      <c r="C60" s="64" t="str">
        <f>IF('Students Details'!C59="","",'Students Details'!C59)</f>
        <v/>
      </c>
      <c r="D60" s="65"/>
      <c r="E60" s="65"/>
      <c r="F60" s="65"/>
      <c r="G60" s="65"/>
      <c r="H60" s="65"/>
      <c r="I60" s="66"/>
      <c r="J60" s="67">
        <f t="shared" si="0"/>
        <v>0</v>
      </c>
      <c r="K60" s="61">
        <f t="shared" ref="K60:M60" si="109">D60</f>
        <v>0</v>
      </c>
      <c r="L60" s="61">
        <f t="shared" si="109"/>
        <v>0</v>
      </c>
      <c r="M60" s="61">
        <f t="shared" si="109"/>
        <v>0</v>
      </c>
      <c r="N60" s="61">
        <f>IF('CO-PO Mapping'!$A$10="",0,G60)</f>
        <v>0</v>
      </c>
      <c r="O60" s="61">
        <f>IF('CO-PO Mapping'!$A$11="",0,H60)</f>
        <v>0</v>
      </c>
      <c r="P60" s="61">
        <f>IF('CO-PO Mapping'!$A$12="",0,I60)</f>
        <v>0</v>
      </c>
      <c r="Q60" s="61">
        <f t="shared" si="2"/>
        <v>0</v>
      </c>
      <c r="R60" s="61">
        <f t="shared" ref="R60:W60" si="110">K60</f>
        <v>0</v>
      </c>
      <c r="S60" s="61">
        <f t="shared" si="110"/>
        <v>0</v>
      </c>
      <c r="T60" s="61">
        <f t="shared" si="110"/>
        <v>0</v>
      </c>
      <c r="U60" s="61">
        <f t="shared" si="110"/>
        <v>0</v>
      </c>
      <c r="V60" s="61">
        <f t="shared" si="110"/>
        <v>0</v>
      </c>
      <c r="W60" s="61">
        <f t="shared" si="110"/>
        <v>0</v>
      </c>
      <c r="X60" s="61">
        <f t="shared" si="6"/>
        <v>0</v>
      </c>
    </row>
    <row r="61" spans="1:24" ht="15.75" customHeight="1">
      <c r="A61" s="62">
        <v>54</v>
      </c>
      <c r="B61" s="63" t="str">
        <f>IF('Students Details'!B60="","",'Students Details'!B60)</f>
        <v/>
      </c>
      <c r="C61" s="64" t="str">
        <f>IF('Students Details'!C60="","",'Students Details'!C60)</f>
        <v/>
      </c>
      <c r="D61" s="69"/>
      <c r="E61" s="69"/>
      <c r="F61" s="69"/>
      <c r="G61" s="69"/>
      <c r="H61" s="65"/>
      <c r="I61" s="66"/>
      <c r="J61" s="67">
        <f t="shared" si="0"/>
        <v>0</v>
      </c>
      <c r="K61" s="61">
        <f t="shared" ref="K61:M61" si="111">D61</f>
        <v>0</v>
      </c>
      <c r="L61" s="61">
        <f t="shared" si="111"/>
        <v>0</v>
      </c>
      <c r="M61" s="61">
        <f t="shared" si="111"/>
        <v>0</v>
      </c>
      <c r="N61" s="61">
        <f>IF('CO-PO Mapping'!$A$10="",0,G61)</f>
        <v>0</v>
      </c>
      <c r="O61" s="61">
        <f>IF('CO-PO Mapping'!$A$11="",0,H61)</f>
        <v>0</v>
      </c>
      <c r="P61" s="61">
        <f>IF('CO-PO Mapping'!$A$12="",0,I61)</f>
        <v>0</v>
      </c>
      <c r="Q61" s="61">
        <f t="shared" si="2"/>
        <v>0</v>
      </c>
      <c r="R61" s="61">
        <f t="shared" ref="R61:W61" si="112">K61</f>
        <v>0</v>
      </c>
      <c r="S61" s="61">
        <f t="shared" si="112"/>
        <v>0</v>
      </c>
      <c r="T61" s="61">
        <f t="shared" si="112"/>
        <v>0</v>
      </c>
      <c r="U61" s="61">
        <f t="shared" si="112"/>
        <v>0</v>
      </c>
      <c r="V61" s="61">
        <f t="shared" si="112"/>
        <v>0</v>
      </c>
      <c r="W61" s="61">
        <f t="shared" si="112"/>
        <v>0</v>
      </c>
      <c r="X61" s="61">
        <f t="shared" si="6"/>
        <v>0</v>
      </c>
    </row>
    <row r="62" spans="1:24" ht="15.75" customHeight="1">
      <c r="A62" s="62">
        <v>55</v>
      </c>
      <c r="B62" s="63" t="str">
        <f>IF('Students Details'!B61="","",'Students Details'!B61)</f>
        <v/>
      </c>
      <c r="C62" s="64" t="str">
        <f>IF('Students Details'!C61="","",'Students Details'!C61)</f>
        <v/>
      </c>
      <c r="D62" s="65"/>
      <c r="E62" s="65"/>
      <c r="F62" s="65"/>
      <c r="G62" s="65"/>
      <c r="H62" s="65"/>
      <c r="I62" s="66"/>
      <c r="J62" s="67">
        <f t="shared" si="0"/>
        <v>0</v>
      </c>
      <c r="K62" s="61">
        <f t="shared" ref="K62:M62" si="113">D62</f>
        <v>0</v>
      </c>
      <c r="L62" s="61">
        <f t="shared" si="113"/>
        <v>0</v>
      </c>
      <c r="M62" s="61">
        <f t="shared" si="113"/>
        <v>0</v>
      </c>
      <c r="N62" s="61">
        <f>IF('CO-PO Mapping'!$A$10="",0,G62)</f>
        <v>0</v>
      </c>
      <c r="O62" s="61">
        <f>IF('CO-PO Mapping'!$A$11="",0,H62)</f>
        <v>0</v>
      </c>
      <c r="P62" s="61">
        <f>IF('CO-PO Mapping'!$A$12="",0,I62)</f>
        <v>0</v>
      </c>
      <c r="Q62" s="61">
        <f t="shared" si="2"/>
        <v>0</v>
      </c>
      <c r="R62" s="61">
        <f t="shared" ref="R62:W62" si="114">K62</f>
        <v>0</v>
      </c>
      <c r="S62" s="61">
        <f t="shared" si="114"/>
        <v>0</v>
      </c>
      <c r="T62" s="61">
        <f t="shared" si="114"/>
        <v>0</v>
      </c>
      <c r="U62" s="61">
        <f t="shared" si="114"/>
        <v>0</v>
      </c>
      <c r="V62" s="61">
        <f t="shared" si="114"/>
        <v>0</v>
      </c>
      <c r="W62" s="61">
        <f t="shared" si="114"/>
        <v>0</v>
      </c>
      <c r="X62" s="61">
        <f t="shared" si="6"/>
        <v>0</v>
      </c>
    </row>
    <row r="63" spans="1:24" ht="15.75" customHeight="1">
      <c r="A63" s="62">
        <v>56</v>
      </c>
      <c r="B63" s="63" t="str">
        <f>IF('Students Details'!B62="","",'Students Details'!B62)</f>
        <v/>
      </c>
      <c r="C63" s="64" t="str">
        <f>IF('Students Details'!C62="","",'Students Details'!C62)</f>
        <v/>
      </c>
      <c r="D63" s="70"/>
      <c r="E63" s="70"/>
      <c r="F63" s="70"/>
      <c r="G63" s="70"/>
      <c r="H63" s="66"/>
      <c r="I63" s="66"/>
      <c r="J63" s="67">
        <f t="shared" si="0"/>
        <v>0</v>
      </c>
      <c r="K63" s="61">
        <f t="shared" ref="K63:M63" si="115">D63</f>
        <v>0</v>
      </c>
      <c r="L63" s="61">
        <f t="shared" si="115"/>
        <v>0</v>
      </c>
      <c r="M63" s="61">
        <f t="shared" si="115"/>
        <v>0</v>
      </c>
      <c r="N63" s="61">
        <f>IF('CO-PO Mapping'!$A$10="",0,G63)</f>
        <v>0</v>
      </c>
      <c r="O63" s="61">
        <f>IF('CO-PO Mapping'!$A$11="",0,H63)</f>
        <v>0</v>
      </c>
      <c r="P63" s="61">
        <f>IF('CO-PO Mapping'!$A$12="",0,I63)</f>
        <v>0</v>
      </c>
      <c r="Q63" s="61">
        <f t="shared" si="2"/>
        <v>0</v>
      </c>
      <c r="R63" s="61">
        <f t="shared" ref="R63:W63" si="116">K63</f>
        <v>0</v>
      </c>
      <c r="S63" s="61">
        <f t="shared" si="116"/>
        <v>0</v>
      </c>
      <c r="T63" s="61">
        <f t="shared" si="116"/>
        <v>0</v>
      </c>
      <c r="U63" s="61">
        <f t="shared" si="116"/>
        <v>0</v>
      </c>
      <c r="V63" s="61">
        <f t="shared" si="116"/>
        <v>0</v>
      </c>
      <c r="W63" s="61">
        <f t="shared" si="116"/>
        <v>0</v>
      </c>
      <c r="X63" s="61">
        <f t="shared" si="6"/>
        <v>0</v>
      </c>
    </row>
    <row r="64" spans="1:24" ht="15.75" customHeight="1">
      <c r="A64" s="62">
        <v>57</v>
      </c>
      <c r="B64" s="63" t="str">
        <f>IF('Students Details'!B63="","",'Students Details'!B63)</f>
        <v/>
      </c>
      <c r="C64" s="64" t="str">
        <f>IF('Students Details'!C63="","",'Students Details'!C63)</f>
        <v/>
      </c>
      <c r="D64" s="66"/>
      <c r="E64" s="66"/>
      <c r="F64" s="66"/>
      <c r="G64" s="66"/>
      <c r="H64" s="66"/>
      <c r="I64" s="66"/>
      <c r="J64" s="67">
        <f t="shared" si="0"/>
        <v>0</v>
      </c>
      <c r="K64" s="61">
        <f t="shared" ref="K64:M64" si="117">D64</f>
        <v>0</v>
      </c>
      <c r="L64" s="61">
        <f t="shared" si="117"/>
        <v>0</v>
      </c>
      <c r="M64" s="61">
        <f t="shared" si="117"/>
        <v>0</v>
      </c>
      <c r="N64" s="61">
        <f>IF('CO-PO Mapping'!$A$10="",0,G64)</f>
        <v>0</v>
      </c>
      <c r="O64" s="61">
        <f>IF('CO-PO Mapping'!$A$11="",0,H64)</f>
        <v>0</v>
      </c>
      <c r="P64" s="61">
        <f>IF('CO-PO Mapping'!$A$12="",0,I64)</f>
        <v>0</v>
      </c>
      <c r="Q64" s="61">
        <f t="shared" si="2"/>
        <v>0</v>
      </c>
      <c r="R64" s="61">
        <f t="shared" ref="R64:W64" si="118">K64</f>
        <v>0</v>
      </c>
      <c r="S64" s="61">
        <f t="shared" si="118"/>
        <v>0</v>
      </c>
      <c r="T64" s="61">
        <f t="shared" si="118"/>
        <v>0</v>
      </c>
      <c r="U64" s="61">
        <f t="shared" si="118"/>
        <v>0</v>
      </c>
      <c r="V64" s="61">
        <f t="shared" si="118"/>
        <v>0</v>
      </c>
      <c r="W64" s="61">
        <f t="shared" si="118"/>
        <v>0</v>
      </c>
      <c r="X64" s="61">
        <f t="shared" si="6"/>
        <v>0</v>
      </c>
    </row>
    <row r="65" spans="1:24" ht="15.75" customHeight="1">
      <c r="A65" s="62">
        <v>58</v>
      </c>
      <c r="B65" s="63" t="str">
        <f>IF('Students Details'!B64="","",'Students Details'!B64)</f>
        <v/>
      </c>
      <c r="C65" s="64" t="str">
        <f>IF('Students Details'!C64="","",'Students Details'!C64)</f>
        <v/>
      </c>
      <c r="D65" s="70"/>
      <c r="E65" s="70"/>
      <c r="F65" s="70"/>
      <c r="G65" s="70"/>
      <c r="H65" s="66"/>
      <c r="I65" s="66"/>
      <c r="J65" s="67">
        <f t="shared" si="0"/>
        <v>0</v>
      </c>
      <c r="K65" s="61">
        <f t="shared" ref="K65:M65" si="119">D65</f>
        <v>0</v>
      </c>
      <c r="L65" s="61">
        <f t="shared" si="119"/>
        <v>0</v>
      </c>
      <c r="M65" s="61">
        <f t="shared" si="119"/>
        <v>0</v>
      </c>
      <c r="N65" s="61">
        <f>IF('CO-PO Mapping'!$A$10="",0,G65)</f>
        <v>0</v>
      </c>
      <c r="O65" s="61">
        <f>IF('CO-PO Mapping'!$A$11="",0,H65)</f>
        <v>0</v>
      </c>
      <c r="P65" s="61">
        <f>IF('CO-PO Mapping'!$A$12="",0,I65)</f>
        <v>0</v>
      </c>
      <c r="Q65" s="61">
        <f t="shared" si="2"/>
        <v>0</v>
      </c>
      <c r="R65" s="61">
        <f t="shared" ref="R65:W65" si="120">K65</f>
        <v>0</v>
      </c>
      <c r="S65" s="61">
        <f t="shared" si="120"/>
        <v>0</v>
      </c>
      <c r="T65" s="61">
        <f t="shared" si="120"/>
        <v>0</v>
      </c>
      <c r="U65" s="61">
        <f t="shared" si="120"/>
        <v>0</v>
      </c>
      <c r="V65" s="61">
        <f t="shared" si="120"/>
        <v>0</v>
      </c>
      <c r="W65" s="61">
        <f t="shared" si="120"/>
        <v>0</v>
      </c>
      <c r="X65" s="61">
        <f t="shared" si="6"/>
        <v>0</v>
      </c>
    </row>
    <row r="66" spans="1:24" ht="15.75" customHeight="1">
      <c r="A66" s="62">
        <v>59</v>
      </c>
      <c r="B66" s="63" t="str">
        <f>IF('Students Details'!B65="","",'Students Details'!B65)</f>
        <v/>
      </c>
      <c r="C66" s="64" t="str">
        <f>IF('Students Details'!C65="","",'Students Details'!C65)</f>
        <v/>
      </c>
      <c r="D66" s="66"/>
      <c r="E66" s="66"/>
      <c r="F66" s="66"/>
      <c r="G66" s="66"/>
      <c r="H66" s="66"/>
      <c r="I66" s="66"/>
      <c r="J66" s="67">
        <f t="shared" si="0"/>
        <v>0</v>
      </c>
      <c r="K66" s="61">
        <f t="shared" ref="K66:M66" si="121">D66</f>
        <v>0</v>
      </c>
      <c r="L66" s="61">
        <f t="shared" si="121"/>
        <v>0</v>
      </c>
      <c r="M66" s="61">
        <f t="shared" si="121"/>
        <v>0</v>
      </c>
      <c r="N66" s="61">
        <f>IF('CO-PO Mapping'!$A$10="",0,G66)</f>
        <v>0</v>
      </c>
      <c r="O66" s="61">
        <f>IF('CO-PO Mapping'!$A$11="",0,H66)</f>
        <v>0</v>
      </c>
      <c r="P66" s="61">
        <f>IF('CO-PO Mapping'!$A$12="",0,I66)</f>
        <v>0</v>
      </c>
      <c r="Q66" s="61">
        <f t="shared" si="2"/>
        <v>0</v>
      </c>
      <c r="R66" s="61">
        <f t="shared" ref="R66:W66" si="122">K66</f>
        <v>0</v>
      </c>
      <c r="S66" s="61">
        <f t="shared" si="122"/>
        <v>0</v>
      </c>
      <c r="T66" s="61">
        <f t="shared" si="122"/>
        <v>0</v>
      </c>
      <c r="U66" s="61">
        <f t="shared" si="122"/>
        <v>0</v>
      </c>
      <c r="V66" s="61">
        <f t="shared" si="122"/>
        <v>0</v>
      </c>
      <c r="W66" s="61">
        <f t="shared" si="122"/>
        <v>0</v>
      </c>
      <c r="X66" s="61">
        <f t="shared" si="6"/>
        <v>0</v>
      </c>
    </row>
    <row r="67" spans="1:24" ht="15.75" customHeight="1">
      <c r="A67" s="62">
        <v>60</v>
      </c>
      <c r="B67" s="63" t="str">
        <f>IF('Students Details'!B66="","",'Students Details'!B66)</f>
        <v/>
      </c>
      <c r="C67" s="64" t="str">
        <f>IF('Students Details'!C66="","",'Students Details'!C66)</f>
        <v/>
      </c>
      <c r="D67" s="70"/>
      <c r="E67" s="70"/>
      <c r="F67" s="70"/>
      <c r="G67" s="70"/>
      <c r="H67" s="66"/>
      <c r="I67" s="66"/>
      <c r="J67" s="67">
        <f t="shared" si="0"/>
        <v>0</v>
      </c>
      <c r="K67" s="61">
        <f t="shared" ref="K67:M67" si="123">D67</f>
        <v>0</v>
      </c>
      <c r="L67" s="61">
        <f t="shared" si="123"/>
        <v>0</v>
      </c>
      <c r="M67" s="61">
        <f t="shared" si="123"/>
        <v>0</v>
      </c>
      <c r="N67" s="61">
        <f>IF('CO-PO Mapping'!$A$10="",0,G67)</f>
        <v>0</v>
      </c>
      <c r="O67" s="61">
        <f>IF('CO-PO Mapping'!$A$11="",0,H67)</f>
        <v>0</v>
      </c>
      <c r="P67" s="61">
        <f>IF('CO-PO Mapping'!$A$12="",0,I67)</f>
        <v>0</v>
      </c>
      <c r="Q67" s="61">
        <f t="shared" si="2"/>
        <v>0</v>
      </c>
      <c r="R67" s="61">
        <f t="shared" ref="R67:W67" si="124">K67</f>
        <v>0</v>
      </c>
      <c r="S67" s="61">
        <f t="shared" si="124"/>
        <v>0</v>
      </c>
      <c r="T67" s="61">
        <f t="shared" si="124"/>
        <v>0</v>
      </c>
      <c r="U67" s="61">
        <f t="shared" si="124"/>
        <v>0</v>
      </c>
      <c r="V67" s="61">
        <f t="shared" si="124"/>
        <v>0</v>
      </c>
      <c r="W67" s="61">
        <f t="shared" si="124"/>
        <v>0</v>
      </c>
      <c r="X67" s="61">
        <f t="shared" si="6"/>
        <v>0</v>
      </c>
    </row>
    <row r="68" spans="1:24" ht="15.75" customHeight="1">
      <c r="A68" s="62">
        <v>61</v>
      </c>
      <c r="B68" s="63" t="str">
        <f>IF('Students Details'!B67="","",'Students Details'!B67)</f>
        <v/>
      </c>
      <c r="C68" s="64" t="str">
        <f>IF('Students Details'!C67="","",'Students Details'!C67)</f>
        <v/>
      </c>
      <c r="D68" s="66"/>
      <c r="E68" s="66"/>
      <c r="F68" s="66"/>
      <c r="G68" s="66"/>
      <c r="H68" s="66"/>
      <c r="I68" s="66"/>
      <c r="J68" s="67">
        <f t="shared" si="0"/>
        <v>0</v>
      </c>
      <c r="K68" s="61">
        <f t="shared" ref="K68:M68" si="125">D68</f>
        <v>0</v>
      </c>
      <c r="L68" s="61">
        <f t="shared" si="125"/>
        <v>0</v>
      </c>
      <c r="M68" s="61">
        <f t="shared" si="125"/>
        <v>0</v>
      </c>
      <c r="N68" s="61">
        <f>IF('CO-PO Mapping'!$A$10="",0,G68)</f>
        <v>0</v>
      </c>
      <c r="O68" s="61">
        <f>IF('CO-PO Mapping'!$A$11="",0,H68)</f>
        <v>0</v>
      </c>
      <c r="P68" s="61">
        <f>IF('CO-PO Mapping'!$A$12="",0,I68)</f>
        <v>0</v>
      </c>
      <c r="Q68" s="61">
        <f t="shared" si="2"/>
        <v>0</v>
      </c>
      <c r="R68" s="61">
        <f t="shared" ref="R68:W68" si="126">K68</f>
        <v>0</v>
      </c>
      <c r="S68" s="61">
        <f t="shared" si="126"/>
        <v>0</v>
      </c>
      <c r="T68" s="61">
        <f t="shared" si="126"/>
        <v>0</v>
      </c>
      <c r="U68" s="61">
        <f t="shared" si="126"/>
        <v>0</v>
      </c>
      <c r="V68" s="61">
        <f t="shared" si="126"/>
        <v>0</v>
      </c>
      <c r="W68" s="61">
        <f t="shared" si="126"/>
        <v>0</v>
      </c>
      <c r="X68" s="61">
        <f t="shared" si="6"/>
        <v>0</v>
      </c>
    </row>
    <row r="69" spans="1:24" ht="15.75" customHeight="1">
      <c r="A69" s="62">
        <v>62</v>
      </c>
      <c r="B69" s="63" t="str">
        <f>IF('Students Details'!B68="","",'Students Details'!B68)</f>
        <v/>
      </c>
      <c r="C69" s="64" t="str">
        <f>IF('Students Details'!C68="","",'Students Details'!C68)</f>
        <v/>
      </c>
      <c r="D69" s="70"/>
      <c r="E69" s="70"/>
      <c r="F69" s="70"/>
      <c r="G69" s="70"/>
      <c r="H69" s="66"/>
      <c r="I69" s="66"/>
      <c r="J69" s="67">
        <f t="shared" si="0"/>
        <v>0</v>
      </c>
      <c r="K69" s="61">
        <f t="shared" ref="K69:M69" si="127">D69</f>
        <v>0</v>
      </c>
      <c r="L69" s="61">
        <f t="shared" si="127"/>
        <v>0</v>
      </c>
      <c r="M69" s="61">
        <f t="shared" si="127"/>
        <v>0</v>
      </c>
      <c r="N69" s="61">
        <f>IF('CO-PO Mapping'!$A$10="",0,G69)</f>
        <v>0</v>
      </c>
      <c r="O69" s="61">
        <f>IF('CO-PO Mapping'!$A$11="",0,H69)</f>
        <v>0</v>
      </c>
      <c r="P69" s="61">
        <f>IF('CO-PO Mapping'!$A$12="",0,I69)</f>
        <v>0</v>
      </c>
      <c r="Q69" s="61">
        <f t="shared" si="2"/>
        <v>0</v>
      </c>
      <c r="R69" s="61">
        <f t="shared" ref="R69:W69" si="128">K69</f>
        <v>0</v>
      </c>
      <c r="S69" s="61">
        <f t="shared" si="128"/>
        <v>0</v>
      </c>
      <c r="T69" s="61">
        <f t="shared" si="128"/>
        <v>0</v>
      </c>
      <c r="U69" s="61">
        <f t="shared" si="128"/>
        <v>0</v>
      </c>
      <c r="V69" s="61">
        <f t="shared" si="128"/>
        <v>0</v>
      </c>
      <c r="W69" s="61">
        <f t="shared" si="128"/>
        <v>0</v>
      </c>
      <c r="X69" s="61">
        <f t="shared" si="6"/>
        <v>0</v>
      </c>
    </row>
    <row r="70" spans="1:24" ht="15.75" customHeight="1">
      <c r="A70" s="62">
        <v>63</v>
      </c>
      <c r="B70" s="63" t="str">
        <f>IF('Students Details'!B69="","",'Students Details'!B69)</f>
        <v/>
      </c>
      <c r="C70" s="64" t="str">
        <f>IF('Students Details'!C69="","",'Students Details'!C69)</f>
        <v/>
      </c>
      <c r="D70" s="66"/>
      <c r="E70" s="66"/>
      <c r="F70" s="66"/>
      <c r="G70" s="66"/>
      <c r="H70" s="66"/>
      <c r="I70" s="66"/>
      <c r="J70" s="67">
        <f t="shared" si="0"/>
        <v>0</v>
      </c>
      <c r="K70" s="61">
        <f t="shared" ref="K70:M70" si="129">D70</f>
        <v>0</v>
      </c>
      <c r="L70" s="61">
        <f t="shared" si="129"/>
        <v>0</v>
      </c>
      <c r="M70" s="61">
        <f t="shared" si="129"/>
        <v>0</v>
      </c>
      <c r="N70" s="61">
        <f>IF('CO-PO Mapping'!$A$10="",0,G70)</f>
        <v>0</v>
      </c>
      <c r="O70" s="61">
        <f>IF('CO-PO Mapping'!$A$11="",0,H70)</f>
        <v>0</v>
      </c>
      <c r="P70" s="61">
        <f>IF('CO-PO Mapping'!$A$12="",0,I70)</f>
        <v>0</v>
      </c>
      <c r="Q70" s="61">
        <f t="shared" si="2"/>
        <v>0</v>
      </c>
      <c r="R70" s="61">
        <f t="shared" ref="R70:W70" si="130">K70</f>
        <v>0</v>
      </c>
      <c r="S70" s="61">
        <f t="shared" si="130"/>
        <v>0</v>
      </c>
      <c r="T70" s="61">
        <f t="shared" si="130"/>
        <v>0</v>
      </c>
      <c r="U70" s="61">
        <f t="shared" si="130"/>
        <v>0</v>
      </c>
      <c r="V70" s="61">
        <f t="shared" si="130"/>
        <v>0</v>
      </c>
      <c r="W70" s="61">
        <f t="shared" si="130"/>
        <v>0</v>
      </c>
      <c r="X70" s="61">
        <f t="shared" si="6"/>
        <v>0</v>
      </c>
    </row>
    <row r="71" spans="1:24" ht="15.75" customHeight="1">
      <c r="A71" s="62">
        <v>64</v>
      </c>
      <c r="B71" s="63" t="str">
        <f>IF('Students Details'!B70="","",'Students Details'!B70)</f>
        <v/>
      </c>
      <c r="C71" s="64" t="str">
        <f>IF('Students Details'!C70="","",'Students Details'!C70)</f>
        <v/>
      </c>
      <c r="D71" s="70"/>
      <c r="E71" s="70"/>
      <c r="F71" s="70"/>
      <c r="G71" s="70"/>
      <c r="H71" s="66"/>
      <c r="I71" s="66"/>
      <c r="J71" s="67">
        <f t="shared" si="0"/>
        <v>0</v>
      </c>
      <c r="K71" s="61">
        <f t="shared" ref="K71:M71" si="131">D71</f>
        <v>0</v>
      </c>
      <c r="L71" s="61">
        <f t="shared" si="131"/>
        <v>0</v>
      </c>
      <c r="M71" s="61">
        <f t="shared" si="131"/>
        <v>0</v>
      </c>
      <c r="N71" s="61">
        <f>IF('CO-PO Mapping'!$A$10="",0,G71)</f>
        <v>0</v>
      </c>
      <c r="O71" s="61">
        <f>IF('CO-PO Mapping'!$A$11="",0,H71)</f>
        <v>0</v>
      </c>
      <c r="P71" s="61">
        <f>IF('CO-PO Mapping'!$A$12="",0,I71)</f>
        <v>0</v>
      </c>
      <c r="Q71" s="61">
        <f t="shared" si="2"/>
        <v>0</v>
      </c>
      <c r="R71" s="61">
        <f t="shared" ref="R71:W71" si="132">K71</f>
        <v>0</v>
      </c>
      <c r="S71" s="61">
        <f t="shared" si="132"/>
        <v>0</v>
      </c>
      <c r="T71" s="61">
        <f t="shared" si="132"/>
        <v>0</v>
      </c>
      <c r="U71" s="61">
        <f t="shared" si="132"/>
        <v>0</v>
      </c>
      <c r="V71" s="61">
        <f t="shared" si="132"/>
        <v>0</v>
      </c>
      <c r="W71" s="61">
        <f t="shared" si="132"/>
        <v>0</v>
      </c>
      <c r="X71" s="61">
        <f t="shared" si="6"/>
        <v>0</v>
      </c>
    </row>
    <row r="72" spans="1:24" ht="15.75" customHeight="1">
      <c r="A72" s="62">
        <v>65</v>
      </c>
      <c r="B72" s="63" t="str">
        <f>IF('Students Details'!B71="","",'Students Details'!B71)</f>
        <v/>
      </c>
      <c r="C72" s="64" t="str">
        <f>IF('Students Details'!C71="","",'Students Details'!C71)</f>
        <v/>
      </c>
      <c r="D72" s="70"/>
      <c r="E72" s="70"/>
      <c r="F72" s="70"/>
      <c r="G72" s="70"/>
      <c r="H72" s="66"/>
      <c r="I72" s="66"/>
      <c r="J72" s="67">
        <f t="shared" si="0"/>
        <v>0</v>
      </c>
      <c r="K72" s="61">
        <f t="shared" ref="K72:M72" si="133">D72</f>
        <v>0</v>
      </c>
      <c r="L72" s="61">
        <f t="shared" si="133"/>
        <v>0</v>
      </c>
      <c r="M72" s="61">
        <f t="shared" si="133"/>
        <v>0</v>
      </c>
      <c r="N72" s="61">
        <f>IF('CO-PO Mapping'!$A$10="",0,G72)</f>
        <v>0</v>
      </c>
      <c r="O72" s="61">
        <f>IF('CO-PO Mapping'!$A$11="",0,H72)</f>
        <v>0</v>
      </c>
      <c r="P72" s="61">
        <f>IF('CO-PO Mapping'!$A$12="",0,I72)</f>
        <v>0</v>
      </c>
      <c r="Q72" s="61">
        <f t="shared" si="2"/>
        <v>0</v>
      </c>
      <c r="R72" s="61">
        <f t="shared" ref="R72:W72" si="134">K72</f>
        <v>0</v>
      </c>
      <c r="S72" s="61">
        <f t="shared" si="134"/>
        <v>0</v>
      </c>
      <c r="T72" s="61">
        <f t="shared" si="134"/>
        <v>0</v>
      </c>
      <c r="U72" s="61">
        <f t="shared" si="134"/>
        <v>0</v>
      </c>
      <c r="V72" s="61">
        <f t="shared" si="134"/>
        <v>0</v>
      </c>
      <c r="W72" s="61">
        <f t="shared" si="134"/>
        <v>0</v>
      </c>
      <c r="X72" s="61">
        <f t="shared" si="6"/>
        <v>0</v>
      </c>
    </row>
    <row r="73" spans="1:24" ht="15.75" customHeight="1">
      <c r="A73" s="62">
        <v>66</v>
      </c>
      <c r="B73" s="63" t="str">
        <f>IF('Students Details'!B72="","",'Students Details'!B72)</f>
        <v/>
      </c>
      <c r="C73" s="64" t="str">
        <f>IF('Students Details'!C72="","",'Students Details'!C72)</f>
        <v/>
      </c>
      <c r="D73" s="70"/>
      <c r="E73" s="70"/>
      <c r="F73" s="70"/>
      <c r="G73" s="70"/>
      <c r="H73" s="66"/>
      <c r="I73" s="66"/>
      <c r="J73" s="67">
        <f t="shared" si="0"/>
        <v>0</v>
      </c>
      <c r="K73" s="61">
        <f t="shared" ref="K73:M73" si="135">D73</f>
        <v>0</v>
      </c>
      <c r="L73" s="61">
        <f t="shared" si="135"/>
        <v>0</v>
      </c>
      <c r="M73" s="61">
        <f t="shared" si="135"/>
        <v>0</v>
      </c>
      <c r="N73" s="61">
        <f>IF('CO-PO Mapping'!$A$10="",0,G73)</f>
        <v>0</v>
      </c>
      <c r="O73" s="61">
        <f>IF('CO-PO Mapping'!$A$11="",0,H73)</f>
        <v>0</v>
      </c>
      <c r="P73" s="61">
        <f>IF('CO-PO Mapping'!$A$12="",0,I73)</f>
        <v>0</v>
      </c>
      <c r="Q73" s="61">
        <f t="shared" si="2"/>
        <v>0</v>
      </c>
      <c r="R73" s="61">
        <f t="shared" ref="R73:W73" si="136">K73</f>
        <v>0</v>
      </c>
      <c r="S73" s="61">
        <f t="shared" si="136"/>
        <v>0</v>
      </c>
      <c r="T73" s="61">
        <f t="shared" si="136"/>
        <v>0</v>
      </c>
      <c r="U73" s="61">
        <f t="shared" si="136"/>
        <v>0</v>
      </c>
      <c r="V73" s="61">
        <f t="shared" si="136"/>
        <v>0</v>
      </c>
      <c r="W73" s="61">
        <f t="shared" si="136"/>
        <v>0</v>
      </c>
      <c r="X73" s="61">
        <f t="shared" si="6"/>
        <v>0</v>
      </c>
    </row>
    <row r="74" spans="1:24" ht="15.75" customHeight="1">
      <c r="A74" s="62">
        <v>67</v>
      </c>
      <c r="B74" s="63" t="str">
        <f>IF('Students Details'!B73="","",'Students Details'!B73)</f>
        <v/>
      </c>
      <c r="C74" s="64" t="str">
        <f>IF('Students Details'!C73="","",'Students Details'!C73)</f>
        <v/>
      </c>
      <c r="D74" s="70"/>
      <c r="E74" s="70"/>
      <c r="F74" s="70"/>
      <c r="G74" s="70"/>
      <c r="H74" s="66"/>
      <c r="I74" s="66"/>
      <c r="J74" s="67">
        <f t="shared" si="0"/>
        <v>0</v>
      </c>
      <c r="K74" s="61">
        <f t="shared" ref="K74:M74" si="137">D74</f>
        <v>0</v>
      </c>
      <c r="L74" s="61">
        <f t="shared" si="137"/>
        <v>0</v>
      </c>
      <c r="M74" s="61">
        <f t="shared" si="137"/>
        <v>0</v>
      </c>
      <c r="N74" s="61">
        <f>IF('CO-PO Mapping'!$A$10="",0,G74)</f>
        <v>0</v>
      </c>
      <c r="O74" s="61">
        <f>IF('CO-PO Mapping'!$A$11="",0,H74)</f>
        <v>0</v>
      </c>
      <c r="P74" s="61">
        <f>IF('CO-PO Mapping'!$A$12="",0,I74)</f>
        <v>0</v>
      </c>
      <c r="Q74" s="61">
        <f t="shared" si="2"/>
        <v>0</v>
      </c>
      <c r="R74" s="61">
        <f t="shared" ref="R74:W74" si="138">K74</f>
        <v>0</v>
      </c>
      <c r="S74" s="61">
        <f t="shared" si="138"/>
        <v>0</v>
      </c>
      <c r="T74" s="61">
        <f t="shared" si="138"/>
        <v>0</v>
      </c>
      <c r="U74" s="61">
        <f t="shared" si="138"/>
        <v>0</v>
      </c>
      <c r="V74" s="61">
        <f t="shared" si="138"/>
        <v>0</v>
      </c>
      <c r="W74" s="61">
        <f t="shared" si="138"/>
        <v>0</v>
      </c>
      <c r="X74" s="61">
        <f t="shared" si="6"/>
        <v>0</v>
      </c>
    </row>
    <row r="75" spans="1:24" ht="15.75" customHeight="1">
      <c r="A75" s="62">
        <v>68</v>
      </c>
      <c r="B75" s="63" t="str">
        <f>IF('Students Details'!B74="","",'Students Details'!B74)</f>
        <v/>
      </c>
      <c r="C75" s="64" t="str">
        <f>IF('Students Details'!C74="","",'Students Details'!C74)</f>
        <v/>
      </c>
      <c r="D75" s="66"/>
      <c r="E75" s="66"/>
      <c r="F75" s="66"/>
      <c r="G75" s="66"/>
      <c r="H75" s="66"/>
      <c r="I75" s="66"/>
      <c r="J75" s="67">
        <f t="shared" si="0"/>
        <v>0</v>
      </c>
      <c r="K75" s="61">
        <f t="shared" ref="K75:M75" si="139">D75</f>
        <v>0</v>
      </c>
      <c r="L75" s="61">
        <f t="shared" si="139"/>
        <v>0</v>
      </c>
      <c r="M75" s="61">
        <f t="shared" si="139"/>
        <v>0</v>
      </c>
      <c r="N75" s="61">
        <f>IF('CO-PO Mapping'!$A$10="",0,G75)</f>
        <v>0</v>
      </c>
      <c r="O75" s="61">
        <f>IF('CO-PO Mapping'!$A$11="",0,H75)</f>
        <v>0</v>
      </c>
      <c r="P75" s="61">
        <f>IF('CO-PO Mapping'!$A$12="",0,I75)</f>
        <v>0</v>
      </c>
      <c r="Q75" s="61">
        <f t="shared" si="2"/>
        <v>0</v>
      </c>
      <c r="R75" s="61">
        <f t="shared" ref="R75:W75" si="140">K75</f>
        <v>0</v>
      </c>
      <c r="S75" s="61">
        <f t="shared" si="140"/>
        <v>0</v>
      </c>
      <c r="T75" s="61">
        <f t="shared" si="140"/>
        <v>0</v>
      </c>
      <c r="U75" s="61">
        <f t="shared" si="140"/>
        <v>0</v>
      </c>
      <c r="V75" s="61">
        <f t="shared" si="140"/>
        <v>0</v>
      </c>
      <c r="W75" s="61">
        <f t="shared" si="140"/>
        <v>0</v>
      </c>
      <c r="X75" s="61">
        <f t="shared" si="6"/>
        <v>0</v>
      </c>
    </row>
    <row r="76" spans="1:24" ht="15.75" customHeight="1">
      <c r="A76" s="62">
        <v>69</v>
      </c>
      <c r="B76" s="63" t="str">
        <f>IF('Students Details'!B75="","",'Students Details'!B75)</f>
        <v/>
      </c>
      <c r="C76" s="64" t="str">
        <f>IF('Students Details'!C75="","",'Students Details'!C75)</f>
        <v/>
      </c>
      <c r="D76" s="66"/>
      <c r="E76" s="66"/>
      <c r="F76" s="66"/>
      <c r="G76" s="66"/>
      <c r="H76" s="66"/>
      <c r="I76" s="66"/>
      <c r="J76" s="67">
        <f t="shared" si="0"/>
        <v>0</v>
      </c>
      <c r="K76" s="61">
        <f t="shared" ref="K76:M76" si="141">D76</f>
        <v>0</v>
      </c>
      <c r="L76" s="61">
        <f t="shared" si="141"/>
        <v>0</v>
      </c>
      <c r="M76" s="61">
        <f t="shared" si="141"/>
        <v>0</v>
      </c>
      <c r="N76" s="61">
        <f>IF('CO-PO Mapping'!$A$10="",0,G76)</f>
        <v>0</v>
      </c>
      <c r="O76" s="61">
        <f>IF('CO-PO Mapping'!$A$11="",0,H76)</f>
        <v>0</v>
      </c>
      <c r="P76" s="61">
        <f>IF('CO-PO Mapping'!$A$12="",0,I76)</f>
        <v>0</v>
      </c>
      <c r="Q76" s="61">
        <f t="shared" si="2"/>
        <v>0</v>
      </c>
      <c r="R76" s="61">
        <f t="shared" ref="R76:W76" si="142">K76</f>
        <v>0</v>
      </c>
      <c r="S76" s="61">
        <f t="shared" si="142"/>
        <v>0</v>
      </c>
      <c r="T76" s="61">
        <f t="shared" si="142"/>
        <v>0</v>
      </c>
      <c r="U76" s="61">
        <f t="shared" si="142"/>
        <v>0</v>
      </c>
      <c r="V76" s="61">
        <f t="shared" si="142"/>
        <v>0</v>
      </c>
      <c r="W76" s="61">
        <f t="shared" si="142"/>
        <v>0</v>
      </c>
      <c r="X76" s="61">
        <f t="shared" si="6"/>
        <v>0</v>
      </c>
    </row>
    <row r="77" spans="1:24" ht="15.75" customHeight="1">
      <c r="A77" s="62">
        <v>70</v>
      </c>
      <c r="B77" s="63" t="str">
        <f>IF('Students Details'!B76="","",'Students Details'!B76)</f>
        <v/>
      </c>
      <c r="C77" s="64" t="str">
        <f>IF('Students Details'!C76="","",'Students Details'!C76)</f>
        <v/>
      </c>
      <c r="D77" s="66"/>
      <c r="E77" s="66"/>
      <c r="F77" s="66"/>
      <c r="G77" s="66"/>
      <c r="H77" s="66"/>
      <c r="I77" s="66"/>
      <c r="J77" s="67">
        <f t="shared" si="0"/>
        <v>0</v>
      </c>
      <c r="K77" s="61">
        <f t="shared" ref="K77:M77" si="143">D77</f>
        <v>0</v>
      </c>
      <c r="L77" s="61">
        <f t="shared" si="143"/>
        <v>0</v>
      </c>
      <c r="M77" s="61">
        <f t="shared" si="143"/>
        <v>0</v>
      </c>
      <c r="N77" s="61">
        <f>IF('CO-PO Mapping'!$A$10="",0,G77)</f>
        <v>0</v>
      </c>
      <c r="O77" s="61">
        <f>IF('CO-PO Mapping'!$A$11="",0,H77)</f>
        <v>0</v>
      </c>
      <c r="P77" s="61">
        <f>IF('CO-PO Mapping'!$A$12="",0,I77)</f>
        <v>0</v>
      </c>
      <c r="Q77" s="61">
        <f t="shared" si="2"/>
        <v>0</v>
      </c>
      <c r="R77" s="61">
        <f t="shared" ref="R77:W77" si="144">K77</f>
        <v>0</v>
      </c>
      <c r="S77" s="61">
        <f t="shared" si="144"/>
        <v>0</v>
      </c>
      <c r="T77" s="61">
        <f t="shared" si="144"/>
        <v>0</v>
      </c>
      <c r="U77" s="61">
        <f t="shared" si="144"/>
        <v>0</v>
      </c>
      <c r="V77" s="61">
        <f t="shared" si="144"/>
        <v>0</v>
      </c>
      <c r="W77" s="61">
        <f t="shared" si="144"/>
        <v>0</v>
      </c>
      <c r="X77" s="61">
        <f t="shared" si="6"/>
        <v>0</v>
      </c>
    </row>
    <row r="78" spans="1:24" ht="15.75" customHeight="1">
      <c r="A78" s="62">
        <v>71</v>
      </c>
      <c r="B78" s="63" t="str">
        <f>IF('Students Details'!B77="","",'Students Details'!B77)</f>
        <v/>
      </c>
      <c r="C78" s="64" t="str">
        <f>IF('Students Details'!C77="","",'Students Details'!C77)</f>
        <v/>
      </c>
      <c r="D78" s="66"/>
      <c r="E78" s="66"/>
      <c r="F78" s="66"/>
      <c r="G78" s="66"/>
      <c r="H78" s="66"/>
      <c r="I78" s="66"/>
      <c r="J78" s="67">
        <f t="shared" si="0"/>
        <v>0</v>
      </c>
      <c r="K78" s="61">
        <f t="shared" ref="K78:M78" si="145">D78</f>
        <v>0</v>
      </c>
      <c r="L78" s="61">
        <f t="shared" si="145"/>
        <v>0</v>
      </c>
      <c r="M78" s="61">
        <f t="shared" si="145"/>
        <v>0</v>
      </c>
      <c r="N78" s="61">
        <f>IF('CO-PO Mapping'!$A$10="",0,G78)</f>
        <v>0</v>
      </c>
      <c r="O78" s="61">
        <f>IF('CO-PO Mapping'!$A$11="",0,H78)</f>
        <v>0</v>
      </c>
      <c r="P78" s="61">
        <f>IF('CO-PO Mapping'!$A$12="",0,I78)</f>
        <v>0</v>
      </c>
      <c r="Q78" s="61">
        <f t="shared" si="2"/>
        <v>0</v>
      </c>
      <c r="R78" s="61">
        <f t="shared" ref="R78:W78" si="146">K78</f>
        <v>0</v>
      </c>
      <c r="S78" s="61">
        <f t="shared" si="146"/>
        <v>0</v>
      </c>
      <c r="T78" s="61">
        <f t="shared" si="146"/>
        <v>0</v>
      </c>
      <c r="U78" s="61">
        <f t="shared" si="146"/>
        <v>0</v>
      </c>
      <c r="V78" s="61">
        <f t="shared" si="146"/>
        <v>0</v>
      </c>
      <c r="W78" s="61">
        <f t="shared" si="146"/>
        <v>0</v>
      </c>
      <c r="X78" s="61">
        <f t="shared" si="6"/>
        <v>0</v>
      </c>
    </row>
    <row r="79" spans="1:24" ht="15.75" customHeight="1">
      <c r="A79" s="62">
        <v>72</v>
      </c>
      <c r="B79" s="63" t="str">
        <f>IF('Students Details'!B78="","",'Students Details'!B78)</f>
        <v/>
      </c>
      <c r="C79" s="64" t="str">
        <f>IF('Students Details'!C78="","",'Students Details'!C78)</f>
        <v/>
      </c>
      <c r="D79" s="66"/>
      <c r="E79" s="66"/>
      <c r="F79" s="66"/>
      <c r="G79" s="66"/>
      <c r="H79" s="66"/>
      <c r="I79" s="66"/>
      <c r="J79" s="67">
        <f t="shared" si="0"/>
        <v>0</v>
      </c>
      <c r="K79" s="61">
        <f t="shared" ref="K79:M79" si="147">D79</f>
        <v>0</v>
      </c>
      <c r="L79" s="61">
        <f t="shared" si="147"/>
        <v>0</v>
      </c>
      <c r="M79" s="61">
        <f t="shared" si="147"/>
        <v>0</v>
      </c>
      <c r="N79" s="61">
        <f>IF('CO-PO Mapping'!$A$10="",0,G79)</f>
        <v>0</v>
      </c>
      <c r="O79" s="61">
        <f>IF('CO-PO Mapping'!$A$11="",0,H79)</f>
        <v>0</v>
      </c>
      <c r="P79" s="61">
        <f>IF('CO-PO Mapping'!$A$12="",0,I79)</f>
        <v>0</v>
      </c>
      <c r="Q79" s="61">
        <f t="shared" si="2"/>
        <v>0</v>
      </c>
      <c r="R79" s="61">
        <f t="shared" ref="R79:W79" si="148">K79</f>
        <v>0</v>
      </c>
      <c r="S79" s="61">
        <f t="shared" si="148"/>
        <v>0</v>
      </c>
      <c r="T79" s="61">
        <f t="shared" si="148"/>
        <v>0</v>
      </c>
      <c r="U79" s="61">
        <f t="shared" si="148"/>
        <v>0</v>
      </c>
      <c r="V79" s="61">
        <f t="shared" si="148"/>
        <v>0</v>
      </c>
      <c r="W79" s="61">
        <f t="shared" si="148"/>
        <v>0</v>
      </c>
      <c r="X79" s="61">
        <f t="shared" si="6"/>
        <v>0</v>
      </c>
    </row>
    <row r="80" spans="1:24" ht="15.75" customHeight="1">
      <c r="A80" s="62">
        <v>73</v>
      </c>
      <c r="B80" s="63" t="str">
        <f>IF('Students Details'!B79="","",'Students Details'!B79)</f>
        <v/>
      </c>
      <c r="C80" s="64" t="str">
        <f>IF('Students Details'!C79="","",'Students Details'!C79)</f>
        <v/>
      </c>
      <c r="D80" s="66"/>
      <c r="E80" s="66"/>
      <c r="F80" s="66"/>
      <c r="G80" s="66"/>
      <c r="H80" s="66"/>
      <c r="I80" s="66"/>
      <c r="J80" s="67">
        <f t="shared" si="0"/>
        <v>0</v>
      </c>
      <c r="K80" s="61">
        <f t="shared" ref="K80:M80" si="149">D80</f>
        <v>0</v>
      </c>
      <c r="L80" s="61">
        <f t="shared" si="149"/>
        <v>0</v>
      </c>
      <c r="M80" s="61">
        <f t="shared" si="149"/>
        <v>0</v>
      </c>
      <c r="N80" s="61">
        <f>IF('CO-PO Mapping'!$A$10="",0,G80)</f>
        <v>0</v>
      </c>
      <c r="O80" s="61">
        <f>IF('CO-PO Mapping'!$A$11="",0,H80)</f>
        <v>0</v>
      </c>
      <c r="P80" s="61">
        <f>IF('CO-PO Mapping'!$A$12="",0,I80)</f>
        <v>0</v>
      </c>
      <c r="Q80" s="61">
        <f t="shared" si="2"/>
        <v>0</v>
      </c>
      <c r="R80" s="61">
        <f t="shared" ref="R80:W80" si="150">K80</f>
        <v>0</v>
      </c>
      <c r="S80" s="61">
        <f t="shared" si="150"/>
        <v>0</v>
      </c>
      <c r="T80" s="61">
        <f t="shared" si="150"/>
        <v>0</v>
      </c>
      <c r="U80" s="61">
        <f t="shared" si="150"/>
        <v>0</v>
      </c>
      <c r="V80" s="61">
        <f t="shared" si="150"/>
        <v>0</v>
      </c>
      <c r="W80" s="61">
        <f t="shared" si="150"/>
        <v>0</v>
      </c>
      <c r="X80" s="61">
        <f t="shared" si="6"/>
        <v>0</v>
      </c>
    </row>
    <row r="81" spans="1:24" ht="15.75" customHeight="1">
      <c r="A81" s="62">
        <v>74</v>
      </c>
      <c r="B81" s="63" t="str">
        <f>IF('Students Details'!B80="","",'Students Details'!B80)</f>
        <v/>
      </c>
      <c r="C81" s="64" t="str">
        <f>IF('Students Details'!C80="","",'Students Details'!C80)</f>
        <v/>
      </c>
      <c r="D81" s="66"/>
      <c r="E81" s="66"/>
      <c r="F81" s="66"/>
      <c r="G81" s="66"/>
      <c r="H81" s="66"/>
      <c r="I81" s="66"/>
      <c r="J81" s="67">
        <f t="shared" si="0"/>
        <v>0</v>
      </c>
      <c r="K81" s="61">
        <f t="shared" ref="K81:M81" si="151">D81</f>
        <v>0</v>
      </c>
      <c r="L81" s="61">
        <f t="shared" si="151"/>
        <v>0</v>
      </c>
      <c r="M81" s="61">
        <f t="shared" si="151"/>
        <v>0</v>
      </c>
      <c r="N81" s="61">
        <f>IF('CO-PO Mapping'!$A$10="",0,G81)</f>
        <v>0</v>
      </c>
      <c r="O81" s="61">
        <f>IF('CO-PO Mapping'!$A$11="",0,H81)</f>
        <v>0</v>
      </c>
      <c r="P81" s="61">
        <f>IF('CO-PO Mapping'!$A$12="",0,I81)</f>
        <v>0</v>
      </c>
      <c r="Q81" s="61">
        <f t="shared" si="2"/>
        <v>0</v>
      </c>
      <c r="R81" s="61">
        <f t="shared" ref="R81:W81" si="152">K81</f>
        <v>0</v>
      </c>
      <c r="S81" s="61">
        <f t="shared" si="152"/>
        <v>0</v>
      </c>
      <c r="T81" s="61">
        <f t="shared" si="152"/>
        <v>0</v>
      </c>
      <c r="U81" s="61">
        <f t="shared" si="152"/>
        <v>0</v>
      </c>
      <c r="V81" s="61">
        <f t="shared" si="152"/>
        <v>0</v>
      </c>
      <c r="W81" s="61">
        <f t="shared" si="152"/>
        <v>0</v>
      </c>
      <c r="X81" s="61">
        <f t="shared" si="6"/>
        <v>0</v>
      </c>
    </row>
    <row r="82" spans="1:24" ht="15.75" customHeight="1">
      <c r="A82" s="62">
        <v>75</v>
      </c>
      <c r="B82" s="63" t="str">
        <f>IF('Students Details'!B81="","",'Students Details'!B81)</f>
        <v/>
      </c>
      <c r="C82" s="64" t="str">
        <f>IF('Students Details'!C81="","",'Students Details'!C81)</f>
        <v/>
      </c>
      <c r="D82" s="66"/>
      <c r="E82" s="66"/>
      <c r="F82" s="66"/>
      <c r="G82" s="66"/>
      <c r="H82" s="66"/>
      <c r="I82" s="66"/>
      <c r="J82" s="67">
        <f t="shared" si="0"/>
        <v>0</v>
      </c>
      <c r="K82" s="61">
        <f t="shared" ref="K82:M82" si="153">D82</f>
        <v>0</v>
      </c>
      <c r="L82" s="61">
        <f t="shared" si="153"/>
        <v>0</v>
      </c>
      <c r="M82" s="61">
        <f t="shared" si="153"/>
        <v>0</v>
      </c>
      <c r="N82" s="61">
        <f>IF('CO-PO Mapping'!$A$10="",0,G82)</f>
        <v>0</v>
      </c>
      <c r="O82" s="61">
        <f>IF('CO-PO Mapping'!$A$11="",0,H82)</f>
        <v>0</v>
      </c>
      <c r="P82" s="61">
        <f>IF('CO-PO Mapping'!$A$12="",0,I82)</f>
        <v>0</v>
      </c>
      <c r="Q82" s="61">
        <f t="shared" si="2"/>
        <v>0</v>
      </c>
      <c r="R82" s="61">
        <f t="shared" ref="R82:W82" si="154">K82</f>
        <v>0</v>
      </c>
      <c r="S82" s="61">
        <f t="shared" si="154"/>
        <v>0</v>
      </c>
      <c r="T82" s="61">
        <f t="shared" si="154"/>
        <v>0</v>
      </c>
      <c r="U82" s="61">
        <f t="shared" si="154"/>
        <v>0</v>
      </c>
      <c r="V82" s="61">
        <f t="shared" si="154"/>
        <v>0</v>
      </c>
      <c r="W82" s="61">
        <f t="shared" si="154"/>
        <v>0</v>
      </c>
      <c r="X82" s="61">
        <f t="shared" si="6"/>
        <v>0</v>
      </c>
    </row>
    <row r="83" spans="1:24" ht="15.75" customHeight="1">
      <c r="A83" s="62">
        <v>76</v>
      </c>
      <c r="B83" s="63" t="str">
        <f>IF('Students Details'!B82="","",'Students Details'!B82)</f>
        <v/>
      </c>
      <c r="C83" s="64" t="str">
        <f>IF('Students Details'!C82="","",'Students Details'!C82)</f>
        <v/>
      </c>
      <c r="D83" s="66"/>
      <c r="E83" s="66"/>
      <c r="F83" s="66"/>
      <c r="G83" s="66"/>
      <c r="H83" s="66"/>
      <c r="I83" s="66"/>
      <c r="J83" s="67">
        <f t="shared" si="0"/>
        <v>0</v>
      </c>
      <c r="K83" s="61">
        <f t="shared" ref="K83:M83" si="155">D83</f>
        <v>0</v>
      </c>
      <c r="L83" s="61">
        <f t="shared" si="155"/>
        <v>0</v>
      </c>
      <c r="M83" s="61">
        <f t="shared" si="155"/>
        <v>0</v>
      </c>
      <c r="N83" s="61">
        <f>IF('CO-PO Mapping'!$A$10="",0,G83)</f>
        <v>0</v>
      </c>
      <c r="O83" s="61">
        <f>IF('CO-PO Mapping'!$A$11="",0,H83)</f>
        <v>0</v>
      </c>
      <c r="P83" s="61">
        <f>IF('CO-PO Mapping'!$A$12="",0,I83)</f>
        <v>0</v>
      </c>
      <c r="Q83" s="61">
        <f t="shared" si="2"/>
        <v>0</v>
      </c>
      <c r="R83" s="61">
        <f t="shared" ref="R83:W83" si="156">K83</f>
        <v>0</v>
      </c>
      <c r="S83" s="61">
        <f t="shared" si="156"/>
        <v>0</v>
      </c>
      <c r="T83" s="61">
        <f t="shared" si="156"/>
        <v>0</v>
      </c>
      <c r="U83" s="61">
        <f t="shared" si="156"/>
        <v>0</v>
      </c>
      <c r="V83" s="61">
        <f t="shared" si="156"/>
        <v>0</v>
      </c>
      <c r="W83" s="61">
        <f t="shared" si="156"/>
        <v>0</v>
      </c>
      <c r="X83" s="61">
        <f t="shared" si="6"/>
        <v>0</v>
      </c>
    </row>
    <row r="84" spans="1:24" ht="15.75" customHeight="1">
      <c r="A84" s="62">
        <v>77</v>
      </c>
      <c r="B84" s="63" t="str">
        <f>IF('Students Details'!B83="","",'Students Details'!B83)</f>
        <v/>
      </c>
      <c r="C84" s="64" t="str">
        <f>IF('Students Details'!C83="","",'Students Details'!C83)</f>
        <v/>
      </c>
      <c r="D84" s="66"/>
      <c r="E84" s="66"/>
      <c r="F84" s="66"/>
      <c r="G84" s="66"/>
      <c r="H84" s="66"/>
      <c r="I84" s="66"/>
      <c r="J84" s="67">
        <f t="shared" si="0"/>
        <v>0</v>
      </c>
      <c r="K84" s="61">
        <f t="shared" ref="K84:M84" si="157">D84</f>
        <v>0</v>
      </c>
      <c r="L84" s="61">
        <f t="shared" si="157"/>
        <v>0</v>
      </c>
      <c r="M84" s="61">
        <f t="shared" si="157"/>
        <v>0</v>
      </c>
      <c r="N84" s="61">
        <f>IF('CO-PO Mapping'!$A$10="",0,G84)</f>
        <v>0</v>
      </c>
      <c r="O84" s="61">
        <f>IF('CO-PO Mapping'!$A$11="",0,H84)</f>
        <v>0</v>
      </c>
      <c r="P84" s="61">
        <f>IF('CO-PO Mapping'!$A$12="",0,I84)</f>
        <v>0</v>
      </c>
      <c r="Q84" s="61">
        <f t="shared" si="2"/>
        <v>0</v>
      </c>
      <c r="R84" s="61">
        <f t="shared" ref="R84:W84" si="158">K84</f>
        <v>0</v>
      </c>
      <c r="S84" s="61">
        <f t="shared" si="158"/>
        <v>0</v>
      </c>
      <c r="T84" s="61">
        <f t="shared" si="158"/>
        <v>0</v>
      </c>
      <c r="U84" s="61">
        <f t="shared" si="158"/>
        <v>0</v>
      </c>
      <c r="V84" s="61">
        <f t="shared" si="158"/>
        <v>0</v>
      </c>
      <c r="W84" s="61">
        <f t="shared" si="158"/>
        <v>0</v>
      </c>
      <c r="X84" s="61">
        <f t="shared" si="6"/>
        <v>0</v>
      </c>
    </row>
    <row r="85" spans="1:24" ht="15.75" customHeight="1">
      <c r="A85" s="62">
        <v>78</v>
      </c>
      <c r="B85" s="63" t="str">
        <f>IF('Students Details'!B84="","",'Students Details'!B84)</f>
        <v/>
      </c>
      <c r="C85" s="64" t="str">
        <f>IF('Students Details'!C84="","",'Students Details'!C84)</f>
        <v/>
      </c>
      <c r="D85" s="66"/>
      <c r="E85" s="66"/>
      <c r="F85" s="66"/>
      <c r="G85" s="66"/>
      <c r="H85" s="66"/>
      <c r="I85" s="66"/>
      <c r="J85" s="67">
        <f t="shared" si="0"/>
        <v>0</v>
      </c>
      <c r="K85" s="61">
        <f t="shared" ref="K85:M85" si="159">D85</f>
        <v>0</v>
      </c>
      <c r="L85" s="61">
        <f t="shared" si="159"/>
        <v>0</v>
      </c>
      <c r="M85" s="61">
        <f t="shared" si="159"/>
        <v>0</v>
      </c>
      <c r="N85" s="61">
        <f>IF('CO-PO Mapping'!$A$10="",0,G85)</f>
        <v>0</v>
      </c>
      <c r="O85" s="61">
        <f>IF('CO-PO Mapping'!$A$11="",0,H85)</f>
        <v>0</v>
      </c>
      <c r="P85" s="61">
        <f>IF('CO-PO Mapping'!$A$12="",0,I85)</f>
        <v>0</v>
      </c>
      <c r="Q85" s="61">
        <f t="shared" si="2"/>
        <v>0</v>
      </c>
      <c r="R85" s="61">
        <f t="shared" ref="R85:W85" si="160">K85</f>
        <v>0</v>
      </c>
      <c r="S85" s="61">
        <f t="shared" si="160"/>
        <v>0</v>
      </c>
      <c r="T85" s="61">
        <f t="shared" si="160"/>
        <v>0</v>
      </c>
      <c r="U85" s="61">
        <f t="shared" si="160"/>
        <v>0</v>
      </c>
      <c r="V85" s="61">
        <f t="shared" si="160"/>
        <v>0</v>
      </c>
      <c r="W85" s="61">
        <f t="shared" si="160"/>
        <v>0</v>
      </c>
      <c r="X85" s="61">
        <f t="shared" si="6"/>
        <v>0</v>
      </c>
    </row>
    <row r="86" spans="1:24" ht="15.75" customHeight="1">
      <c r="A86" s="62">
        <v>79</v>
      </c>
      <c r="B86" s="63" t="str">
        <f>IF('Students Details'!B85="","",'Students Details'!B85)</f>
        <v/>
      </c>
      <c r="C86" s="64" t="str">
        <f>IF('Students Details'!C85="","",'Students Details'!C85)</f>
        <v/>
      </c>
      <c r="D86" s="66"/>
      <c r="E86" s="66"/>
      <c r="F86" s="66"/>
      <c r="G86" s="66"/>
      <c r="H86" s="66"/>
      <c r="I86" s="66"/>
      <c r="J86" s="67">
        <f t="shared" si="0"/>
        <v>0</v>
      </c>
      <c r="K86" s="61">
        <f t="shared" ref="K86:M86" si="161">D86</f>
        <v>0</v>
      </c>
      <c r="L86" s="61">
        <f t="shared" si="161"/>
        <v>0</v>
      </c>
      <c r="M86" s="61">
        <f t="shared" si="161"/>
        <v>0</v>
      </c>
      <c r="N86" s="61">
        <f>IF('CO-PO Mapping'!$A$10="",0,G86)</f>
        <v>0</v>
      </c>
      <c r="O86" s="61">
        <f>IF('CO-PO Mapping'!$A$11="",0,H86)</f>
        <v>0</v>
      </c>
      <c r="P86" s="61">
        <f>IF('CO-PO Mapping'!$A$12="",0,I86)</f>
        <v>0</v>
      </c>
      <c r="Q86" s="61">
        <f t="shared" si="2"/>
        <v>0</v>
      </c>
      <c r="R86" s="61">
        <f t="shared" ref="R86:W86" si="162">K86</f>
        <v>0</v>
      </c>
      <c r="S86" s="61">
        <f t="shared" si="162"/>
        <v>0</v>
      </c>
      <c r="T86" s="61">
        <f t="shared" si="162"/>
        <v>0</v>
      </c>
      <c r="U86" s="61">
        <f t="shared" si="162"/>
        <v>0</v>
      </c>
      <c r="V86" s="61">
        <f t="shared" si="162"/>
        <v>0</v>
      </c>
      <c r="W86" s="61">
        <f t="shared" si="162"/>
        <v>0</v>
      </c>
      <c r="X86" s="61">
        <f t="shared" si="6"/>
        <v>0</v>
      </c>
    </row>
    <row r="87" spans="1:24" ht="15.75" customHeight="1">
      <c r="A87" s="62">
        <v>80</v>
      </c>
      <c r="B87" s="63" t="str">
        <f>IF('Students Details'!B86="","",'Students Details'!B86)</f>
        <v/>
      </c>
      <c r="C87" s="64" t="str">
        <f>IF('Students Details'!C86="","",'Students Details'!C86)</f>
        <v/>
      </c>
      <c r="D87" s="66"/>
      <c r="E87" s="66"/>
      <c r="F87" s="66"/>
      <c r="G87" s="66"/>
      <c r="H87" s="66"/>
      <c r="I87" s="66"/>
      <c r="J87" s="67">
        <f t="shared" si="0"/>
        <v>0</v>
      </c>
      <c r="K87" s="61">
        <f t="shared" ref="K87:M87" si="163">D87</f>
        <v>0</v>
      </c>
      <c r="L87" s="61">
        <f t="shared" si="163"/>
        <v>0</v>
      </c>
      <c r="M87" s="61">
        <f t="shared" si="163"/>
        <v>0</v>
      </c>
      <c r="N87" s="61">
        <f>IF('CO-PO Mapping'!$A$10="",0,G87)</f>
        <v>0</v>
      </c>
      <c r="O87" s="61">
        <f>IF('CO-PO Mapping'!$A$11="",0,H87)</f>
        <v>0</v>
      </c>
      <c r="P87" s="61">
        <f>IF('CO-PO Mapping'!$A$12="",0,I87)</f>
        <v>0</v>
      </c>
      <c r="Q87" s="61">
        <f t="shared" si="2"/>
        <v>0</v>
      </c>
      <c r="R87" s="61">
        <f t="shared" ref="R87:W87" si="164">K87</f>
        <v>0</v>
      </c>
      <c r="S87" s="61">
        <f t="shared" si="164"/>
        <v>0</v>
      </c>
      <c r="T87" s="61">
        <f t="shared" si="164"/>
        <v>0</v>
      </c>
      <c r="U87" s="61">
        <f t="shared" si="164"/>
        <v>0</v>
      </c>
      <c r="V87" s="61">
        <f t="shared" si="164"/>
        <v>0</v>
      </c>
      <c r="W87" s="61">
        <f t="shared" si="164"/>
        <v>0</v>
      </c>
      <c r="X87" s="61">
        <f t="shared" si="6"/>
        <v>0</v>
      </c>
    </row>
    <row r="88" spans="1:24" ht="15.75" customHeight="1">
      <c r="A88" s="62">
        <v>81</v>
      </c>
      <c r="B88" s="63" t="str">
        <f>IF('Students Details'!B87="","",'Students Details'!B87)</f>
        <v/>
      </c>
      <c r="C88" s="64" t="str">
        <f>IF('Students Details'!C87="","",'Students Details'!C87)</f>
        <v/>
      </c>
      <c r="D88" s="66"/>
      <c r="E88" s="66"/>
      <c r="F88" s="66"/>
      <c r="G88" s="66"/>
      <c r="H88" s="66"/>
      <c r="I88" s="66"/>
      <c r="J88" s="67">
        <f t="shared" si="0"/>
        <v>0</v>
      </c>
      <c r="K88" s="61">
        <f t="shared" ref="K88:M88" si="165">D88</f>
        <v>0</v>
      </c>
      <c r="L88" s="61">
        <f t="shared" si="165"/>
        <v>0</v>
      </c>
      <c r="M88" s="61">
        <f t="shared" si="165"/>
        <v>0</v>
      </c>
      <c r="N88" s="61">
        <f>IF('CO-PO Mapping'!$A$10="",0,G88)</f>
        <v>0</v>
      </c>
      <c r="O88" s="61">
        <f>IF('CO-PO Mapping'!$A$11="",0,H88)</f>
        <v>0</v>
      </c>
      <c r="P88" s="61">
        <f>IF('CO-PO Mapping'!$A$12="",0,I88)</f>
        <v>0</v>
      </c>
      <c r="Q88" s="61">
        <f t="shared" si="2"/>
        <v>0</v>
      </c>
      <c r="R88" s="61">
        <f t="shared" ref="R88:W88" si="166">K88</f>
        <v>0</v>
      </c>
      <c r="S88" s="61">
        <f t="shared" si="166"/>
        <v>0</v>
      </c>
      <c r="T88" s="61">
        <f t="shared" si="166"/>
        <v>0</v>
      </c>
      <c r="U88" s="61">
        <f t="shared" si="166"/>
        <v>0</v>
      </c>
      <c r="V88" s="61">
        <f t="shared" si="166"/>
        <v>0</v>
      </c>
      <c r="W88" s="61">
        <f t="shared" si="166"/>
        <v>0</v>
      </c>
      <c r="X88" s="61">
        <f t="shared" si="6"/>
        <v>0</v>
      </c>
    </row>
    <row r="89" spans="1:24" ht="15.75" customHeight="1">
      <c r="A89" s="62">
        <v>82</v>
      </c>
      <c r="B89" s="63" t="str">
        <f>IF('Students Details'!B88="","",'Students Details'!B88)</f>
        <v/>
      </c>
      <c r="C89" s="64" t="str">
        <f>IF('Students Details'!C88="","",'Students Details'!C88)</f>
        <v/>
      </c>
      <c r="D89" s="66"/>
      <c r="E89" s="66"/>
      <c r="F89" s="66"/>
      <c r="G89" s="66"/>
      <c r="H89" s="66"/>
      <c r="I89" s="66"/>
      <c r="J89" s="67">
        <f t="shared" si="0"/>
        <v>0</v>
      </c>
      <c r="K89" s="61">
        <f t="shared" ref="K89:M89" si="167">D89</f>
        <v>0</v>
      </c>
      <c r="L89" s="61">
        <f t="shared" si="167"/>
        <v>0</v>
      </c>
      <c r="M89" s="61">
        <f t="shared" si="167"/>
        <v>0</v>
      </c>
      <c r="N89" s="61">
        <f>IF('CO-PO Mapping'!$A$10="",0,G89)</f>
        <v>0</v>
      </c>
      <c r="O89" s="61">
        <f>IF('CO-PO Mapping'!$A$11="",0,H89)</f>
        <v>0</v>
      </c>
      <c r="P89" s="61">
        <f>IF('CO-PO Mapping'!$A$12="",0,I89)</f>
        <v>0</v>
      </c>
      <c r="Q89" s="61">
        <f t="shared" si="2"/>
        <v>0</v>
      </c>
      <c r="R89" s="61">
        <f t="shared" ref="R89:W89" si="168">K89</f>
        <v>0</v>
      </c>
      <c r="S89" s="61">
        <f t="shared" si="168"/>
        <v>0</v>
      </c>
      <c r="T89" s="61">
        <f t="shared" si="168"/>
        <v>0</v>
      </c>
      <c r="U89" s="61">
        <f t="shared" si="168"/>
        <v>0</v>
      </c>
      <c r="V89" s="61">
        <f t="shared" si="168"/>
        <v>0</v>
      </c>
      <c r="W89" s="61">
        <f t="shared" si="168"/>
        <v>0</v>
      </c>
      <c r="X89" s="61">
        <f t="shared" si="6"/>
        <v>0</v>
      </c>
    </row>
    <row r="90" spans="1:24" ht="15.75" customHeight="1">
      <c r="A90" s="62">
        <v>83</v>
      </c>
      <c r="B90" s="63" t="str">
        <f>IF('Students Details'!B89="","",'Students Details'!B89)</f>
        <v/>
      </c>
      <c r="C90" s="64" t="str">
        <f>IF('Students Details'!C89="","",'Students Details'!C89)</f>
        <v/>
      </c>
      <c r="D90" s="66"/>
      <c r="E90" s="66"/>
      <c r="F90" s="66"/>
      <c r="G90" s="66"/>
      <c r="H90" s="66"/>
      <c r="I90" s="66"/>
      <c r="J90" s="67">
        <f t="shared" si="0"/>
        <v>0</v>
      </c>
      <c r="K90" s="61">
        <f t="shared" ref="K90:M90" si="169">D90</f>
        <v>0</v>
      </c>
      <c r="L90" s="61">
        <f t="shared" si="169"/>
        <v>0</v>
      </c>
      <c r="M90" s="61">
        <f t="shared" si="169"/>
        <v>0</v>
      </c>
      <c r="N90" s="61">
        <f>IF('CO-PO Mapping'!$A$10="",0,G90)</f>
        <v>0</v>
      </c>
      <c r="O90" s="61">
        <f>IF('CO-PO Mapping'!$A$11="",0,H90)</f>
        <v>0</v>
      </c>
      <c r="P90" s="61">
        <f>IF('CO-PO Mapping'!$A$12="",0,I90)</f>
        <v>0</v>
      </c>
      <c r="Q90" s="61">
        <f t="shared" si="2"/>
        <v>0</v>
      </c>
      <c r="R90" s="61">
        <f t="shared" ref="R90:W90" si="170">K90</f>
        <v>0</v>
      </c>
      <c r="S90" s="61">
        <f t="shared" si="170"/>
        <v>0</v>
      </c>
      <c r="T90" s="61">
        <f t="shared" si="170"/>
        <v>0</v>
      </c>
      <c r="U90" s="61">
        <f t="shared" si="170"/>
        <v>0</v>
      </c>
      <c r="V90" s="61">
        <f t="shared" si="170"/>
        <v>0</v>
      </c>
      <c r="W90" s="61">
        <f t="shared" si="170"/>
        <v>0</v>
      </c>
      <c r="X90" s="61">
        <f t="shared" si="6"/>
        <v>0</v>
      </c>
    </row>
    <row r="91" spans="1:24" ht="15.75" customHeight="1">
      <c r="A91" s="62">
        <v>84</v>
      </c>
      <c r="B91" s="63" t="str">
        <f>IF('Students Details'!B90="","",'Students Details'!B90)</f>
        <v/>
      </c>
      <c r="C91" s="64" t="str">
        <f>IF('Students Details'!C90="","",'Students Details'!C90)</f>
        <v/>
      </c>
      <c r="D91" s="66"/>
      <c r="E91" s="66"/>
      <c r="F91" s="66"/>
      <c r="G91" s="66"/>
      <c r="H91" s="66"/>
      <c r="I91" s="66"/>
      <c r="J91" s="67">
        <f t="shared" si="0"/>
        <v>0</v>
      </c>
      <c r="K91" s="61">
        <f t="shared" ref="K91:M91" si="171">D91</f>
        <v>0</v>
      </c>
      <c r="L91" s="61">
        <f t="shared" si="171"/>
        <v>0</v>
      </c>
      <c r="M91" s="61">
        <f t="shared" si="171"/>
        <v>0</v>
      </c>
      <c r="N91" s="61">
        <f>IF('CO-PO Mapping'!$A$10="",0,G91)</f>
        <v>0</v>
      </c>
      <c r="O91" s="61">
        <f>IF('CO-PO Mapping'!$A$11="",0,H91)</f>
        <v>0</v>
      </c>
      <c r="P91" s="61">
        <f>IF('CO-PO Mapping'!$A$12="",0,I91)</f>
        <v>0</v>
      </c>
      <c r="Q91" s="61">
        <f t="shared" si="2"/>
        <v>0</v>
      </c>
      <c r="R91" s="61">
        <f t="shared" ref="R91:W91" si="172">K91</f>
        <v>0</v>
      </c>
      <c r="S91" s="61">
        <f t="shared" si="172"/>
        <v>0</v>
      </c>
      <c r="T91" s="61">
        <f t="shared" si="172"/>
        <v>0</v>
      </c>
      <c r="U91" s="61">
        <f t="shared" si="172"/>
        <v>0</v>
      </c>
      <c r="V91" s="61">
        <f t="shared" si="172"/>
        <v>0</v>
      </c>
      <c r="W91" s="61">
        <f t="shared" si="172"/>
        <v>0</v>
      </c>
      <c r="X91" s="61">
        <f t="shared" si="6"/>
        <v>0</v>
      </c>
    </row>
    <row r="92" spans="1:24" ht="15.75" customHeight="1">
      <c r="A92" s="62">
        <v>85</v>
      </c>
      <c r="B92" s="63" t="str">
        <f>IF('Students Details'!B91="","",'Students Details'!B91)</f>
        <v/>
      </c>
      <c r="C92" s="64" t="str">
        <f>IF('Students Details'!C91="","",'Students Details'!C91)</f>
        <v/>
      </c>
      <c r="D92" s="66"/>
      <c r="E92" s="66"/>
      <c r="F92" s="66"/>
      <c r="G92" s="66"/>
      <c r="H92" s="66"/>
      <c r="I92" s="66"/>
      <c r="J92" s="67">
        <f t="shared" si="0"/>
        <v>0</v>
      </c>
      <c r="K92" s="61">
        <f t="shared" ref="K92:M92" si="173">D92</f>
        <v>0</v>
      </c>
      <c r="L92" s="61">
        <f t="shared" si="173"/>
        <v>0</v>
      </c>
      <c r="M92" s="61">
        <f t="shared" si="173"/>
        <v>0</v>
      </c>
      <c r="N92" s="61">
        <f>IF('CO-PO Mapping'!$A$10="",0,G92)</f>
        <v>0</v>
      </c>
      <c r="O92" s="61">
        <f>IF('CO-PO Mapping'!$A$11="",0,H92)</f>
        <v>0</v>
      </c>
      <c r="P92" s="61">
        <f>IF('CO-PO Mapping'!$A$12="",0,I92)</f>
        <v>0</v>
      </c>
      <c r="Q92" s="61">
        <f t="shared" si="2"/>
        <v>0</v>
      </c>
      <c r="R92" s="61">
        <f t="shared" ref="R92:W92" si="174">K92</f>
        <v>0</v>
      </c>
      <c r="S92" s="61">
        <f t="shared" si="174"/>
        <v>0</v>
      </c>
      <c r="T92" s="61">
        <f t="shared" si="174"/>
        <v>0</v>
      </c>
      <c r="U92" s="61">
        <f t="shared" si="174"/>
        <v>0</v>
      </c>
      <c r="V92" s="61">
        <f t="shared" si="174"/>
        <v>0</v>
      </c>
      <c r="W92" s="61">
        <f t="shared" si="174"/>
        <v>0</v>
      </c>
      <c r="X92" s="61">
        <f t="shared" si="6"/>
        <v>0</v>
      </c>
    </row>
    <row r="93" spans="1:24" ht="15.75" customHeight="1">
      <c r="A93" s="62">
        <v>86</v>
      </c>
      <c r="B93" s="63" t="str">
        <f>IF('Students Details'!B92="","",'Students Details'!B92)</f>
        <v/>
      </c>
      <c r="C93" s="64" t="str">
        <f>IF('Students Details'!C92="","",'Students Details'!C92)</f>
        <v/>
      </c>
      <c r="D93" s="66"/>
      <c r="E93" s="66"/>
      <c r="F93" s="66"/>
      <c r="G93" s="66"/>
      <c r="H93" s="66"/>
      <c r="I93" s="66"/>
      <c r="J93" s="67">
        <f t="shared" si="0"/>
        <v>0</v>
      </c>
      <c r="K93" s="61">
        <f t="shared" ref="K93:M93" si="175">D93</f>
        <v>0</v>
      </c>
      <c r="L93" s="61">
        <f t="shared" si="175"/>
        <v>0</v>
      </c>
      <c r="M93" s="61">
        <f t="shared" si="175"/>
        <v>0</v>
      </c>
      <c r="N93" s="61">
        <f>IF('CO-PO Mapping'!$A$10="",0,G93)</f>
        <v>0</v>
      </c>
      <c r="O93" s="61">
        <f>IF('CO-PO Mapping'!$A$11="",0,H93)</f>
        <v>0</v>
      </c>
      <c r="P93" s="61">
        <f>IF('CO-PO Mapping'!$A$12="",0,I93)</f>
        <v>0</v>
      </c>
      <c r="Q93" s="61">
        <f t="shared" si="2"/>
        <v>0</v>
      </c>
      <c r="R93" s="61">
        <f t="shared" ref="R93:W93" si="176">K93</f>
        <v>0</v>
      </c>
      <c r="S93" s="61">
        <f t="shared" si="176"/>
        <v>0</v>
      </c>
      <c r="T93" s="61">
        <f t="shared" si="176"/>
        <v>0</v>
      </c>
      <c r="U93" s="61">
        <f t="shared" si="176"/>
        <v>0</v>
      </c>
      <c r="V93" s="61">
        <f t="shared" si="176"/>
        <v>0</v>
      </c>
      <c r="W93" s="61">
        <f t="shared" si="176"/>
        <v>0</v>
      </c>
      <c r="X93" s="61">
        <f t="shared" si="6"/>
        <v>0</v>
      </c>
    </row>
    <row r="94" spans="1:24" ht="15.75" customHeight="1">
      <c r="A94" s="62">
        <v>87</v>
      </c>
      <c r="B94" s="63" t="str">
        <f>IF('Students Details'!B93="","",'Students Details'!B93)</f>
        <v/>
      </c>
      <c r="C94" s="64" t="str">
        <f>IF('Students Details'!C93="","",'Students Details'!C93)</f>
        <v/>
      </c>
      <c r="D94" s="66"/>
      <c r="E94" s="66"/>
      <c r="F94" s="66"/>
      <c r="G94" s="66"/>
      <c r="H94" s="66"/>
      <c r="I94" s="66"/>
      <c r="J94" s="67">
        <f t="shared" si="0"/>
        <v>0</v>
      </c>
      <c r="K94" s="61">
        <f t="shared" ref="K94:M94" si="177">D94</f>
        <v>0</v>
      </c>
      <c r="L94" s="61">
        <f t="shared" si="177"/>
        <v>0</v>
      </c>
      <c r="M94" s="61">
        <f t="shared" si="177"/>
        <v>0</v>
      </c>
      <c r="N94" s="61">
        <f>IF('CO-PO Mapping'!$A$10="",0,G94)</f>
        <v>0</v>
      </c>
      <c r="O94" s="61">
        <f>IF('CO-PO Mapping'!$A$11="",0,H94)</f>
        <v>0</v>
      </c>
      <c r="P94" s="61">
        <f>IF('CO-PO Mapping'!$A$12="",0,I94)</f>
        <v>0</v>
      </c>
      <c r="Q94" s="61">
        <f t="shared" si="2"/>
        <v>0</v>
      </c>
      <c r="R94" s="61">
        <f t="shared" ref="R94:W94" si="178">K94</f>
        <v>0</v>
      </c>
      <c r="S94" s="61">
        <f t="shared" si="178"/>
        <v>0</v>
      </c>
      <c r="T94" s="61">
        <f t="shared" si="178"/>
        <v>0</v>
      </c>
      <c r="U94" s="61">
        <f t="shared" si="178"/>
        <v>0</v>
      </c>
      <c r="V94" s="61">
        <f t="shared" si="178"/>
        <v>0</v>
      </c>
      <c r="W94" s="61">
        <f t="shared" si="178"/>
        <v>0</v>
      </c>
      <c r="X94" s="61">
        <f t="shared" si="6"/>
        <v>0</v>
      </c>
    </row>
    <row r="95" spans="1:24" ht="15.75" customHeight="1">
      <c r="A95" s="62">
        <v>88</v>
      </c>
      <c r="B95" s="63" t="str">
        <f>IF('Students Details'!B94="","",'Students Details'!B94)</f>
        <v/>
      </c>
      <c r="C95" s="64" t="str">
        <f>IF('Students Details'!C94="","",'Students Details'!C94)</f>
        <v/>
      </c>
      <c r="D95" s="66"/>
      <c r="E95" s="66"/>
      <c r="F95" s="66"/>
      <c r="G95" s="66"/>
      <c r="H95" s="66"/>
      <c r="I95" s="66"/>
      <c r="J95" s="67">
        <f t="shared" si="0"/>
        <v>0</v>
      </c>
      <c r="K95" s="61">
        <f t="shared" ref="K95:M95" si="179">D95</f>
        <v>0</v>
      </c>
      <c r="L95" s="61">
        <f t="shared" si="179"/>
        <v>0</v>
      </c>
      <c r="M95" s="61">
        <f t="shared" si="179"/>
        <v>0</v>
      </c>
      <c r="N95" s="61">
        <f>IF('CO-PO Mapping'!$A$10="",0,G95)</f>
        <v>0</v>
      </c>
      <c r="O95" s="61">
        <f>IF('CO-PO Mapping'!$A$11="",0,H95)</f>
        <v>0</v>
      </c>
      <c r="P95" s="61">
        <f>IF('CO-PO Mapping'!$A$12="",0,I95)</f>
        <v>0</v>
      </c>
      <c r="Q95" s="61">
        <f t="shared" si="2"/>
        <v>0</v>
      </c>
      <c r="R95" s="61">
        <f t="shared" ref="R95:W95" si="180">K95</f>
        <v>0</v>
      </c>
      <c r="S95" s="61">
        <f t="shared" si="180"/>
        <v>0</v>
      </c>
      <c r="T95" s="61">
        <f t="shared" si="180"/>
        <v>0</v>
      </c>
      <c r="U95" s="61">
        <f t="shared" si="180"/>
        <v>0</v>
      </c>
      <c r="V95" s="61">
        <f t="shared" si="180"/>
        <v>0</v>
      </c>
      <c r="W95" s="61">
        <f t="shared" si="180"/>
        <v>0</v>
      </c>
      <c r="X95" s="61">
        <f t="shared" si="6"/>
        <v>0</v>
      </c>
    </row>
    <row r="96" spans="1:24" ht="15.75" customHeight="1">
      <c r="A96" s="62">
        <v>89</v>
      </c>
      <c r="B96" s="63" t="str">
        <f>IF('Students Details'!B95="","",'Students Details'!B95)</f>
        <v/>
      </c>
      <c r="C96" s="64" t="str">
        <f>IF('Students Details'!C95="","",'Students Details'!C95)</f>
        <v/>
      </c>
      <c r="D96" s="66"/>
      <c r="E96" s="66"/>
      <c r="F96" s="66"/>
      <c r="G96" s="66"/>
      <c r="H96" s="66"/>
      <c r="I96" s="66"/>
      <c r="J96" s="67">
        <f t="shared" si="0"/>
        <v>0</v>
      </c>
      <c r="K96" s="61">
        <f t="shared" ref="K96:M96" si="181">D96</f>
        <v>0</v>
      </c>
      <c r="L96" s="61">
        <f t="shared" si="181"/>
        <v>0</v>
      </c>
      <c r="M96" s="61">
        <f t="shared" si="181"/>
        <v>0</v>
      </c>
      <c r="N96" s="61">
        <f>IF('CO-PO Mapping'!$A$10="",0,G96)</f>
        <v>0</v>
      </c>
      <c r="O96" s="61">
        <f>IF('CO-PO Mapping'!$A$11="",0,H96)</f>
        <v>0</v>
      </c>
      <c r="P96" s="61">
        <f>IF('CO-PO Mapping'!$A$12="",0,I96)</f>
        <v>0</v>
      </c>
      <c r="Q96" s="61">
        <f t="shared" si="2"/>
        <v>0</v>
      </c>
      <c r="R96" s="61">
        <f t="shared" ref="R96:W96" si="182">K96</f>
        <v>0</v>
      </c>
      <c r="S96" s="61">
        <f t="shared" si="182"/>
        <v>0</v>
      </c>
      <c r="T96" s="61">
        <f t="shared" si="182"/>
        <v>0</v>
      </c>
      <c r="U96" s="61">
        <f t="shared" si="182"/>
        <v>0</v>
      </c>
      <c r="V96" s="61">
        <f t="shared" si="182"/>
        <v>0</v>
      </c>
      <c r="W96" s="61">
        <f t="shared" si="182"/>
        <v>0</v>
      </c>
      <c r="X96" s="61">
        <f t="shared" si="6"/>
        <v>0</v>
      </c>
    </row>
    <row r="97" spans="1:24" ht="15.75" customHeight="1">
      <c r="A97" s="62">
        <v>90</v>
      </c>
      <c r="B97" s="63" t="str">
        <f>IF('Students Details'!B96="","",'Students Details'!B96)</f>
        <v/>
      </c>
      <c r="C97" s="64" t="str">
        <f>IF('Students Details'!C96="","",'Students Details'!C96)</f>
        <v/>
      </c>
      <c r="D97" s="66"/>
      <c r="E97" s="66"/>
      <c r="F97" s="66"/>
      <c r="G97" s="66"/>
      <c r="H97" s="66"/>
      <c r="I97" s="66"/>
      <c r="J97" s="67">
        <f t="shared" si="0"/>
        <v>0</v>
      </c>
      <c r="K97" s="61">
        <f t="shared" ref="K97:M97" si="183">D97</f>
        <v>0</v>
      </c>
      <c r="L97" s="61">
        <f t="shared" si="183"/>
        <v>0</v>
      </c>
      <c r="M97" s="61">
        <f t="shared" si="183"/>
        <v>0</v>
      </c>
      <c r="N97" s="61">
        <f>IF('CO-PO Mapping'!$A$10="",0,G97)</f>
        <v>0</v>
      </c>
      <c r="O97" s="61">
        <f>IF('CO-PO Mapping'!$A$11="",0,H97)</f>
        <v>0</v>
      </c>
      <c r="P97" s="61">
        <f>IF('CO-PO Mapping'!$A$12="",0,I97)</f>
        <v>0</v>
      </c>
      <c r="Q97" s="61">
        <f t="shared" si="2"/>
        <v>0</v>
      </c>
      <c r="R97" s="61">
        <f t="shared" ref="R97:W97" si="184">K97</f>
        <v>0</v>
      </c>
      <c r="S97" s="61">
        <f t="shared" si="184"/>
        <v>0</v>
      </c>
      <c r="T97" s="61">
        <f t="shared" si="184"/>
        <v>0</v>
      </c>
      <c r="U97" s="61">
        <f t="shared" si="184"/>
        <v>0</v>
      </c>
      <c r="V97" s="61">
        <f t="shared" si="184"/>
        <v>0</v>
      </c>
      <c r="W97" s="61">
        <f t="shared" si="184"/>
        <v>0</v>
      </c>
      <c r="X97" s="61">
        <f t="shared" si="6"/>
        <v>0</v>
      </c>
    </row>
    <row r="98" spans="1:24" ht="15.75" customHeight="1">
      <c r="A98" s="62">
        <v>91</v>
      </c>
      <c r="B98" s="63" t="str">
        <f>IF('Students Details'!B97="","",'Students Details'!B97)</f>
        <v/>
      </c>
      <c r="C98" s="64" t="str">
        <f>IF('Students Details'!C97="","",'Students Details'!C97)</f>
        <v/>
      </c>
      <c r="D98" s="66"/>
      <c r="E98" s="66"/>
      <c r="F98" s="66"/>
      <c r="G98" s="66"/>
      <c r="H98" s="66"/>
      <c r="I98" s="66"/>
      <c r="J98" s="67">
        <f t="shared" si="0"/>
        <v>0</v>
      </c>
      <c r="K98" s="61">
        <f t="shared" ref="K98:M98" si="185">D98</f>
        <v>0</v>
      </c>
      <c r="L98" s="61">
        <f t="shared" si="185"/>
        <v>0</v>
      </c>
      <c r="M98" s="61">
        <f t="shared" si="185"/>
        <v>0</v>
      </c>
      <c r="N98" s="61">
        <f>IF('CO-PO Mapping'!$A$10="",0,G98)</f>
        <v>0</v>
      </c>
      <c r="O98" s="61">
        <f>IF('CO-PO Mapping'!$A$11="",0,H98)</f>
        <v>0</v>
      </c>
      <c r="P98" s="61">
        <f>IF('CO-PO Mapping'!$A$12="",0,I98)</f>
        <v>0</v>
      </c>
      <c r="Q98" s="61">
        <f t="shared" si="2"/>
        <v>0</v>
      </c>
      <c r="R98" s="61">
        <f t="shared" ref="R98:W98" si="186">K98</f>
        <v>0</v>
      </c>
      <c r="S98" s="61">
        <f t="shared" si="186"/>
        <v>0</v>
      </c>
      <c r="T98" s="61">
        <f t="shared" si="186"/>
        <v>0</v>
      </c>
      <c r="U98" s="61">
        <f t="shared" si="186"/>
        <v>0</v>
      </c>
      <c r="V98" s="61">
        <f t="shared" si="186"/>
        <v>0</v>
      </c>
      <c r="W98" s="61">
        <f t="shared" si="186"/>
        <v>0</v>
      </c>
      <c r="X98" s="61">
        <f t="shared" si="6"/>
        <v>0</v>
      </c>
    </row>
    <row r="99" spans="1:24" ht="15.75" customHeight="1">
      <c r="A99" s="62">
        <v>92</v>
      </c>
      <c r="B99" s="63" t="str">
        <f>IF('Students Details'!B98="","",'Students Details'!B98)</f>
        <v/>
      </c>
      <c r="C99" s="64" t="str">
        <f>IF('Students Details'!C98="","",'Students Details'!C98)</f>
        <v/>
      </c>
      <c r="D99" s="66"/>
      <c r="E99" s="66"/>
      <c r="F99" s="66"/>
      <c r="G99" s="66"/>
      <c r="H99" s="66"/>
      <c r="I99" s="66"/>
      <c r="J99" s="67">
        <f t="shared" si="0"/>
        <v>0</v>
      </c>
      <c r="K99" s="61">
        <f t="shared" ref="K99:M99" si="187">D99</f>
        <v>0</v>
      </c>
      <c r="L99" s="61">
        <f t="shared" si="187"/>
        <v>0</v>
      </c>
      <c r="M99" s="61">
        <f t="shared" si="187"/>
        <v>0</v>
      </c>
      <c r="N99" s="61">
        <f>IF('CO-PO Mapping'!$A$10="",0,G99)</f>
        <v>0</v>
      </c>
      <c r="O99" s="61">
        <f>IF('CO-PO Mapping'!$A$11="",0,H99)</f>
        <v>0</v>
      </c>
      <c r="P99" s="61">
        <f>IF('CO-PO Mapping'!$A$12="",0,I99)</f>
        <v>0</v>
      </c>
      <c r="Q99" s="61">
        <f t="shared" si="2"/>
        <v>0</v>
      </c>
      <c r="R99" s="61">
        <f t="shared" ref="R99:W99" si="188">K99</f>
        <v>0</v>
      </c>
      <c r="S99" s="61">
        <f t="shared" si="188"/>
        <v>0</v>
      </c>
      <c r="T99" s="61">
        <f t="shared" si="188"/>
        <v>0</v>
      </c>
      <c r="U99" s="61">
        <f t="shared" si="188"/>
        <v>0</v>
      </c>
      <c r="V99" s="61">
        <f t="shared" si="188"/>
        <v>0</v>
      </c>
      <c r="W99" s="61">
        <f t="shared" si="188"/>
        <v>0</v>
      </c>
      <c r="X99" s="61">
        <f t="shared" si="6"/>
        <v>0</v>
      </c>
    </row>
    <row r="100" spans="1:24" ht="15.75" customHeight="1">
      <c r="A100" s="62">
        <v>93</v>
      </c>
      <c r="B100" s="63" t="str">
        <f>IF('Students Details'!B99="","",'Students Details'!B99)</f>
        <v/>
      </c>
      <c r="C100" s="64" t="str">
        <f>IF('Students Details'!C99="","",'Students Details'!C99)</f>
        <v/>
      </c>
      <c r="D100" s="66"/>
      <c r="E100" s="66"/>
      <c r="F100" s="66"/>
      <c r="G100" s="66"/>
      <c r="H100" s="66"/>
      <c r="I100" s="66"/>
      <c r="J100" s="67">
        <f t="shared" si="0"/>
        <v>0</v>
      </c>
      <c r="K100" s="61">
        <f t="shared" ref="K100:M100" si="189">D100</f>
        <v>0</v>
      </c>
      <c r="L100" s="61">
        <f t="shared" si="189"/>
        <v>0</v>
      </c>
      <c r="M100" s="61">
        <f t="shared" si="189"/>
        <v>0</v>
      </c>
      <c r="N100" s="61">
        <f>IF('CO-PO Mapping'!$A$10="",0,G100)</f>
        <v>0</v>
      </c>
      <c r="O100" s="61">
        <f>IF('CO-PO Mapping'!$A$11="",0,H100)</f>
        <v>0</v>
      </c>
      <c r="P100" s="61">
        <f>IF('CO-PO Mapping'!$A$12="",0,I100)</f>
        <v>0</v>
      </c>
      <c r="Q100" s="61">
        <f t="shared" si="2"/>
        <v>0</v>
      </c>
      <c r="R100" s="61">
        <f t="shared" ref="R100:W100" si="190">K100</f>
        <v>0</v>
      </c>
      <c r="S100" s="61">
        <f t="shared" si="190"/>
        <v>0</v>
      </c>
      <c r="T100" s="61">
        <f t="shared" si="190"/>
        <v>0</v>
      </c>
      <c r="U100" s="61">
        <f t="shared" si="190"/>
        <v>0</v>
      </c>
      <c r="V100" s="61">
        <f t="shared" si="190"/>
        <v>0</v>
      </c>
      <c r="W100" s="61">
        <f t="shared" si="190"/>
        <v>0</v>
      </c>
      <c r="X100" s="61">
        <f t="shared" si="6"/>
        <v>0</v>
      </c>
    </row>
    <row r="101" spans="1:24" ht="15.75" customHeight="1">
      <c r="A101" s="62">
        <v>94</v>
      </c>
      <c r="B101" s="63" t="str">
        <f>IF('Students Details'!B100="","",'Students Details'!B100)</f>
        <v/>
      </c>
      <c r="C101" s="64" t="str">
        <f>IF('Students Details'!C100="","",'Students Details'!C100)</f>
        <v/>
      </c>
      <c r="D101" s="66"/>
      <c r="E101" s="66"/>
      <c r="F101" s="66"/>
      <c r="G101" s="66"/>
      <c r="H101" s="66"/>
      <c r="I101" s="66"/>
      <c r="J101" s="67">
        <f t="shared" si="0"/>
        <v>0</v>
      </c>
      <c r="K101" s="61">
        <f t="shared" ref="K101:M101" si="191">D101</f>
        <v>0</v>
      </c>
      <c r="L101" s="61">
        <f t="shared" si="191"/>
        <v>0</v>
      </c>
      <c r="M101" s="61">
        <f t="shared" si="191"/>
        <v>0</v>
      </c>
      <c r="N101" s="61">
        <f>IF('CO-PO Mapping'!$A$10="",0,G101)</f>
        <v>0</v>
      </c>
      <c r="O101" s="61">
        <f>IF('CO-PO Mapping'!$A$11="",0,H101)</f>
        <v>0</v>
      </c>
      <c r="P101" s="61">
        <f>IF('CO-PO Mapping'!$A$12="",0,I101)</f>
        <v>0</v>
      </c>
      <c r="Q101" s="61">
        <f t="shared" si="2"/>
        <v>0</v>
      </c>
      <c r="R101" s="61">
        <f t="shared" ref="R101:W101" si="192">K101</f>
        <v>0</v>
      </c>
      <c r="S101" s="61">
        <f t="shared" si="192"/>
        <v>0</v>
      </c>
      <c r="T101" s="61">
        <f t="shared" si="192"/>
        <v>0</v>
      </c>
      <c r="U101" s="61">
        <f t="shared" si="192"/>
        <v>0</v>
      </c>
      <c r="V101" s="61">
        <f t="shared" si="192"/>
        <v>0</v>
      </c>
      <c r="W101" s="61">
        <f t="shared" si="192"/>
        <v>0</v>
      </c>
      <c r="X101" s="61">
        <f t="shared" si="6"/>
        <v>0</v>
      </c>
    </row>
    <row r="102" spans="1:24" ht="15.75" customHeight="1">
      <c r="A102" s="62">
        <v>95</v>
      </c>
      <c r="B102" s="63" t="str">
        <f>IF('Students Details'!B101="","",'Students Details'!B101)</f>
        <v/>
      </c>
      <c r="C102" s="64" t="str">
        <f>IF('Students Details'!C101="","",'Students Details'!C101)</f>
        <v/>
      </c>
      <c r="D102" s="66"/>
      <c r="E102" s="66"/>
      <c r="F102" s="66"/>
      <c r="G102" s="66"/>
      <c r="H102" s="66"/>
      <c r="I102" s="66"/>
      <c r="J102" s="67">
        <f t="shared" si="0"/>
        <v>0</v>
      </c>
      <c r="K102" s="61">
        <f t="shared" ref="K102:M102" si="193">D102</f>
        <v>0</v>
      </c>
      <c r="L102" s="61">
        <f t="shared" si="193"/>
        <v>0</v>
      </c>
      <c r="M102" s="61">
        <f t="shared" si="193"/>
        <v>0</v>
      </c>
      <c r="N102" s="61">
        <f>IF('CO-PO Mapping'!$A$10="",0,G102)</f>
        <v>0</v>
      </c>
      <c r="O102" s="61">
        <f>IF('CO-PO Mapping'!$A$11="",0,H102)</f>
        <v>0</v>
      </c>
      <c r="P102" s="61">
        <f>IF('CO-PO Mapping'!$A$12="",0,I102)</f>
        <v>0</v>
      </c>
      <c r="Q102" s="61">
        <f t="shared" si="2"/>
        <v>0</v>
      </c>
      <c r="R102" s="61">
        <f t="shared" ref="R102:W102" si="194">K102</f>
        <v>0</v>
      </c>
      <c r="S102" s="61">
        <f t="shared" si="194"/>
        <v>0</v>
      </c>
      <c r="T102" s="61">
        <f t="shared" si="194"/>
        <v>0</v>
      </c>
      <c r="U102" s="61">
        <f t="shared" si="194"/>
        <v>0</v>
      </c>
      <c r="V102" s="61">
        <f t="shared" si="194"/>
        <v>0</v>
      </c>
      <c r="W102" s="61">
        <f t="shared" si="194"/>
        <v>0</v>
      </c>
      <c r="X102" s="61">
        <f t="shared" si="6"/>
        <v>0</v>
      </c>
    </row>
    <row r="103" spans="1:24" ht="15.75" customHeight="1">
      <c r="A103" s="62">
        <v>96</v>
      </c>
      <c r="B103" s="63" t="str">
        <f>IF('Students Details'!B102="","",'Students Details'!B102)</f>
        <v/>
      </c>
      <c r="C103" s="64" t="str">
        <f>IF('Students Details'!C102="","",'Students Details'!C102)</f>
        <v/>
      </c>
      <c r="D103" s="66"/>
      <c r="E103" s="66"/>
      <c r="F103" s="66"/>
      <c r="G103" s="66"/>
      <c r="H103" s="66"/>
      <c r="I103" s="66"/>
      <c r="J103" s="67">
        <f t="shared" si="0"/>
        <v>0</v>
      </c>
      <c r="K103" s="61">
        <f t="shared" ref="K103:M103" si="195">D103</f>
        <v>0</v>
      </c>
      <c r="L103" s="61">
        <f t="shared" si="195"/>
        <v>0</v>
      </c>
      <c r="M103" s="61">
        <f t="shared" si="195"/>
        <v>0</v>
      </c>
      <c r="N103" s="61">
        <f>IF('CO-PO Mapping'!$A$10="",0,G103)</f>
        <v>0</v>
      </c>
      <c r="O103" s="61">
        <f>IF('CO-PO Mapping'!$A$11="",0,H103)</f>
        <v>0</v>
      </c>
      <c r="P103" s="61">
        <f>IF('CO-PO Mapping'!$A$12="",0,I103)</f>
        <v>0</v>
      </c>
      <c r="Q103" s="61">
        <f t="shared" si="2"/>
        <v>0</v>
      </c>
      <c r="R103" s="61">
        <f t="shared" ref="R103:W103" si="196">K103</f>
        <v>0</v>
      </c>
      <c r="S103" s="61">
        <f t="shared" si="196"/>
        <v>0</v>
      </c>
      <c r="T103" s="61">
        <f t="shared" si="196"/>
        <v>0</v>
      </c>
      <c r="U103" s="61">
        <f t="shared" si="196"/>
        <v>0</v>
      </c>
      <c r="V103" s="61">
        <f t="shared" si="196"/>
        <v>0</v>
      </c>
      <c r="W103" s="61">
        <f t="shared" si="196"/>
        <v>0</v>
      </c>
      <c r="X103" s="61">
        <f t="shared" si="6"/>
        <v>0</v>
      </c>
    </row>
    <row r="104" spans="1:24" ht="15.75" customHeight="1">
      <c r="A104" s="62">
        <v>97</v>
      </c>
      <c r="B104" s="63" t="str">
        <f>IF('Students Details'!B103="","",'Students Details'!B103)</f>
        <v/>
      </c>
      <c r="C104" s="64" t="str">
        <f>IF('Students Details'!C103="","",'Students Details'!C103)</f>
        <v/>
      </c>
      <c r="D104" s="66"/>
      <c r="E104" s="66"/>
      <c r="F104" s="66"/>
      <c r="G104" s="66"/>
      <c r="H104" s="66"/>
      <c r="I104" s="66"/>
      <c r="J104" s="67">
        <f t="shared" si="0"/>
        <v>0</v>
      </c>
      <c r="K104" s="61">
        <f t="shared" ref="K104:M104" si="197">D104</f>
        <v>0</v>
      </c>
      <c r="L104" s="61">
        <f t="shared" si="197"/>
        <v>0</v>
      </c>
      <c r="M104" s="61">
        <f t="shared" si="197"/>
        <v>0</v>
      </c>
      <c r="N104" s="61">
        <f>IF('CO-PO Mapping'!$A$10="",0,G104)</f>
        <v>0</v>
      </c>
      <c r="O104" s="61">
        <f>IF('CO-PO Mapping'!$A$11="",0,H104)</f>
        <v>0</v>
      </c>
      <c r="P104" s="61">
        <f>IF('CO-PO Mapping'!$A$12="",0,I104)</f>
        <v>0</v>
      </c>
      <c r="Q104" s="61">
        <f t="shared" si="2"/>
        <v>0</v>
      </c>
      <c r="R104" s="61">
        <f t="shared" ref="R104:W104" si="198">K104</f>
        <v>0</v>
      </c>
      <c r="S104" s="61">
        <f t="shared" si="198"/>
        <v>0</v>
      </c>
      <c r="T104" s="61">
        <f t="shared" si="198"/>
        <v>0</v>
      </c>
      <c r="U104" s="61">
        <f t="shared" si="198"/>
        <v>0</v>
      </c>
      <c r="V104" s="61">
        <f t="shared" si="198"/>
        <v>0</v>
      </c>
      <c r="W104" s="61">
        <f t="shared" si="198"/>
        <v>0</v>
      </c>
      <c r="X104" s="61">
        <f t="shared" si="6"/>
        <v>0</v>
      </c>
    </row>
    <row r="105" spans="1:24" ht="15.75" customHeight="1">
      <c r="A105" s="62">
        <v>98</v>
      </c>
      <c r="B105" s="63" t="str">
        <f>IF('Students Details'!B104="","",'Students Details'!B104)</f>
        <v/>
      </c>
      <c r="C105" s="64" t="str">
        <f>IF('Students Details'!C104="","",'Students Details'!C104)</f>
        <v/>
      </c>
      <c r="D105" s="66"/>
      <c r="E105" s="66"/>
      <c r="F105" s="66"/>
      <c r="G105" s="66"/>
      <c r="H105" s="66"/>
      <c r="I105" s="66"/>
      <c r="J105" s="67">
        <f t="shared" si="0"/>
        <v>0</v>
      </c>
      <c r="K105" s="61">
        <f t="shared" ref="K105:M105" si="199">D105</f>
        <v>0</v>
      </c>
      <c r="L105" s="61">
        <f t="shared" si="199"/>
        <v>0</v>
      </c>
      <c r="M105" s="61">
        <f t="shared" si="199"/>
        <v>0</v>
      </c>
      <c r="N105" s="61">
        <f>IF('CO-PO Mapping'!$A$10="",0,G105)</f>
        <v>0</v>
      </c>
      <c r="O105" s="61">
        <f>IF('CO-PO Mapping'!$A$11="",0,H105)</f>
        <v>0</v>
      </c>
      <c r="P105" s="61">
        <f>IF('CO-PO Mapping'!$A$12="",0,I105)</f>
        <v>0</v>
      </c>
      <c r="Q105" s="61">
        <f t="shared" si="2"/>
        <v>0</v>
      </c>
      <c r="R105" s="61">
        <f t="shared" ref="R105:W105" si="200">K105</f>
        <v>0</v>
      </c>
      <c r="S105" s="61">
        <f t="shared" si="200"/>
        <v>0</v>
      </c>
      <c r="T105" s="61">
        <f t="shared" si="200"/>
        <v>0</v>
      </c>
      <c r="U105" s="61">
        <f t="shared" si="200"/>
        <v>0</v>
      </c>
      <c r="V105" s="61">
        <f t="shared" si="200"/>
        <v>0</v>
      </c>
      <c r="W105" s="61">
        <f t="shared" si="200"/>
        <v>0</v>
      </c>
      <c r="X105" s="61">
        <f t="shared" si="6"/>
        <v>0</v>
      </c>
    </row>
    <row r="106" spans="1:24" ht="15.75" customHeight="1">
      <c r="A106" s="62">
        <v>99</v>
      </c>
      <c r="B106" s="63" t="str">
        <f>IF('Students Details'!B105="","",'Students Details'!B105)</f>
        <v/>
      </c>
      <c r="C106" s="64" t="str">
        <f>IF('Students Details'!C105="","",'Students Details'!C105)</f>
        <v/>
      </c>
      <c r="D106" s="66"/>
      <c r="E106" s="66"/>
      <c r="F106" s="66"/>
      <c r="G106" s="66"/>
      <c r="H106" s="66"/>
      <c r="I106" s="66"/>
      <c r="J106" s="67">
        <f t="shared" si="0"/>
        <v>0</v>
      </c>
      <c r="K106" s="61">
        <f t="shared" ref="K106:M106" si="201">D106</f>
        <v>0</v>
      </c>
      <c r="L106" s="61">
        <f t="shared" si="201"/>
        <v>0</v>
      </c>
      <c r="M106" s="61">
        <f t="shared" si="201"/>
        <v>0</v>
      </c>
      <c r="N106" s="61">
        <f>IF('CO-PO Mapping'!$A$10="",0,G106)</f>
        <v>0</v>
      </c>
      <c r="O106" s="61">
        <f>IF('CO-PO Mapping'!$A$11="",0,H106)</f>
        <v>0</v>
      </c>
      <c r="P106" s="61">
        <f>IF('CO-PO Mapping'!$A$12="",0,I106)</f>
        <v>0</v>
      </c>
      <c r="Q106" s="61">
        <f t="shared" si="2"/>
        <v>0</v>
      </c>
      <c r="R106" s="61">
        <f t="shared" ref="R106:W106" si="202">K106</f>
        <v>0</v>
      </c>
      <c r="S106" s="61">
        <f t="shared" si="202"/>
        <v>0</v>
      </c>
      <c r="T106" s="61">
        <f t="shared" si="202"/>
        <v>0</v>
      </c>
      <c r="U106" s="61">
        <f t="shared" si="202"/>
        <v>0</v>
      </c>
      <c r="V106" s="61">
        <f t="shared" si="202"/>
        <v>0</v>
      </c>
      <c r="W106" s="61">
        <f t="shared" si="202"/>
        <v>0</v>
      </c>
      <c r="X106" s="61">
        <f t="shared" si="6"/>
        <v>0</v>
      </c>
    </row>
    <row r="107" spans="1:24" ht="15.75" customHeight="1">
      <c r="A107" s="62">
        <v>100</v>
      </c>
      <c r="B107" s="63" t="str">
        <f>IF('Students Details'!B106="","",'Students Details'!B106)</f>
        <v/>
      </c>
      <c r="C107" s="64" t="str">
        <f>IF('Students Details'!C106="","",'Students Details'!C106)</f>
        <v/>
      </c>
      <c r="D107" s="66"/>
      <c r="E107" s="66"/>
      <c r="F107" s="66"/>
      <c r="G107" s="66"/>
      <c r="H107" s="66"/>
      <c r="I107" s="66"/>
      <c r="J107" s="67">
        <f t="shared" si="0"/>
        <v>0</v>
      </c>
      <c r="K107" s="61">
        <f t="shared" ref="K107:M107" si="203">D107</f>
        <v>0</v>
      </c>
      <c r="L107" s="61">
        <f t="shared" si="203"/>
        <v>0</v>
      </c>
      <c r="M107" s="61">
        <f t="shared" si="203"/>
        <v>0</v>
      </c>
      <c r="N107" s="61">
        <f>IF('CO-PO Mapping'!$A$10="",0,G107)</f>
        <v>0</v>
      </c>
      <c r="O107" s="61">
        <f>IF('CO-PO Mapping'!$A$11="",0,H107)</f>
        <v>0</v>
      </c>
      <c r="P107" s="61">
        <f>IF('CO-PO Mapping'!$A$12="",0,I107)</f>
        <v>0</v>
      </c>
      <c r="Q107" s="61">
        <f t="shared" si="2"/>
        <v>0</v>
      </c>
      <c r="R107" s="61">
        <f t="shared" ref="R107:W107" si="204">K107</f>
        <v>0</v>
      </c>
      <c r="S107" s="61">
        <f t="shared" si="204"/>
        <v>0</v>
      </c>
      <c r="T107" s="61">
        <f t="shared" si="204"/>
        <v>0</v>
      </c>
      <c r="U107" s="61">
        <f t="shared" si="204"/>
        <v>0</v>
      </c>
      <c r="V107" s="61">
        <f t="shared" si="204"/>
        <v>0</v>
      </c>
      <c r="W107" s="61">
        <f t="shared" si="204"/>
        <v>0</v>
      </c>
      <c r="X107" s="61">
        <f t="shared" si="6"/>
        <v>0</v>
      </c>
    </row>
    <row r="108" spans="1:24" ht="15.75" customHeight="1">
      <c r="A108" s="62">
        <v>101</v>
      </c>
      <c r="B108" s="63" t="str">
        <f>IF('Students Details'!B107="","",'Students Details'!B107)</f>
        <v/>
      </c>
      <c r="C108" s="64" t="str">
        <f>IF('Students Details'!C107="","",'Students Details'!C107)</f>
        <v/>
      </c>
      <c r="D108" s="66"/>
      <c r="E108" s="66"/>
      <c r="F108" s="66"/>
      <c r="G108" s="66"/>
      <c r="H108" s="66"/>
      <c r="I108" s="66"/>
      <c r="J108" s="67">
        <f t="shared" si="0"/>
        <v>0</v>
      </c>
      <c r="K108" s="61">
        <f t="shared" ref="K108:M108" si="205">D108</f>
        <v>0</v>
      </c>
      <c r="L108" s="61">
        <f t="shared" si="205"/>
        <v>0</v>
      </c>
      <c r="M108" s="61">
        <f t="shared" si="205"/>
        <v>0</v>
      </c>
      <c r="N108" s="61">
        <f>IF('CO-PO Mapping'!$A$10="",0,G108)</f>
        <v>0</v>
      </c>
      <c r="O108" s="61">
        <f>IF('CO-PO Mapping'!$A$11="",0,H108)</f>
        <v>0</v>
      </c>
      <c r="P108" s="61">
        <f>IF('CO-PO Mapping'!$A$12="",0,I108)</f>
        <v>0</v>
      </c>
      <c r="Q108" s="61">
        <f t="shared" si="2"/>
        <v>0</v>
      </c>
      <c r="R108" s="61">
        <f t="shared" ref="R108:W108" si="206">K108</f>
        <v>0</v>
      </c>
      <c r="S108" s="61">
        <f t="shared" si="206"/>
        <v>0</v>
      </c>
      <c r="T108" s="61">
        <f t="shared" si="206"/>
        <v>0</v>
      </c>
      <c r="U108" s="61">
        <f t="shared" si="206"/>
        <v>0</v>
      </c>
      <c r="V108" s="61">
        <f t="shared" si="206"/>
        <v>0</v>
      </c>
      <c r="W108" s="61">
        <f t="shared" si="206"/>
        <v>0</v>
      </c>
      <c r="X108" s="61">
        <f t="shared" si="6"/>
        <v>0</v>
      </c>
    </row>
    <row r="109" spans="1:24" ht="15.75" customHeight="1">
      <c r="A109" s="62">
        <v>102</v>
      </c>
      <c r="B109" s="63" t="str">
        <f>IF('Students Details'!B108="","",'Students Details'!B108)</f>
        <v/>
      </c>
      <c r="C109" s="64" t="str">
        <f>IF('Students Details'!C108="","",'Students Details'!C108)</f>
        <v/>
      </c>
      <c r="D109" s="66"/>
      <c r="E109" s="66"/>
      <c r="F109" s="66"/>
      <c r="G109" s="66"/>
      <c r="H109" s="66"/>
      <c r="I109" s="66"/>
      <c r="J109" s="67">
        <f t="shared" si="0"/>
        <v>0</v>
      </c>
      <c r="K109" s="61">
        <f t="shared" ref="K109:M109" si="207">D109</f>
        <v>0</v>
      </c>
      <c r="L109" s="61">
        <f t="shared" si="207"/>
        <v>0</v>
      </c>
      <c r="M109" s="61">
        <f t="shared" si="207"/>
        <v>0</v>
      </c>
      <c r="N109" s="61">
        <f>IF('CO-PO Mapping'!$A$10="",0,G109)</f>
        <v>0</v>
      </c>
      <c r="O109" s="61">
        <f>IF('CO-PO Mapping'!$A$11="",0,H109)</f>
        <v>0</v>
      </c>
      <c r="P109" s="61">
        <f>IF('CO-PO Mapping'!$A$12="",0,I109)</f>
        <v>0</v>
      </c>
      <c r="Q109" s="61">
        <f t="shared" si="2"/>
        <v>0</v>
      </c>
      <c r="R109" s="61">
        <f t="shared" ref="R109:W109" si="208">K109</f>
        <v>0</v>
      </c>
      <c r="S109" s="61">
        <f t="shared" si="208"/>
        <v>0</v>
      </c>
      <c r="T109" s="61">
        <f t="shared" si="208"/>
        <v>0</v>
      </c>
      <c r="U109" s="61">
        <f t="shared" si="208"/>
        <v>0</v>
      </c>
      <c r="V109" s="61">
        <f t="shared" si="208"/>
        <v>0</v>
      </c>
      <c r="W109" s="61">
        <f t="shared" si="208"/>
        <v>0</v>
      </c>
      <c r="X109" s="61">
        <f t="shared" si="6"/>
        <v>0</v>
      </c>
    </row>
    <row r="110" spans="1:24" ht="15.75" customHeight="1">
      <c r="A110" s="62">
        <v>103</v>
      </c>
      <c r="B110" s="63" t="str">
        <f>IF('Students Details'!B109="","",'Students Details'!B109)</f>
        <v/>
      </c>
      <c r="C110" s="64" t="str">
        <f>IF('Students Details'!C109="","",'Students Details'!C109)</f>
        <v/>
      </c>
      <c r="D110" s="66"/>
      <c r="E110" s="66"/>
      <c r="F110" s="66"/>
      <c r="G110" s="66"/>
      <c r="H110" s="66"/>
      <c r="I110" s="66"/>
      <c r="J110" s="67">
        <f t="shared" si="0"/>
        <v>0</v>
      </c>
      <c r="K110" s="61">
        <f t="shared" ref="K110:M110" si="209">D110</f>
        <v>0</v>
      </c>
      <c r="L110" s="61">
        <f t="shared" si="209"/>
        <v>0</v>
      </c>
      <c r="M110" s="61">
        <f t="shared" si="209"/>
        <v>0</v>
      </c>
      <c r="N110" s="61">
        <f>IF('CO-PO Mapping'!$A$10="",0,G110)</f>
        <v>0</v>
      </c>
      <c r="O110" s="61">
        <f>IF('CO-PO Mapping'!$A$11="",0,H110)</f>
        <v>0</v>
      </c>
      <c r="P110" s="61">
        <f>IF('CO-PO Mapping'!$A$12="",0,I110)</f>
        <v>0</v>
      </c>
      <c r="Q110" s="61">
        <f t="shared" si="2"/>
        <v>0</v>
      </c>
      <c r="R110" s="61">
        <f t="shared" ref="R110:W110" si="210">K110</f>
        <v>0</v>
      </c>
      <c r="S110" s="61">
        <f t="shared" si="210"/>
        <v>0</v>
      </c>
      <c r="T110" s="61">
        <f t="shared" si="210"/>
        <v>0</v>
      </c>
      <c r="U110" s="61">
        <f t="shared" si="210"/>
        <v>0</v>
      </c>
      <c r="V110" s="61">
        <f t="shared" si="210"/>
        <v>0</v>
      </c>
      <c r="W110" s="61">
        <f t="shared" si="210"/>
        <v>0</v>
      </c>
      <c r="X110" s="61">
        <f t="shared" si="6"/>
        <v>0</v>
      </c>
    </row>
    <row r="111" spans="1:24" ht="15.75" customHeight="1">
      <c r="A111" s="62">
        <v>104</v>
      </c>
      <c r="B111" s="63" t="str">
        <f>IF('Students Details'!B110="","",'Students Details'!B110)</f>
        <v/>
      </c>
      <c r="C111" s="64" t="str">
        <f>IF('Students Details'!C110="","",'Students Details'!C110)</f>
        <v/>
      </c>
      <c r="D111" s="66"/>
      <c r="E111" s="66"/>
      <c r="F111" s="66"/>
      <c r="G111" s="66"/>
      <c r="H111" s="66"/>
      <c r="I111" s="66"/>
      <c r="J111" s="67">
        <f t="shared" si="0"/>
        <v>0</v>
      </c>
      <c r="K111" s="61">
        <f t="shared" ref="K111:M111" si="211">D111</f>
        <v>0</v>
      </c>
      <c r="L111" s="61">
        <f t="shared" si="211"/>
        <v>0</v>
      </c>
      <c r="M111" s="61">
        <f t="shared" si="211"/>
        <v>0</v>
      </c>
      <c r="N111" s="61">
        <f>IF('CO-PO Mapping'!$A$10="",0,G111)</f>
        <v>0</v>
      </c>
      <c r="O111" s="61">
        <f>IF('CO-PO Mapping'!$A$11="",0,H111)</f>
        <v>0</v>
      </c>
      <c r="P111" s="61">
        <f>IF('CO-PO Mapping'!$A$12="",0,I111)</f>
        <v>0</v>
      </c>
      <c r="Q111" s="61">
        <f t="shared" si="2"/>
        <v>0</v>
      </c>
      <c r="R111" s="61">
        <f t="shared" ref="R111:W111" si="212">K111</f>
        <v>0</v>
      </c>
      <c r="S111" s="61">
        <f t="shared" si="212"/>
        <v>0</v>
      </c>
      <c r="T111" s="61">
        <f t="shared" si="212"/>
        <v>0</v>
      </c>
      <c r="U111" s="61">
        <f t="shared" si="212"/>
        <v>0</v>
      </c>
      <c r="V111" s="61">
        <f t="shared" si="212"/>
        <v>0</v>
      </c>
      <c r="W111" s="61">
        <f t="shared" si="212"/>
        <v>0</v>
      </c>
      <c r="X111" s="61">
        <f t="shared" si="6"/>
        <v>0</v>
      </c>
    </row>
    <row r="112" spans="1:24" ht="15.75" customHeight="1">
      <c r="A112" s="62">
        <v>105</v>
      </c>
      <c r="B112" s="63" t="str">
        <f>IF('Students Details'!B111="","",'Students Details'!B111)</f>
        <v/>
      </c>
      <c r="C112" s="64" t="str">
        <f>IF('Students Details'!C111="","",'Students Details'!C111)</f>
        <v/>
      </c>
      <c r="D112" s="66"/>
      <c r="E112" s="66"/>
      <c r="F112" s="66"/>
      <c r="G112" s="66"/>
      <c r="H112" s="66"/>
      <c r="I112" s="66"/>
      <c r="J112" s="67">
        <f t="shared" si="0"/>
        <v>0</v>
      </c>
      <c r="K112" s="61">
        <f t="shared" ref="K112:M112" si="213">D112</f>
        <v>0</v>
      </c>
      <c r="L112" s="61">
        <f t="shared" si="213"/>
        <v>0</v>
      </c>
      <c r="M112" s="61">
        <f t="shared" si="213"/>
        <v>0</v>
      </c>
      <c r="N112" s="61">
        <f>IF('CO-PO Mapping'!$A$10="",0,G112)</f>
        <v>0</v>
      </c>
      <c r="O112" s="61">
        <f>IF('CO-PO Mapping'!$A$11="",0,H112)</f>
        <v>0</v>
      </c>
      <c r="P112" s="61">
        <f>IF('CO-PO Mapping'!$A$12="",0,I112)</f>
        <v>0</v>
      </c>
      <c r="Q112" s="61">
        <f t="shared" si="2"/>
        <v>0</v>
      </c>
      <c r="R112" s="61">
        <f t="shared" ref="R112:W112" si="214">K112</f>
        <v>0</v>
      </c>
      <c r="S112" s="61">
        <f t="shared" si="214"/>
        <v>0</v>
      </c>
      <c r="T112" s="61">
        <f t="shared" si="214"/>
        <v>0</v>
      </c>
      <c r="U112" s="61">
        <f t="shared" si="214"/>
        <v>0</v>
      </c>
      <c r="V112" s="61">
        <f t="shared" si="214"/>
        <v>0</v>
      </c>
      <c r="W112" s="61">
        <f t="shared" si="214"/>
        <v>0</v>
      </c>
      <c r="X112" s="61">
        <f t="shared" si="6"/>
        <v>0</v>
      </c>
    </row>
    <row r="113" spans="1:24" ht="15.75" customHeight="1">
      <c r="A113" s="62">
        <v>106</v>
      </c>
      <c r="B113" s="63" t="str">
        <f>IF('Students Details'!B112="","",'Students Details'!B112)</f>
        <v/>
      </c>
      <c r="C113" s="64" t="str">
        <f>IF('Students Details'!C112="","",'Students Details'!C112)</f>
        <v/>
      </c>
      <c r="D113" s="66"/>
      <c r="E113" s="66"/>
      <c r="F113" s="66"/>
      <c r="G113" s="66"/>
      <c r="H113" s="66"/>
      <c r="I113" s="66"/>
      <c r="J113" s="67">
        <f t="shared" si="0"/>
        <v>0</v>
      </c>
      <c r="K113" s="61">
        <f t="shared" ref="K113:M113" si="215">D113</f>
        <v>0</v>
      </c>
      <c r="L113" s="61">
        <f t="shared" si="215"/>
        <v>0</v>
      </c>
      <c r="M113" s="61">
        <f t="shared" si="215"/>
        <v>0</v>
      </c>
      <c r="N113" s="61">
        <f>IF('CO-PO Mapping'!$A$10="",0,G113)</f>
        <v>0</v>
      </c>
      <c r="O113" s="61">
        <f>IF('CO-PO Mapping'!$A$11="",0,H113)</f>
        <v>0</v>
      </c>
      <c r="P113" s="61">
        <f>IF('CO-PO Mapping'!$A$12="",0,I113)</f>
        <v>0</v>
      </c>
      <c r="Q113" s="61">
        <f t="shared" si="2"/>
        <v>0</v>
      </c>
      <c r="R113" s="61">
        <f t="shared" ref="R113:W113" si="216">K113</f>
        <v>0</v>
      </c>
      <c r="S113" s="61">
        <f t="shared" si="216"/>
        <v>0</v>
      </c>
      <c r="T113" s="61">
        <f t="shared" si="216"/>
        <v>0</v>
      </c>
      <c r="U113" s="61">
        <f t="shared" si="216"/>
        <v>0</v>
      </c>
      <c r="V113" s="61">
        <f t="shared" si="216"/>
        <v>0</v>
      </c>
      <c r="W113" s="61">
        <f t="shared" si="216"/>
        <v>0</v>
      </c>
      <c r="X113" s="61">
        <f t="shared" si="6"/>
        <v>0</v>
      </c>
    </row>
    <row r="114" spans="1:24" ht="15.75" customHeight="1">
      <c r="A114" s="62">
        <v>107</v>
      </c>
      <c r="B114" s="63" t="str">
        <f>IF('Students Details'!B113="","",'Students Details'!B113)</f>
        <v/>
      </c>
      <c r="C114" s="64" t="str">
        <f>IF('Students Details'!C113="","",'Students Details'!C113)</f>
        <v/>
      </c>
      <c r="D114" s="66"/>
      <c r="E114" s="66"/>
      <c r="F114" s="66"/>
      <c r="G114" s="66"/>
      <c r="H114" s="66"/>
      <c r="I114" s="66"/>
      <c r="J114" s="67">
        <f t="shared" si="0"/>
        <v>0</v>
      </c>
      <c r="K114" s="61">
        <f t="shared" ref="K114:M114" si="217">D114</f>
        <v>0</v>
      </c>
      <c r="L114" s="61">
        <f t="shared" si="217"/>
        <v>0</v>
      </c>
      <c r="M114" s="61">
        <f t="shared" si="217"/>
        <v>0</v>
      </c>
      <c r="N114" s="61">
        <f>IF('CO-PO Mapping'!$A$10="",0,G114)</f>
        <v>0</v>
      </c>
      <c r="O114" s="61">
        <f>IF('CO-PO Mapping'!$A$11="",0,H114)</f>
        <v>0</v>
      </c>
      <c r="P114" s="61">
        <f>IF('CO-PO Mapping'!$A$12="",0,I114)</f>
        <v>0</v>
      </c>
      <c r="Q114" s="61">
        <f t="shared" si="2"/>
        <v>0</v>
      </c>
      <c r="R114" s="61">
        <f t="shared" ref="R114:W114" si="218">K114</f>
        <v>0</v>
      </c>
      <c r="S114" s="61">
        <f t="shared" si="218"/>
        <v>0</v>
      </c>
      <c r="T114" s="61">
        <f t="shared" si="218"/>
        <v>0</v>
      </c>
      <c r="U114" s="61">
        <f t="shared" si="218"/>
        <v>0</v>
      </c>
      <c r="V114" s="61">
        <f t="shared" si="218"/>
        <v>0</v>
      </c>
      <c r="W114" s="61">
        <f t="shared" si="218"/>
        <v>0</v>
      </c>
      <c r="X114" s="61">
        <f t="shared" si="6"/>
        <v>0</v>
      </c>
    </row>
    <row r="115" spans="1:24" ht="15.75" customHeight="1">
      <c r="A115" s="62">
        <v>108</v>
      </c>
      <c r="B115" s="63" t="str">
        <f>IF('Students Details'!B114="","",'Students Details'!B114)</f>
        <v/>
      </c>
      <c r="C115" s="64" t="str">
        <f>IF('Students Details'!C114="","",'Students Details'!C114)</f>
        <v/>
      </c>
      <c r="D115" s="66"/>
      <c r="E115" s="66"/>
      <c r="F115" s="66"/>
      <c r="G115" s="66"/>
      <c r="H115" s="66"/>
      <c r="I115" s="66"/>
      <c r="J115" s="67">
        <f t="shared" si="0"/>
        <v>0</v>
      </c>
      <c r="K115" s="61">
        <f t="shared" ref="K115:M115" si="219">D115</f>
        <v>0</v>
      </c>
      <c r="L115" s="61">
        <f t="shared" si="219"/>
        <v>0</v>
      </c>
      <c r="M115" s="61">
        <f t="shared" si="219"/>
        <v>0</v>
      </c>
      <c r="N115" s="61">
        <f>IF('CO-PO Mapping'!$A$10="",0,G115)</f>
        <v>0</v>
      </c>
      <c r="O115" s="61">
        <f>IF('CO-PO Mapping'!$A$11="",0,H115)</f>
        <v>0</v>
      </c>
      <c r="P115" s="61">
        <f>IF('CO-PO Mapping'!$A$12="",0,I115)</f>
        <v>0</v>
      </c>
      <c r="Q115" s="61">
        <f t="shared" si="2"/>
        <v>0</v>
      </c>
      <c r="R115" s="61">
        <f t="shared" ref="R115:W115" si="220">K115</f>
        <v>0</v>
      </c>
      <c r="S115" s="61">
        <f t="shared" si="220"/>
        <v>0</v>
      </c>
      <c r="T115" s="61">
        <f t="shared" si="220"/>
        <v>0</v>
      </c>
      <c r="U115" s="61">
        <f t="shared" si="220"/>
        <v>0</v>
      </c>
      <c r="V115" s="61">
        <f t="shared" si="220"/>
        <v>0</v>
      </c>
      <c r="W115" s="61">
        <f t="shared" si="220"/>
        <v>0</v>
      </c>
      <c r="X115" s="61">
        <f t="shared" si="6"/>
        <v>0</v>
      </c>
    </row>
    <row r="116" spans="1:24" ht="15.75" customHeight="1">
      <c r="A116" s="62">
        <v>109</v>
      </c>
      <c r="B116" s="63" t="str">
        <f>IF('Students Details'!B115="","",'Students Details'!B115)</f>
        <v/>
      </c>
      <c r="C116" s="64" t="str">
        <f>IF('Students Details'!C115="","",'Students Details'!C115)</f>
        <v/>
      </c>
      <c r="D116" s="66"/>
      <c r="E116" s="66"/>
      <c r="F116" s="66"/>
      <c r="G116" s="66"/>
      <c r="H116" s="66"/>
      <c r="I116" s="66"/>
      <c r="J116" s="67">
        <f t="shared" si="0"/>
        <v>0</v>
      </c>
      <c r="K116" s="61">
        <f t="shared" ref="K116:M116" si="221">D116</f>
        <v>0</v>
      </c>
      <c r="L116" s="61">
        <f t="shared" si="221"/>
        <v>0</v>
      </c>
      <c r="M116" s="61">
        <f t="shared" si="221"/>
        <v>0</v>
      </c>
      <c r="N116" s="61">
        <f>IF('CO-PO Mapping'!$A$10="",0,G116)</f>
        <v>0</v>
      </c>
      <c r="O116" s="61">
        <f>IF('CO-PO Mapping'!$A$11="",0,H116)</f>
        <v>0</v>
      </c>
      <c r="P116" s="61">
        <f>IF('CO-PO Mapping'!$A$12="",0,I116)</f>
        <v>0</v>
      </c>
      <c r="Q116" s="61">
        <f t="shared" si="2"/>
        <v>0</v>
      </c>
      <c r="R116" s="61">
        <f t="shared" ref="R116:W116" si="222">K116</f>
        <v>0</v>
      </c>
      <c r="S116" s="61">
        <f t="shared" si="222"/>
        <v>0</v>
      </c>
      <c r="T116" s="61">
        <f t="shared" si="222"/>
        <v>0</v>
      </c>
      <c r="U116" s="61">
        <f t="shared" si="222"/>
        <v>0</v>
      </c>
      <c r="V116" s="61">
        <f t="shared" si="222"/>
        <v>0</v>
      </c>
      <c r="W116" s="61">
        <f t="shared" si="222"/>
        <v>0</v>
      </c>
      <c r="X116" s="61">
        <f t="shared" si="6"/>
        <v>0</v>
      </c>
    </row>
    <row r="117" spans="1:24" ht="15.75" customHeight="1">
      <c r="A117" s="62">
        <v>110</v>
      </c>
      <c r="B117" s="63" t="str">
        <f>IF('Students Details'!B116="","",'Students Details'!B116)</f>
        <v/>
      </c>
      <c r="C117" s="64" t="str">
        <f>IF('Students Details'!C116="","",'Students Details'!C116)</f>
        <v/>
      </c>
      <c r="D117" s="66"/>
      <c r="E117" s="66"/>
      <c r="F117" s="66"/>
      <c r="G117" s="66"/>
      <c r="H117" s="66"/>
      <c r="I117" s="66"/>
      <c r="J117" s="67">
        <f t="shared" si="0"/>
        <v>0</v>
      </c>
      <c r="K117" s="61">
        <f t="shared" ref="K117:M117" si="223">D117</f>
        <v>0</v>
      </c>
      <c r="L117" s="61">
        <f t="shared" si="223"/>
        <v>0</v>
      </c>
      <c r="M117" s="61">
        <f t="shared" si="223"/>
        <v>0</v>
      </c>
      <c r="N117" s="61">
        <f>IF('CO-PO Mapping'!$A$10="",0,G117)</f>
        <v>0</v>
      </c>
      <c r="O117" s="61">
        <f>IF('CO-PO Mapping'!$A$11="",0,H117)</f>
        <v>0</v>
      </c>
      <c r="P117" s="61">
        <f>IF('CO-PO Mapping'!$A$12="",0,I117)</f>
        <v>0</v>
      </c>
      <c r="Q117" s="61">
        <f t="shared" si="2"/>
        <v>0</v>
      </c>
      <c r="R117" s="61">
        <f t="shared" ref="R117:W117" si="224">K117</f>
        <v>0</v>
      </c>
      <c r="S117" s="61">
        <f t="shared" si="224"/>
        <v>0</v>
      </c>
      <c r="T117" s="61">
        <f t="shared" si="224"/>
        <v>0</v>
      </c>
      <c r="U117" s="61">
        <f t="shared" si="224"/>
        <v>0</v>
      </c>
      <c r="V117" s="61">
        <f t="shared" si="224"/>
        <v>0</v>
      </c>
      <c r="W117" s="61">
        <f t="shared" si="224"/>
        <v>0</v>
      </c>
      <c r="X117" s="61">
        <f t="shared" si="6"/>
        <v>0</v>
      </c>
    </row>
    <row r="118" spans="1:24" ht="15.75" customHeight="1">
      <c r="A118" s="62">
        <v>111</v>
      </c>
      <c r="B118" s="63" t="str">
        <f>IF('Students Details'!B117="","",'Students Details'!B117)</f>
        <v/>
      </c>
      <c r="C118" s="64" t="str">
        <f>IF('Students Details'!C117="","",'Students Details'!C117)</f>
        <v/>
      </c>
      <c r="D118" s="66"/>
      <c r="E118" s="66"/>
      <c r="F118" s="66"/>
      <c r="G118" s="66"/>
      <c r="H118" s="66"/>
      <c r="I118" s="66"/>
      <c r="J118" s="67">
        <f t="shared" si="0"/>
        <v>0</v>
      </c>
      <c r="K118" s="61">
        <f t="shared" ref="K118:M118" si="225">D118</f>
        <v>0</v>
      </c>
      <c r="L118" s="61">
        <f t="shared" si="225"/>
        <v>0</v>
      </c>
      <c r="M118" s="61">
        <f t="shared" si="225"/>
        <v>0</v>
      </c>
      <c r="N118" s="61">
        <f>IF('CO-PO Mapping'!$A$10="",0,G118)</f>
        <v>0</v>
      </c>
      <c r="O118" s="61">
        <f>IF('CO-PO Mapping'!$A$11="",0,H118)</f>
        <v>0</v>
      </c>
      <c r="P118" s="61">
        <f>IF('CO-PO Mapping'!$A$12="",0,I118)</f>
        <v>0</v>
      </c>
      <c r="Q118" s="61">
        <f t="shared" si="2"/>
        <v>0</v>
      </c>
      <c r="R118" s="61">
        <f t="shared" ref="R118:W118" si="226">K118</f>
        <v>0</v>
      </c>
      <c r="S118" s="61">
        <f t="shared" si="226"/>
        <v>0</v>
      </c>
      <c r="T118" s="61">
        <f t="shared" si="226"/>
        <v>0</v>
      </c>
      <c r="U118" s="61">
        <f t="shared" si="226"/>
        <v>0</v>
      </c>
      <c r="V118" s="61">
        <f t="shared" si="226"/>
        <v>0</v>
      </c>
      <c r="W118" s="61">
        <f t="shared" si="226"/>
        <v>0</v>
      </c>
      <c r="X118" s="61">
        <f t="shared" si="6"/>
        <v>0</v>
      </c>
    </row>
    <row r="119" spans="1:24" ht="15.75" customHeight="1">
      <c r="A119" s="62">
        <v>112</v>
      </c>
      <c r="B119" s="63" t="str">
        <f>IF('Students Details'!B118="","",'Students Details'!B118)</f>
        <v/>
      </c>
      <c r="C119" s="64" t="str">
        <f>IF('Students Details'!C118="","",'Students Details'!C118)</f>
        <v/>
      </c>
      <c r="D119" s="66"/>
      <c r="E119" s="66"/>
      <c r="F119" s="66"/>
      <c r="G119" s="66"/>
      <c r="H119" s="66"/>
      <c r="I119" s="66"/>
      <c r="J119" s="67">
        <f t="shared" si="0"/>
        <v>0</v>
      </c>
      <c r="K119" s="61">
        <f t="shared" ref="K119:M119" si="227">D119</f>
        <v>0</v>
      </c>
      <c r="L119" s="61">
        <f t="shared" si="227"/>
        <v>0</v>
      </c>
      <c r="M119" s="61">
        <f t="shared" si="227"/>
        <v>0</v>
      </c>
      <c r="N119" s="61">
        <f>IF('CO-PO Mapping'!$A$10="",0,G119)</f>
        <v>0</v>
      </c>
      <c r="O119" s="61">
        <f>IF('CO-PO Mapping'!$A$11="",0,H119)</f>
        <v>0</v>
      </c>
      <c r="P119" s="61">
        <f>IF('CO-PO Mapping'!$A$12="",0,I119)</f>
        <v>0</v>
      </c>
      <c r="Q119" s="61">
        <f t="shared" si="2"/>
        <v>0</v>
      </c>
      <c r="R119" s="61">
        <f t="shared" ref="R119:W119" si="228">K119</f>
        <v>0</v>
      </c>
      <c r="S119" s="61">
        <f t="shared" si="228"/>
        <v>0</v>
      </c>
      <c r="T119" s="61">
        <f t="shared" si="228"/>
        <v>0</v>
      </c>
      <c r="U119" s="61">
        <f t="shared" si="228"/>
        <v>0</v>
      </c>
      <c r="V119" s="61">
        <f t="shared" si="228"/>
        <v>0</v>
      </c>
      <c r="W119" s="61">
        <f t="shared" si="228"/>
        <v>0</v>
      </c>
      <c r="X119" s="61">
        <f t="shared" si="6"/>
        <v>0</v>
      </c>
    </row>
    <row r="120" spans="1:24" ht="15.75" customHeight="1">
      <c r="A120" s="62">
        <v>113</v>
      </c>
      <c r="B120" s="63" t="str">
        <f>IF('Students Details'!B119="","",'Students Details'!B119)</f>
        <v/>
      </c>
      <c r="C120" s="64" t="str">
        <f>IF('Students Details'!C119="","",'Students Details'!C119)</f>
        <v/>
      </c>
      <c r="D120" s="66"/>
      <c r="E120" s="66"/>
      <c r="F120" s="66"/>
      <c r="G120" s="66"/>
      <c r="H120" s="66"/>
      <c r="I120" s="66"/>
      <c r="J120" s="67">
        <f t="shared" si="0"/>
        <v>0</v>
      </c>
      <c r="K120" s="61">
        <f t="shared" ref="K120:M120" si="229">D120</f>
        <v>0</v>
      </c>
      <c r="L120" s="61">
        <f t="shared" si="229"/>
        <v>0</v>
      </c>
      <c r="M120" s="61">
        <f t="shared" si="229"/>
        <v>0</v>
      </c>
      <c r="N120" s="61">
        <f>IF('CO-PO Mapping'!$A$10="",0,G120)</f>
        <v>0</v>
      </c>
      <c r="O120" s="61">
        <f>IF('CO-PO Mapping'!$A$11="",0,H120)</f>
        <v>0</v>
      </c>
      <c r="P120" s="61">
        <f>IF('CO-PO Mapping'!$A$12="",0,I120)</f>
        <v>0</v>
      </c>
      <c r="Q120" s="61">
        <f t="shared" si="2"/>
        <v>0</v>
      </c>
      <c r="R120" s="61">
        <f t="shared" ref="R120:W120" si="230">K120</f>
        <v>0</v>
      </c>
      <c r="S120" s="61">
        <f t="shared" si="230"/>
        <v>0</v>
      </c>
      <c r="T120" s="61">
        <f t="shared" si="230"/>
        <v>0</v>
      </c>
      <c r="U120" s="61">
        <f t="shared" si="230"/>
        <v>0</v>
      </c>
      <c r="V120" s="61">
        <f t="shared" si="230"/>
        <v>0</v>
      </c>
      <c r="W120" s="61">
        <f t="shared" si="230"/>
        <v>0</v>
      </c>
      <c r="X120" s="61">
        <f t="shared" si="6"/>
        <v>0</v>
      </c>
    </row>
    <row r="121" spans="1:24" ht="15.75" customHeight="1">
      <c r="A121" s="62">
        <v>114</v>
      </c>
      <c r="B121" s="63" t="str">
        <f>IF('Students Details'!B120="","",'Students Details'!B120)</f>
        <v/>
      </c>
      <c r="C121" s="64" t="str">
        <f>IF('Students Details'!C120="","",'Students Details'!C120)</f>
        <v/>
      </c>
      <c r="D121" s="66"/>
      <c r="E121" s="66"/>
      <c r="F121" s="66"/>
      <c r="G121" s="66"/>
      <c r="H121" s="66"/>
      <c r="I121" s="66"/>
      <c r="J121" s="67">
        <f t="shared" si="0"/>
        <v>0</v>
      </c>
      <c r="K121" s="61">
        <f t="shared" ref="K121:M121" si="231">D121</f>
        <v>0</v>
      </c>
      <c r="L121" s="61">
        <f t="shared" si="231"/>
        <v>0</v>
      </c>
      <c r="M121" s="61">
        <f t="shared" si="231"/>
        <v>0</v>
      </c>
      <c r="N121" s="61">
        <f>IF('CO-PO Mapping'!$A$10="",0,G121)</f>
        <v>0</v>
      </c>
      <c r="O121" s="61">
        <f>IF('CO-PO Mapping'!$A$11="",0,H121)</f>
        <v>0</v>
      </c>
      <c r="P121" s="61">
        <f>IF('CO-PO Mapping'!$A$12="",0,I121)</f>
        <v>0</v>
      </c>
      <c r="Q121" s="61">
        <f t="shared" si="2"/>
        <v>0</v>
      </c>
      <c r="R121" s="61">
        <f t="shared" ref="R121:W121" si="232">K121</f>
        <v>0</v>
      </c>
      <c r="S121" s="61">
        <f t="shared" si="232"/>
        <v>0</v>
      </c>
      <c r="T121" s="61">
        <f t="shared" si="232"/>
        <v>0</v>
      </c>
      <c r="U121" s="61">
        <f t="shared" si="232"/>
        <v>0</v>
      </c>
      <c r="V121" s="61">
        <f t="shared" si="232"/>
        <v>0</v>
      </c>
      <c r="W121" s="61">
        <f t="shared" si="232"/>
        <v>0</v>
      </c>
      <c r="X121" s="61">
        <f t="shared" si="6"/>
        <v>0</v>
      </c>
    </row>
    <row r="122" spans="1:24" ht="15.75" customHeight="1">
      <c r="A122" s="62">
        <v>115</v>
      </c>
      <c r="B122" s="63" t="str">
        <f>IF('Students Details'!B121="","",'Students Details'!B121)</f>
        <v/>
      </c>
      <c r="C122" s="64" t="str">
        <f>IF('Students Details'!C121="","",'Students Details'!C121)</f>
        <v/>
      </c>
      <c r="D122" s="66"/>
      <c r="E122" s="66"/>
      <c r="F122" s="66"/>
      <c r="G122" s="66"/>
      <c r="H122" s="66"/>
      <c r="I122" s="66"/>
      <c r="J122" s="67">
        <f t="shared" si="0"/>
        <v>0</v>
      </c>
      <c r="K122" s="61">
        <f t="shared" ref="K122:M122" si="233">D122</f>
        <v>0</v>
      </c>
      <c r="L122" s="61">
        <f t="shared" si="233"/>
        <v>0</v>
      </c>
      <c r="M122" s="61">
        <f t="shared" si="233"/>
        <v>0</v>
      </c>
      <c r="N122" s="61">
        <f>IF('CO-PO Mapping'!$A$10="",0,G122)</f>
        <v>0</v>
      </c>
      <c r="O122" s="61">
        <f>IF('CO-PO Mapping'!$A$11="",0,H122)</f>
        <v>0</v>
      </c>
      <c r="P122" s="61">
        <f>IF('CO-PO Mapping'!$A$12="",0,I122)</f>
        <v>0</v>
      </c>
      <c r="Q122" s="61">
        <f t="shared" si="2"/>
        <v>0</v>
      </c>
      <c r="R122" s="61">
        <f t="shared" ref="R122:W122" si="234">K122</f>
        <v>0</v>
      </c>
      <c r="S122" s="61">
        <f t="shared" si="234"/>
        <v>0</v>
      </c>
      <c r="T122" s="61">
        <f t="shared" si="234"/>
        <v>0</v>
      </c>
      <c r="U122" s="61">
        <f t="shared" si="234"/>
        <v>0</v>
      </c>
      <c r="V122" s="61">
        <f t="shared" si="234"/>
        <v>0</v>
      </c>
      <c r="W122" s="61">
        <f t="shared" si="234"/>
        <v>0</v>
      </c>
      <c r="X122" s="61">
        <f t="shared" si="6"/>
        <v>0</v>
      </c>
    </row>
    <row r="123" spans="1:24" ht="15.75" customHeight="1">
      <c r="A123" s="62">
        <v>116</v>
      </c>
      <c r="B123" s="63" t="str">
        <f>IF('Students Details'!B122="","",'Students Details'!B122)</f>
        <v/>
      </c>
      <c r="C123" s="64" t="str">
        <f>IF('Students Details'!C122="","",'Students Details'!C122)</f>
        <v/>
      </c>
      <c r="D123" s="66"/>
      <c r="E123" s="66"/>
      <c r="F123" s="66"/>
      <c r="G123" s="66"/>
      <c r="H123" s="66"/>
      <c r="I123" s="66"/>
      <c r="J123" s="67">
        <f t="shared" si="0"/>
        <v>0</v>
      </c>
      <c r="K123" s="61">
        <f t="shared" ref="K123:M123" si="235">D123</f>
        <v>0</v>
      </c>
      <c r="L123" s="61">
        <f t="shared" si="235"/>
        <v>0</v>
      </c>
      <c r="M123" s="61">
        <f t="shared" si="235"/>
        <v>0</v>
      </c>
      <c r="N123" s="61">
        <f>IF('CO-PO Mapping'!$A$10="",0,G123)</f>
        <v>0</v>
      </c>
      <c r="O123" s="61">
        <f>IF('CO-PO Mapping'!$A$11="",0,H123)</f>
        <v>0</v>
      </c>
      <c r="P123" s="61">
        <f>IF('CO-PO Mapping'!$A$12="",0,I123)</f>
        <v>0</v>
      </c>
      <c r="Q123" s="61">
        <f t="shared" si="2"/>
        <v>0</v>
      </c>
      <c r="R123" s="61">
        <f t="shared" ref="R123:W123" si="236">K123</f>
        <v>0</v>
      </c>
      <c r="S123" s="61">
        <f t="shared" si="236"/>
        <v>0</v>
      </c>
      <c r="T123" s="61">
        <f t="shared" si="236"/>
        <v>0</v>
      </c>
      <c r="U123" s="61">
        <f t="shared" si="236"/>
        <v>0</v>
      </c>
      <c r="V123" s="61">
        <f t="shared" si="236"/>
        <v>0</v>
      </c>
      <c r="W123" s="61">
        <f t="shared" si="236"/>
        <v>0</v>
      </c>
      <c r="X123" s="61">
        <f t="shared" si="6"/>
        <v>0</v>
      </c>
    </row>
    <row r="124" spans="1:24" ht="15.75" customHeight="1">
      <c r="A124" s="62">
        <v>117</v>
      </c>
      <c r="B124" s="63" t="str">
        <f>IF('Students Details'!B123="","",'Students Details'!B123)</f>
        <v/>
      </c>
      <c r="C124" s="64" t="str">
        <f>IF('Students Details'!C123="","",'Students Details'!C123)</f>
        <v/>
      </c>
      <c r="D124" s="66"/>
      <c r="E124" s="66"/>
      <c r="F124" s="66"/>
      <c r="G124" s="66"/>
      <c r="H124" s="66"/>
      <c r="I124" s="66"/>
      <c r="J124" s="67">
        <f t="shared" si="0"/>
        <v>0</v>
      </c>
      <c r="K124" s="61">
        <f t="shared" ref="K124:M124" si="237">D124</f>
        <v>0</v>
      </c>
      <c r="L124" s="61">
        <f t="shared" si="237"/>
        <v>0</v>
      </c>
      <c r="M124" s="61">
        <f t="shared" si="237"/>
        <v>0</v>
      </c>
      <c r="N124" s="61">
        <f>IF('CO-PO Mapping'!$A$10="",0,G124)</f>
        <v>0</v>
      </c>
      <c r="O124" s="61">
        <f>IF('CO-PO Mapping'!$A$11="",0,H124)</f>
        <v>0</v>
      </c>
      <c r="P124" s="61">
        <f>IF('CO-PO Mapping'!$A$12="",0,I124)</f>
        <v>0</v>
      </c>
      <c r="Q124" s="61">
        <f t="shared" si="2"/>
        <v>0</v>
      </c>
      <c r="R124" s="61">
        <f t="shared" ref="R124:W124" si="238">K124</f>
        <v>0</v>
      </c>
      <c r="S124" s="61">
        <f t="shared" si="238"/>
        <v>0</v>
      </c>
      <c r="T124" s="61">
        <f t="shared" si="238"/>
        <v>0</v>
      </c>
      <c r="U124" s="61">
        <f t="shared" si="238"/>
        <v>0</v>
      </c>
      <c r="V124" s="61">
        <f t="shared" si="238"/>
        <v>0</v>
      </c>
      <c r="W124" s="61">
        <f t="shared" si="238"/>
        <v>0</v>
      </c>
      <c r="X124" s="61">
        <f t="shared" si="6"/>
        <v>0</v>
      </c>
    </row>
    <row r="125" spans="1:24" ht="15.75" customHeight="1">
      <c r="A125" s="62">
        <v>118</v>
      </c>
      <c r="B125" s="63" t="str">
        <f>IF('Students Details'!B124="","",'Students Details'!B124)</f>
        <v/>
      </c>
      <c r="C125" s="64" t="str">
        <f>IF('Students Details'!C124="","",'Students Details'!C124)</f>
        <v/>
      </c>
      <c r="D125" s="66"/>
      <c r="E125" s="66"/>
      <c r="F125" s="66"/>
      <c r="G125" s="66"/>
      <c r="H125" s="66"/>
      <c r="I125" s="66"/>
      <c r="J125" s="67">
        <f t="shared" si="0"/>
        <v>0</v>
      </c>
      <c r="K125" s="61">
        <f t="shared" ref="K125:M125" si="239">D125</f>
        <v>0</v>
      </c>
      <c r="L125" s="61">
        <f t="shared" si="239"/>
        <v>0</v>
      </c>
      <c r="M125" s="61">
        <f t="shared" si="239"/>
        <v>0</v>
      </c>
      <c r="N125" s="61">
        <f>IF('CO-PO Mapping'!$A$10="",0,G125)</f>
        <v>0</v>
      </c>
      <c r="O125" s="61">
        <f>IF('CO-PO Mapping'!$A$11="",0,H125)</f>
        <v>0</v>
      </c>
      <c r="P125" s="61">
        <f>IF('CO-PO Mapping'!$A$12="",0,I125)</f>
        <v>0</v>
      </c>
      <c r="Q125" s="61">
        <f t="shared" si="2"/>
        <v>0</v>
      </c>
      <c r="R125" s="61">
        <f t="shared" ref="R125:W125" si="240">K125</f>
        <v>0</v>
      </c>
      <c r="S125" s="61">
        <f t="shared" si="240"/>
        <v>0</v>
      </c>
      <c r="T125" s="61">
        <f t="shared" si="240"/>
        <v>0</v>
      </c>
      <c r="U125" s="61">
        <f t="shared" si="240"/>
        <v>0</v>
      </c>
      <c r="V125" s="61">
        <f t="shared" si="240"/>
        <v>0</v>
      </c>
      <c r="W125" s="61">
        <f t="shared" si="240"/>
        <v>0</v>
      </c>
      <c r="X125" s="61">
        <f t="shared" si="6"/>
        <v>0</v>
      </c>
    </row>
    <row r="126" spans="1:24" ht="15.75" customHeight="1">
      <c r="A126" s="62">
        <v>119</v>
      </c>
      <c r="B126" s="63" t="str">
        <f>IF('Students Details'!B125="","",'Students Details'!B125)</f>
        <v/>
      </c>
      <c r="C126" s="64" t="str">
        <f>IF('Students Details'!C125="","",'Students Details'!C125)</f>
        <v/>
      </c>
      <c r="D126" s="66"/>
      <c r="E126" s="66"/>
      <c r="F126" s="66"/>
      <c r="G126" s="66"/>
      <c r="H126" s="66"/>
      <c r="I126" s="66"/>
      <c r="J126" s="67">
        <f t="shared" si="0"/>
        <v>0</v>
      </c>
      <c r="K126" s="61">
        <f t="shared" ref="K126:M126" si="241">D126</f>
        <v>0</v>
      </c>
      <c r="L126" s="61">
        <f t="shared" si="241"/>
        <v>0</v>
      </c>
      <c r="M126" s="61">
        <f t="shared" si="241"/>
        <v>0</v>
      </c>
      <c r="N126" s="61">
        <f>IF('CO-PO Mapping'!$A$10="",0,G126)</f>
        <v>0</v>
      </c>
      <c r="O126" s="61">
        <f>IF('CO-PO Mapping'!$A$11="",0,H126)</f>
        <v>0</v>
      </c>
      <c r="P126" s="61">
        <f>IF('CO-PO Mapping'!$A$12="",0,I126)</f>
        <v>0</v>
      </c>
      <c r="Q126" s="61">
        <f t="shared" si="2"/>
        <v>0</v>
      </c>
      <c r="R126" s="61">
        <f t="shared" ref="R126:W126" si="242">K126</f>
        <v>0</v>
      </c>
      <c r="S126" s="61">
        <f t="shared" si="242"/>
        <v>0</v>
      </c>
      <c r="T126" s="61">
        <f t="shared" si="242"/>
        <v>0</v>
      </c>
      <c r="U126" s="61">
        <f t="shared" si="242"/>
        <v>0</v>
      </c>
      <c r="V126" s="61">
        <f t="shared" si="242"/>
        <v>0</v>
      </c>
      <c r="W126" s="61">
        <f t="shared" si="242"/>
        <v>0</v>
      </c>
      <c r="X126" s="61">
        <f t="shared" si="6"/>
        <v>0</v>
      </c>
    </row>
    <row r="127" spans="1:24" ht="15.75" customHeight="1">
      <c r="A127" s="62">
        <v>120</v>
      </c>
      <c r="B127" s="63" t="str">
        <f>IF('Students Details'!B126="","",'Students Details'!B126)</f>
        <v/>
      </c>
      <c r="C127" s="64" t="str">
        <f>IF('Students Details'!C126="","",'Students Details'!C126)</f>
        <v/>
      </c>
      <c r="D127" s="66"/>
      <c r="E127" s="66"/>
      <c r="F127" s="66"/>
      <c r="G127" s="66"/>
      <c r="H127" s="66"/>
      <c r="I127" s="66"/>
      <c r="J127" s="67">
        <f t="shared" si="0"/>
        <v>0</v>
      </c>
      <c r="K127" s="61">
        <f t="shared" ref="K127:M127" si="243">D127</f>
        <v>0</v>
      </c>
      <c r="L127" s="61">
        <f t="shared" si="243"/>
        <v>0</v>
      </c>
      <c r="M127" s="61">
        <f t="shared" si="243"/>
        <v>0</v>
      </c>
      <c r="N127" s="61">
        <f>IF('CO-PO Mapping'!$A$10="",0,G127)</f>
        <v>0</v>
      </c>
      <c r="O127" s="61">
        <f>IF('CO-PO Mapping'!$A$11="",0,H127)</f>
        <v>0</v>
      </c>
      <c r="P127" s="61">
        <f>IF('CO-PO Mapping'!$A$12="",0,I127)</f>
        <v>0</v>
      </c>
      <c r="Q127" s="61">
        <f t="shared" si="2"/>
        <v>0</v>
      </c>
      <c r="R127" s="61">
        <f t="shared" ref="R127:W127" si="244">K127</f>
        <v>0</v>
      </c>
      <c r="S127" s="61">
        <f t="shared" si="244"/>
        <v>0</v>
      </c>
      <c r="T127" s="61">
        <f t="shared" si="244"/>
        <v>0</v>
      </c>
      <c r="U127" s="61">
        <f t="shared" si="244"/>
        <v>0</v>
      </c>
      <c r="V127" s="61">
        <f t="shared" si="244"/>
        <v>0</v>
      </c>
      <c r="W127" s="61">
        <f t="shared" si="244"/>
        <v>0</v>
      </c>
      <c r="X127" s="61">
        <f t="shared" si="6"/>
        <v>0</v>
      </c>
    </row>
    <row r="128" spans="1:24" ht="15.75" customHeight="1">
      <c r="A128" s="62">
        <v>121</v>
      </c>
      <c r="B128" s="63" t="str">
        <f>IF('Students Details'!B127="","",'Students Details'!B127)</f>
        <v/>
      </c>
      <c r="C128" s="64" t="str">
        <f>IF('Students Details'!C127="","",'Students Details'!C127)</f>
        <v/>
      </c>
      <c r="D128" s="66"/>
      <c r="E128" s="66"/>
      <c r="F128" s="66"/>
      <c r="G128" s="66"/>
      <c r="H128" s="66"/>
      <c r="I128" s="66"/>
      <c r="J128" s="67">
        <f t="shared" si="0"/>
        <v>0</v>
      </c>
      <c r="K128" s="61">
        <f t="shared" ref="K128:M128" si="245">D128</f>
        <v>0</v>
      </c>
      <c r="L128" s="61">
        <f t="shared" si="245"/>
        <v>0</v>
      </c>
      <c r="M128" s="61">
        <f t="shared" si="245"/>
        <v>0</v>
      </c>
      <c r="N128" s="61">
        <f>IF('CO-PO Mapping'!$A$10="",0,G128)</f>
        <v>0</v>
      </c>
      <c r="O128" s="61">
        <f>IF('CO-PO Mapping'!$A$11="",0,H128)</f>
        <v>0</v>
      </c>
      <c r="P128" s="61">
        <f>IF('CO-PO Mapping'!$A$12="",0,I128)</f>
        <v>0</v>
      </c>
      <c r="Q128" s="61">
        <f t="shared" si="2"/>
        <v>0</v>
      </c>
      <c r="R128" s="61">
        <f t="shared" ref="R128:W128" si="246">K128</f>
        <v>0</v>
      </c>
      <c r="S128" s="61">
        <f t="shared" si="246"/>
        <v>0</v>
      </c>
      <c r="T128" s="61">
        <f t="shared" si="246"/>
        <v>0</v>
      </c>
      <c r="U128" s="61">
        <f t="shared" si="246"/>
        <v>0</v>
      </c>
      <c r="V128" s="61">
        <f t="shared" si="246"/>
        <v>0</v>
      </c>
      <c r="W128" s="61">
        <f t="shared" si="246"/>
        <v>0</v>
      </c>
      <c r="X128" s="61">
        <f t="shared" si="6"/>
        <v>0</v>
      </c>
    </row>
    <row r="129" spans="1:24" ht="15.75" customHeight="1">
      <c r="A129" s="62">
        <v>122</v>
      </c>
      <c r="B129" s="63" t="str">
        <f>IF('Students Details'!B128="","",'Students Details'!B128)</f>
        <v/>
      </c>
      <c r="C129" s="64" t="str">
        <f>IF('Students Details'!C128="","",'Students Details'!C128)</f>
        <v/>
      </c>
      <c r="D129" s="66"/>
      <c r="E129" s="66"/>
      <c r="F129" s="66"/>
      <c r="G129" s="66"/>
      <c r="H129" s="66"/>
      <c r="I129" s="66"/>
      <c r="J129" s="67">
        <f t="shared" si="0"/>
        <v>0</v>
      </c>
      <c r="K129" s="61">
        <f t="shared" ref="K129:M129" si="247">D129</f>
        <v>0</v>
      </c>
      <c r="L129" s="61">
        <f t="shared" si="247"/>
        <v>0</v>
      </c>
      <c r="M129" s="61">
        <f t="shared" si="247"/>
        <v>0</v>
      </c>
      <c r="N129" s="61">
        <f>IF('CO-PO Mapping'!$A$10="",0,G129)</f>
        <v>0</v>
      </c>
      <c r="O129" s="61">
        <f>IF('CO-PO Mapping'!$A$11="",0,H129)</f>
        <v>0</v>
      </c>
      <c r="P129" s="61">
        <f>IF('CO-PO Mapping'!$A$12="",0,I129)</f>
        <v>0</v>
      </c>
      <c r="Q129" s="61">
        <f t="shared" si="2"/>
        <v>0</v>
      </c>
      <c r="R129" s="61">
        <f t="shared" ref="R129:W129" si="248">K129</f>
        <v>0</v>
      </c>
      <c r="S129" s="61">
        <f t="shared" si="248"/>
        <v>0</v>
      </c>
      <c r="T129" s="61">
        <f t="shared" si="248"/>
        <v>0</v>
      </c>
      <c r="U129" s="61">
        <f t="shared" si="248"/>
        <v>0</v>
      </c>
      <c r="V129" s="61">
        <f t="shared" si="248"/>
        <v>0</v>
      </c>
      <c r="W129" s="61">
        <f t="shared" si="248"/>
        <v>0</v>
      </c>
      <c r="X129" s="61">
        <f t="shared" si="6"/>
        <v>0</v>
      </c>
    </row>
    <row r="130" spans="1:24" ht="15.75" customHeight="1">
      <c r="A130" s="62">
        <v>123</v>
      </c>
      <c r="B130" s="63" t="str">
        <f>IF('Students Details'!B129="","",'Students Details'!B129)</f>
        <v/>
      </c>
      <c r="C130" s="64" t="str">
        <f>IF('Students Details'!C129="","",'Students Details'!C129)</f>
        <v/>
      </c>
      <c r="D130" s="66"/>
      <c r="E130" s="66"/>
      <c r="F130" s="66"/>
      <c r="G130" s="66"/>
      <c r="H130" s="66"/>
      <c r="I130" s="66"/>
      <c r="J130" s="67">
        <f t="shared" si="0"/>
        <v>0</v>
      </c>
      <c r="K130" s="61">
        <f t="shared" ref="K130:M130" si="249">D130</f>
        <v>0</v>
      </c>
      <c r="L130" s="61">
        <f t="shared" si="249"/>
        <v>0</v>
      </c>
      <c r="M130" s="61">
        <f t="shared" si="249"/>
        <v>0</v>
      </c>
      <c r="N130" s="61">
        <f>IF('CO-PO Mapping'!$A$10="",0,G130)</f>
        <v>0</v>
      </c>
      <c r="O130" s="61">
        <f>IF('CO-PO Mapping'!$A$11="",0,H130)</f>
        <v>0</v>
      </c>
      <c r="P130" s="61">
        <f>IF('CO-PO Mapping'!$A$12="",0,I130)</f>
        <v>0</v>
      </c>
      <c r="Q130" s="61">
        <f t="shared" si="2"/>
        <v>0</v>
      </c>
      <c r="R130" s="61">
        <f t="shared" ref="R130:W130" si="250">K130</f>
        <v>0</v>
      </c>
      <c r="S130" s="61">
        <f t="shared" si="250"/>
        <v>0</v>
      </c>
      <c r="T130" s="61">
        <f t="shared" si="250"/>
        <v>0</v>
      </c>
      <c r="U130" s="61">
        <f t="shared" si="250"/>
        <v>0</v>
      </c>
      <c r="V130" s="61">
        <f t="shared" si="250"/>
        <v>0</v>
      </c>
      <c r="W130" s="61">
        <f t="shared" si="250"/>
        <v>0</v>
      </c>
      <c r="X130" s="61">
        <f t="shared" si="6"/>
        <v>0</v>
      </c>
    </row>
    <row r="131" spans="1:24" ht="15.75" customHeight="1">
      <c r="A131" s="62">
        <v>124</v>
      </c>
      <c r="B131" s="63" t="str">
        <f>IF('Students Details'!B130="","",'Students Details'!B130)</f>
        <v/>
      </c>
      <c r="C131" s="64" t="str">
        <f>IF('Students Details'!C130="","",'Students Details'!C130)</f>
        <v/>
      </c>
      <c r="D131" s="66"/>
      <c r="E131" s="66"/>
      <c r="F131" s="66"/>
      <c r="G131" s="66"/>
      <c r="H131" s="66"/>
      <c r="I131" s="66"/>
      <c r="J131" s="67">
        <f t="shared" si="0"/>
        <v>0</v>
      </c>
      <c r="K131" s="61">
        <f t="shared" ref="K131:M131" si="251">D131</f>
        <v>0</v>
      </c>
      <c r="L131" s="61">
        <f t="shared" si="251"/>
        <v>0</v>
      </c>
      <c r="M131" s="61">
        <f t="shared" si="251"/>
        <v>0</v>
      </c>
      <c r="N131" s="61">
        <f>IF('CO-PO Mapping'!$A$10="",0,G131)</f>
        <v>0</v>
      </c>
      <c r="O131" s="61">
        <f>IF('CO-PO Mapping'!$A$11="",0,H131)</f>
        <v>0</v>
      </c>
      <c r="P131" s="61">
        <f>IF('CO-PO Mapping'!$A$12="",0,I131)</f>
        <v>0</v>
      </c>
      <c r="Q131" s="61">
        <f t="shared" si="2"/>
        <v>0</v>
      </c>
      <c r="R131" s="61">
        <f t="shared" ref="R131:W131" si="252">K131</f>
        <v>0</v>
      </c>
      <c r="S131" s="61">
        <f t="shared" si="252"/>
        <v>0</v>
      </c>
      <c r="T131" s="61">
        <f t="shared" si="252"/>
        <v>0</v>
      </c>
      <c r="U131" s="61">
        <f t="shared" si="252"/>
        <v>0</v>
      </c>
      <c r="V131" s="61">
        <f t="shared" si="252"/>
        <v>0</v>
      </c>
      <c r="W131" s="61">
        <f t="shared" si="252"/>
        <v>0</v>
      </c>
      <c r="X131" s="61">
        <f t="shared" si="6"/>
        <v>0</v>
      </c>
    </row>
    <row r="132" spans="1:24" ht="15.75" customHeight="1">
      <c r="A132" s="62">
        <v>125</v>
      </c>
      <c r="B132" s="63" t="str">
        <f>IF('Students Details'!B131="","",'Students Details'!B131)</f>
        <v/>
      </c>
      <c r="C132" s="64" t="str">
        <f>IF('Students Details'!C131="","",'Students Details'!C131)</f>
        <v/>
      </c>
      <c r="D132" s="66"/>
      <c r="E132" s="66"/>
      <c r="F132" s="66"/>
      <c r="G132" s="66"/>
      <c r="H132" s="66"/>
      <c r="I132" s="66"/>
      <c r="J132" s="67">
        <f t="shared" si="0"/>
        <v>0</v>
      </c>
      <c r="K132" s="61">
        <f t="shared" ref="K132:M132" si="253">D132</f>
        <v>0</v>
      </c>
      <c r="L132" s="61">
        <f t="shared" si="253"/>
        <v>0</v>
      </c>
      <c r="M132" s="61">
        <f t="shared" si="253"/>
        <v>0</v>
      </c>
      <c r="N132" s="61">
        <f>IF('CO-PO Mapping'!$A$10="",0,G132)</f>
        <v>0</v>
      </c>
      <c r="O132" s="61">
        <f>IF('CO-PO Mapping'!$A$11="",0,H132)</f>
        <v>0</v>
      </c>
      <c r="P132" s="61">
        <f>IF('CO-PO Mapping'!$A$12="",0,I132)</f>
        <v>0</v>
      </c>
      <c r="Q132" s="61">
        <f t="shared" si="2"/>
        <v>0</v>
      </c>
      <c r="R132" s="61">
        <f t="shared" ref="R132:W132" si="254">K132</f>
        <v>0</v>
      </c>
      <c r="S132" s="61">
        <f t="shared" si="254"/>
        <v>0</v>
      </c>
      <c r="T132" s="61">
        <f t="shared" si="254"/>
        <v>0</v>
      </c>
      <c r="U132" s="61">
        <f t="shared" si="254"/>
        <v>0</v>
      </c>
      <c r="V132" s="61">
        <f t="shared" si="254"/>
        <v>0</v>
      </c>
      <c r="W132" s="61">
        <f t="shared" si="254"/>
        <v>0</v>
      </c>
      <c r="X132" s="61">
        <f t="shared" si="6"/>
        <v>0</v>
      </c>
    </row>
    <row r="133" spans="1:24" ht="15.75" customHeight="1">
      <c r="A133" s="62">
        <v>126</v>
      </c>
      <c r="B133" s="63" t="str">
        <f>IF('Students Details'!B132="","",'Students Details'!B132)</f>
        <v/>
      </c>
      <c r="C133" s="64" t="str">
        <f>IF('Students Details'!C132="","",'Students Details'!C132)</f>
        <v/>
      </c>
      <c r="D133" s="66"/>
      <c r="E133" s="66"/>
      <c r="F133" s="66"/>
      <c r="G133" s="66"/>
      <c r="H133" s="66"/>
      <c r="I133" s="66"/>
      <c r="J133" s="67">
        <f t="shared" si="0"/>
        <v>0</v>
      </c>
      <c r="K133" s="61">
        <f t="shared" ref="K133:M133" si="255">D133</f>
        <v>0</v>
      </c>
      <c r="L133" s="61">
        <f t="shared" si="255"/>
        <v>0</v>
      </c>
      <c r="M133" s="61">
        <f t="shared" si="255"/>
        <v>0</v>
      </c>
      <c r="N133" s="61">
        <f>IF('CO-PO Mapping'!$A$10="",0,G133)</f>
        <v>0</v>
      </c>
      <c r="O133" s="61">
        <f>IF('CO-PO Mapping'!$A$11="",0,H133)</f>
        <v>0</v>
      </c>
      <c r="P133" s="61">
        <f>IF('CO-PO Mapping'!$A$12="",0,I133)</f>
        <v>0</v>
      </c>
      <c r="Q133" s="61">
        <f t="shared" si="2"/>
        <v>0</v>
      </c>
      <c r="R133" s="61">
        <f t="shared" ref="R133:W133" si="256">K133</f>
        <v>0</v>
      </c>
      <c r="S133" s="61">
        <f t="shared" si="256"/>
        <v>0</v>
      </c>
      <c r="T133" s="61">
        <f t="shared" si="256"/>
        <v>0</v>
      </c>
      <c r="U133" s="61">
        <f t="shared" si="256"/>
        <v>0</v>
      </c>
      <c r="V133" s="61">
        <f t="shared" si="256"/>
        <v>0</v>
      </c>
      <c r="W133" s="61">
        <f t="shared" si="256"/>
        <v>0</v>
      </c>
      <c r="X133" s="61">
        <f t="shared" si="6"/>
        <v>0</v>
      </c>
    </row>
    <row r="134" spans="1:24" ht="15.75" customHeight="1">
      <c r="A134" s="62">
        <v>127</v>
      </c>
      <c r="B134" s="63" t="str">
        <f>IF('Students Details'!B133="","",'Students Details'!B133)</f>
        <v/>
      </c>
      <c r="C134" s="64" t="str">
        <f>IF('Students Details'!C133="","",'Students Details'!C133)</f>
        <v/>
      </c>
      <c r="D134" s="66"/>
      <c r="E134" s="66"/>
      <c r="F134" s="66"/>
      <c r="G134" s="66"/>
      <c r="H134" s="66"/>
      <c r="I134" s="66"/>
      <c r="J134" s="67">
        <f t="shared" si="0"/>
        <v>0</v>
      </c>
      <c r="K134" s="61">
        <f t="shared" ref="K134:M134" si="257">D134</f>
        <v>0</v>
      </c>
      <c r="L134" s="61">
        <f t="shared" si="257"/>
        <v>0</v>
      </c>
      <c r="M134" s="61">
        <f t="shared" si="257"/>
        <v>0</v>
      </c>
      <c r="N134" s="61">
        <f>IF('CO-PO Mapping'!$A$10="",0,G134)</f>
        <v>0</v>
      </c>
      <c r="O134" s="61">
        <f>IF('CO-PO Mapping'!$A$11="",0,H134)</f>
        <v>0</v>
      </c>
      <c r="P134" s="61">
        <f>IF('CO-PO Mapping'!$A$12="",0,I134)</f>
        <v>0</v>
      </c>
      <c r="Q134" s="61">
        <f t="shared" si="2"/>
        <v>0</v>
      </c>
      <c r="R134" s="61">
        <f t="shared" ref="R134:W134" si="258">K134</f>
        <v>0</v>
      </c>
      <c r="S134" s="61">
        <f t="shared" si="258"/>
        <v>0</v>
      </c>
      <c r="T134" s="61">
        <f t="shared" si="258"/>
        <v>0</v>
      </c>
      <c r="U134" s="61">
        <f t="shared" si="258"/>
        <v>0</v>
      </c>
      <c r="V134" s="61">
        <f t="shared" si="258"/>
        <v>0</v>
      </c>
      <c r="W134" s="61">
        <f t="shared" si="258"/>
        <v>0</v>
      </c>
      <c r="X134" s="61">
        <f t="shared" si="6"/>
        <v>0</v>
      </c>
    </row>
    <row r="135" spans="1:24" ht="15.75" customHeight="1">
      <c r="A135" s="62">
        <v>128</v>
      </c>
      <c r="B135" s="63" t="str">
        <f>IF('Students Details'!B134="","",'Students Details'!B134)</f>
        <v/>
      </c>
      <c r="C135" s="64" t="str">
        <f>IF('Students Details'!C134="","",'Students Details'!C134)</f>
        <v/>
      </c>
      <c r="D135" s="66"/>
      <c r="E135" s="66"/>
      <c r="F135" s="66"/>
      <c r="G135" s="66"/>
      <c r="H135" s="66"/>
      <c r="I135" s="66"/>
      <c r="J135" s="67">
        <f t="shared" si="0"/>
        <v>0</v>
      </c>
      <c r="K135" s="61">
        <f t="shared" ref="K135:M135" si="259">D135</f>
        <v>0</v>
      </c>
      <c r="L135" s="61">
        <f t="shared" si="259"/>
        <v>0</v>
      </c>
      <c r="M135" s="61">
        <f t="shared" si="259"/>
        <v>0</v>
      </c>
      <c r="N135" s="61">
        <f>IF('CO-PO Mapping'!$A$10="",0,G135)</f>
        <v>0</v>
      </c>
      <c r="O135" s="61">
        <f>IF('CO-PO Mapping'!$A$11="",0,H135)</f>
        <v>0</v>
      </c>
      <c r="P135" s="61">
        <f>IF('CO-PO Mapping'!$A$12="",0,I135)</f>
        <v>0</v>
      </c>
      <c r="Q135" s="61">
        <f t="shared" si="2"/>
        <v>0</v>
      </c>
      <c r="R135" s="61">
        <f t="shared" ref="R135:W135" si="260">K135</f>
        <v>0</v>
      </c>
      <c r="S135" s="61">
        <f t="shared" si="260"/>
        <v>0</v>
      </c>
      <c r="T135" s="61">
        <f t="shared" si="260"/>
        <v>0</v>
      </c>
      <c r="U135" s="61">
        <f t="shared" si="260"/>
        <v>0</v>
      </c>
      <c r="V135" s="61">
        <f t="shared" si="260"/>
        <v>0</v>
      </c>
      <c r="W135" s="61">
        <f t="shared" si="260"/>
        <v>0</v>
      </c>
      <c r="X135" s="61">
        <f t="shared" si="6"/>
        <v>0</v>
      </c>
    </row>
    <row r="136" spans="1:24" ht="15.75" customHeight="1">
      <c r="A136" s="62">
        <v>129</v>
      </c>
      <c r="B136" s="63" t="str">
        <f>IF('Students Details'!B135="","",'Students Details'!B135)</f>
        <v/>
      </c>
      <c r="C136" s="64" t="str">
        <f>IF('Students Details'!C135="","",'Students Details'!C135)</f>
        <v/>
      </c>
      <c r="D136" s="66"/>
      <c r="E136" s="66"/>
      <c r="F136" s="66"/>
      <c r="G136" s="66"/>
      <c r="H136" s="66"/>
      <c r="I136" s="66"/>
      <c r="J136" s="67">
        <f t="shared" si="0"/>
        <v>0</v>
      </c>
      <c r="K136" s="61">
        <f t="shared" ref="K136:M136" si="261">D136</f>
        <v>0</v>
      </c>
      <c r="L136" s="61">
        <f t="shared" si="261"/>
        <v>0</v>
      </c>
      <c r="M136" s="61">
        <f t="shared" si="261"/>
        <v>0</v>
      </c>
      <c r="N136" s="61">
        <f>IF('CO-PO Mapping'!$A$10="",0,G136)</f>
        <v>0</v>
      </c>
      <c r="O136" s="61">
        <f>IF('CO-PO Mapping'!$A$11="",0,H136)</f>
        <v>0</v>
      </c>
      <c r="P136" s="61">
        <f>IF('CO-PO Mapping'!$A$12="",0,I136)</f>
        <v>0</v>
      </c>
      <c r="Q136" s="61">
        <f t="shared" si="2"/>
        <v>0</v>
      </c>
      <c r="R136" s="61">
        <f t="shared" ref="R136:W136" si="262">K136</f>
        <v>0</v>
      </c>
      <c r="S136" s="61">
        <f t="shared" si="262"/>
        <v>0</v>
      </c>
      <c r="T136" s="61">
        <f t="shared" si="262"/>
        <v>0</v>
      </c>
      <c r="U136" s="61">
        <f t="shared" si="262"/>
        <v>0</v>
      </c>
      <c r="V136" s="61">
        <f t="shared" si="262"/>
        <v>0</v>
      </c>
      <c r="W136" s="61">
        <f t="shared" si="262"/>
        <v>0</v>
      </c>
      <c r="X136" s="61">
        <f t="shared" si="6"/>
        <v>0</v>
      </c>
    </row>
    <row r="137" spans="1:24" ht="15.75" customHeight="1">
      <c r="A137" s="62">
        <v>130</v>
      </c>
      <c r="B137" s="63" t="str">
        <f>IF('Students Details'!B136="","",'Students Details'!B136)</f>
        <v/>
      </c>
      <c r="C137" s="64" t="str">
        <f>IF('Students Details'!C136="","",'Students Details'!C136)</f>
        <v/>
      </c>
      <c r="D137" s="66"/>
      <c r="E137" s="66"/>
      <c r="F137" s="66"/>
      <c r="G137" s="66"/>
      <c r="H137" s="66"/>
      <c r="I137" s="66"/>
      <c r="J137" s="67">
        <f t="shared" si="0"/>
        <v>0</v>
      </c>
      <c r="K137" s="61">
        <f t="shared" ref="K137:M137" si="263">D137</f>
        <v>0</v>
      </c>
      <c r="L137" s="61">
        <f t="shared" si="263"/>
        <v>0</v>
      </c>
      <c r="M137" s="61">
        <f t="shared" si="263"/>
        <v>0</v>
      </c>
      <c r="N137" s="61">
        <f>IF('CO-PO Mapping'!$A$10="",0,G137)</f>
        <v>0</v>
      </c>
      <c r="O137" s="61">
        <f>IF('CO-PO Mapping'!$A$11="",0,H137)</f>
        <v>0</v>
      </c>
      <c r="P137" s="61">
        <f>IF('CO-PO Mapping'!$A$12="",0,I137)</f>
        <v>0</v>
      </c>
      <c r="Q137" s="61">
        <f t="shared" si="2"/>
        <v>0</v>
      </c>
      <c r="R137" s="61">
        <f t="shared" ref="R137:W137" si="264">K137</f>
        <v>0</v>
      </c>
      <c r="S137" s="61">
        <f t="shared" si="264"/>
        <v>0</v>
      </c>
      <c r="T137" s="61">
        <f t="shared" si="264"/>
        <v>0</v>
      </c>
      <c r="U137" s="61">
        <f t="shared" si="264"/>
        <v>0</v>
      </c>
      <c r="V137" s="61">
        <f t="shared" si="264"/>
        <v>0</v>
      </c>
      <c r="W137" s="61">
        <f t="shared" si="264"/>
        <v>0</v>
      </c>
      <c r="X137" s="61">
        <f t="shared" si="6"/>
        <v>0</v>
      </c>
    </row>
    <row r="138" spans="1:24" ht="15.75" customHeight="1">
      <c r="A138" s="62">
        <v>131</v>
      </c>
      <c r="B138" s="63" t="str">
        <f>IF('Students Details'!B137="","",'Students Details'!B137)</f>
        <v/>
      </c>
      <c r="C138" s="64" t="str">
        <f>IF('Students Details'!C137="","",'Students Details'!C137)</f>
        <v/>
      </c>
      <c r="D138" s="66"/>
      <c r="E138" s="66"/>
      <c r="F138" s="66"/>
      <c r="G138" s="66"/>
      <c r="H138" s="66"/>
      <c r="I138" s="66"/>
      <c r="J138" s="67">
        <f t="shared" si="0"/>
        <v>0</v>
      </c>
      <c r="K138" s="61">
        <f t="shared" ref="K138:M138" si="265">D138</f>
        <v>0</v>
      </c>
      <c r="L138" s="61">
        <f t="shared" si="265"/>
        <v>0</v>
      </c>
      <c r="M138" s="61">
        <f t="shared" si="265"/>
        <v>0</v>
      </c>
      <c r="N138" s="61">
        <f>IF('CO-PO Mapping'!$A$10="",0,G138)</f>
        <v>0</v>
      </c>
      <c r="O138" s="61">
        <f>IF('CO-PO Mapping'!$A$11="",0,H138)</f>
        <v>0</v>
      </c>
      <c r="P138" s="61">
        <f>IF('CO-PO Mapping'!$A$12="",0,I138)</f>
        <v>0</v>
      </c>
      <c r="Q138" s="61">
        <f t="shared" si="2"/>
        <v>0</v>
      </c>
      <c r="R138" s="61">
        <f t="shared" ref="R138:W138" si="266">K138</f>
        <v>0</v>
      </c>
      <c r="S138" s="61">
        <f t="shared" si="266"/>
        <v>0</v>
      </c>
      <c r="T138" s="61">
        <f t="shared" si="266"/>
        <v>0</v>
      </c>
      <c r="U138" s="61">
        <f t="shared" si="266"/>
        <v>0</v>
      </c>
      <c r="V138" s="61">
        <f t="shared" si="266"/>
        <v>0</v>
      </c>
      <c r="W138" s="61">
        <f t="shared" si="266"/>
        <v>0</v>
      </c>
      <c r="X138" s="61">
        <f t="shared" si="6"/>
        <v>0</v>
      </c>
    </row>
    <row r="139" spans="1:24" ht="15.75" customHeight="1">
      <c r="A139" s="62">
        <v>132</v>
      </c>
      <c r="B139" s="63" t="str">
        <f>IF('Students Details'!B138="","",'Students Details'!B138)</f>
        <v/>
      </c>
      <c r="C139" s="64" t="str">
        <f>IF('Students Details'!C138="","",'Students Details'!C138)</f>
        <v/>
      </c>
      <c r="D139" s="66"/>
      <c r="E139" s="66"/>
      <c r="F139" s="66"/>
      <c r="G139" s="66"/>
      <c r="H139" s="66"/>
      <c r="I139" s="66"/>
      <c r="J139" s="67">
        <f t="shared" si="0"/>
        <v>0</v>
      </c>
      <c r="K139" s="61">
        <f t="shared" ref="K139:M139" si="267">D139</f>
        <v>0</v>
      </c>
      <c r="L139" s="61">
        <f t="shared" si="267"/>
        <v>0</v>
      </c>
      <c r="M139" s="61">
        <f t="shared" si="267"/>
        <v>0</v>
      </c>
      <c r="N139" s="61">
        <f>IF('CO-PO Mapping'!$A$10="",0,G139)</f>
        <v>0</v>
      </c>
      <c r="O139" s="61">
        <f>IF('CO-PO Mapping'!$A$11="",0,H139)</f>
        <v>0</v>
      </c>
      <c r="P139" s="61">
        <f>IF('CO-PO Mapping'!$A$12="",0,I139)</f>
        <v>0</v>
      </c>
      <c r="Q139" s="61">
        <f t="shared" si="2"/>
        <v>0</v>
      </c>
      <c r="R139" s="61">
        <f t="shared" ref="R139:W139" si="268">K139</f>
        <v>0</v>
      </c>
      <c r="S139" s="61">
        <f t="shared" si="268"/>
        <v>0</v>
      </c>
      <c r="T139" s="61">
        <f t="shared" si="268"/>
        <v>0</v>
      </c>
      <c r="U139" s="61">
        <f t="shared" si="268"/>
        <v>0</v>
      </c>
      <c r="V139" s="61">
        <f t="shared" si="268"/>
        <v>0</v>
      </c>
      <c r="W139" s="61">
        <f t="shared" si="268"/>
        <v>0</v>
      </c>
      <c r="X139" s="61">
        <f t="shared" si="6"/>
        <v>0</v>
      </c>
    </row>
    <row r="140" spans="1:24" ht="15.75" customHeight="1">
      <c r="A140" s="62">
        <v>133</v>
      </c>
      <c r="B140" s="63" t="str">
        <f>IF('Students Details'!B139="","",'Students Details'!B139)</f>
        <v/>
      </c>
      <c r="C140" s="64" t="str">
        <f>IF('Students Details'!C139="","",'Students Details'!C139)</f>
        <v/>
      </c>
      <c r="D140" s="66"/>
      <c r="E140" s="66"/>
      <c r="F140" s="66"/>
      <c r="G140" s="66"/>
      <c r="H140" s="66"/>
      <c r="I140" s="66"/>
      <c r="J140" s="67">
        <f t="shared" si="0"/>
        <v>0</v>
      </c>
      <c r="K140" s="61">
        <f t="shared" ref="K140:M140" si="269">D140</f>
        <v>0</v>
      </c>
      <c r="L140" s="61">
        <f t="shared" si="269"/>
        <v>0</v>
      </c>
      <c r="M140" s="61">
        <f t="shared" si="269"/>
        <v>0</v>
      </c>
      <c r="N140" s="61">
        <f>IF('CO-PO Mapping'!$A$10="",0,G140)</f>
        <v>0</v>
      </c>
      <c r="O140" s="61">
        <f>IF('CO-PO Mapping'!$A$11="",0,H140)</f>
        <v>0</v>
      </c>
      <c r="P140" s="61">
        <f>IF('CO-PO Mapping'!$A$12="",0,I140)</f>
        <v>0</v>
      </c>
      <c r="Q140" s="61">
        <f t="shared" si="2"/>
        <v>0</v>
      </c>
      <c r="R140" s="61">
        <f t="shared" ref="R140:W140" si="270">K140</f>
        <v>0</v>
      </c>
      <c r="S140" s="61">
        <f t="shared" si="270"/>
        <v>0</v>
      </c>
      <c r="T140" s="61">
        <f t="shared" si="270"/>
        <v>0</v>
      </c>
      <c r="U140" s="61">
        <f t="shared" si="270"/>
        <v>0</v>
      </c>
      <c r="V140" s="61">
        <f t="shared" si="270"/>
        <v>0</v>
      </c>
      <c r="W140" s="61">
        <f t="shared" si="270"/>
        <v>0</v>
      </c>
      <c r="X140" s="61">
        <f t="shared" si="6"/>
        <v>0</v>
      </c>
    </row>
    <row r="141" spans="1:24" ht="15.75" customHeight="1">
      <c r="A141" s="62">
        <v>134</v>
      </c>
      <c r="B141" s="63" t="str">
        <f>IF('Students Details'!B140="","",'Students Details'!B140)</f>
        <v/>
      </c>
      <c r="C141" s="64" t="str">
        <f>IF('Students Details'!C140="","",'Students Details'!C140)</f>
        <v/>
      </c>
      <c r="D141" s="66"/>
      <c r="E141" s="66"/>
      <c r="F141" s="66"/>
      <c r="G141" s="66"/>
      <c r="H141" s="66"/>
      <c r="I141" s="66"/>
      <c r="J141" s="67">
        <f t="shared" si="0"/>
        <v>0</v>
      </c>
      <c r="K141" s="61">
        <f t="shared" ref="K141:M141" si="271">D141</f>
        <v>0</v>
      </c>
      <c r="L141" s="61">
        <f t="shared" si="271"/>
        <v>0</v>
      </c>
      <c r="M141" s="61">
        <f t="shared" si="271"/>
        <v>0</v>
      </c>
      <c r="N141" s="61">
        <f>IF('CO-PO Mapping'!$A$10="",0,G141)</f>
        <v>0</v>
      </c>
      <c r="O141" s="61">
        <f>IF('CO-PO Mapping'!$A$11="",0,H141)</f>
        <v>0</v>
      </c>
      <c r="P141" s="61">
        <f>IF('CO-PO Mapping'!$A$12="",0,I141)</f>
        <v>0</v>
      </c>
      <c r="Q141" s="61">
        <f t="shared" si="2"/>
        <v>0</v>
      </c>
      <c r="R141" s="61">
        <f t="shared" ref="R141:W141" si="272">K141</f>
        <v>0</v>
      </c>
      <c r="S141" s="61">
        <f t="shared" si="272"/>
        <v>0</v>
      </c>
      <c r="T141" s="61">
        <f t="shared" si="272"/>
        <v>0</v>
      </c>
      <c r="U141" s="61">
        <f t="shared" si="272"/>
        <v>0</v>
      </c>
      <c r="V141" s="61">
        <f t="shared" si="272"/>
        <v>0</v>
      </c>
      <c r="W141" s="61">
        <f t="shared" si="272"/>
        <v>0</v>
      </c>
      <c r="X141" s="61">
        <f t="shared" si="6"/>
        <v>0</v>
      </c>
    </row>
    <row r="142" spans="1:24" ht="15.75" customHeight="1">
      <c r="A142" s="62">
        <v>135</v>
      </c>
      <c r="B142" s="63" t="str">
        <f>IF('Students Details'!B141="","",'Students Details'!B141)</f>
        <v/>
      </c>
      <c r="C142" s="64" t="str">
        <f>IF('Students Details'!C141="","",'Students Details'!C141)</f>
        <v/>
      </c>
      <c r="D142" s="66"/>
      <c r="E142" s="66"/>
      <c r="F142" s="66"/>
      <c r="G142" s="66"/>
      <c r="H142" s="66"/>
      <c r="I142" s="66"/>
      <c r="J142" s="67">
        <f t="shared" si="0"/>
        <v>0</v>
      </c>
      <c r="K142" s="61">
        <f t="shared" ref="K142:M142" si="273">D142</f>
        <v>0</v>
      </c>
      <c r="L142" s="61">
        <f t="shared" si="273"/>
        <v>0</v>
      </c>
      <c r="M142" s="61">
        <f t="shared" si="273"/>
        <v>0</v>
      </c>
      <c r="N142" s="61">
        <f>IF('CO-PO Mapping'!$A$10="",0,G142)</f>
        <v>0</v>
      </c>
      <c r="O142" s="61">
        <f>IF('CO-PO Mapping'!$A$11="",0,H142)</f>
        <v>0</v>
      </c>
      <c r="P142" s="61">
        <f>IF('CO-PO Mapping'!$A$12="",0,I142)</f>
        <v>0</v>
      </c>
      <c r="Q142" s="61">
        <f t="shared" si="2"/>
        <v>0</v>
      </c>
      <c r="R142" s="61">
        <f t="shared" ref="R142:W142" si="274">K142</f>
        <v>0</v>
      </c>
      <c r="S142" s="61">
        <f t="shared" si="274"/>
        <v>0</v>
      </c>
      <c r="T142" s="61">
        <f t="shared" si="274"/>
        <v>0</v>
      </c>
      <c r="U142" s="61">
        <f t="shared" si="274"/>
        <v>0</v>
      </c>
      <c r="V142" s="61">
        <f t="shared" si="274"/>
        <v>0</v>
      </c>
      <c r="W142" s="61">
        <f t="shared" si="274"/>
        <v>0</v>
      </c>
      <c r="X142" s="61">
        <f t="shared" si="6"/>
        <v>0</v>
      </c>
    </row>
    <row r="143" spans="1:24" ht="15.75" customHeight="1">
      <c r="A143" s="62">
        <v>136</v>
      </c>
      <c r="B143" s="63" t="str">
        <f>IF('Students Details'!B142="","",'Students Details'!B142)</f>
        <v/>
      </c>
      <c r="C143" s="64" t="str">
        <f>IF('Students Details'!C142="","",'Students Details'!C142)</f>
        <v/>
      </c>
      <c r="D143" s="66"/>
      <c r="E143" s="66"/>
      <c r="F143" s="66"/>
      <c r="G143" s="66"/>
      <c r="H143" s="66"/>
      <c r="I143" s="66"/>
      <c r="J143" s="67">
        <f t="shared" si="0"/>
        <v>0</v>
      </c>
      <c r="K143" s="61">
        <f t="shared" ref="K143:M143" si="275">D143</f>
        <v>0</v>
      </c>
      <c r="L143" s="61">
        <f t="shared" si="275"/>
        <v>0</v>
      </c>
      <c r="M143" s="61">
        <f t="shared" si="275"/>
        <v>0</v>
      </c>
      <c r="N143" s="61">
        <f>IF('CO-PO Mapping'!$A$10="",0,G143)</f>
        <v>0</v>
      </c>
      <c r="O143" s="61">
        <f>IF('CO-PO Mapping'!$A$11="",0,H143)</f>
        <v>0</v>
      </c>
      <c r="P143" s="61">
        <f>IF('CO-PO Mapping'!$A$12="",0,I143)</f>
        <v>0</v>
      </c>
      <c r="Q143" s="61">
        <f t="shared" si="2"/>
        <v>0</v>
      </c>
      <c r="R143" s="61">
        <f t="shared" ref="R143:W143" si="276">K143</f>
        <v>0</v>
      </c>
      <c r="S143" s="61">
        <f t="shared" si="276"/>
        <v>0</v>
      </c>
      <c r="T143" s="61">
        <f t="shared" si="276"/>
        <v>0</v>
      </c>
      <c r="U143" s="61">
        <f t="shared" si="276"/>
        <v>0</v>
      </c>
      <c r="V143" s="61">
        <f t="shared" si="276"/>
        <v>0</v>
      </c>
      <c r="W143" s="61">
        <f t="shared" si="276"/>
        <v>0</v>
      </c>
      <c r="X143" s="61">
        <f t="shared" si="6"/>
        <v>0</v>
      </c>
    </row>
    <row r="144" spans="1:24" ht="15.75" customHeight="1">
      <c r="A144" s="62">
        <v>137</v>
      </c>
      <c r="B144" s="63" t="str">
        <f>IF('Students Details'!B143="","",'Students Details'!B143)</f>
        <v/>
      </c>
      <c r="C144" s="64" t="str">
        <f>IF('Students Details'!C143="","",'Students Details'!C143)</f>
        <v/>
      </c>
      <c r="D144" s="66"/>
      <c r="E144" s="66"/>
      <c r="F144" s="66"/>
      <c r="G144" s="66"/>
      <c r="H144" s="66"/>
      <c r="I144" s="66"/>
      <c r="J144" s="67">
        <f t="shared" si="0"/>
        <v>0</v>
      </c>
      <c r="K144" s="61">
        <f t="shared" ref="K144:M144" si="277">D144</f>
        <v>0</v>
      </c>
      <c r="L144" s="61">
        <f t="shared" si="277"/>
        <v>0</v>
      </c>
      <c r="M144" s="61">
        <f t="shared" si="277"/>
        <v>0</v>
      </c>
      <c r="N144" s="61">
        <f>IF('CO-PO Mapping'!$A$10="",0,G144)</f>
        <v>0</v>
      </c>
      <c r="O144" s="61">
        <f>IF('CO-PO Mapping'!$A$11="",0,H144)</f>
        <v>0</v>
      </c>
      <c r="P144" s="61">
        <f>IF('CO-PO Mapping'!$A$12="",0,I144)</f>
        <v>0</v>
      </c>
      <c r="Q144" s="61">
        <f t="shared" si="2"/>
        <v>0</v>
      </c>
      <c r="R144" s="61">
        <f t="shared" ref="R144:W144" si="278">K144</f>
        <v>0</v>
      </c>
      <c r="S144" s="61">
        <f t="shared" si="278"/>
        <v>0</v>
      </c>
      <c r="T144" s="61">
        <f t="shared" si="278"/>
        <v>0</v>
      </c>
      <c r="U144" s="61">
        <f t="shared" si="278"/>
        <v>0</v>
      </c>
      <c r="V144" s="61">
        <f t="shared" si="278"/>
        <v>0</v>
      </c>
      <c r="W144" s="61">
        <f t="shared" si="278"/>
        <v>0</v>
      </c>
      <c r="X144" s="61">
        <f t="shared" si="6"/>
        <v>0</v>
      </c>
    </row>
    <row r="145" spans="1:24" ht="15.75" customHeight="1">
      <c r="A145" s="62">
        <v>138</v>
      </c>
      <c r="B145" s="63" t="str">
        <f>IF('Students Details'!B144="","",'Students Details'!B144)</f>
        <v/>
      </c>
      <c r="C145" s="64" t="str">
        <f>IF('Students Details'!C144="","",'Students Details'!C144)</f>
        <v/>
      </c>
      <c r="D145" s="66"/>
      <c r="E145" s="66"/>
      <c r="F145" s="66"/>
      <c r="G145" s="66"/>
      <c r="H145" s="66"/>
      <c r="I145" s="66"/>
      <c r="J145" s="67">
        <f t="shared" si="0"/>
        <v>0</v>
      </c>
      <c r="K145" s="61">
        <f t="shared" ref="K145:M145" si="279">D145</f>
        <v>0</v>
      </c>
      <c r="L145" s="61">
        <f t="shared" si="279"/>
        <v>0</v>
      </c>
      <c r="M145" s="61">
        <f t="shared" si="279"/>
        <v>0</v>
      </c>
      <c r="N145" s="61">
        <f>IF('CO-PO Mapping'!$A$10="",0,G145)</f>
        <v>0</v>
      </c>
      <c r="O145" s="61">
        <f>IF('CO-PO Mapping'!$A$11="",0,H145)</f>
        <v>0</v>
      </c>
      <c r="P145" s="61">
        <f>IF('CO-PO Mapping'!$A$12="",0,I145)</f>
        <v>0</v>
      </c>
      <c r="Q145" s="61">
        <f t="shared" si="2"/>
        <v>0</v>
      </c>
      <c r="R145" s="61">
        <f t="shared" ref="R145:W145" si="280">K145</f>
        <v>0</v>
      </c>
      <c r="S145" s="61">
        <f t="shared" si="280"/>
        <v>0</v>
      </c>
      <c r="T145" s="61">
        <f t="shared" si="280"/>
        <v>0</v>
      </c>
      <c r="U145" s="61">
        <f t="shared" si="280"/>
        <v>0</v>
      </c>
      <c r="V145" s="61">
        <f t="shared" si="280"/>
        <v>0</v>
      </c>
      <c r="W145" s="61">
        <f t="shared" si="280"/>
        <v>0</v>
      </c>
      <c r="X145" s="61">
        <f t="shared" si="6"/>
        <v>0</v>
      </c>
    </row>
    <row r="146" spans="1:24" ht="15.75" customHeight="1">
      <c r="A146" s="62">
        <v>139</v>
      </c>
      <c r="B146" s="63" t="str">
        <f>IF('Students Details'!B145="","",'Students Details'!B145)</f>
        <v/>
      </c>
      <c r="C146" s="64" t="str">
        <f>IF('Students Details'!C145="","",'Students Details'!C145)</f>
        <v/>
      </c>
      <c r="D146" s="66"/>
      <c r="E146" s="66"/>
      <c r="F146" s="66"/>
      <c r="G146" s="66"/>
      <c r="H146" s="66"/>
      <c r="I146" s="66"/>
      <c r="J146" s="67">
        <f t="shared" si="0"/>
        <v>0</v>
      </c>
      <c r="K146" s="61">
        <f t="shared" ref="K146:M146" si="281">D146</f>
        <v>0</v>
      </c>
      <c r="L146" s="61">
        <f t="shared" si="281"/>
        <v>0</v>
      </c>
      <c r="M146" s="61">
        <f t="shared" si="281"/>
        <v>0</v>
      </c>
      <c r="N146" s="61">
        <f>IF('CO-PO Mapping'!$A$10="",0,G146)</f>
        <v>0</v>
      </c>
      <c r="O146" s="61">
        <f>IF('CO-PO Mapping'!$A$11="",0,H146)</f>
        <v>0</v>
      </c>
      <c r="P146" s="61">
        <f>IF('CO-PO Mapping'!$A$12="",0,I146)</f>
        <v>0</v>
      </c>
      <c r="Q146" s="61">
        <f t="shared" si="2"/>
        <v>0</v>
      </c>
      <c r="R146" s="61">
        <f t="shared" ref="R146:W146" si="282">K146</f>
        <v>0</v>
      </c>
      <c r="S146" s="61">
        <f t="shared" si="282"/>
        <v>0</v>
      </c>
      <c r="T146" s="61">
        <f t="shared" si="282"/>
        <v>0</v>
      </c>
      <c r="U146" s="61">
        <f t="shared" si="282"/>
        <v>0</v>
      </c>
      <c r="V146" s="61">
        <f t="shared" si="282"/>
        <v>0</v>
      </c>
      <c r="W146" s="61">
        <f t="shared" si="282"/>
        <v>0</v>
      </c>
      <c r="X146" s="61">
        <f t="shared" si="6"/>
        <v>0</v>
      </c>
    </row>
    <row r="147" spans="1:24" ht="15.75" customHeight="1">
      <c r="A147" s="62">
        <v>140</v>
      </c>
      <c r="B147" s="63" t="str">
        <f>IF('Students Details'!B146="","",'Students Details'!B146)</f>
        <v/>
      </c>
      <c r="C147" s="64" t="str">
        <f>IF('Students Details'!C146="","",'Students Details'!C146)</f>
        <v/>
      </c>
      <c r="D147" s="66"/>
      <c r="E147" s="66"/>
      <c r="F147" s="66"/>
      <c r="G147" s="66"/>
      <c r="H147" s="66"/>
      <c r="I147" s="66"/>
      <c r="J147" s="67">
        <f t="shared" si="0"/>
        <v>0</v>
      </c>
      <c r="K147" s="61">
        <f t="shared" ref="K147:M147" si="283">D147</f>
        <v>0</v>
      </c>
      <c r="L147" s="61">
        <f t="shared" si="283"/>
        <v>0</v>
      </c>
      <c r="M147" s="61">
        <f t="shared" si="283"/>
        <v>0</v>
      </c>
      <c r="N147" s="61">
        <f>IF('CO-PO Mapping'!$A$10="",0,G147)</f>
        <v>0</v>
      </c>
      <c r="O147" s="61">
        <f>IF('CO-PO Mapping'!$A$11="",0,H147)</f>
        <v>0</v>
      </c>
      <c r="P147" s="61">
        <f>IF('CO-PO Mapping'!$A$12="",0,I147)</f>
        <v>0</v>
      </c>
      <c r="Q147" s="61">
        <f t="shared" si="2"/>
        <v>0</v>
      </c>
      <c r="R147" s="61">
        <f t="shared" ref="R147:W147" si="284">K147</f>
        <v>0</v>
      </c>
      <c r="S147" s="61">
        <f t="shared" si="284"/>
        <v>0</v>
      </c>
      <c r="T147" s="61">
        <f t="shared" si="284"/>
        <v>0</v>
      </c>
      <c r="U147" s="61">
        <f t="shared" si="284"/>
        <v>0</v>
      </c>
      <c r="V147" s="61">
        <f t="shared" si="284"/>
        <v>0</v>
      </c>
      <c r="W147" s="61">
        <f t="shared" si="284"/>
        <v>0</v>
      </c>
      <c r="X147" s="61">
        <f t="shared" si="6"/>
        <v>0</v>
      </c>
    </row>
    <row r="148" spans="1:24" ht="15.75" customHeight="1">
      <c r="A148" s="62">
        <v>141</v>
      </c>
      <c r="B148" s="63" t="str">
        <f>IF('Students Details'!B147="","",'Students Details'!B147)</f>
        <v/>
      </c>
      <c r="C148" s="64" t="str">
        <f>IF('Students Details'!C147="","",'Students Details'!C147)</f>
        <v/>
      </c>
      <c r="D148" s="66"/>
      <c r="E148" s="66"/>
      <c r="F148" s="66"/>
      <c r="G148" s="66"/>
      <c r="H148" s="66"/>
      <c r="I148" s="66"/>
      <c r="J148" s="67">
        <f t="shared" si="0"/>
        <v>0</v>
      </c>
      <c r="K148" s="61">
        <f t="shared" ref="K148:M148" si="285">D148</f>
        <v>0</v>
      </c>
      <c r="L148" s="61">
        <f t="shared" si="285"/>
        <v>0</v>
      </c>
      <c r="M148" s="61">
        <f t="shared" si="285"/>
        <v>0</v>
      </c>
      <c r="N148" s="61">
        <f>IF('CO-PO Mapping'!$A$10="",0,G148)</f>
        <v>0</v>
      </c>
      <c r="O148" s="61">
        <f>IF('CO-PO Mapping'!$A$11="",0,H148)</f>
        <v>0</v>
      </c>
      <c r="P148" s="61">
        <f>IF('CO-PO Mapping'!$A$12="",0,I148)</f>
        <v>0</v>
      </c>
      <c r="Q148" s="61">
        <f t="shared" si="2"/>
        <v>0</v>
      </c>
      <c r="R148" s="61">
        <f t="shared" ref="R148:W148" si="286">K148</f>
        <v>0</v>
      </c>
      <c r="S148" s="61">
        <f t="shared" si="286"/>
        <v>0</v>
      </c>
      <c r="T148" s="61">
        <f t="shared" si="286"/>
        <v>0</v>
      </c>
      <c r="U148" s="61">
        <f t="shared" si="286"/>
        <v>0</v>
      </c>
      <c r="V148" s="61">
        <f t="shared" si="286"/>
        <v>0</v>
      </c>
      <c r="W148" s="61">
        <f t="shared" si="286"/>
        <v>0</v>
      </c>
      <c r="X148" s="61">
        <f t="shared" si="6"/>
        <v>0</v>
      </c>
    </row>
    <row r="149" spans="1:24" ht="15.75" customHeight="1">
      <c r="A149" s="62">
        <v>142</v>
      </c>
      <c r="B149" s="63" t="str">
        <f>IF('Students Details'!B148="","",'Students Details'!B148)</f>
        <v/>
      </c>
      <c r="C149" s="64" t="str">
        <f>IF('Students Details'!C148="","",'Students Details'!C148)</f>
        <v/>
      </c>
      <c r="D149" s="66"/>
      <c r="E149" s="66"/>
      <c r="F149" s="66"/>
      <c r="G149" s="66"/>
      <c r="H149" s="66"/>
      <c r="I149" s="66"/>
      <c r="J149" s="67">
        <f t="shared" si="0"/>
        <v>0</v>
      </c>
      <c r="K149" s="61">
        <f t="shared" ref="K149:M149" si="287">D149</f>
        <v>0</v>
      </c>
      <c r="L149" s="61">
        <f t="shared" si="287"/>
        <v>0</v>
      </c>
      <c r="M149" s="61">
        <f t="shared" si="287"/>
        <v>0</v>
      </c>
      <c r="N149" s="61">
        <f>IF('CO-PO Mapping'!$A$10="",0,G149)</f>
        <v>0</v>
      </c>
      <c r="O149" s="61">
        <f>IF('CO-PO Mapping'!$A$11="",0,H149)</f>
        <v>0</v>
      </c>
      <c r="P149" s="61">
        <f>IF('CO-PO Mapping'!$A$12="",0,I149)</f>
        <v>0</v>
      </c>
      <c r="Q149" s="61">
        <f t="shared" si="2"/>
        <v>0</v>
      </c>
      <c r="R149" s="61">
        <f t="shared" ref="R149:W149" si="288">K149</f>
        <v>0</v>
      </c>
      <c r="S149" s="61">
        <f t="shared" si="288"/>
        <v>0</v>
      </c>
      <c r="T149" s="61">
        <f t="shared" si="288"/>
        <v>0</v>
      </c>
      <c r="U149" s="61">
        <f t="shared" si="288"/>
        <v>0</v>
      </c>
      <c r="V149" s="61">
        <f t="shared" si="288"/>
        <v>0</v>
      </c>
      <c r="W149" s="61">
        <f t="shared" si="288"/>
        <v>0</v>
      </c>
      <c r="X149" s="61">
        <f t="shared" si="6"/>
        <v>0</v>
      </c>
    </row>
    <row r="150" spans="1:24" ht="15.75" customHeight="1">
      <c r="A150" s="62">
        <v>143</v>
      </c>
      <c r="B150" s="63" t="str">
        <f>IF('Students Details'!B149="","",'Students Details'!B149)</f>
        <v/>
      </c>
      <c r="C150" s="64" t="str">
        <f>IF('Students Details'!C149="","",'Students Details'!C149)</f>
        <v/>
      </c>
      <c r="D150" s="66"/>
      <c r="E150" s="66"/>
      <c r="F150" s="66"/>
      <c r="G150" s="66"/>
      <c r="H150" s="66"/>
      <c r="I150" s="66"/>
      <c r="J150" s="67">
        <f t="shared" si="0"/>
        <v>0</v>
      </c>
      <c r="K150" s="61">
        <f t="shared" ref="K150:M150" si="289">D150</f>
        <v>0</v>
      </c>
      <c r="L150" s="61">
        <f t="shared" si="289"/>
        <v>0</v>
      </c>
      <c r="M150" s="61">
        <f t="shared" si="289"/>
        <v>0</v>
      </c>
      <c r="N150" s="61">
        <f>IF('CO-PO Mapping'!$A$10="",0,G150)</f>
        <v>0</v>
      </c>
      <c r="O150" s="61">
        <f>IF('CO-PO Mapping'!$A$11="",0,H150)</f>
        <v>0</v>
      </c>
      <c r="P150" s="61">
        <f>IF('CO-PO Mapping'!$A$12="",0,I150)</f>
        <v>0</v>
      </c>
      <c r="Q150" s="61">
        <f t="shared" si="2"/>
        <v>0</v>
      </c>
      <c r="R150" s="61">
        <f t="shared" ref="R150:W150" si="290">K150</f>
        <v>0</v>
      </c>
      <c r="S150" s="61">
        <f t="shared" si="290"/>
        <v>0</v>
      </c>
      <c r="T150" s="61">
        <f t="shared" si="290"/>
        <v>0</v>
      </c>
      <c r="U150" s="61">
        <f t="shared" si="290"/>
        <v>0</v>
      </c>
      <c r="V150" s="61">
        <f t="shared" si="290"/>
        <v>0</v>
      </c>
      <c r="W150" s="61">
        <f t="shared" si="290"/>
        <v>0</v>
      </c>
      <c r="X150" s="61">
        <f t="shared" si="6"/>
        <v>0</v>
      </c>
    </row>
    <row r="151" spans="1:24" ht="15.75" customHeight="1">
      <c r="A151" s="62">
        <v>144</v>
      </c>
      <c r="B151" s="63" t="str">
        <f>IF('Students Details'!B150="","",'Students Details'!B150)</f>
        <v/>
      </c>
      <c r="C151" s="64" t="str">
        <f>IF('Students Details'!C150="","",'Students Details'!C150)</f>
        <v/>
      </c>
      <c r="D151" s="66"/>
      <c r="E151" s="66"/>
      <c r="F151" s="66"/>
      <c r="G151" s="66"/>
      <c r="H151" s="66"/>
      <c r="I151" s="66"/>
      <c r="J151" s="67">
        <f t="shared" si="0"/>
        <v>0</v>
      </c>
      <c r="K151" s="61">
        <f t="shared" ref="K151:M151" si="291">D151</f>
        <v>0</v>
      </c>
      <c r="L151" s="61">
        <f t="shared" si="291"/>
        <v>0</v>
      </c>
      <c r="M151" s="61">
        <f t="shared" si="291"/>
        <v>0</v>
      </c>
      <c r="N151" s="61">
        <f>IF('CO-PO Mapping'!$A$10="",0,G151)</f>
        <v>0</v>
      </c>
      <c r="O151" s="61">
        <f>IF('CO-PO Mapping'!$A$11="",0,H151)</f>
        <v>0</v>
      </c>
      <c r="P151" s="61">
        <f>IF('CO-PO Mapping'!$A$12="",0,I151)</f>
        <v>0</v>
      </c>
      <c r="Q151" s="61">
        <f t="shared" si="2"/>
        <v>0</v>
      </c>
      <c r="R151" s="61">
        <f t="shared" ref="R151:W151" si="292">K151</f>
        <v>0</v>
      </c>
      <c r="S151" s="61">
        <f t="shared" si="292"/>
        <v>0</v>
      </c>
      <c r="T151" s="61">
        <f t="shared" si="292"/>
        <v>0</v>
      </c>
      <c r="U151" s="61">
        <f t="shared" si="292"/>
        <v>0</v>
      </c>
      <c r="V151" s="61">
        <f t="shared" si="292"/>
        <v>0</v>
      </c>
      <c r="W151" s="61">
        <f t="shared" si="292"/>
        <v>0</v>
      </c>
      <c r="X151" s="61">
        <f t="shared" si="6"/>
        <v>0</v>
      </c>
    </row>
    <row r="152" spans="1:24" ht="15.75" customHeight="1">
      <c r="A152" s="62">
        <v>145</v>
      </c>
      <c r="B152" s="63" t="str">
        <f>IF('Students Details'!B151="","",'Students Details'!B151)</f>
        <v/>
      </c>
      <c r="C152" s="64" t="str">
        <f>IF('Students Details'!C151="","",'Students Details'!C151)</f>
        <v/>
      </c>
      <c r="D152" s="66"/>
      <c r="E152" s="66"/>
      <c r="F152" s="66"/>
      <c r="G152" s="66"/>
      <c r="H152" s="66"/>
      <c r="I152" s="66"/>
      <c r="J152" s="67">
        <f t="shared" si="0"/>
        <v>0</v>
      </c>
      <c r="K152" s="61">
        <f t="shared" ref="K152:M152" si="293">D152</f>
        <v>0</v>
      </c>
      <c r="L152" s="61">
        <f t="shared" si="293"/>
        <v>0</v>
      </c>
      <c r="M152" s="61">
        <f t="shared" si="293"/>
        <v>0</v>
      </c>
      <c r="N152" s="61">
        <f>IF('CO-PO Mapping'!$A$10="",0,G152)</f>
        <v>0</v>
      </c>
      <c r="O152" s="61">
        <f>IF('CO-PO Mapping'!$A$11="",0,H152)</f>
        <v>0</v>
      </c>
      <c r="P152" s="61">
        <f>IF('CO-PO Mapping'!$A$12="",0,I152)</f>
        <v>0</v>
      </c>
      <c r="Q152" s="61">
        <f t="shared" si="2"/>
        <v>0</v>
      </c>
      <c r="R152" s="61">
        <f t="shared" ref="R152:W152" si="294">K152</f>
        <v>0</v>
      </c>
      <c r="S152" s="61">
        <f t="shared" si="294"/>
        <v>0</v>
      </c>
      <c r="T152" s="61">
        <f t="shared" si="294"/>
        <v>0</v>
      </c>
      <c r="U152" s="61">
        <f t="shared" si="294"/>
        <v>0</v>
      </c>
      <c r="V152" s="61">
        <f t="shared" si="294"/>
        <v>0</v>
      </c>
      <c r="W152" s="61">
        <f t="shared" si="294"/>
        <v>0</v>
      </c>
      <c r="X152" s="61">
        <f t="shared" si="6"/>
        <v>0</v>
      </c>
    </row>
    <row r="153" spans="1:24" ht="15.75" customHeight="1">
      <c r="A153" s="62">
        <v>146</v>
      </c>
      <c r="B153" s="63" t="str">
        <f>IF('Students Details'!B152="","",'Students Details'!B152)</f>
        <v/>
      </c>
      <c r="C153" s="64" t="str">
        <f>IF('Students Details'!C152="","",'Students Details'!C152)</f>
        <v/>
      </c>
      <c r="D153" s="66"/>
      <c r="E153" s="66"/>
      <c r="F153" s="66"/>
      <c r="G153" s="66"/>
      <c r="H153" s="66"/>
      <c r="I153" s="66"/>
      <c r="J153" s="67">
        <f t="shared" si="0"/>
        <v>0</v>
      </c>
      <c r="K153" s="61">
        <f t="shared" ref="K153:M153" si="295">D153</f>
        <v>0</v>
      </c>
      <c r="L153" s="61">
        <f t="shared" si="295"/>
        <v>0</v>
      </c>
      <c r="M153" s="61">
        <f t="shared" si="295"/>
        <v>0</v>
      </c>
      <c r="N153" s="61">
        <f>IF('CO-PO Mapping'!$A$10="",0,G153)</f>
        <v>0</v>
      </c>
      <c r="O153" s="61">
        <f>IF('CO-PO Mapping'!$A$11="",0,H153)</f>
        <v>0</v>
      </c>
      <c r="P153" s="61">
        <f>IF('CO-PO Mapping'!$A$12="",0,I153)</f>
        <v>0</v>
      </c>
      <c r="Q153" s="61">
        <f t="shared" si="2"/>
        <v>0</v>
      </c>
      <c r="R153" s="61">
        <f t="shared" ref="R153:W153" si="296">K153</f>
        <v>0</v>
      </c>
      <c r="S153" s="61">
        <f t="shared" si="296"/>
        <v>0</v>
      </c>
      <c r="T153" s="61">
        <f t="shared" si="296"/>
        <v>0</v>
      </c>
      <c r="U153" s="61">
        <f t="shared" si="296"/>
        <v>0</v>
      </c>
      <c r="V153" s="61">
        <f t="shared" si="296"/>
        <v>0</v>
      </c>
      <c r="W153" s="61">
        <f t="shared" si="296"/>
        <v>0</v>
      </c>
      <c r="X153" s="61">
        <f t="shared" si="6"/>
        <v>0</v>
      </c>
    </row>
    <row r="154" spans="1:24" ht="15.75" customHeight="1">
      <c r="A154" s="62">
        <v>147</v>
      </c>
      <c r="B154" s="63" t="str">
        <f>IF('Students Details'!B153="","",'Students Details'!B153)</f>
        <v/>
      </c>
      <c r="C154" s="64" t="str">
        <f>IF('Students Details'!C153="","",'Students Details'!C153)</f>
        <v/>
      </c>
      <c r="D154" s="66"/>
      <c r="E154" s="66"/>
      <c r="F154" s="66"/>
      <c r="G154" s="66"/>
      <c r="H154" s="66"/>
      <c r="I154" s="66"/>
      <c r="J154" s="67">
        <f t="shared" si="0"/>
        <v>0</v>
      </c>
      <c r="K154" s="61">
        <f t="shared" ref="K154:M154" si="297">D154</f>
        <v>0</v>
      </c>
      <c r="L154" s="61">
        <f t="shared" si="297"/>
        <v>0</v>
      </c>
      <c r="M154" s="61">
        <f t="shared" si="297"/>
        <v>0</v>
      </c>
      <c r="N154" s="61">
        <f>IF('CO-PO Mapping'!$A$10="",0,G154)</f>
        <v>0</v>
      </c>
      <c r="O154" s="61">
        <f>IF('CO-PO Mapping'!$A$11="",0,H154)</f>
        <v>0</v>
      </c>
      <c r="P154" s="61">
        <f>IF('CO-PO Mapping'!$A$12="",0,I154)</f>
        <v>0</v>
      </c>
      <c r="Q154" s="61">
        <f t="shared" si="2"/>
        <v>0</v>
      </c>
      <c r="R154" s="61">
        <f t="shared" ref="R154:W154" si="298">K154</f>
        <v>0</v>
      </c>
      <c r="S154" s="61">
        <f t="shared" si="298"/>
        <v>0</v>
      </c>
      <c r="T154" s="61">
        <f t="shared" si="298"/>
        <v>0</v>
      </c>
      <c r="U154" s="61">
        <f t="shared" si="298"/>
        <v>0</v>
      </c>
      <c r="V154" s="61">
        <f t="shared" si="298"/>
        <v>0</v>
      </c>
      <c r="W154" s="61">
        <f t="shared" si="298"/>
        <v>0</v>
      </c>
      <c r="X154" s="61">
        <f t="shared" si="6"/>
        <v>0</v>
      </c>
    </row>
    <row r="155" spans="1:24" ht="15.75" customHeight="1">
      <c r="A155" s="62">
        <v>148</v>
      </c>
      <c r="B155" s="63" t="str">
        <f>IF('Students Details'!B154="","",'Students Details'!B154)</f>
        <v/>
      </c>
      <c r="C155" s="64" t="str">
        <f>IF('Students Details'!C154="","",'Students Details'!C154)</f>
        <v/>
      </c>
      <c r="D155" s="66"/>
      <c r="E155" s="66"/>
      <c r="F155" s="66"/>
      <c r="G155" s="66"/>
      <c r="H155" s="66"/>
      <c r="I155" s="66"/>
      <c r="J155" s="67">
        <f t="shared" si="0"/>
        <v>0</v>
      </c>
      <c r="K155" s="61">
        <f t="shared" ref="K155:M155" si="299">D155</f>
        <v>0</v>
      </c>
      <c r="L155" s="61">
        <f t="shared" si="299"/>
        <v>0</v>
      </c>
      <c r="M155" s="61">
        <f t="shared" si="299"/>
        <v>0</v>
      </c>
      <c r="N155" s="61">
        <f>IF('CO-PO Mapping'!$A$10="",0,G155)</f>
        <v>0</v>
      </c>
      <c r="O155" s="61">
        <f>IF('CO-PO Mapping'!$A$11="",0,H155)</f>
        <v>0</v>
      </c>
      <c r="P155" s="61">
        <f>IF('CO-PO Mapping'!$A$12="",0,I155)</f>
        <v>0</v>
      </c>
      <c r="Q155" s="61">
        <f t="shared" si="2"/>
        <v>0</v>
      </c>
      <c r="R155" s="61">
        <f t="shared" ref="R155:W155" si="300">K155</f>
        <v>0</v>
      </c>
      <c r="S155" s="61">
        <f t="shared" si="300"/>
        <v>0</v>
      </c>
      <c r="T155" s="61">
        <f t="shared" si="300"/>
        <v>0</v>
      </c>
      <c r="U155" s="61">
        <f t="shared" si="300"/>
        <v>0</v>
      </c>
      <c r="V155" s="61">
        <f t="shared" si="300"/>
        <v>0</v>
      </c>
      <c r="W155" s="61">
        <f t="shared" si="300"/>
        <v>0</v>
      </c>
      <c r="X155" s="61">
        <f t="shared" si="6"/>
        <v>0</v>
      </c>
    </row>
    <row r="156" spans="1:24" ht="15.75" customHeight="1">
      <c r="A156" s="62">
        <v>149</v>
      </c>
      <c r="B156" s="63" t="str">
        <f>IF('Students Details'!B155="","",'Students Details'!B155)</f>
        <v/>
      </c>
      <c r="C156" s="64" t="str">
        <f>IF('Students Details'!C155="","",'Students Details'!C155)</f>
        <v/>
      </c>
      <c r="D156" s="66"/>
      <c r="E156" s="66"/>
      <c r="F156" s="66"/>
      <c r="G156" s="66"/>
      <c r="H156" s="66"/>
      <c r="I156" s="66"/>
      <c r="J156" s="67">
        <f t="shared" si="0"/>
        <v>0</v>
      </c>
      <c r="K156" s="61">
        <f t="shared" ref="K156:M156" si="301">D156</f>
        <v>0</v>
      </c>
      <c r="L156" s="61">
        <f t="shared" si="301"/>
        <v>0</v>
      </c>
      <c r="M156" s="61">
        <f t="shared" si="301"/>
        <v>0</v>
      </c>
      <c r="N156" s="61">
        <f>IF('CO-PO Mapping'!$A$10="",0,G156)</f>
        <v>0</v>
      </c>
      <c r="O156" s="61">
        <f>IF('CO-PO Mapping'!$A$11="",0,H156)</f>
        <v>0</v>
      </c>
      <c r="P156" s="61">
        <f>IF('CO-PO Mapping'!$A$12="",0,I156)</f>
        <v>0</v>
      </c>
      <c r="Q156" s="61">
        <f t="shared" si="2"/>
        <v>0</v>
      </c>
      <c r="R156" s="61">
        <f t="shared" ref="R156:W156" si="302">K156</f>
        <v>0</v>
      </c>
      <c r="S156" s="61">
        <f t="shared" si="302"/>
        <v>0</v>
      </c>
      <c r="T156" s="61">
        <f t="shared" si="302"/>
        <v>0</v>
      </c>
      <c r="U156" s="61">
        <f t="shared" si="302"/>
        <v>0</v>
      </c>
      <c r="V156" s="61">
        <f t="shared" si="302"/>
        <v>0</v>
      </c>
      <c r="W156" s="61">
        <f t="shared" si="302"/>
        <v>0</v>
      </c>
      <c r="X156" s="61">
        <f t="shared" si="6"/>
        <v>0</v>
      </c>
    </row>
    <row r="157" spans="1:24" ht="15.75" customHeight="1">
      <c r="A157" s="62">
        <v>150</v>
      </c>
      <c r="B157" s="63" t="str">
        <f>IF('Students Details'!B156="","",'Students Details'!B156)</f>
        <v/>
      </c>
      <c r="C157" s="64" t="str">
        <f>IF('Students Details'!C156="","",'Students Details'!C156)</f>
        <v/>
      </c>
      <c r="D157" s="66"/>
      <c r="E157" s="66"/>
      <c r="F157" s="66"/>
      <c r="G157" s="66"/>
      <c r="H157" s="66"/>
      <c r="I157" s="66"/>
      <c r="J157" s="67">
        <f t="shared" si="0"/>
        <v>0</v>
      </c>
      <c r="K157" s="61">
        <f t="shared" ref="K157:M157" si="303">D157</f>
        <v>0</v>
      </c>
      <c r="L157" s="61">
        <f t="shared" si="303"/>
        <v>0</v>
      </c>
      <c r="M157" s="61">
        <f t="shared" si="303"/>
        <v>0</v>
      </c>
      <c r="N157" s="61">
        <f>IF('CO-PO Mapping'!$A$10="",0,G157)</f>
        <v>0</v>
      </c>
      <c r="O157" s="61">
        <f>IF('CO-PO Mapping'!$A$11="",0,H157)</f>
        <v>0</v>
      </c>
      <c r="P157" s="61">
        <f>IF('CO-PO Mapping'!$A$12="",0,I157)</f>
        <v>0</v>
      </c>
      <c r="Q157" s="61">
        <f t="shared" si="2"/>
        <v>0</v>
      </c>
      <c r="R157" s="61">
        <f t="shared" ref="R157:W157" si="304">K157</f>
        <v>0</v>
      </c>
      <c r="S157" s="61">
        <f t="shared" si="304"/>
        <v>0</v>
      </c>
      <c r="T157" s="61">
        <f t="shared" si="304"/>
        <v>0</v>
      </c>
      <c r="U157" s="61">
        <f t="shared" si="304"/>
        <v>0</v>
      </c>
      <c r="V157" s="61">
        <f t="shared" si="304"/>
        <v>0</v>
      </c>
      <c r="W157" s="61">
        <f t="shared" si="304"/>
        <v>0</v>
      </c>
      <c r="X157" s="61">
        <f t="shared" si="6"/>
        <v>0</v>
      </c>
    </row>
    <row r="158" spans="1:24" ht="15.75" customHeight="1">
      <c r="A158" s="62">
        <v>151</v>
      </c>
      <c r="B158" s="63" t="str">
        <f>IF('Students Details'!B157="","",'Students Details'!B157)</f>
        <v/>
      </c>
      <c r="C158" s="64" t="str">
        <f>IF('Students Details'!C157="","",'Students Details'!C157)</f>
        <v/>
      </c>
      <c r="D158" s="66"/>
      <c r="E158" s="66"/>
      <c r="F158" s="66"/>
      <c r="G158" s="66"/>
      <c r="H158" s="66"/>
      <c r="I158" s="66"/>
      <c r="J158" s="67">
        <f t="shared" si="0"/>
        <v>0</v>
      </c>
      <c r="K158" s="61">
        <f t="shared" ref="K158:M158" si="305">D158</f>
        <v>0</v>
      </c>
      <c r="L158" s="61">
        <f t="shared" si="305"/>
        <v>0</v>
      </c>
      <c r="M158" s="61">
        <f t="shared" si="305"/>
        <v>0</v>
      </c>
      <c r="N158" s="61">
        <f>IF('CO-PO Mapping'!$A$10="",0,G158)</f>
        <v>0</v>
      </c>
      <c r="O158" s="61">
        <f>IF('CO-PO Mapping'!$A$11="",0,H158)</f>
        <v>0</v>
      </c>
      <c r="P158" s="61">
        <f>IF('CO-PO Mapping'!$A$12="",0,I158)</f>
        <v>0</v>
      </c>
      <c r="Q158" s="61">
        <f t="shared" si="2"/>
        <v>0</v>
      </c>
      <c r="R158" s="61">
        <f t="shared" ref="R158:W158" si="306">K158</f>
        <v>0</v>
      </c>
      <c r="S158" s="61">
        <f t="shared" si="306"/>
        <v>0</v>
      </c>
      <c r="T158" s="61">
        <f t="shared" si="306"/>
        <v>0</v>
      </c>
      <c r="U158" s="61">
        <f t="shared" si="306"/>
        <v>0</v>
      </c>
      <c r="V158" s="61">
        <f t="shared" si="306"/>
        <v>0</v>
      </c>
      <c r="W158" s="61">
        <f t="shared" si="306"/>
        <v>0</v>
      </c>
      <c r="X158" s="61">
        <f t="shared" si="6"/>
        <v>0</v>
      </c>
    </row>
    <row r="159" spans="1:24" ht="15.75" customHeight="1">
      <c r="A159" s="62">
        <v>152</v>
      </c>
      <c r="B159" s="63" t="str">
        <f>IF('Students Details'!B158="","",'Students Details'!B158)</f>
        <v/>
      </c>
      <c r="C159" s="64" t="str">
        <f>IF('Students Details'!C158="","",'Students Details'!C158)</f>
        <v/>
      </c>
      <c r="D159" s="66"/>
      <c r="E159" s="66"/>
      <c r="F159" s="66"/>
      <c r="G159" s="66"/>
      <c r="H159" s="66"/>
      <c r="I159" s="66"/>
      <c r="J159" s="67">
        <f t="shared" si="0"/>
        <v>0</v>
      </c>
      <c r="K159" s="61">
        <f t="shared" ref="K159:M159" si="307">D159</f>
        <v>0</v>
      </c>
      <c r="L159" s="61">
        <f t="shared" si="307"/>
        <v>0</v>
      </c>
      <c r="M159" s="61">
        <f t="shared" si="307"/>
        <v>0</v>
      </c>
      <c r="N159" s="61">
        <f>IF('CO-PO Mapping'!$A$10="",0,G159)</f>
        <v>0</v>
      </c>
      <c r="O159" s="61">
        <f>IF('CO-PO Mapping'!$A$11="",0,H159)</f>
        <v>0</v>
      </c>
      <c r="P159" s="61">
        <f>IF('CO-PO Mapping'!$A$12="",0,I159)</f>
        <v>0</v>
      </c>
      <c r="Q159" s="61">
        <f t="shared" si="2"/>
        <v>0</v>
      </c>
      <c r="R159" s="61">
        <f t="shared" ref="R159:W159" si="308">K159</f>
        <v>0</v>
      </c>
      <c r="S159" s="61">
        <f t="shared" si="308"/>
        <v>0</v>
      </c>
      <c r="T159" s="61">
        <f t="shared" si="308"/>
        <v>0</v>
      </c>
      <c r="U159" s="61">
        <f t="shared" si="308"/>
        <v>0</v>
      </c>
      <c r="V159" s="61">
        <f t="shared" si="308"/>
        <v>0</v>
      </c>
      <c r="W159" s="61">
        <f t="shared" si="308"/>
        <v>0</v>
      </c>
      <c r="X159" s="61">
        <f t="shared" si="6"/>
        <v>0</v>
      </c>
    </row>
    <row r="160" spans="1:24" ht="15.75" customHeight="1">
      <c r="A160" s="62">
        <v>153</v>
      </c>
      <c r="B160" s="63" t="str">
        <f>IF('Students Details'!B159="","",'Students Details'!B159)</f>
        <v/>
      </c>
      <c r="C160" s="64" t="str">
        <f>IF('Students Details'!C159="","",'Students Details'!C159)</f>
        <v/>
      </c>
      <c r="D160" s="66"/>
      <c r="E160" s="66"/>
      <c r="F160" s="66"/>
      <c r="G160" s="66"/>
      <c r="H160" s="66"/>
      <c r="I160" s="66"/>
      <c r="J160" s="67">
        <f t="shared" si="0"/>
        <v>0</v>
      </c>
      <c r="K160" s="61">
        <f t="shared" ref="K160:M160" si="309">D160</f>
        <v>0</v>
      </c>
      <c r="L160" s="61">
        <f t="shared" si="309"/>
        <v>0</v>
      </c>
      <c r="M160" s="61">
        <f t="shared" si="309"/>
        <v>0</v>
      </c>
      <c r="N160" s="61">
        <f>IF('CO-PO Mapping'!$A$10="",0,G160)</f>
        <v>0</v>
      </c>
      <c r="O160" s="61">
        <f>IF('CO-PO Mapping'!$A$11="",0,H160)</f>
        <v>0</v>
      </c>
      <c r="P160" s="61">
        <f>IF('CO-PO Mapping'!$A$12="",0,I160)</f>
        <v>0</v>
      </c>
      <c r="Q160" s="61">
        <f t="shared" si="2"/>
        <v>0</v>
      </c>
      <c r="R160" s="61">
        <f t="shared" ref="R160:W160" si="310">K160</f>
        <v>0</v>
      </c>
      <c r="S160" s="61">
        <f t="shared" si="310"/>
        <v>0</v>
      </c>
      <c r="T160" s="61">
        <f t="shared" si="310"/>
        <v>0</v>
      </c>
      <c r="U160" s="61">
        <f t="shared" si="310"/>
        <v>0</v>
      </c>
      <c r="V160" s="61">
        <f t="shared" si="310"/>
        <v>0</v>
      </c>
      <c r="W160" s="61">
        <f t="shared" si="310"/>
        <v>0</v>
      </c>
      <c r="X160" s="61">
        <f t="shared" si="6"/>
        <v>0</v>
      </c>
    </row>
    <row r="161" spans="1:24" ht="15.75" customHeight="1">
      <c r="A161" s="62">
        <v>154</v>
      </c>
      <c r="B161" s="63" t="str">
        <f>IF('Students Details'!B160="","",'Students Details'!B160)</f>
        <v/>
      </c>
      <c r="C161" s="64" t="str">
        <f>IF('Students Details'!C160="","",'Students Details'!C160)</f>
        <v/>
      </c>
      <c r="D161" s="66"/>
      <c r="E161" s="66"/>
      <c r="F161" s="66"/>
      <c r="G161" s="66"/>
      <c r="H161" s="66"/>
      <c r="I161" s="66"/>
      <c r="J161" s="67">
        <f t="shared" si="0"/>
        <v>0</v>
      </c>
      <c r="K161" s="61">
        <f t="shared" ref="K161:M161" si="311">D161</f>
        <v>0</v>
      </c>
      <c r="L161" s="61">
        <f t="shared" si="311"/>
        <v>0</v>
      </c>
      <c r="M161" s="61">
        <f t="shared" si="311"/>
        <v>0</v>
      </c>
      <c r="N161" s="61">
        <f>IF('CO-PO Mapping'!$A$10="",0,G161)</f>
        <v>0</v>
      </c>
      <c r="O161" s="61">
        <f>IF('CO-PO Mapping'!$A$11="",0,H161)</f>
        <v>0</v>
      </c>
      <c r="P161" s="61">
        <f>IF('CO-PO Mapping'!$A$12="",0,I161)</f>
        <v>0</v>
      </c>
      <c r="Q161" s="61">
        <f t="shared" si="2"/>
        <v>0</v>
      </c>
      <c r="R161" s="61">
        <f t="shared" ref="R161:W161" si="312">K161</f>
        <v>0</v>
      </c>
      <c r="S161" s="61">
        <f t="shared" si="312"/>
        <v>0</v>
      </c>
      <c r="T161" s="61">
        <f t="shared" si="312"/>
        <v>0</v>
      </c>
      <c r="U161" s="61">
        <f t="shared" si="312"/>
        <v>0</v>
      </c>
      <c r="V161" s="61">
        <f t="shared" si="312"/>
        <v>0</v>
      </c>
      <c r="W161" s="61">
        <f t="shared" si="312"/>
        <v>0</v>
      </c>
      <c r="X161" s="61">
        <f t="shared" si="6"/>
        <v>0</v>
      </c>
    </row>
    <row r="162" spans="1:24" ht="15.75" customHeight="1">
      <c r="A162" s="62">
        <v>155</v>
      </c>
      <c r="B162" s="63" t="str">
        <f>IF('Students Details'!B161="","",'Students Details'!B161)</f>
        <v/>
      </c>
      <c r="C162" s="64" t="str">
        <f>IF('Students Details'!C161="","",'Students Details'!C161)</f>
        <v/>
      </c>
      <c r="D162" s="66"/>
      <c r="E162" s="66"/>
      <c r="F162" s="66"/>
      <c r="G162" s="66"/>
      <c r="H162" s="66"/>
      <c r="I162" s="66"/>
      <c r="J162" s="67">
        <f t="shared" si="0"/>
        <v>0</v>
      </c>
      <c r="K162" s="61">
        <f t="shared" ref="K162:M162" si="313">D162</f>
        <v>0</v>
      </c>
      <c r="L162" s="61">
        <f t="shared" si="313"/>
        <v>0</v>
      </c>
      <c r="M162" s="61">
        <f t="shared" si="313"/>
        <v>0</v>
      </c>
      <c r="N162" s="61">
        <f>IF('CO-PO Mapping'!$A$10="",0,G162)</f>
        <v>0</v>
      </c>
      <c r="O162" s="61">
        <f>IF('CO-PO Mapping'!$A$11="",0,H162)</f>
        <v>0</v>
      </c>
      <c r="P162" s="61">
        <f>IF('CO-PO Mapping'!$A$12="",0,I162)</f>
        <v>0</v>
      </c>
      <c r="Q162" s="61">
        <f t="shared" si="2"/>
        <v>0</v>
      </c>
      <c r="R162" s="61">
        <f t="shared" ref="R162:W162" si="314">K162</f>
        <v>0</v>
      </c>
      <c r="S162" s="61">
        <f t="shared" si="314"/>
        <v>0</v>
      </c>
      <c r="T162" s="61">
        <f t="shared" si="314"/>
        <v>0</v>
      </c>
      <c r="U162" s="61">
        <f t="shared" si="314"/>
        <v>0</v>
      </c>
      <c r="V162" s="61">
        <f t="shared" si="314"/>
        <v>0</v>
      </c>
      <c r="W162" s="61">
        <f t="shared" si="314"/>
        <v>0</v>
      </c>
      <c r="X162" s="61">
        <f t="shared" si="6"/>
        <v>0</v>
      </c>
    </row>
    <row r="163" spans="1:24" ht="15.75" customHeight="1">
      <c r="A163" s="62">
        <v>156</v>
      </c>
      <c r="B163" s="63" t="str">
        <f>IF('Students Details'!B162="","",'Students Details'!B162)</f>
        <v/>
      </c>
      <c r="C163" s="64" t="str">
        <f>IF('Students Details'!C162="","",'Students Details'!C162)</f>
        <v/>
      </c>
      <c r="D163" s="66"/>
      <c r="E163" s="66"/>
      <c r="F163" s="66"/>
      <c r="G163" s="66"/>
      <c r="H163" s="66"/>
      <c r="I163" s="66"/>
      <c r="J163" s="67">
        <f t="shared" si="0"/>
        <v>0</v>
      </c>
      <c r="K163" s="61">
        <f t="shared" ref="K163:M163" si="315">D163</f>
        <v>0</v>
      </c>
      <c r="L163" s="61">
        <f t="shared" si="315"/>
        <v>0</v>
      </c>
      <c r="M163" s="61">
        <f t="shared" si="315"/>
        <v>0</v>
      </c>
      <c r="N163" s="61">
        <f>IF('CO-PO Mapping'!$A$10="",0,G163)</f>
        <v>0</v>
      </c>
      <c r="O163" s="61">
        <f>IF('CO-PO Mapping'!$A$11="",0,H163)</f>
        <v>0</v>
      </c>
      <c r="P163" s="61">
        <f>IF('CO-PO Mapping'!$A$12="",0,I163)</f>
        <v>0</v>
      </c>
      <c r="Q163" s="61">
        <f t="shared" si="2"/>
        <v>0</v>
      </c>
      <c r="R163" s="61">
        <f t="shared" ref="R163:W163" si="316">K163</f>
        <v>0</v>
      </c>
      <c r="S163" s="61">
        <f t="shared" si="316"/>
        <v>0</v>
      </c>
      <c r="T163" s="61">
        <f t="shared" si="316"/>
        <v>0</v>
      </c>
      <c r="U163" s="61">
        <f t="shared" si="316"/>
        <v>0</v>
      </c>
      <c r="V163" s="61">
        <f t="shared" si="316"/>
        <v>0</v>
      </c>
      <c r="W163" s="61">
        <f t="shared" si="316"/>
        <v>0</v>
      </c>
      <c r="X163" s="61">
        <f t="shared" si="6"/>
        <v>0</v>
      </c>
    </row>
    <row r="164" spans="1:24" ht="15.75" customHeight="1">
      <c r="A164" s="62">
        <v>157</v>
      </c>
      <c r="B164" s="63" t="str">
        <f>IF('Students Details'!B163="","",'Students Details'!B163)</f>
        <v/>
      </c>
      <c r="C164" s="64" t="str">
        <f>IF('Students Details'!C163="","",'Students Details'!C163)</f>
        <v/>
      </c>
      <c r="D164" s="66"/>
      <c r="E164" s="66"/>
      <c r="F164" s="66"/>
      <c r="G164" s="66"/>
      <c r="H164" s="66"/>
      <c r="I164" s="66"/>
      <c r="J164" s="67">
        <f t="shared" si="0"/>
        <v>0</v>
      </c>
      <c r="K164" s="61">
        <f t="shared" ref="K164:M164" si="317">D164</f>
        <v>0</v>
      </c>
      <c r="L164" s="61">
        <f t="shared" si="317"/>
        <v>0</v>
      </c>
      <c r="M164" s="61">
        <f t="shared" si="317"/>
        <v>0</v>
      </c>
      <c r="N164" s="61">
        <f>IF('CO-PO Mapping'!$A$10="",0,G164)</f>
        <v>0</v>
      </c>
      <c r="O164" s="61">
        <f>IF('CO-PO Mapping'!$A$11="",0,H164)</f>
        <v>0</v>
      </c>
      <c r="P164" s="61">
        <f>IF('CO-PO Mapping'!$A$12="",0,I164)</f>
        <v>0</v>
      </c>
      <c r="Q164" s="61">
        <f t="shared" si="2"/>
        <v>0</v>
      </c>
      <c r="R164" s="61">
        <f t="shared" ref="R164:W164" si="318">K164</f>
        <v>0</v>
      </c>
      <c r="S164" s="61">
        <f t="shared" si="318"/>
        <v>0</v>
      </c>
      <c r="T164" s="61">
        <f t="shared" si="318"/>
        <v>0</v>
      </c>
      <c r="U164" s="61">
        <f t="shared" si="318"/>
        <v>0</v>
      </c>
      <c r="V164" s="61">
        <f t="shared" si="318"/>
        <v>0</v>
      </c>
      <c r="W164" s="61">
        <f t="shared" si="318"/>
        <v>0</v>
      </c>
      <c r="X164" s="61">
        <f t="shared" si="6"/>
        <v>0</v>
      </c>
    </row>
    <row r="165" spans="1:24" ht="15.75" customHeight="1">
      <c r="A165" s="62">
        <v>158</v>
      </c>
      <c r="B165" s="63" t="str">
        <f>IF('Students Details'!B164="","",'Students Details'!B164)</f>
        <v/>
      </c>
      <c r="C165" s="64" t="str">
        <f>IF('Students Details'!C164="","",'Students Details'!C164)</f>
        <v/>
      </c>
      <c r="D165" s="66"/>
      <c r="E165" s="66"/>
      <c r="F165" s="66"/>
      <c r="G165" s="66"/>
      <c r="H165" s="66"/>
      <c r="I165" s="66"/>
      <c r="J165" s="67">
        <f t="shared" si="0"/>
        <v>0</v>
      </c>
      <c r="K165" s="61">
        <f t="shared" ref="K165:M165" si="319">D165</f>
        <v>0</v>
      </c>
      <c r="L165" s="61">
        <f t="shared" si="319"/>
        <v>0</v>
      </c>
      <c r="M165" s="61">
        <f t="shared" si="319"/>
        <v>0</v>
      </c>
      <c r="N165" s="61">
        <f>IF('CO-PO Mapping'!$A$10="",0,G165)</f>
        <v>0</v>
      </c>
      <c r="O165" s="61">
        <f>IF('CO-PO Mapping'!$A$11="",0,H165)</f>
        <v>0</v>
      </c>
      <c r="P165" s="61">
        <f>IF('CO-PO Mapping'!$A$12="",0,I165)</f>
        <v>0</v>
      </c>
      <c r="Q165" s="61">
        <f t="shared" si="2"/>
        <v>0</v>
      </c>
      <c r="R165" s="61">
        <f t="shared" ref="R165:W165" si="320">K165</f>
        <v>0</v>
      </c>
      <c r="S165" s="61">
        <f t="shared" si="320"/>
        <v>0</v>
      </c>
      <c r="T165" s="61">
        <f t="shared" si="320"/>
        <v>0</v>
      </c>
      <c r="U165" s="61">
        <f t="shared" si="320"/>
        <v>0</v>
      </c>
      <c r="V165" s="61">
        <f t="shared" si="320"/>
        <v>0</v>
      </c>
      <c r="W165" s="61">
        <f t="shared" si="320"/>
        <v>0</v>
      </c>
      <c r="X165" s="61">
        <f t="shared" si="6"/>
        <v>0</v>
      </c>
    </row>
    <row r="166" spans="1:24" ht="15.75" customHeight="1">
      <c r="A166" s="62">
        <v>159</v>
      </c>
      <c r="B166" s="63" t="str">
        <f>IF('Students Details'!B165="","",'Students Details'!B165)</f>
        <v/>
      </c>
      <c r="C166" s="64" t="str">
        <f>IF('Students Details'!C165="","",'Students Details'!C165)</f>
        <v/>
      </c>
      <c r="D166" s="66"/>
      <c r="E166" s="66"/>
      <c r="F166" s="66"/>
      <c r="G166" s="66"/>
      <c r="H166" s="66"/>
      <c r="I166" s="66"/>
      <c r="J166" s="67">
        <f t="shared" si="0"/>
        <v>0</v>
      </c>
      <c r="K166" s="61">
        <f t="shared" ref="K166:M166" si="321">D166</f>
        <v>0</v>
      </c>
      <c r="L166" s="61">
        <f t="shared" si="321"/>
        <v>0</v>
      </c>
      <c r="M166" s="61">
        <f t="shared" si="321"/>
        <v>0</v>
      </c>
      <c r="N166" s="61">
        <f>IF('CO-PO Mapping'!$A$10="",0,G166)</f>
        <v>0</v>
      </c>
      <c r="O166" s="61">
        <f>IF('CO-PO Mapping'!$A$11="",0,H166)</f>
        <v>0</v>
      </c>
      <c r="P166" s="61">
        <f>IF('CO-PO Mapping'!$A$12="",0,I166)</f>
        <v>0</v>
      </c>
      <c r="Q166" s="61">
        <f t="shared" si="2"/>
        <v>0</v>
      </c>
      <c r="R166" s="61">
        <f t="shared" ref="R166:W166" si="322">K166</f>
        <v>0</v>
      </c>
      <c r="S166" s="61">
        <f t="shared" si="322"/>
        <v>0</v>
      </c>
      <c r="T166" s="61">
        <f t="shared" si="322"/>
        <v>0</v>
      </c>
      <c r="U166" s="61">
        <f t="shared" si="322"/>
        <v>0</v>
      </c>
      <c r="V166" s="61">
        <f t="shared" si="322"/>
        <v>0</v>
      </c>
      <c r="W166" s="61">
        <f t="shared" si="322"/>
        <v>0</v>
      </c>
      <c r="X166" s="61">
        <f t="shared" si="6"/>
        <v>0</v>
      </c>
    </row>
    <row r="167" spans="1:24" ht="15.75" customHeight="1">
      <c r="A167" s="62">
        <v>160</v>
      </c>
      <c r="B167" s="63" t="str">
        <f>IF('Students Details'!B166="","",'Students Details'!B166)</f>
        <v/>
      </c>
      <c r="C167" s="64" t="str">
        <f>IF('Students Details'!C166="","",'Students Details'!C166)</f>
        <v/>
      </c>
      <c r="D167" s="66"/>
      <c r="E167" s="66"/>
      <c r="F167" s="66"/>
      <c r="G167" s="66"/>
      <c r="H167" s="66"/>
      <c r="I167" s="66"/>
      <c r="J167" s="67">
        <f t="shared" si="0"/>
        <v>0</v>
      </c>
      <c r="K167" s="61">
        <f t="shared" ref="K167:M167" si="323">D167</f>
        <v>0</v>
      </c>
      <c r="L167" s="61">
        <f t="shared" si="323"/>
        <v>0</v>
      </c>
      <c r="M167" s="61">
        <f t="shared" si="323"/>
        <v>0</v>
      </c>
      <c r="N167" s="61">
        <f>IF('CO-PO Mapping'!$A$10="",0,G167)</f>
        <v>0</v>
      </c>
      <c r="O167" s="61">
        <f>IF('CO-PO Mapping'!$A$11="",0,H167)</f>
        <v>0</v>
      </c>
      <c r="P167" s="61">
        <f>IF('CO-PO Mapping'!$A$12="",0,I167)</f>
        <v>0</v>
      </c>
      <c r="Q167" s="61">
        <f t="shared" si="2"/>
        <v>0</v>
      </c>
      <c r="R167" s="61">
        <f t="shared" ref="R167:W167" si="324">K167</f>
        <v>0</v>
      </c>
      <c r="S167" s="61">
        <f t="shared" si="324"/>
        <v>0</v>
      </c>
      <c r="T167" s="61">
        <f t="shared" si="324"/>
        <v>0</v>
      </c>
      <c r="U167" s="61">
        <f t="shared" si="324"/>
        <v>0</v>
      </c>
      <c r="V167" s="61">
        <f t="shared" si="324"/>
        <v>0</v>
      </c>
      <c r="W167" s="61">
        <f t="shared" si="324"/>
        <v>0</v>
      </c>
      <c r="X167" s="61">
        <f t="shared" si="6"/>
        <v>0</v>
      </c>
    </row>
    <row r="168" spans="1:24" ht="15.75" customHeight="1">
      <c r="A168" s="62">
        <v>161</v>
      </c>
      <c r="B168" s="63" t="str">
        <f>IF('Students Details'!B167="","",'Students Details'!B167)</f>
        <v/>
      </c>
      <c r="C168" s="64" t="str">
        <f>IF('Students Details'!C167="","",'Students Details'!C167)</f>
        <v/>
      </c>
      <c r="D168" s="66"/>
      <c r="E168" s="66"/>
      <c r="F168" s="66"/>
      <c r="G168" s="66"/>
      <c r="H168" s="66"/>
      <c r="I168" s="66"/>
      <c r="J168" s="67">
        <f t="shared" si="0"/>
        <v>0</v>
      </c>
      <c r="K168" s="61">
        <f t="shared" ref="K168:M168" si="325">D168</f>
        <v>0</v>
      </c>
      <c r="L168" s="61">
        <f t="shared" si="325"/>
        <v>0</v>
      </c>
      <c r="M168" s="61">
        <f t="shared" si="325"/>
        <v>0</v>
      </c>
      <c r="N168" s="61">
        <f>IF('CO-PO Mapping'!$A$10="",0,G168)</f>
        <v>0</v>
      </c>
      <c r="O168" s="61">
        <f>IF('CO-PO Mapping'!$A$11="",0,H168)</f>
        <v>0</v>
      </c>
      <c r="P168" s="61">
        <f>IF('CO-PO Mapping'!$A$12="",0,I168)</f>
        <v>0</v>
      </c>
      <c r="Q168" s="61">
        <f t="shared" si="2"/>
        <v>0</v>
      </c>
      <c r="R168" s="61">
        <f t="shared" ref="R168:W168" si="326">K168</f>
        <v>0</v>
      </c>
      <c r="S168" s="61">
        <f t="shared" si="326"/>
        <v>0</v>
      </c>
      <c r="T168" s="61">
        <f t="shared" si="326"/>
        <v>0</v>
      </c>
      <c r="U168" s="61">
        <f t="shared" si="326"/>
        <v>0</v>
      </c>
      <c r="V168" s="61">
        <f t="shared" si="326"/>
        <v>0</v>
      </c>
      <c r="W168" s="61">
        <f t="shared" si="326"/>
        <v>0</v>
      </c>
      <c r="X168" s="61">
        <f t="shared" si="6"/>
        <v>0</v>
      </c>
    </row>
    <row r="169" spans="1:24" ht="15.75" customHeight="1">
      <c r="A169" s="62">
        <v>162</v>
      </c>
      <c r="B169" s="63" t="str">
        <f>IF('Students Details'!B168="","",'Students Details'!B168)</f>
        <v/>
      </c>
      <c r="C169" s="64" t="str">
        <f>IF('Students Details'!C168="","",'Students Details'!C168)</f>
        <v/>
      </c>
      <c r="D169" s="66"/>
      <c r="E169" s="66"/>
      <c r="F169" s="66"/>
      <c r="G169" s="66"/>
      <c r="H169" s="66"/>
      <c r="I169" s="66"/>
      <c r="J169" s="67">
        <f t="shared" si="0"/>
        <v>0</v>
      </c>
      <c r="K169" s="61">
        <f t="shared" ref="K169:M169" si="327">D169</f>
        <v>0</v>
      </c>
      <c r="L169" s="61">
        <f t="shared" si="327"/>
        <v>0</v>
      </c>
      <c r="M169" s="61">
        <f t="shared" si="327"/>
        <v>0</v>
      </c>
      <c r="N169" s="61">
        <f>IF('CO-PO Mapping'!$A$10="",0,G169)</f>
        <v>0</v>
      </c>
      <c r="O169" s="61">
        <f>IF('CO-PO Mapping'!$A$11="",0,H169)</f>
        <v>0</v>
      </c>
      <c r="P169" s="61">
        <f>IF('CO-PO Mapping'!$A$12="",0,I169)</f>
        <v>0</v>
      </c>
      <c r="Q169" s="61">
        <f t="shared" si="2"/>
        <v>0</v>
      </c>
      <c r="R169" s="61">
        <f t="shared" ref="R169:W169" si="328">K169</f>
        <v>0</v>
      </c>
      <c r="S169" s="61">
        <f t="shared" si="328"/>
        <v>0</v>
      </c>
      <c r="T169" s="61">
        <f t="shared" si="328"/>
        <v>0</v>
      </c>
      <c r="U169" s="61">
        <f t="shared" si="328"/>
        <v>0</v>
      </c>
      <c r="V169" s="61">
        <f t="shared" si="328"/>
        <v>0</v>
      </c>
      <c r="W169" s="61">
        <f t="shared" si="328"/>
        <v>0</v>
      </c>
      <c r="X169" s="61">
        <f t="shared" si="6"/>
        <v>0</v>
      </c>
    </row>
    <row r="170" spans="1:24" ht="15.75" customHeight="1">
      <c r="A170" s="62">
        <v>163</v>
      </c>
      <c r="B170" s="63" t="str">
        <f>IF('Students Details'!B169="","",'Students Details'!B169)</f>
        <v/>
      </c>
      <c r="C170" s="64" t="str">
        <f>IF('Students Details'!C169="","",'Students Details'!C169)</f>
        <v/>
      </c>
      <c r="D170" s="66"/>
      <c r="E170" s="66"/>
      <c r="F170" s="66"/>
      <c r="G170" s="66"/>
      <c r="H170" s="66"/>
      <c r="I170" s="66"/>
      <c r="J170" s="67">
        <f t="shared" si="0"/>
        <v>0</v>
      </c>
      <c r="K170" s="61">
        <f t="shared" ref="K170:M170" si="329">D170</f>
        <v>0</v>
      </c>
      <c r="L170" s="61">
        <f t="shared" si="329"/>
        <v>0</v>
      </c>
      <c r="M170" s="61">
        <f t="shared" si="329"/>
        <v>0</v>
      </c>
      <c r="N170" s="61">
        <f>IF('CO-PO Mapping'!$A$10="",0,G170)</f>
        <v>0</v>
      </c>
      <c r="O170" s="61">
        <f>IF('CO-PO Mapping'!$A$11="",0,H170)</f>
        <v>0</v>
      </c>
      <c r="P170" s="61">
        <f>IF('CO-PO Mapping'!$A$12="",0,I170)</f>
        <v>0</v>
      </c>
      <c r="Q170" s="61">
        <f t="shared" si="2"/>
        <v>0</v>
      </c>
      <c r="R170" s="61">
        <f t="shared" ref="R170:W170" si="330">K170</f>
        <v>0</v>
      </c>
      <c r="S170" s="61">
        <f t="shared" si="330"/>
        <v>0</v>
      </c>
      <c r="T170" s="61">
        <f t="shared" si="330"/>
        <v>0</v>
      </c>
      <c r="U170" s="61">
        <f t="shared" si="330"/>
        <v>0</v>
      </c>
      <c r="V170" s="61">
        <f t="shared" si="330"/>
        <v>0</v>
      </c>
      <c r="W170" s="61">
        <f t="shared" si="330"/>
        <v>0</v>
      </c>
      <c r="X170" s="61">
        <f t="shared" si="6"/>
        <v>0</v>
      </c>
    </row>
    <row r="171" spans="1:24" ht="15.75" customHeight="1">
      <c r="A171" s="62">
        <v>164</v>
      </c>
      <c r="B171" s="63" t="str">
        <f>IF('Students Details'!B170="","",'Students Details'!B170)</f>
        <v/>
      </c>
      <c r="C171" s="64" t="str">
        <f>IF('Students Details'!C170="","",'Students Details'!C170)</f>
        <v/>
      </c>
      <c r="D171" s="66"/>
      <c r="E171" s="66"/>
      <c r="F171" s="66"/>
      <c r="G171" s="66"/>
      <c r="H171" s="66"/>
      <c r="I171" s="66"/>
      <c r="J171" s="67">
        <f t="shared" si="0"/>
        <v>0</v>
      </c>
      <c r="K171" s="61">
        <f t="shared" ref="K171:M171" si="331">D171</f>
        <v>0</v>
      </c>
      <c r="L171" s="61">
        <f t="shared" si="331"/>
        <v>0</v>
      </c>
      <c r="M171" s="61">
        <f t="shared" si="331"/>
        <v>0</v>
      </c>
      <c r="N171" s="61">
        <f>IF('CO-PO Mapping'!$A$10="",0,G171)</f>
        <v>0</v>
      </c>
      <c r="O171" s="61">
        <f>IF('CO-PO Mapping'!$A$11="",0,H171)</f>
        <v>0</v>
      </c>
      <c r="P171" s="61">
        <f>IF('CO-PO Mapping'!$A$12="",0,I171)</f>
        <v>0</v>
      </c>
      <c r="Q171" s="61">
        <f t="shared" si="2"/>
        <v>0</v>
      </c>
      <c r="R171" s="61">
        <f t="shared" ref="R171:W171" si="332">K171</f>
        <v>0</v>
      </c>
      <c r="S171" s="61">
        <f t="shared" si="332"/>
        <v>0</v>
      </c>
      <c r="T171" s="61">
        <f t="shared" si="332"/>
        <v>0</v>
      </c>
      <c r="U171" s="61">
        <f t="shared" si="332"/>
        <v>0</v>
      </c>
      <c r="V171" s="61">
        <f t="shared" si="332"/>
        <v>0</v>
      </c>
      <c r="W171" s="61">
        <f t="shared" si="332"/>
        <v>0</v>
      </c>
      <c r="X171" s="61">
        <f t="shared" si="6"/>
        <v>0</v>
      </c>
    </row>
    <row r="172" spans="1:24" ht="15.75" customHeight="1">
      <c r="A172" s="62">
        <v>165</v>
      </c>
      <c r="B172" s="63" t="str">
        <f>IF('Students Details'!B171="","",'Students Details'!B171)</f>
        <v/>
      </c>
      <c r="C172" s="64" t="str">
        <f>IF('Students Details'!C171="","",'Students Details'!C171)</f>
        <v/>
      </c>
      <c r="D172" s="66"/>
      <c r="E172" s="66"/>
      <c r="F172" s="66"/>
      <c r="G172" s="66"/>
      <c r="H172" s="66"/>
      <c r="I172" s="66"/>
      <c r="J172" s="67">
        <f t="shared" si="0"/>
        <v>0</v>
      </c>
      <c r="K172" s="61">
        <f t="shared" ref="K172:M172" si="333">D172</f>
        <v>0</v>
      </c>
      <c r="L172" s="61">
        <f t="shared" si="333"/>
        <v>0</v>
      </c>
      <c r="M172" s="61">
        <f t="shared" si="333"/>
        <v>0</v>
      </c>
      <c r="N172" s="61">
        <f>IF('CO-PO Mapping'!$A$10="",0,G172)</f>
        <v>0</v>
      </c>
      <c r="O172" s="61">
        <f>IF('CO-PO Mapping'!$A$11="",0,H172)</f>
        <v>0</v>
      </c>
      <c r="P172" s="61">
        <f>IF('CO-PO Mapping'!$A$12="",0,I172)</f>
        <v>0</v>
      </c>
      <c r="Q172" s="61">
        <f t="shared" si="2"/>
        <v>0</v>
      </c>
      <c r="R172" s="61">
        <f t="shared" ref="R172:W172" si="334">K172</f>
        <v>0</v>
      </c>
      <c r="S172" s="61">
        <f t="shared" si="334"/>
        <v>0</v>
      </c>
      <c r="T172" s="61">
        <f t="shared" si="334"/>
        <v>0</v>
      </c>
      <c r="U172" s="61">
        <f t="shared" si="334"/>
        <v>0</v>
      </c>
      <c r="V172" s="61">
        <f t="shared" si="334"/>
        <v>0</v>
      </c>
      <c r="W172" s="61">
        <f t="shared" si="334"/>
        <v>0</v>
      </c>
      <c r="X172" s="61">
        <f t="shared" si="6"/>
        <v>0</v>
      </c>
    </row>
    <row r="173" spans="1:24" ht="15.75" customHeight="1">
      <c r="A173" s="62">
        <v>166</v>
      </c>
      <c r="B173" s="63" t="str">
        <f>IF('Students Details'!B172="","",'Students Details'!B172)</f>
        <v/>
      </c>
      <c r="C173" s="64" t="str">
        <f>IF('Students Details'!C172="","",'Students Details'!C172)</f>
        <v/>
      </c>
      <c r="D173" s="66"/>
      <c r="E173" s="66"/>
      <c r="F173" s="66"/>
      <c r="G173" s="66"/>
      <c r="H173" s="66"/>
      <c r="I173" s="66"/>
      <c r="J173" s="67">
        <f t="shared" si="0"/>
        <v>0</v>
      </c>
      <c r="K173" s="61">
        <f t="shared" ref="K173:M173" si="335">D173</f>
        <v>0</v>
      </c>
      <c r="L173" s="61">
        <f t="shared" si="335"/>
        <v>0</v>
      </c>
      <c r="M173" s="61">
        <f t="shared" si="335"/>
        <v>0</v>
      </c>
      <c r="N173" s="61">
        <f>IF('CO-PO Mapping'!$A$10="",0,G173)</f>
        <v>0</v>
      </c>
      <c r="O173" s="61">
        <f>IF('CO-PO Mapping'!$A$11="",0,H173)</f>
        <v>0</v>
      </c>
      <c r="P173" s="61">
        <f>IF('CO-PO Mapping'!$A$12="",0,I173)</f>
        <v>0</v>
      </c>
      <c r="Q173" s="61">
        <f t="shared" si="2"/>
        <v>0</v>
      </c>
      <c r="R173" s="61">
        <f t="shared" ref="R173:W173" si="336">K173</f>
        <v>0</v>
      </c>
      <c r="S173" s="61">
        <f t="shared" si="336"/>
        <v>0</v>
      </c>
      <c r="T173" s="61">
        <f t="shared" si="336"/>
        <v>0</v>
      </c>
      <c r="U173" s="61">
        <f t="shared" si="336"/>
        <v>0</v>
      </c>
      <c r="V173" s="61">
        <f t="shared" si="336"/>
        <v>0</v>
      </c>
      <c r="W173" s="61">
        <f t="shared" si="336"/>
        <v>0</v>
      </c>
      <c r="X173" s="61">
        <f t="shared" si="6"/>
        <v>0</v>
      </c>
    </row>
    <row r="174" spans="1:24" ht="15.75" customHeight="1">
      <c r="A174" s="62">
        <v>167</v>
      </c>
      <c r="B174" s="63" t="str">
        <f>IF('Students Details'!B173="","",'Students Details'!B173)</f>
        <v/>
      </c>
      <c r="C174" s="64" t="str">
        <f>IF('Students Details'!C173="","",'Students Details'!C173)</f>
        <v/>
      </c>
      <c r="D174" s="66"/>
      <c r="E174" s="66"/>
      <c r="F174" s="66"/>
      <c r="G174" s="66"/>
      <c r="H174" s="66"/>
      <c r="I174" s="66"/>
      <c r="J174" s="67">
        <f t="shared" si="0"/>
        <v>0</v>
      </c>
      <c r="K174" s="61">
        <f t="shared" ref="K174:M174" si="337">D174</f>
        <v>0</v>
      </c>
      <c r="L174" s="61">
        <f t="shared" si="337"/>
        <v>0</v>
      </c>
      <c r="M174" s="61">
        <f t="shared" si="337"/>
        <v>0</v>
      </c>
      <c r="N174" s="61">
        <f>IF('CO-PO Mapping'!$A$10="",0,G174)</f>
        <v>0</v>
      </c>
      <c r="O174" s="61">
        <f>IF('CO-PO Mapping'!$A$11="",0,H174)</f>
        <v>0</v>
      </c>
      <c r="P174" s="61">
        <f>IF('CO-PO Mapping'!$A$12="",0,I174)</f>
        <v>0</v>
      </c>
      <c r="Q174" s="61">
        <f t="shared" si="2"/>
        <v>0</v>
      </c>
      <c r="R174" s="61">
        <f t="shared" ref="R174:W174" si="338">K174</f>
        <v>0</v>
      </c>
      <c r="S174" s="61">
        <f t="shared" si="338"/>
        <v>0</v>
      </c>
      <c r="T174" s="61">
        <f t="shared" si="338"/>
        <v>0</v>
      </c>
      <c r="U174" s="61">
        <f t="shared" si="338"/>
        <v>0</v>
      </c>
      <c r="V174" s="61">
        <f t="shared" si="338"/>
        <v>0</v>
      </c>
      <c r="W174" s="61">
        <f t="shared" si="338"/>
        <v>0</v>
      </c>
      <c r="X174" s="61">
        <f t="shared" si="6"/>
        <v>0</v>
      </c>
    </row>
    <row r="175" spans="1:24" ht="15.75" customHeight="1">
      <c r="A175" s="62">
        <v>168</v>
      </c>
      <c r="B175" s="63" t="str">
        <f>IF('Students Details'!B174="","",'Students Details'!B174)</f>
        <v/>
      </c>
      <c r="C175" s="64" t="str">
        <f>IF('Students Details'!C174="","",'Students Details'!C174)</f>
        <v/>
      </c>
      <c r="D175" s="66"/>
      <c r="E175" s="66"/>
      <c r="F175" s="66"/>
      <c r="G175" s="66"/>
      <c r="H175" s="66"/>
      <c r="I175" s="66"/>
      <c r="J175" s="67">
        <f t="shared" si="0"/>
        <v>0</v>
      </c>
      <c r="K175" s="61">
        <f t="shared" ref="K175:M175" si="339">D175</f>
        <v>0</v>
      </c>
      <c r="L175" s="61">
        <f t="shared" si="339"/>
        <v>0</v>
      </c>
      <c r="M175" s="61">
        <f t="shared" si="339"/>
        <v>0</v>
      </c>
      <c r="N175" s="61">
        <f>IF('CO-PO Mapping'!$A$10="",0,G175)</f>
        <v>0</v>
      </c>
      <c r="O175" s="61">
        <f>IF('CO-PO Mapping'!$A$11="",0,H175)</f>
        <v>0</v>
      </c>
      <c r="P175" s="61">
        <f>IF('CO-PO Mapping'!$A$12="",0,I175)</f>
        <v>0</v>
      </c>
      <c r="Q175" s="61">
        <f t="shared" si="2"/>
        <v>0</v>
      </c>
      <c r="R175" s="61">
        <f t="shared" ref="R175:W175" si="340">K175</f>
        <v>0</v>
      </c>
      <c r="S175" s="61">
        <f t="shared" si="340"/>
        <v>0</v>
      </c>
      <c r="T175" s="61">
        <f t="shared" si="340"/>
        <v>0</v>
      </c>
      <c r="U175" s="61">
        <f t="shared" si="340"/>
        <v>0</v>
      </c>
      <c r="V175" s="61">
        <f t="shared" si="340"/>
        <v>0</v>
      </c>
      <c r="W175" s="61">
        <f t="shared" si="340"/>
        <v>0</v>
      </c>
      <c r="X175" s="61">
        <f t="shared" si="6"/>
        <v>0</v>
      </c>
    </row>
    <row r="176" spans="1:24" ht="15.75" customHeight="1">
      <c r="A176" s="62">
        <v>169</v>
      </c>
      <c r="B176" s="63" t="str">
        <f>IF('Students Details'!B175="","",'Students Details'!B175)</f>
        <v/>
      </c>
      <c r="C176" s="64" t="str">
        <f>IF('Students Details'!C175="","",'Students Details'!C175)</f>
        <v/>
      </c>
      <c r="D176" s="66"/>
      <c r="E176" s="66"/>
      <c r="F176" s="66"/>
      <c r="G176" s="66"/>
      <c r="H176" s="66"/>
      <c r="I176" s="66"/>
      <c r="J176" s="67">
        <f t="shared" si="0"/>
        <v>0</v>
      </c>
      <c r="K176" s="61">
        <f t="shared" ref="K176:M176" si="341">D176</f>
        <v>0</v>
      </c>
      <c r="L176" s="61">
        <f t="shared" si="341"/>
        <v>0</v>
      </c>
      <c r="M176" s="61">
        <f t="shared" si="341"/>
        <v>0</v>
      </c>
      <c r="N176" s="61">
        <f>IF('CO-PO Mapping'!$A$10="",0,G176)</f>
        <v>0</v>
      </c>
      <c r="O176" s="61">
        <f>IF('CO-PO Mapping'!$A$11="",0,H176)</f>
        <v>0</v>
      </c>
      <c r="P176" s="61">
        <f>IF('CO-PO Mapping'!$A$12="",0,I176)</f>
        <v>0</v>
      </c>
      <c r="Q176" s="61">
        <f t="shared" si="2"/>
        <v>0</v>
      </c>
      <c r="R176" s="61">
        <f t="shared" ref="R176:W176" si="342">K176</f>
        <v>0</v>
      </c>
      <c r="S176" s="61">
        <f t="shared" si="342"/>
        <v>0</v>
      </c>
      <c r="T176" s="61">
        <f t="shared" si="342"/>
        <v>0</v>
      </c>
      <c r="U176" s="61">
        <f t="shared" si="342"/>
        <v>0</v>
      </c>
      <c r="V176" s="61">
        <f t="shared" si="342"/>
        <v>0</v>
      </c>
      <c r="W176" s="61">
        <f t="shared" si="342"/>
        <v>0</v>
      </c>
      <c r="X176" s="61">
        <f t="shared" si="6"/>
        <v>0</v>
      </c>
    </row>
    <row r="177" spans="1:24" ht="15.75" customHeight="1">
      <c r="A177" s="62">
        <v>170</v>
      </c>
      <c r="B177" s="63" t="str">
        <f>IF('Students Details'!B176="","",'Students Details'!B176)</f>
        <v/>
      </c>
      <c r="C177" s="64" t="str">
        <f>IF('Students Details'!C176="","",'Students Details'!C176)</f>
        <v/>
      </c>
      <c r="D177" s="66"/>
      <c r="E177" s="66"/>
      <c r="F177" s="66"/>
      <c r="G177" s="66"/>
      <c r="H177" s="66"/>
      <c r="I177" s="66"/>
      <c r="J177" s="67">
        <f t="shared" si="0"/>
        <v>0</v>
      </c>
      <c r="K177" s="61">
        <f t="shared" ref="K177:M177" si="343">D177</f>
        <v>0</v>
      </c>
      <c r="L177" s="61">
        <f t="shared" si="343"/>
        <v>0</v>
      </c>
      <c r="M177" s="61">
        <f t="shared" si="343"/>
        <v>0</v>
      </c>
      <c r="N177" s="61">
        <f>IF('CO-PO Mapping'!$A$10="",0,G177)</f>
        <v>0</v>
      </c>
      <c r="O177" s="61">
        <f>IF('CO-PO Mapping'!$A$11="",0,H177)</f>
        <v>0</v>
      </c>
      <c r="P177" s="61">
        <f>IF('CO-PO Mapping'!$A$12="",0,I177)</f>
        <v>0</v>
      </c>
      <c r="Q177" s="61">
        <f t="shared" si="2"/>
        <v>0</v>
      </c>
      <c r="R177" s="61">
        <f t="shared" ref="R177:W177" si="344">K177</f>
        <v>0</v>
      </c>
      <c r="S177" s="61">
        <f t="shared" si="344"/>
        <v>0</v>
      </c>
      <c r="T177" s="61">
        <f t="shared" si="344"/>
        <v>0</v>
      </c>
      <c r="U177" s="61">
        <f t="shared" si="344"/>
        <v>0</v>
      </c>
      <c r="V177" s="61">
        <f t="shared" si="344"/>
        <v>0</v>
      </c>
      <c r="W177" s="61">
        <f t="shared" si="344"/>
        <v>0</v>
      </c>
      <c r="X177" s="61">
        <f t="shared" si="6"/>
        <v>0</v>
      </c>
    </row>
    <row r="178" spans="1:24" ht="15.75" customHeight="1">
      <c r="A178" s="62">
        <v>171</v>
      </c>
      <c r="B178" s="63" t="str">
        <f>IF('Students Details'!B177="","",'Students Details'!B177)</f>
        <v/>
      </c>
      <c r="C178" s="64" t="str">
        <f>IF('Students Details'!C177="","",'Students Details'!C177)</f>
        <v/>
      </c>
      <c r="D178" s="66"/>
      <c r="E178" s="66"/>
      <c r="F178" s="66"/>
      <c r="G178" s="66"/>
      <c r="H178" s="66"/>
      <c r="I178" s="66"/>
      <c r="J178" s="67">
        <f t="shared" si="0"/>
        <v>0</v>
      </c>
      <c r="K178" s="61">
        <f t="shared" ref="K178:M178" si="345">D178</f>
        <v>0</v>
      </c>
      <c r="L178" s="61">
        <f t="shared" si="345"/>
        <v>0</v>
      </c>
      <c r="M178" s="61">
        <f t="shared" si="345"/>
        <v>0</v>
      </c>
      <c r="N178" s="61">
        <f>IF('CO-PO Mapping'!$A$10="",0,G178)</f>
        <v>0</v>
      </c>
      <c r="O178" s="61">
        <f>IF('CO-PO Mapping'!$A$11="",0,H178)</f>
        <v>0</v>
      </c>
      <c r="P178" s="61">
        <f>IF('CO-PO Mapping'!$A$12="",0,I178)</f>
        <v>0</v>
      </c>
      <c r="Q178" s="61">
        <f t="shared" si="2"/>
        <v>0</v>
      </c>
      <c r="R178" s="61">
        <f t="shared" ref="R178:W178" si="346">K178</f>
        <v>0</v>
      </c>
      <c r="S178" s="61">
        <f t="shared" si="346"/>
        <v>0</v>
      </c>
      <c r="T178" s="61">
        <f t="shared" si="346"/>
        <v>0</v>
      </c>
      <c r="U178" s="61">
        <f t="shared" si="346"/>
        <v>0</v>
      </c>
      <c r="V178" s="61">
        <f t="shared" si="346"/>
        <v>0</v>
      </c>
      <c r="W178" s="61">
        <f t="shared" si="346"/>
        <v>0</v>
      </c>
      <c r="X178" s="61">
        <f t="shared" si="6"/>
        <v>0</v>
      </c>
    </row>
    <row r="179" spans="1:24" ht="15.75" customHeight="1">
      <c r="A179" s="62">
        <v>172</v>
      </c>
      <c r="B179" s="63" t="str">
        <f>IF('Students Details'!B178="","",'Students Details'!B178)</f>
        <v/>
      </c>
      <c r="C179" s="64" t="str">
        <f>IF('Students Details'!C178="","",'Students Details'!C178)</f>
        <v/>
      </c>
      <c r="D179" s="66"/>
      <c r="E179" s="66"/>
      <c r="F179" s="66"/>
      <c r="G179" s="66"/>
      <c r="H179" s="66"/>
      <c r="I179" s="66"/>
      <c r="J179" s="67">
        <f t="shared" si="0"/>
        <v>0</v>
      </c>
      <c r="K179" s="61">
        <f t="shared" ref="K179:M179" si="347">D179</f>
        <v>0</v>
      </c>
      <c r="L179" s="61">
        <f t="shared" si="347"/>
        <v>0</v>
      </c>
      <c r="M179" s="61">
        <f t="shared" si="347"/>
        <v>0</v>
      </c>
      <c r="N179" s="61">
        <f>IF('CO-PO Mapping'!$A$10="",0,G179)</f>
        <v>0</v>
      </c>
      <c r="O179" s="61">
        <f>IF('CO-PO Mapping'!$A$11="",0,H179)</f>
        <v>0</v>
      </c>
      <c r="P179" s="61">
        <f>IF('CO-PO Mapping'!$A$12="",0,I179)</f>
        <v>0</v>
      </c>
      <c r="Q179" s="61">
        <f t="shared" si="2"/>
        <v>0</v>
      </c>
      <c r="R179" s="61">
        <f t="shared" ref="R179:W179" si="348">K179</f>
        <v>0</v>
      </c>
      <c r="S179" s="61">
        <f t="shared" si="348"/>
        <v>0</v>
      </c>
      <c r="T179" s="61">
        <f t="shared" si="348"/>
        <v>0</v>
      </c>
      <c r="U179" s="61">
        <f t="shared" si="348"/>
        <v>0</v>
      </c>
      <c r="V179" s="61">
        <f t="shared" si="348"/>
        <v>0</v>
      </c>
      <c r="W179" s="61">
        <f t="shared" si="348"/>
        <v>0</v>
      </c>
      <c r="X179" s="61">
        <f t="shared" si="6"/>
        <v>0</v>
      </c>
    </row>
    <row r="180" spans="1:24" ht="15.75" customHeight="1">
      <c r="A180" s="62">
        <v>173</v>
      </c>
      <c r="B180" s="63" t="str">
        <f>IF('Students Details'!B179="","",'Students Details'!B179)</f>
        <v/>
      </c>
      <c r="C180" s="64" t="str">
        <f>IF('Students Details'!C179="","",'Students Details'!C179)</f>
        <v/>
      </c>
      <c r="D180" s="66"/>
      <c r="E180" s="66"/>
      <c r="F180" s="66"/>
      <c r="G180" s="66"/>
      <c r="H180" s="66"/>
      <c r="I180" s="66"/>
      <c r="J180" s="67">
        <f t="shared" si="0"/>
        <v>0</v>
      </c>
      <c r="K180" s="61">
        <f t="shared" ref="K180:M180" si="349">D180</f>
        <v>0</v>
      </c>
      <c r="L180" s="61">
        <f t="shared" si="349"/>
        <v>0</v>
      </c>
      <c r="M180" s="61">
        <f t="shared" si="349"/>
        <v>0</v>
      </c>
      <c r="N180" s="61">
        <f>IF('CO-PO Mapping'!$A$10="",0,G180)</f>
        <v>0</v>
      </c>
      <c r="O180" s="61">
        <f>IF('CO-PO Mapping'!$A$11="",0,H180)</f>
        <v>0</v>
      </c>
      <c r="P180" s="61">
        <f>IF('CO-PO Mapping'!$A$12="",0,I180)</f>
        <v>0</v>
      </c>
      <c r="Q180" s="61">
        <f t="shared" si="2"/>
        <v>0</v>
      </c>
      <c r="R180" s="61">
        <f t="shared" ref="R180:W180" si="350">K180</f>
        <v>0</v>
      </c>
      <c r="S180" s="61">
        <f t="shared" si="350"/>
        <v>0</v>
      </c>
      <c r="T180" s="61">
        <f t="shared" si="350"/>
        <v>0</v>
      </c>
      <c r="U180" s="61">
        <f t="shared" si="350"/>
        <v>0</v>
      </c>
      <c r="V180" s="61">
        <f t="shared" si="350"/>
        <v>0</v>
      </c>
      <c r="W180" s="61">
        <f t="shared" si="350"/>
        <v>0</v>
      </c>
      <c r="X180" s="61">
        <f t="shared" si="6"/>
        <v>0</v>
      </c>
    </row>
    <row r="181" spans="1:24" ht="15.75" customHeight="1">
      <c r="A181" s="62">
        <v>174</v>
      </c>
      <c r="B181" s="63" t="str">
        <f>IF('Students Details'!B180="","",'Students Details'!B180)</f>
        <v/>
      </c>
      <c r="C181" s="64" t="str">
        <f>IF('Students Details'!C180="","",'Students Details'!C180)</f>
        <v/>
      </c>
      <c r="D181" s="66"/>
      <c r="E181" s="66"/>
      <c r="F181" s="66"/>
      <c r="G181" s="66"/>
      <c r="H181" s="66"/>
      <c r="I181" s="66"/>
      <c r="J181" s="67">
        <f t="shared" si="0"/>
        <v>0</v>
      </c>
      <c r="K181" s="61">
        <f t="shared" ref="K181:M181" si="351">D181</f>
        <v>0</v>
      </c>
      <c r="L181" s="61">
        <f t="shared" si="351"/>
        <v>0</v>
      </c>
      <c r="M181" s="61">
        <f t="shared" si="351"/>
        <v>0</v>
      </c>
      <c r="N181" s="61">
        <f>IF('CO-PO Mapping'!$A$10="",0,G181)</f>
        <v>0</v>
      </c>
      <c r="O181" s="61">
        <f>IF('CO-PO Mapping'!$A$11="",0,H181)</f>
        <v>0</v>
      </c>
      <c r="P181" s="61">
        <f>IF('CO-PO Mapping'!$A$12="",0,I181)</f>
        <v>0</v>
      </c>
      <c r="Q181" s="61">
        <f t="shared" si="2"/>
        <v>0</v>
      </c>
      <c r="R181" s="61">
        <f t="shared" ref="R181:W181" si="352">K181</f>
        <v>0</v>
      </c>
      <c r="S181" s="61">
        <f t="shared" si="352"/>
        <v>0</v>
      </c>
      <c r="T181" s="61">
        <f t="shared" si="352"/>
        <v>0</v>
      </c>
      <c r="U181" s="61">
        <f t="shared" si="352"/>
        <v>0</v>
      </c>
      <c r="V181" s="61">
        <f t="shared" si="352"/>
        <v>0</v>
      </c>
      <c r="W181" s="61">
        <f t="shared" si="352"/>
        <v>0</v>
      </c>
      <c r="X181" s="61">
        <f t="shared" si="6"/>
        <v>0</v>
      </c>
    </row>
    <row r="182" spans="1:24" ht="15.75" customHeight="1">
      <c r="A182" s="62">
        <v>175</v>
      </c>
      <c r="B182" s="63" t="str">
        <f>IF('Students Details'!B181="","",'Students Details'!B181)</f>
        <v/>
      </c>
      <c r="C182" s="64" t="str">
        <f>IF('Students Details'!C181="","",'Students Details'!C181)</f>
        <v/>
      </c>
      <c r="D182" s="66"/>
      <c r="E182" s="66"/>
      <c r="F182" s="66"/>
      <c r="G182" s="66"/>
      <c r="H182" s="66"/>
      <c r="I182" s="66"/>
      <c r="J182" s="67">
        <f t="shared" si="0"/>
        <v>0</v>
      </c>
      <c r="K182" s="61">
        <f t="shared" ref="K182:M182" si="353">D182</f>
        <v>0</v>
      </c>
      <c r="L182" s="61">
        <f t="shared" si="353"/>
        <v>0</v>
      </c>
      <c r="M182" s="61">
        <f t="shared" si="353"/>
        <v>0</v>
      </c>
      <c r="N182" s="61">
        <f>IF('CO-PO Mapping'!$A$10="",0,G182)</f>
        <v>0</v>
      </c>
      <c r="O182" s="61">
        <f>IF('CO-PO Mapping'!$A$11="",0,H182)</f>
        <v>0</v>
      </c>
      <c r="P182" s="61">
        <f>IF('CO-PO Mapping'!$A$12="",0,I182)</f>
        <v>0</v>
      </c>
      <c r="Q182" s="61">
        <f t="shared" si="2"/>
        <v>0</v>
      </c>
      <c r="R182" s="61">
        <f t="shared" ref="R182:W182" si="354">K182</f>
        <v>0</v>
      </c>
      <c r="S182" s="61">
        <f t="shared" si="354"/>
        <v>0</v>
      </c>
      <c r="T182" s="61">
        <f t="shared" si="354"/>
        <v>0</v>
      </c>
      <c r="U182" s="61">
        <f t="shared" si="354"/>
        <v>0</v>
      </c>
      <c r="V182" s="61">
        <f t="shared" si="354"/>
        <v>0</v>
      </c>
      <c r="W182" s="61">
        <f t="shared" si="354"/>
        <v>0</v>
      </c>
      <c r="X182" s="61">
        <f t="shared" si="6"/>
        <v>0</v>
      </c>
    </row>
    <row r="183" spans="1:24" ht="15.75" customHeight="1">
      <c r="A183" s="62">
        <v>176</v>
      </c>
      <c r="B183" s="63" t="str">
        <f>IF('Students Details'!B182="","",'Students Details'!B182)</f>
        <v/>
      </c>
      <c r="C183" s="64" t="str">
        <f>IF('Students Details'!C182="","",'Students Details'!C182)</f>
        <v/>
      </c>
      <c r="D183" s="66"/>
      <c r="E183" s="66"/>
      <c r="F183" s="66"/>
      <c r="G183" s="66"/>
      <c r="H183" s="66"/>
      <c r="I183" s="66"/>
      <c r="J183" s="67">
        <f t="shared" si="0"/>
        <v>0</v>
      </c>
      <c r="K183" s="61">
        <f t="shared" ref="K183:M183" si="355">D183</f>
        <v>0</v>
      </c>
      <c r="L183" s="61">
        <f t="shared" si="355"/>
        <v>0</v>
      </c>
      <c r="M183" s="61">
        <f t="shared" si="355"/>
        <v>0</v>
      </c>
      <c r="N183" s="61">
        <f>IF('CO-PO Mapping'!$A$10="",0,G183)</f>
        <v>0</v>
      </c>
      <c r="O183" s="61">
        <f>IF('CO-PO Mapping'!$A$11="",0,H183)</f>
        <v>0</v>
      </c>
      <c r="P183" s="61">
        <f>IF('CO-PO Mapping'!$A$12="",0,I183)</f>
        <v>0</v>
      </c>
      <c r="Q183" s="61">
        <f t="shared" si="2"/>
        <v>0</v>
      </c>
      <c r="R183" s="61">
        <f t="shared" ref="R183:W183" si="356">K183</f>
        <v>0</v>
      </c>
      <c r="S183" s="61">
        <f t="shared" si="356"/>
        <v>0</v>
      </c>
      <c r="T183" s="61">
        <f t="shared" si="356"/>
        <v>0</v>
      </c>
      <c r="U183" s="61">
        <f t="shared" si="356"/>
        <v>0</v>
      </c>
      <c r="V183" s="61">
        <f t="shared" si="356"/>
        <v>0</v>
      </c>
      <c r="W183" s="61">
        <f t="shared" si="356"/>
        <v>0</v>
      </c>
      <c r="X183" s="61">
        <f t="shared" si="6"/>
        <v>0</v>
      </c>
    </row>
    <row r="184" spans="1:24" ht="15.75" customHeight="1">
      <c r="A184" s="62">
        <v>177</v>
      </c>
      <c r="B184" s="63" t="str">
        <f>IF('Students Details'!B183="","",'Students Details'!B183)</f>
        <v/>
      </c>
      <c r="C184" s="64" t="str">
        <f>IF('Students Details'!C183="","",'Students Details'!C183)</f>
        <v/>
      </c>
      <c r="D184" s="66"/>
      <c r="E184" s="66"/>
      <c r="F184" s="66"/>
      <c r="G184" s="66"/>
      <c r="H184" s="66"/>
      <c r="I184" s="66"/>
      <c r="J184" s="67">
        <f t="shared" si="0"/>
        <v>0</v>
      </c>
      <c r="K184" s="61">
        <f t="shared" ref="K184:M184" si="357">D184</f>
        <v>0</v>
      </c>
      <c r="L184" s="61">
        <f t="shared" si="357"/>
        <v>0</v>
      </c>
      <c r="M184" s="61">
        <f t="shared" si="357"/>
        <v>0</v>
      </c>
      <c r="N184" s="61">
        <f>IF('CO-PO Mapping'!$A$10="",0,G184)</f>
        <v>0</v>
      </c>
      <c r="O184" s="61">
        <f>IF('CO-PO Mapping'!$A$11="",0,H184)</f>
        <v>0</v>
      </c>
      <c r="P184" s="61">
        <f>IF('CO-PO Mapping'!$A$12="",0,I184)</f>
        <v>0</v>
      </c>
      <c r="Q184" s="61">
        <f t="shared" si="2"/>
        <v>0</v>
      </c>
      <c r="R184" s="61">
        <f t="shared" ref="R184:W184" si="358">K184</f>
        <v>0</v>
      </c>
      <c r="S184" s="61">
        <f t="shared" si="358"/>
        <v>0</v>
      </c>
      <c r="T184" s="61">
        <f t="shared" si="358"/>
        <v>0</v>
      </c>
      <c r="U184" s="61">
        <f t="shared" si="358"/>
        <v>0</v>
      </c>
      <c r="V184" s="61">
        <f t="shared" si="358"/>
        <v>0</v>
      </c>
      <c r="W184" s="61">
        <f t="shared" si="358"/>
        <v>0</v>
      </c>
      <c r="X184" s="61">
        <f t="shared" si="6"/>
        <v>0</v>
      </c>
    </row>
    <row r="185" spans="1:24" ht="15.75" customHeight="1">
      <c r="A185" s="62">
        <v>178</v>
      </c>
      <c r="B185" s="63" t="str">
        <f>IF('Students Details'!B184="","",'Students Details'!B184)</f>
        <v/>
      </c>
      <c r="C185" s="64" t="str">
        <f>IF('Students Details'!C184="","",'Students Details'!C184)</f>
        <v/>
      </c>
      <c r="D185" s="66"/>
      <c r="E185" s="66"/>
      <c r="F185" s="66"/>
      <c r="G185" s="66"/>
      <c r="H185" s="66"/>
      <c r="I185" s="66"/>
      <c r="J185" s="67">
        <f t="shared" si="0"/>
        <v>0</v>
      </c>
      <c r="K185" s="61">
        <f t="shared" ref="K185:M185" si="359">D185</f>
        <v>0</v>
      </c>
      <c r="L185" s="61">
        <f t="shared" si="359"/>
        <v>0</v>
      </c>
      <c r="M185" s="61">
        <f t="shared" si="359"/>
        <v>0</v>
      </c>
      <c r="N185" s="61">
        <f>IF('CO-PO Mapping'!$A$10="",0,G185)</f>
        <v>0</v>
      </c>
      <c r="O185" s="61">
        <f>IF('CO-PO Mapping'!$A$11="",0,H185)</f>
        <v>0</v>
      </c>
      <c r="P185" s="61">
        <f>IF('CO-PO Mapping'!$A$12="",0,I185)</f>
        <v>0</v>
      </c>
      <c r="Q185" s="61">
        <f t="shared" si="2"/>
        <v>0</v>
      </c>
      <c r="R185" s="61">
        <f t="shared" ref="R185:W185" si="360">K185</f>
        <v>0</v>
      </c>
      <c r="S185" s="61">
        <f t="shared" si="360"/>
        <v>0</v>
      </c>
      <c r="T185" s="61">
        <f t="shared" si="360"/>
        <v>0</v>
      </c>
      <c r="U185" s="61">
        <f t="shared" si="360"/>
        <v>0</v>
      </c>
      <c r="V185" s="61">
        <f t="shared" si="360"/>
        <v>0</v>
      </c>
      <c r="W185" s="61">
        <f t="shared" si="360"/>
        <v>0</v>
      </c>
      <c r="X185" s="61">
        <f t="shared" si="6"/>
        <v>0</v>
      </c>
    </row>
    <row r="186" spans="1:24" ht="15.75" customHeight="1">
      <c r="A186" s="62">
        <v>179</v>
      </c>
      <c r="B186" s="63" t="str">
        <f>IF('Students Details'!B185="","",'Students Details'!B185)</f>
        <v/>
      </c>
      <c r="C186" s="64" t="str">
        <f>IF('Students Details'!C185="","",'Students Details'!C185)</f>
        <v/>
      </c>
      <c r="D186" s="66"/>
      <c r="E186" s="66"/>
      <c r="F186" s="66"/>
      <c r="G186" s="66"/>
      <c r="H186" s="66"/>
      <c r="I186" s="66"/>
      <c r="J186" s="67">
        <f t="shared" si="0"/>
        <v>0</v>
      </c>
      <c r="K186" s="61">
        <f t="shared" ref="K186:M186" si="361">D186</f>
        <v>0</v>
      </c>
      <c r="L186" s="61">
        <f t="shared" si="361"/>
        <v>0</v>
      </c>
      <c r="M186" s="61">
        <f t="shared" si="361"/>
        <v>0</v>
      </c>
      <c r="N186" s="61">
        <f>IF('CO-PO Mapping'!$A$10="",0,G186)</f>
        <v>0</v>
      </c>
      <c r="O186" s="61">
        <f>IF('CO-PO Mapping'!$A$11="",0,H186)</f>
        <v>0</v>
      </c>
      <c r="P186" s="61">
        <f>IF('CO-PO Mapping'!$A$12="",0,I186)</f>
        <v>0</v>
      </c>
      <c r="Q186" s="61">
        <f t="shared" si="2"/>
        <v>0</v>
      </c>
      <c r="R186" s="61">
        <f t="shared" ref="R186:W186" si="362">K186</f>
        <v>0</v>
      </c>
      <c r="S186" s="61">
        <f t="shared" si="362"/>
        <v>0</v>
      </c>
      <c r="T186" s="61">
        <f t="shared" si="362"/>
        <v>0</v>
      </c>
      <c r="U186" s="61">
        <f t="shared" si="362"/>
        <v>0</v>
      </c>
      <c r="V186" s="61">
        <f t="shared" si="362"/>
        <v>0</v>
      </c>
      <c r="W186" s="61">
        <f t="shared" si="362"/>
        <v>0</v>
      </c>
      <c r="X186" s="61">
        <f t="shared" si="6"/>
        <v>0</v>
      </c>
    </row>
    <row r="187" spans="1:24" ht="15.75" customHeight="1">
      <c r="A187" s="62">
        <v>180</v>
      </c>
      <c r="B187" s="63" t="str">
        <f>IF('Students Details'!B186="","",'Students Details'!B186)</f>
        <v/>
      </c>
      <c r="C187" s="64" t="str">
        <f>IF('Students Details'!C186="","",'Students Details'!C186)</f>
        <v/>
      </c>
      <c r="D187" s="66"/>
      <c r="E187" s="66"/>
      <c r="F187" s="66"/>
      <c r="G187" s="66"/>
      <c r="H187" s="66"/>
      <c r="I187" s="66"/>
      <c r="J187" s="67">
        <f t="shared" si="0"/>
        <v>0</v>
      </c>
      <c r="K187" s="61">
        <f t="shared" ref="K187:M187" si="363">D187</f>
        <v>0</v>
      </c>
      <c r="L187" s="61">
        <f t="shared" si="363"/>
        <v>0</v>
      </c>
      <c r="M187" s="61">
        <f t="shared" si="363"/>
        <v>0</v>
      </c>
      <c r="N187" s="61">
        <f>IF('CO-PO Mapping'!$A$10="",0,G187)</f>
        <v>0</v>
      </c>
      <c r="O187" s="61">
        <f>IF('CO-PO Mapping'!$A$11="",0,H187)</f>
        <v>0</v>
      </c>
      <c r="P187" s="61">
        <f>IF('CO-PO Mapping'!$A$12="",0,I187)</f>
        <v>0</v>
      </c>
      <c r="Q187" s="61">
        <f t="shared" si="2"/>
        <v>0</v>
      </c>
      <c r="R187" s="61">
        <f t="shared" ref="R187:W187" si="364">K187</f>
        <v>0</v>
      </c>
      <c r="S187" s="61">
        <f t="shared" si="364"/>
        <v>0</v>
      </c>
      <c r="T187" s="61">
        <f t="shared" si="364"/>
        <v>0</v>
      </c>
      <c r="U187" s="61">
        <f t="shared" si="364"/>
        <v>0</v>
      </c>
      <c r="V187" s="61">
        <f t="shared" si="364"/>
        <v>0</v>
      </c>
      <c r="W187" s="61">
        <f t="shared" si="364"/>
        <v>0</v>
      </c>
      <c r="X187" s="61">
        <f t="shared" si="6"/>
        <v>0</v>
      </c>
    </row>
    <row r="188" spans="1:24" ht="15.75" customHeight="1">
      <c r="A188" s="62">
        <v>181</v>
      </c>
      <c r="B188" s="63" t="str">
        <f>IF('Students Details'!B187="","",'Students Details'!B187)</f>
        <v/>
      </c>
      <c r="C188" s="64" t="str">
        <f>IF('Students Details'!C187="","",'Students Details'!C187)</f>
        <v/>
      </c>
      <c r="D188" s="66"/>
      <c r="E188" s="66"/>
      <c r="F188" s="66"/>
      <c r="G188" s="66"/>
      <c r="H188" s="66"/>
      <c r="I188" s="66"/>
      <c r="J188" s="67">
        <f t="shared" si="0"/>
        <v>0</v>
      </c>
      <c r="K188" s="61">
        <f t="shared" ref="K188:M188" si="365">D188</f>
        <v>0</v>
      </c>
      <c r="L188" s="61">
        <f t="shared" si="365"/>
        <v>0</v>
      </c>
      <c r="M188" s="61">
        <f t="shared" si="365"/>
        <v>0</v>
      </c>
      <c r="N188" s="61">
        <f>IF('CO-PO Mapping'!$A$10="",0,G188)</f>
        <v>0</v>
      </c>
      <c r="O188" s="61">
        <f>IF('CO-PO Mapping'!$A$11="",0,H188)</f>
        <v>0</v>
      </c>
      <c r="P188" s="61">
        <f>IF('CO-PO Mapping'!$A$12="",0,I188)</f>
        <v>0</v>
      </c>
      <c r="Q188" s="61">
        <f t="shared" si="2"/>
        <v>0</v>
      </c>
      <c r="R188" s="61">
        <f t="shared" ref="R188:W188" si="366">K188</f>
        <v>0</v>
      </c>
      <c r="S188" s="61">
        <f t="shared" si="366"/>
        <v>0</v>
      </c>
      <c r="T188" s="61">
        <f t="shared" si="366"/>
        <v>0</v>
      </c>
      <c r="U188" s="61">
        <f t="shared" si="366"/>
        <v>0</v>
      </c>
      <c r="V188" s="61">
        <f t="shared" si="366"/>
        <v>0</v>
      </c>
      <c r="W188" s="61">
        <f t="shared" si="366"/>
        <v>0</v>
      </c>
      <c r="X188" s="61">
        <f t="shared" si="6"/>
        <v>0</v>
      </c>
    </row>
    <row r="189" spans="1:24" ht="15.75" customHeight="1">
      <c r="A189" s="62">
        <v>182</v>
      </c>
      <c r="B189" s="63" t="str">
        <f>IF('Students Details'!B188="","",'Students Details'!B188)</f>
        <v/>
      </c>
      <c r="C189" s="64" t="str">
        <f>IF('Students Details'!C188="","",'Students Details'!C188)</f>
        <v/>
      </c>
      <c r="D189" s="66"/>
      <c r="E189" s="66"/>
      <c r="F189" s="66"/>
      <c r="G189" s="66"/>
      <c r="H189" s="66"/>
      <c r="I189" s="66"/>
      <c r="J189" s="67">
        <f t="shared" si="0"/>
        <v>0</v>
      </c>
      <c r="K189" s="61">
        <f t="shared" ref="K189:M189" si="367">D189</f>
        <v>0</v>
      </c>
      <c r="L189" s="61">
        <f t="shared" si="367"/>
        <v>0</v>
      </c>
      <c r="M189" s="61">
        <f t="shared" si="367"/>
        <v>0</v>
      </c>
      <c r="N189" s="61">
        <f>IF('CO-PO Mapping'!$A$10="",0,G189)</f>
        <v>0</v>
      </c>
      <c r="O189" s="61">
        <f>IF('CO-PO Mapping'!$A$11="",0,H189)</f>
        <v>0</v>
      </c>
      <c r="P189" s="61">
        <f>IF('CO-PO Mapping'!$A$12="",0,I189)</f>
        <v>0</v>
      </c>
      <c r="Q189" s="61">
        <f t="shared" si="2"/>
        <v>0</v>
      </c>
      <c r="R189" s="61">
        <f t="shared" ref="R189:W189" si="368">K189</f>
        <v>0</v>
      </c>
      <c r="S189" s="61">
        <f t="shared" si="368"/>
        <v>0</v>
      </c>
      <c r="T189" s="61">
        <f t="shared" si="368"/>
        <v>0</v>
      </c>
      <c r="U189" s="61">
        <f t="shared" si="368"/>
        <v>0</v>
      </c>
      <c r="V189" s="61">
        <f t="shared" si="368"/>
        <v>0</v>
      </c>
      <c r="W189" s="61">
        <f t="shared" si="368"/>
        <v>0</v>
      </c>
      <c r="X189" s="61">
        <f t="shared" si="6"/>
        <v>0</v>
      </c>
    </row>
    <row r="190" spans="1:24" ht="15.75" customHeight="1">
      <c r="A190" s="62">
        <v>183</v>
      </c>
      <c r="B190" s="63" t="str">
        <f>IF('Students Details'!B189="","",'Students Details'!B189)</f>
        <v/>
      </c>
      <c r="C190" s="64" t="str">
        <f>IF('Students Details'!C189="","",'Students Details'!C189)</f>
        <v/>
      </c>
      <c r="D190" s="66"/>
      <c r="E190" s="66"/>
      <c r="F190" s="66"/>
      <c r="G190" s="66"/>
      <c r="H190" s="66"/>
      <c r="I190" s="66"/>
      <c r="J190" s="67">
        <f t="shared" si="0"/>
        <v>0</v>
      </c>
      <c r="K190" s="61">
        <f t="shared" ref="K190:M190" si="369">D190</f>
        <v>0</v>
      </c>
      <c r="L190" s="61">
        <f t="shared" si="369"/>
        <v>0</v>
      </c>
      <c r="M190" s="61">
        <f t="shared" si="369"/>
        <v>0</v>
      </c>
      <c r="N190" s="61">
        <f>IF('CO-PO Mapping'!$A$10="",0,G190)</f>
        <v>0</v>
      </c>
      <c r="O190" s="61">
        <f>IF('CO-PO Mapping'!$A$11="",0,H190)</f>
        <v>0</v>
      </c>
      <c r="P190" s="61">
        <f>IF('CO-PO Mapping'!$A$12="",0,I190)</f>
        <v>0</v>
      </c>
      <c r="Q190" s="61">
        <f t="shared" si="2"/>
        <v>0</v>
      </c>
      <c r="R190" s="61">
        <f t="shared" ref="R190:W190" si="370">K190</f>
        <v>0</v>
      </c>
      <c r="S190" s="61">
        <f t="shared" si="370"/>
        <v>0</v>
      </c>
      <c r="T190" s="61">
        <f t="shared" si="370"/>
        <v>0</v>
      </c>
      <c r="U190" s="61">
        <f t="shared" si="370"/>
        <v>0</v>
      </c>
      <c r="V190" s="61">
        <f t="shared" si="370"/>
        <v>0</v>
      </c>
      <c r="W190" s="61">
        <f t="shared" si="370"/>
        <v>0</v>
      </c>
      <c r="X190" s="61">
        <f t="shared" si="6"/>
        <v>0</v>
      </c>
    </row>
    <row r="191" spans="1:24" ht="15.75" customHeight="1">
      <c r="A191" s="62">
        <v>184</v>
      </c>
      <c r="B191" s="63" t="str">
        <f>IF('Students Details'!B190="","",'Students Details'!B190)</f>
        <v/>
      </c>
      <c r="C191" s="64" t="str">
        <f>IF('Students Details'!C190="","",'Students Details'!C190)</f>
        <v/>
      </c>
      <c r="D191" s="66"/>
      <c r="E191" s="66"/>
      <c r="F191" s="66"/>
      <c r="G191" s="66"/>
      <c r="H191" s="66"/>
      <c r="I191" s="66"/>
      <c r="J191" s="67">
        <f t="shared" si="0"/>
        <v>0</v>
      </c>
      <c r="K191" s="61">
        <f t="shared" ref="K191:M191" si="371">D191</f>
        <v>0</v>
      </c>
      <c r="L191" s="61">
        <f t="shared" si="371"/>
        <v>0</v>
      </c>
      <c r="M191" s="61">
        <f t="shared" si="371"/>
        <v>0</v>
      </c>
      <c r="N191" s="61">
        <f>IF('CO-PO Mapping'!$A$10="",0,G191)</f>
        <v>0</v>
      </c>
      <c r="O191" s="61">
        <f>IF('CO-PO Mapping'!$A$11="",0,H191)</f>
        <v>0</v>
      </c>
      <c r="P191" s="61">
        <f>IF('CO-PO Mapping'!$A$12="",0,I191)</f>
        <v>0</v>
      </c>
      <c r="Q191" s="61">
        <f t="shared" si="2"/>
        <v>0</v>
      </c>
      <c r="R191" s="61">
        <f t="shared" ref="R191:W191" si="372">K191</f>
        <v>0</v>
      </c>
      <c r="S191" s="61">
        <f t="shared" si="372"/>
        <v>0</v>
      </c>
      <c r="T191" s="61">
        <f t="shared" si="372"/>
        <v>0</v>
      </c>
      <c r="U191" s="61">
        <f t="shared" si="372"/>
        <v>0</v>
      </c>
      <c r="V191" s="61">
        <f t="shared" si="372"/>
        <v>0</v>
      </c>
      <c r="W191" s="61">
        <f t="shared" si="372"/>
        <v>0</v>
      </c>
      <c r="X191" s="61">
        <f t="shared" si="6"/>
        <v>0</v>
      </c>
    </row>
    <row r="192" spans="1:24" ht="15.75" customHeight="1">
      <c r="A192" s="62">
        <v>185</v>
      </c>
      <c r="B192" s="63" t="str">
        <f>IF('Students Details'!B191="","",'Students Details'!B191)</f>
        <v/>
      </c>
      <c r="C192" s="64" t="str">
        <f>IF('Students Details'!C191="","",'Students Details'!C191)</f>
        <v/>
      </c>
      <c r="D192" s="66"/>
      <c r="E192" s="66"/>
      <c r="F192" s="66"/>
      <c r="G192" s="66"/>
      <c r="H192" s="66"/>
      <c r="I192" s="66"/>
      <c r="J192" s="67">
        <f t="shared" si="0"/>
        <v>0</v>
      </c>
      <c r="K192" s="61">
        <f t="shared" ref="K192:M192" si="373">D192</f>
        <v>0</v>
      </c>
      <c r="L192" s="61">
        <f t="shared" si="373"/>
        <v>0</v>
      </c>
      <c r="M192" s="61">
        <f t="shared" si="373"/>
        <v>0</v>
      </c>
      <c r="N192" s="61">
        <f>IF('CO-PO Mapping'!$A$10="",0,G192)</f>
        <v>0</v>
      </c>
      <c r="O192" s="61">
        <f>IF('CO-PO Mapping'!$A$11="",0,H192)</f>
        <v>0</v>
      </c>
      <c r="P192" s="61">
        <f>IF('CO-PO Mapping'!$A$12="",0,I192)</f>
        <v>0</v>
      </c>
      <c r="Q192" s="61">
        <f t="shared" si="2"/>
        <v>0</v>
      </c>
      <c r="R192" s="61">
        <f t="shared" ref="R192:W192" si="374">K192</f>
        <v>0</v>
      </c>
      <c r="S192" s="61">
        <f t="shared" si="374"/>
        <v>0</v>
      </c>
      <c r="T192" s="61">
        <f t="shared" si="374"/>
        <v>0</v>
      </c>
      <c r="U192" s="61">
        <f t="shared" si="374"/>
        <v>0</v>
      </c>
      <c r="V192" s="61">
        <f t="shared" si="374"/>
        <v>0</v>
      </c>
      <c r="W192" s="61">
        <f t="shared" si="374"/>
        <v>0</v>
      </c>
      <c r="X192" s="61">
        <f t="shared" si="6"/>
        <v>0</v>
      </c>
    </row>
    <row r="193" spans="1:24" ht="15.75" customHeight="1">
      <c r="A193" s="62">
        <v>186</v>
      </c>
      <c r="B193" s="63" t="str">
        <f>IF('Students Details'!B192="","",'Students Details'!B192)</f>
        <v/>
      </c>
      <c r="C193" s="64" t="str">
        <f>IF('Students Details'!C192="","",'Students Details'!C192)</f>
        <v/>
      </c>
      <c r="D193" s="66"/>
      <c r="E193" s="66"/>
      <c r="F193" s="66"/>
      <c r="G193" s="66"/>
      <c r="H193" s="66"/>
      <c r="I193" s="66"/>
      <c r="J193" s="67">
        <f t="shared" si="0"/>
        <v>0</v>
      </c>
      <c r="K193" s="61">
        <f t="shared" ref="K193:M193" si="375">D193</f>
        <v>0</v>
      </c>
      <c r="L193" s="61">
        <f t="shared" si="375"/>
        <v>0</v>
      </c>
      <c r="M193" s="61">
        <f t="shared" si="375"/>
        <v>0</v>
      </c>
      <c r="N193" s="61">
        <f>IF('CO-PO Mapping'!$A$10="",0,G193)</f>
        <v>0</v>
      </c>
      <c r="O193" s="61">
        <f>IF('CO-PO Mapping'!$A$11="",0,H193)</f>
        <v>0</v>
      </c>
      <c r="P193" s="61">
        <f>IF('CO-PO Mapping'!$A$12="",0,I193)</f>
        <v>0</v>
      </c>
      <c r="Q193" s="61">
        <f t="shared" si="2"/>
        <v>0</v>
      </c>
      <c r="R193" s="61">
        <f t="shared" ref="R193:W193" si="376">K193</f>
        <v>0</v>
      </c>
      <c r="S193" s="61">
        <f t="shared" si="376"/>
        <v>0</v>
      </c>
      <c r="T193" s="61">
        <f t="shared" si="376"/>
        <v>0</v>
      </c>
      <c r="U193" s="61">
        <f t="shared" si="376"/>
        <v>0</v>
      </c>
      <c r="V193" s="61">
        <f t="shared" si="376"/>
        <v>0</v>
      </c>
      <c r="W193" s="61">
        <f t="shared" si="376"/>
        <v>0</v>
      </c>
      <c r="X193" s="61">
        <f t="shared" si="6"/>
        <v>0</v>
      </c>
    </row>
    <row r="194" spans="1:24" ht="15.75" customHeight="1">
      <c r="A194" s="62">
        <v>187</v>
      </c>
      <c r="B194" s="63" t="str">
        <f>IF('Students Details'!B193="","",'Students Details'!B193)</f>
        <v/>
      </c>
      <c r="C194" s="64" t="str">
        <f>IF('Students Details'!C193="","",'Students Details'!C193)</f>
        <v/>
      </c>
      <c r="D194" s="66"/>
      <c r="E194" s="66"/>
      <c r="F194" s="66"/>
      <c r="G194" s="66"/>
      <c r="H194" s="66"/>
      <c r="I194" s="66"/>
      <c r="J194" s="67">
        <f t="shared" si="0"/>
        <v>0</v>
      </c>
      <c r="K194" s="61">
        <f t="shared" ref="K194:M194" si="377">D194</f>
        <v>0</v>
      </c>
      <c r="L194" s="61">
        <f t="shared" si="377"/>
        <v>0</v>
      </c>
      <c r="M194" s="61">
        <f t="shared" si="377"/>
        <v>0</v>
      </c>
      <c r="N194" s="61">
        <f>IF('CO-PO Mapping'!$A$10="",0,G194)</f>
        <v>0</v>
      </c>
      <c r="O194" s="61">
        <f>IF('CO-PO Mapping'!$A$11="",0,H194)</f>
        <v>0</v>
      </c>
      <c r="P194" s="61">
        <f>IF('CO-PO Mapping'!$A$12="",0,I194)</f>
        <v>0</v>
      </c>
      <c r="Q194" s="61">
        <f t="shared" si="2"/>
        <v>0</v>
      </c>
      <c r="R194" s="61">
        <f t="shared" ref="R194:W194" si="378">K194</f>
        <v>0</v>
      </c>
      <c r="S194" s="61">
        <f t="shared" si="378"/>
        <v>0</v>
      </c>
      <c r="T194" s="61">
        <f t="shared" si="378"/>
        <v>0</v>
      </c>
      <c r="U194" s="61">
        <f t="shared" si="378"/>
        <v>0</v>
      </c>
      <c r="V194" s="61">
        <f t="shared" si="378"/>
        <v>0</v>
      </c>
      <c r="W194" s="61">
        <f t="shared" si="378"/>
        <v>0</v>
      </c>
      <c r="X194" s="61">
        <f t="shared" si="6"/>
        <v>0</v>
      </c>
    </row>
    <row r="195" spans="1:24" ht="15.75" customHeight="1">
      <c r="A195" s="62">
        <v>188</v>
      </c>
      <c r="B195" s="63" t="str">
        <f>IF('Students Details'!B194="","",'Students Details'!B194)</f>
        <v/>
      </c>
      <c r="C195" s="64" t="str">
        <f>IF('Students Details'!C194="","",'Students Details'!C194)</f>
        <v/>
      </c>
      <c r="D195" s="66"/>
      <c r="E195" s="66"/>
      <c r="F195" s="66"/>
      <c r="G195" s="66"/>
      <c r="H195" s="66"/>
      <c r="I195" s="66"/>
      <c r="J195" s="67">
        <f t="shared" si="0"/>
        <v>0</v>
      </c>
      <c r="K195" s="61">
        <f t="shared" ref="K195:M195" si="379">D195</f>
        <v>0</v>
      </c>
      <c r="L195" s="61">
        <f t="shared" si="379"/>
        <v>0</v>
      </c>
      <c r="M195" s="61">
        <f t="shared" si="379"/>
        <v>0</v>
      </c>
      <c r="N195" s="61">
        <f>IF('CO-PO Mapping'!$A$10="",0,G195)</f>
        <v>0</v>
      </c>
      <c r="O195" s="61">
        <f>IF('CO-PO Mapping'!$A$11="",0,H195)</f>
        <v>0</v>
      </c>
      <c r="P195" s="61">
        <f>IF('CO-PO Mapping'!$A$12="",0,I195)</f>
        <v>0</v>
      </c>
      <c r="Q195" s="61">
        <f t="shared" si="2"/>
        <v>0</v>
      </c>
      <c r="R195" s="61">
        <f t="shared" ref="R195:W195" si="380">K195</f>
        <v>0</v>
      </c>
      <c r="S195" s="61">
        <f t="shared" si="380"/>
        <v>0</v>
      </c>
      <c r="T195" s="61">
        <f t="shared" si="380"/>
        <v>0</v>
      </c>
      <c r="U195" s="61">
        <f t="shared" si="380"/>
        <v>0</v>
      </c>
      <c r="V195" s="61">
        <f t="shared" si="380"/>
        <v>0</v>
      </c>
      <c r="W195" s="61">
        <f t="shared" si="380"/>
        <v>0</v>
      </c>
      <c r="X195" s="61">
        <f t="shared" si="6"/>
        <v>0</v>
      </c>
    </row>
    <row r="196" spans="1:24" ht="15.75" customHeight="1">
      <c r="A196" s="62">
        <v>189</v>
      </c>
      <c r="B196" s="63" t="str">
        <f>IF('Students Details'!B195="","",'Students Details'!B195)</f>
        <v/>
      </c>
      <c r="C196" s="64" t="str">
        <f>IF('Students Details'!C195="","",'Students Details'!C195)</f>
        <v/>
      </c>
      <c r="D196" s="66"/>
      <c r="E196" s="66"/>
      <c r="F196" s="66"/>
      <c r="G196" s="66"/>
      <c r="H196" s="66"/>
      <c r="I196" s="66"/>
      <c r="J196" s="67">
        <f t="shared" si="0"/>
        <v>0</v>
      </c>
      <c r="K196" s="61">
        <f t="shared" ref="K196:M196" si="381">D196</f>
        <v>0</v>
      </c>
      <c r="L196" s="61">
        <f t="shared" si="381"/>
        <v>0</v>
      </c>
      <c r="M196" s="61">
        <f t="shared" si="381"/>
        <v>0</v>
      </c>
      <c r="N196" s="61">
        <f>IF('CO-PO Mapping'!$A$10="",0,G196)</f>
        <v>0</v>
      </c>
      <c r="O196" s="61">
        <f>IF('CO-PO Mapping'!$A$11="",0,H196)</f>
        <v>0</v>
      </c>
      <c r="P196" s="61">
        <f>IF('CO-PO Mapping'!$A$12="",0,I196)</f>
        <v>0</v>
      </c>
      <c r="Q196" s="61">
        <f t="shared" si="2"/>
        <v>0</v>
      </c>
      <c r="R196" s="61">
        <f t="shared" ref="R196:W196" si="382">K196</f>
        <v>0</v>
      </c>
      <c r="S196" s="61">
        <f t="shared" si="382"/>
        <v>0</v>
      </c>
      <c r="T196" s="61">
        <f t="shared" si="382"/>
        <v>0</v>
      </c>
      <c r="U196" s="61">
        <f t="shared" si="382"/>
        <v>0</v>
      </c>
      <c r="V196" s="61">
        <f t="shared" si="382"/>
        <v>0</v>
      </c>
      <c r="W196" s="61">
        <f t="shared" si="382"/>
        <v>0</v>
      </c>
      <c r="X196" s="61">
        <f t="shared" si="6"/>
        <v>0</v>
      </c>
    </row>
    <row r="197" spans="1:24" ht="15.75" customHeight="1">
      <c r="A197" s="62">
        <v>190</v>
      </c>
      <c r="B197" s="63" t="str">
        <f>IF('Students Details'!B196="","",'Students Details'!B196)</f>
        <v/>
      </c>
      <c r="C197" s="64" t="str">
        <f>IF('Students Details'!C196="","",'Students Details'!C196)</f>
        <v/>
      </c>
      <c r="D197" s="66"/>
      <c r="E197" s="66"/>
      <c r="F197" s="66"/>
      <c r="G197" s="66"/>
      <c r="H197" s="66"/>
      <c r="I197" s="66"/>
      <c r="J197" s="67">
        <f t="shared" si="0"/>
        <v>0</v>
      </c>
      <c r="K197" s="61">
        <f t="shared" ref="K197:M197" si="383">D197</f>
        <v>0</v>
      </c>
      <c r="L197" s="61">
        <f t="shared" si="383"/>
        <v>0</v>
      </c>
      <c r="M197" s="61">
        <f t="shared" si="383"/>
        <v>0</v>
      </c>
      <c r="N197" s="61">
        <f>IF('CO-PO Mapping'!$A$10="",0,G197)</f>
        <v>0</v>
      </c>
      <c r="O197" s="61">
        <f>IF('CO-PO Mapping'!$A$11="",0,H197)</f>
        <v>0</v>
      </c>
      <c r="P197" s="61">
        <f>IF('CO-PO Mapping'!$A$12="",0,I197)</f>
        <v>0</v>
      </c>
      <c r="Q197" s="61">
        <f t="shared" si="2"/>
        <v>0</v>
      </c>
      <c r="R197" s="61">
        <f t="shared" ref="R197:W197" si="384">K197</f>
        <v>0</v>
      </c>
      <c r="S197" s="61">
        <f t="shared" si="384"/>
        <v>0</v>
      </c>
      <c r="T197" s="61">
        <f t="shared" si="384"/>
        <v>0</v>
      </c>
      <c r="U197" s="61">
        <f t="shared" si="384"/>
        <v>0</v>
      </c>
      <c r="V197" s="61">
        <f t="shared" si="384"/>
        <v>0</v>
      </c>
      <c r="W197" s="61">
        <f t="shared" si="384"/>
        <v>0</v>
      </c>
      <c r="X197" s="61">
        <f t="shared" si="6"/>
        <v>0</v>
      </c>
    </row>
    <row r="198" spans="1:24" ht="15.75" customHeight="1">
      <c r="A198" s="62">
        <v>191</v>
      </c>
      <c r="B198" s="63" t="str">
        <f>IF('Students Details'!B197="","",'Students Details'!B197)</f>
        <v/>
      </c>
      <c r="C198" s="64" t="str">
        <f>IF('Students Details'!C197="","",'Students Details'!C197)</f>
        <v/>
      </c>
      <c r="D198" s="66"/>
      <c r="E198" s="66"/>
      <c r="F198" s="66"/>
      <c r="G198" s="66"/>
      <c r="H198" s="66"/>
      <c r="I198" s="66"/>
      <c r="J198" s="67">
        <f t="shared" si="0"/>
        <v>0</v>
      </c>
      <c r="K198" s="61">
        <f t="shared" ref="K198:M198" si="385">D198</f>
        <v>0</v>
      </c>
      <c r="L198" s="61">
        <f t="shared" si="385"/>
        <v>0</v>
      </c>
      <c r="M198" s="61">
        <f t="shared" si="385"/>
        <v>0</v>
      </c>
      <c r="N198" s="61">
        <f>IF('CO-PO Mapping'!$A$10="",0,G198)</f>
        <v>0</v>
      </c>
      <c r="O198" s="61">
        <f>IF('CO-PO Mapping'!$A$11="",0,H198)</f>
        <v>0</v>
      </c>
      <c r="P198" s="61">
        <f>IF('CO-PO Mapping'!$A$12="",0,I198)</f>
        <v>0</v>
      </c>
      <c r="Q198" s="61">
        <f t="shared" si="2"/>
        <v>0</v>
      </c>
      <c r="R198" s="61">
        <f t="shared" ref="R198:W198" si="386">K198</f>
        <v>0</v>
      </c>
      <c r="S198" s="61">
        <f t="shared" si="386"/>
        <v>0</v>
      </c>
      <c r="T198" s="61">
        <f t="shared" si="386"/>
        <v>0</v>
      </c>
      <c r="U198" s="61">
        <f t="shared" si="386"/>
        <v>0</v>
      </c>
      <c r="V198" s="61">
        <f t="shared" si="386"/>
        <v>0</v>
      </c>
      <c r="W198" s="61">
        <f t="shared" si="386"/>
        <v>0</v>
      </c>
      <c r="X198" s="61">
        <f t="shared" si="6"/>
        <v>0</v>
      </c>
    </row>
    <row r="199" spans="1:24" ht="15.75" customHeight="1">
      <c r="A199" s="62">
        <v>192</v>
      </c>
      <c r="B199" s="63" t="str">
        <f>IF('Students Details'!B198="","",'Students Details'!B198)</f>
        <v/>
      </c>
      <c r="C199" s="64" t="str">
        <f>IF('Students Details'!C198="","",'Students Details'!C198)</f>
        <v/>
      </c>
      <c r="D199" s="66"/>
      <c r="E199" s="66"/>
      <c r="F199" s="66"/>
      <c r="G199" s="66"/>
      <c r="H199" s="66"/>
      <c r="I199" s="66"/>
      <c r="J199" s="67">
        <f t="shared" si="0"/>
        <v>0</v>
      </c>
      <c r="K199" s="61">
        <f t="shared" ref="K199:M199" si="387">D199</f>
        <v>0</v>
      </c>
      <c r="L199" s="61">
        <f t="shared" si="387"/>
        <v>0</v>
      </c>
      <c r="M199" s="61">
        <f t="shared" si="387"/>
        <v>0</v>
      </c>
      <c r="N199" s="61">
        <f>IF('CO-PO Mapping'!$A$10="",0,G199)</f>
        <v>0</v>
      </c>
      <c r="O199" s="61">
        <f>IF('CO-PO Mapping'!$A$11="",0,H199)</f>
        <v>0</v>
      </c>
      <c r="P199" s="61">
        <f>IF('CO-PO Mapping'!$A$12="",0,I199)</f>
        <v>0</v>
      </c>
      <c r="Q199" s="61">
        <f t="shared" si="2"/>
        <v>0</v>
      </c>
      <c r="R199" s="61">
        <f t="shared" ref="R199:W199" si="388">K199</f>
        <v>0</v>
      </c>
      <c r="S199" s="61">
        <f t="shared" si="388"/>
        <v>0</v>
      </c>
      <c r="T199" s="61">
        <f t="shared" si="388"/>
        <v>0</v>
      </c>
      <c r="U199" s="61">
        <f t="shared" si="388"/>
        <v>0</v>
      </c>
      <c r="V199" s="61">
        <f t="shared" si="388"/>
        <v>0</v>
      </c>
      <c r="W199" s="61">
        <f t="shared" si="388"/>
        <v>0</v>
      </c>
      <c r="X199" s="61">
        <f t="shared" si="6"/>
        <v>0</v>
      </c>
    </row>
    <row r="200" spans="1:24" ht="15.75" customHeight="1">
      <c r="A200" s="62">
        <v>193</v>
      </c>
      <c r="B200" s="63" t="str">
        <f>IF('Students Details'!B199="","",'Students Details'!B199)</f>
        <v/>
      </c>
      <c r="C200" s="64" t="str">
        <f>IF('Students Details'!C199="","",'Students Details'!C199)</f>
        <v/>
      </c>
      <c r="D200" s="66"/>
      <c r="E200" s="66"/>
      <c r="F200" s="66"/>
      <c r="G200" s="66"/>
      <c r="H200" s="66"/>
      <c r="I200" s="66"/>
      <c r="J200" s="67">
        <f t="shared" si="0"/>
        <v>0</v>
      </c>
      <c r="K200" s="61">
        <f t="shared" ref="K200:M200" si="389">D200</f>
        <v>0</v>
      </c>
      <c r="L200" s="61">
        <f t="shared" si="389"/>
        <v>0</v>
      </c>
      <c r="M200" s="61">
        <f t="shared" si="389"/>
        <v>0</v>
      </c>
      <c r="N200" s="61">
        <f>IF('CO-PO Mapping'!$A$10="",0,G200)</f>
        <v>0</v>
      </c>
      <c r="O200" s="61">
        <f>IF('CO-PO Mapping'!$A$11="",0,H200)</f>
        <v>0</v>
      </c>
      <c r="P200" s="61">
        <f>IF('CO-PO Mapping'!$A$12="",0,I200)</f>
        <v>0</v>
      </c>
      <c r="Q200" s="61">
        <f t="shared" si="2"/>
        <v>0</v>
      </c>
      <c r="R200" s="61">
        <f t="shared" ref="R200:W200" si="390">K200</f>
        <v>0</v>
      </c>
      <c r="S200" s="61">
        <f t="shared" si="390"/>
        <v>0</v>
      </c>
      <c r="T200" s="61">
        <f t="shared" si="390"/>
        <v>0</v>
      </c>
      <c r="U200" s="61">
        <f t="shared" si="390"/>
        <v>0</v>
      </c>
      <c r="V200" s="61">
        <f t="shared" si="390"/>
        <v>0</v>
      </c>
      <c r="W200" s="61">
        <f t="shared" si="390"/>
        <v>0</v>
      </c>
      <c r="X200" s="61">
        <f t="shared" si="6"/>
        <v>0</v>
      </c>
    </row>
    <row r="201" spans="1:24" ht="15.75" customHeight="1">
      <c r="A201" s="62">
        <v>194</v>
      </c>
      <c r="B201" s="63" t="str">
        <f>IF('Students Details'!B200="","",'Students Details'!B200)</f>
        <v/>
      </c>
      <c r="C201" s="64" t="str">
        <f>IF('Students Details'!C200="","",'Students Details'!C200)</f>
        <v/>
      </c>
      <c r="D201" s="66"/>
      <c r="E201" s="66"/>
      <c r="F201" s="66"/>
      <c r="G201" s="66"/>
      <c r="H201" s="66"/>
      <c r="I201" s="66"/>
      <c r="J201" s="67">
        <f t="shared" si="0"/>
        <v>0</v>
      </c>
      <c r="K201" s="61">
        <f t="shared" ref="K201:M201" si="391">D201</f>
        <v>0</v>
      </c>
      <c r="L201" s="61">
        <f t="shared" si="391"/>
        <v>0</v>
      </c>
      <c r="M201" s="61">
        <f t="shared" si="391"/>
        <v>0</v>
      </c>
      <c r="N201" s="61">
        <f>IF('CO-PO Mapping'!$A$10="",0,G201)</f>
        <v>0</v>
      </c>
      <c r="O201" s="61">
        <f>IF('CO-PO Mapping'!$A$11="",0,H201)</f>
        <v>0</v>
      </c>
      <c r="P201" s="61">
        <f>IF('CO-PO Mapping'!$A$12="",0,I201)</f>
        <v>0</v>
      </c>
      <c r="Q201" s="61">
        <f t="shared" si="2"/>
        <v>0</v>
      </c>
      <c r="R201" s="61">
        <f t="shared" ref="R201:W201" si="392">K201</f>
        <v>0</v>
      </c>
      <c r="S201" s="61">
        <f t="shared" si="392"/>
        <v>0</v>
      </c>
      <c r="T201" s="61">
        <f t="shared" si="392"/>
        <v>0</v>
      </c>
      <c r="U201" s="61">
        <f t="shared" si="392"/>
        <v>0</v>
      </c>
      <c r="V201" s="61">
        <f t="shared" si="392"/>
        <v>0</v>
      </c>
      <c r="W201" s="61">
        <f t="shared" si="392"/>
        <v>0</v>
      </c>
      <c r="X201" s="61">
        <f t="shared" si="6"/>
        <v>0</v>
      </c>
    </row>
    <row r="202" spans="1:24" ht="15.75" customHeight="1">
      <c r="A202" s="62">
        <v>195</v>
      </c>
      <c r="B202" s="63" t="str">
        <f>IF('Students Details'!B201="","",'Students Details'!B201)</f>
        <v/>
      </c>
      <c r="C202" s="64" t="str">
        <f>IF('Students Details'!C201="","",'Students Details'!C201)</f>
        <v/>
      </c>
      <c r="D202" s="66"/>
      <c r="E202" s="66"/>
      <c r="F202" s="66"/>
      <c r="G202" s="66"/>
      <c r="H202" s="66"/>
      <c r="I202" s="66"/>
      <c r="J202" s="67">
        <f t="shared" si="0"/>
        <v>0</v>
      </c>
      <c r="K202" s="61">
        <f t="shared" ref="K202:M202" si="393">D202</f>
        <v>0</v>
      </c>
      <c r="L202" s="61">
        <f t="shared" si="393"/>
        <v>0</v>
      </c>
      <c r="M202" s="61">
        <f t="shared" si="393"/>
        <v>0</v>
      </c>
      <c r="N202" s="61">
        <f>IF('CO-PO Mapping'!$A$10="",0,G202)</f>
        <v>0</v>
      </c>
      <c r="O202" s="61">
        <f>IF('CO-PO Mapping'!$A$11="",0,H202)</f>
        <v>0</v>
      </c>
      <c r="P202" s="61">
        <f>IF('CO-PO Mapping'!$A$12="",0,I202)</f>
        <v>0</v>
      </c>
      <c r="Q202" s="61">
        <f t="shared" si="2"/>
        <v>0</v>
      </c>
      <c r="R202" s="61">
        <f t="shared" ref="R202:W202" si="394">K202</f>
        <v>0</v>
      </c>
      <c r="S202" s="61">
        <f t="shared" si="394"/>
        <v>0</v>
      </c>
      <c r="T202" s="61">
        <f t="shared" si="394"/>
        <v>0</v>
      </c>
      <c r="U202" s="61">
        <f t="shared" si="394"/>
        <v>0</v>
      </c>
      <c r="V202" s="61">
        <f t="shared" si="394"/>
        <v>0</v>
      </c>
      <c r="W202" s="61">
        <f t="shared" si="394"/>
        <v>0</v>
      </c>
      <c r="X202" s="61">
        <f t="shared" si="6"/>
        <v>0</v>
      </c>
    </row>
    <row r="203" spans="1:24" ht="15.75" customHeight="1">
      <c r="A203" s="62">
        <v>196</v>
      </c>
      <c r="B203" s="63" t="str">
        <f>IF('Students Details'!B202="","",'Students Details'!B202)</f>
        <v/>
      </c>
      <c r="C203" s="64" t="str">
        <f>IF('Students Details'!C202="","",'Students Details'!C202)</f>
        <v/>
      </c>
      <c r="D203" s="66"/>
      <c r="E203" s="66"/>
      <c r="F203" s="66"/>
      <c r="G203" s="66"/>
      <c r="H203" s="66"/>
      <c r="I203" s="66"/>
      <c r="J203" s="67">
        <f t="shared" si="0"/>
        <v>0</v>
      </c>
      <c r="K203" s="61">
        <f t="shared" ref="K203:M203" si="395">D203</f>
        <v>0</v>
      </c>
      <c r="L203" s="61">
        <f t="shared" si="395"/>
        <v>0</v>
      </c>
      <c r="M203" s="61">
        <f t="shared" si="395"/>
        <v>0</v>
      </c>
      <c r="N203" s="61">
        <f>IF('CO-PO Mapping'!$A$10="",0,G203)</f>
        <v>0</v>
      </c>
      <c r="O203" s="61">
        <f>IF('CO-PO Mapping'!$A$11="",0,H203)</f>
        <v>0</v>
      </c>
      <c r="P203" s="61">
        <f>IF('CO-PO Mapping'!$A$12="",0,I203)</f>
        <v>0</v>
      </c>
      <c r="Q203" s="61">
        <f t="shared" si="2"/>
        <v>0</v>
      </c>
      <c r="R203" s="61">
        <f t="shared" ref="R203:W203" si="396">K203</f>
        <v>0</v>
      </c>
      <c r="S203" s="61">
        <f t="shared" si="396"/>
        <v>0</v>
      </c>
      <c r="T203" s="61">
        <f t="shared" si="396"/>
        <v>0</v>
      </c>
      <c r="U203" s="61">
        <f t="shared" si="396"/>
        <v>0</v>
      </c>
      <c r="V203" s="61">
        <f t="shared" si="396"/>
        <v>0</v>
      </c>
      <c r="W203" s="61">
        <f t="shared" si="396"/>
        <v>0</v>
      </c>
      <c r="X203" s="61">
        <f t="shared" si="6"/>
        <v>0</v>
      </c>
    </row>
    <row r="204" spans="1:24" ht="15.75" customHeight="1">
      <c r="A204" s="62">
        <v>197</v>
      </c>
      <c r="B204" s="63" t="str">
        <f>IF('Students Details'!B203="","",'Students Details'!B203)</f>
        <v/>
      </c>
      <c r="C204" s="64" t="str">
        <f>IF('Students Details'!C203="","",'Students Details'!C203)</f>
        <v/>
      </c>
      <c r="D204" s="66"/>
      <c r="E204" s="66"/>
      <c r="F204" s="66"/>
      <c r="G204" s="66"/>
      <c r="H204" s="66"/>
      <c r="I204" s="66"/>
      <c r="J204" s="67">
        <f t="shared" si="0"/>
        <v>0</v>
      </c>
      <c r="K204" s="61">
        <f t="shared" ref="K204:M204" si="397">D204</f>
        <v>0</v>
      </c>
      <c r="L204" s="61">
        <f t="shared" si="397"/>
        <v>0</v>
      </c>
      <c r="M204" s="61">
        <f t="shared" si="397"/>
        <v>0</v>
      </c>
      <c r="N204" s="61">
        <f>IF('CO-PO Mapping'!$A$10="",0,G204)</f>
        <v>0</v>
      </c>
      <c r="O204" s="61">
        <f>IF('CO-PO Mapping'!$A$11="",0,H204)</f>
        <v>0</v>
      </c>
      <c r="P204" s="61">
        <f>IF('CO-PO Mapping'!$A$12="",0,I204)</f>
        <v>0</v>
      </c>
      <c r="Q204" s="61">
        <f t="shared" si="2"/>
        <v>0</v>
      </c>
      <c r="R204" s="61">
        <f t="shared" ref="R204:W204" si="398">K204</f>
        <v>0</v>
      </c>
      <c r="S204" s="61">
        <f t="shared" si="398"/>
        <v>0</v>
      </c>
      <c r="T204" s="61">
        <f t="shared" si="398"/>
        <v>0</v>
      </c>
      <c r="U204" s="61">
        <f t="shared" si="398"/>
        <v>0</v>
      </c>
      <c r="V204" s="61">
        <f t="shared" si="398"/>
        <v>0</v>
      </c>
      <c r="W204" s="61">
        <f t="shared" si="398"/>
        <v>0</v>
      </c>
      <c r="X204" s="61">
        <f t="shared" si="6"/>
        <v>0</v>
      </c>
    </row>
    <row r="205" spans="1:24" ht="15.75" customHeight="1">
      <c r="A205" s="62">
        <v>198</v>
      </c>
      <c r="B205" s="63" t="str">
        <f>IF('Students Details'!B204="","",'Students Details'!B204)</f>
        <v/>
      </c>
      <c r="C205" s="64" t="str">
        <f>IF('Students Details'!C204="","",'Students Details'!C204)</f>
        <v/>
      </c>
      <c r="D205" s="66"/>
      <c r="E205" s="66"/>
      <c r="F205" s="66"/>
      <c r="G205" s="66"/>
      <c r="H205" s="66"/>
      <c r="I205" s="66"/>
      <c r="J205" s="67">
        <f t="shared" si="0"/>
        <v>0</v>
      </c>
      <c r="K205" s="61">
        <f t="shared" ref="K205:M205" si="399">D205</f>
        <v>0</v>
      </c>
      <c r="L205" s="61">
        <f t="shared" si="399"/>
        <v>0</v>
      </c>
      <c r="M205" s="61">
        <f t="shared" si="399"/>
        <v>0</v>
      </c>
      <c r="N205" s="61">
        <f>IF('CO-PO Mapping'!$A$10="",0,G205)</f>
        <v>0</v>
      </c>
      <c r="O205" s="61">
        <f>IF('CO-PO Mapping'!$A$11="",0,H205)</f>
        <v>0</v>
      </c>
      <c r="P205" s="61">
        <f>IF('CO-PO Mapping'!$A$12="",0,I205)</f>
        <v>0</v>
      </c>
      <c r="Q205" s="61">
        <f t="shared" si="2"/>
        <v>0</v>
      </c>
      <c r="R205" s="61">
        <f t="shared" ref="R205:W205" si="400">K205</f>
        <v>0</v>
      </c>
      <c r="S205" s="61">
        <f t="shared" si="400"/>
        <v>0</v>
      </c>
      <c r="T205" s="61">
        <f t="shared" si="400"/>
        <v>0</v>
      </c>
      <c r="U205" s="61">
        <f t="shared" si="400"/>
        <v>0</v>
      </c>
      <c r="V205" s="61">
        <f t="shared" si="400"/>
        <v>0</v>
      </c>
      <c r="W205" s="61">
        <f t="shared" si="400"/>
        <v>0</v>
      </c>
      <c r="X205" s="61">
        <f t="shared" si="6"/>
        <v>0</v>
      </c>
    </row>
    <row r="206" spans="1:24" ht="15.75" customHeight="1">
      <c r="A206" s="62">
        <v>199</v>
      </c>
      <c r="B206" s="63" t="str">
        <f>IF('Students Details'!B205="","",'Students Details'!B205)</f>
        <v/>
      </c>
      <c r="C206" s="64" t="str">
        <f>IF('Students Details'!C205="","",'Students Details'!C205)</f>
        <v/>
      </c>
      <c r="D206" s="66"/>
      <c r="E206" s="66"/>
      <c r="F206" s="66"/>
      <c r="G206" s="66"/>
      <c r="H206" s="66"/>
      <c r="I206" s="66"/>
      <c r="J206" s="67">
        <f t="shared" si="0"/>
        <v>0</v>
      </c>
      <c r="K206" s="61">
        <f t="shared" ref="K206:M206" si="401">D206</f>
        <v>0</v>
      </c>
      <c r="L206" s="61">
        <f t="shared" si="401"/>
        <v>0</v>
      </c>
      <c r="M206" s="61">
        <f t="shared" si="401"/>
        <v>0</v>
      </c>
      <c r="N206" s="61">
        <f>IF('CO-PO Mapping'!$A$10="",0,G206)</f>
        <v>0</v>
      </c>
      <c r="O206" s="61">
        <f>IF('CO-PO Mapping'!$A$11="",0,H206)</f>
        <v>0</v>
      </c>
      <c r="P206" s="61">
        <f>IF('CO-PO Mapping'!$A$12="",0,I206)</f>
        <v>0</v>
      </c>
      <c r="Q206" s="61">
        <f t="shared" si="2"/>
        <v>0</v>
      </c>
      <c r="R206" s="61">
        <f t="shared" ref="R206:W206" si="402">K206</f>
        <v>0</v>
      </c>
      <c r="S206" s="61">
        <f t="shared" si="402"/>
        <v>0</v>
      </c>
      <c r="T206" s="61">
        <f t="shared" si="402"/>
        <v>0</v>
      </c>
      <c r="U206" s="61">
        <f t="shared" si="402"/>
        <v>0</v>
      </c>
      <c r="V206" s="61">
        <f t="shared" si="402"/>
        <v>0</v>
      </c>
      <c r="W206" s="61">
        <f t="shared" si="402"/>
        <v>0</v>
      </c>
      <c r="X206" s="61">
        <f t="shared" si="6"/>
        <v>0</v>
      </c>
    </row>
    <row r="207" spans="1:24" ht="15.75" customHeight="1">
      <c r="A207" s="62">
        <v>200</v>
      </c>
      <c r="B207" s="63" t="str">
        <f>IF('Students Details'!B206="","",'Students Details'!B206)</f>
        <v/>
      </c>
      <c r="C207" s="64" t="str">
        <f>IF('Students Details'!C206="","",'Students Details'!C206)</f>
        <v/>
      </c>
      <c r="D207" s="66"/>
      <c r="E207" s="66"/>
      <c r="F207" s="66"/>
      <c r="G207" s="66"/>
      <c r="H207" s="66"/>
      <c r="I207" s="66"/>
      <c r="J207" s="67">
        <f t="shared" si="0"/>
        <v>0</v>
      </c>
      <c r="K207" s="61">
        <f t="shared" ref="K207:M207" si="403">D207</f>
        <v>0</v>
      </c>
      <c r="L207" s="61">
        <f t="shared" si="403"/>
        <v>0</v>
      </c>
      <c r="M207" s="61">
        <f t="shared" si="403"/>
        <v>0</v>
      </c>
      <c r="N207" s="61">
        <f>IF('CO-PO Mapping'!$A$10="",0,G207)</f>
        <v>0</v>
      </c>
      <c r="O207" s="61">
        <f>IF('CO-PO Mapping'!$A$11="",0,H207)</f>
        <v>0</v>
      </c>
      <c r="P207" s="61">
        <f>IF('CO-PO Mapping'!$A$12="",0,I207)</f>
        <v>0</v>
      </c>
      <c r="Q207" s="61">
        <f t="shared" si="2"/>
        <v>0</v>
      </c>
      <c r="R207" s="61">
        <f t="shared" ref="R207:W207" si="404">K207</f>
        <v>0</v>
      </c>
      <c r="S207" s="61">
        <f t="shared" si="404"/>
        <v>0</v>
      </c>
      <c r="T207" s="61">
        <f t="shared" si="404"/>
        <v>0</v>
      </c>
      <c r="U207" s="61">
        <f t="shared" si="404"/>
        <v>0</v>
      </c>
      <c r="V207" s="61">
        <f t="shared" si="404"/>
        <v>0</v>
      </c>
      <c r="W207" s="61">
        <f t="shared" si="404"/>
        <v>0</v>
      </c>
      <c r="X207" s="61">
        <f t="shared" si="6"/>
        <v>0</v>
      </c>
    </row>
    <row r="208" spans="1:24" ht="15.75" customHeight="1">
      <c r="C208" s="53"/>
      <c r="D208" s="73"/>
      <c r="E208" s="73"/>
      <c r="F208" s="73"/>
      <c r="G208" s="73"/>
      <c r="H208" s="73"/>
      <c r="I208" s="73"/>
      <c r="J208" s="73"/>
      <c r="K208" s="53"/>
      <c r="L208" s="53"/>
      <c r="M208" s="53"/>
      <c r="N208" s="53"/>
      <c r="O208" s="53"/>
      <c r="P208" s="53"/>
      <c r="Q208" s="53"/>
    </row>
    <row r="209" spans="3:17" ht="15.75" customHeight="1">
      <c r="C209" s="53"/>
      <c r="D209" s="73"/>
      <c r="E209" s="73"/>
      <c r="F209" s="73"/>
      <c r="G209" s="73"/>
      <c r="H209" s="73"/>
      <c r="I209" s="73"/>
      <c r="J209" s="73"/>
      <c r="K209" s="53"/>
      <c r="L209" s="53"/>
      <c r="M209" s="53"/>
      <c r="N209" s="53"/>
      <c r="O209" s="53"/>
      <c r="P209" s="53"/>
      <c r="Q209" s="53"/>
    </row>
    <row r="210" spans="3:17" ht="15.75" customHeight="1">
      <c r="C210" s="53"/>
      <c r="D210" s="73"/>
      <c r="E210" s="73"/>
      <c r="F210" s="73"/>
      <c r="G210" s="73"/>
      <c r="H210" s="73"/>
      <c r="I210" s="73"/>
      <c r="J210" s="73"/>
      <c r="K210" s="53"/>
      <c r="L210" s="53"/>
      <c r="M210" s="53"/>
      <c r="N210" s="53"/>
      <c r="O210" s="53"/>
      <c r="P210" s="53"/>
      <c r="Q210" s="53"/>
    </row>
    <row r="211" spans="3:17" ht="15.75" customHeight="1">
      <c r="C211" s="53"/>
      <c r="D211" s="73"/>
      <c r="E211" s="73"/>
      <c r="F211" s="73"/>
      <c r="G211" s="73"/>
      <c r="H211" s="73"/>
      <c r="I211" s="73"/>
      <c r="J211" s="73"/>
      <c r="K211" s="53"/>
      <c r="L211" s="53"/>
      <c r="M211" s="53"/>
      <c r="N211" s="53"/>
      <c r="O211" s="53"/>
      <c r="P211" s="53"/>
      <c r="Q211" s="53"/>
    </row>
    <row r="212" spans="3:17" ht="15.75" customHeight="1">
      <c r="C212" s="53"/>
      <c r="D212" s="73"/>
      <c r="E212" s="73"/>
      <c r="F212" s="73"/>
      <c r="G212" s="73"/>
      <c r="H212" s="73"/>
      <c r="I212" s="73"/>
      <c r="J212" s="73"/>
      <c r="K212" s="53"/>
      <c r="L212" s="53"/>
      <c r="M212" s="53"/>
      <c r="N212" s="53"/>
      <c r="O212" s="53"/>
      <c r="P212" s="53"/>
      <c r="Q212" s="53"/>
    </row>
    <row r="213" spans="3:17" ht="15.75" customHeight="1">
      <c r="C213" s="53"/>
      <c r="D213" s="73"/>
      <c r="E213" s="73"/>
      <c r="F213" s="73"/>
      <c r="G213" s="73"/>
      <c r="H213" s="73"/>
      <c r="I213" s="73"/>
      <c r="J213" s="73"/>
      <c r="K213" s="53"/>
      <c r="L213" s="53"/>
      <c r="M213" s="53"/>
      <c r="N213" s="53"/>
      <c r="O213" s="53"/>
      <c r="P213" s="53"/>
      <c r="Q213" s="53"/>
    </row>
    <row r="214" spans="3:17" ht="15.75" customHeight="1">
      <c r="C214" s="53"/>
      <c r="D214" s="73"/>
      <c r="E214" s="73"/>
      <c r="F214" s="73"/>
      <c r="G214" s="73"/>
      <c r="H214" s="73"/>
      <c r="I214" s="73"/>
      <c r="J214" s="73"/>
      <c r="K214" s="53"/>
      <c r="L214" s="53"/>
      <c r="M214" s="53"/>
      <c r="N214" s="53"/>
      <c r="O214" s="53"/>
      <c r="P214" s="53"/>
      <c r="Q214" s="53"/>
    </row>
    <row r="215" spans="3:17" ht="15.75" customHeight="1">
      <c r="C215" s="53"/>
      <c r="D215" s="73"/>
      <c r="E215" s="73"/>
      <c r="F215" s="73"/>
      <c r="G215" s="73"/>
      <c r="H215" s="73"/>
      <c r="I215" s="73"/>
      <c r="J215" s="73"/>
      <c r="K215" s="53"/>
      <c r="L215" s="53"/>
      <c r="M215" s="53"/>
      <c r="N215" s="53"/>
      <c r="O215" s="53"/>
      <c r="P215" s="53"/>
      <c r="Q215" s="53"/>
    </row>
    <row r="216" spans="3:17" ht="15.75" customHeight="1">
      <c r="C216" s="53"/>
      <c r="D216" s="73"/>
      <c r="E216" s="73"/>
      <c r="F216" s="73"/>
      <c r="G216" s="73"/>
      <c r="H216" s="73"/>
      <c r="I216" s="73"/>
      <c r="J216" s="73"/>
      <c r="K216" s="53"/>
      <c r="L216" s="53"/>
      <c r="M216" s="53"/>
      <c r="N216" s="53"/>
      <c r="O216" s="53"/>
      <c r="P216" s="53"/>
      <c r="Q216" s="53"/>
    </row>
    <row r="217" spans="3:17" ht="15.75" customHeight="1">
      <c r="C217" s="53"/>
      <c r="D217" s="73"/>
      <c r="E217" s="73"/>
      <c r="F217" s="73"/>
      <c r="G217" s="73"/>
      <c r="H217" s="73"/>
      <c r="I217" s="73"/>
      <c r="J217" s="73"/>
      <c r="K217" s="53"/>
      <c r="L217" s="53"/>
      <c r="M217" s="53"/>
      <c r="N217" s="53"/>
      <c r="O217" s="53"/>
      <c r="P217" s="53"/>
      <c r="Q217" s="53"/>
    </row>
    <row r="218" spans="3:17" ht="15.75" customHeight="1">
      <c r="C218" s="53"/>
      <c r="D218" s="73"/>
      <c r="E218" s="73"/>
      <c r="F218" s="73"/>
      <c r="G218" s="73"/>
      <c r="H218" s="73"/>
      <c r="I218" s="73"/>
      <c r="J218" s="73"/>
      <c r="K218" s="53"/>
      <c r="L218" s="53"/>
      <c r="M218" s="53"/>
      <c r="N218" s="53"/>
      <c r="O218" s="53"/>
      <c r="P218" s="53"/>
      <c r="Q218" s="53"/>
    </row>
    <row r="219" spans="3:17" ht="15.75" customHeight="1">
      <c r="C219" s="53"/>
      <c r="D219" s="73"/>
      <c r="E219" s="73"/>
      <c r="F219" s="73"/>
      <c r="G219" s="73"/>
      <c r="H219" s="73"/>
      <c r="I219" s="73"/>
      <c r="J219" s="73"/>
      <c r="K219" s="53"/>
      <c r="L219" s="53"/>
      <c r="M219" s="53"/>
      <c r="N219" s="53"/>
      <c r="O219" s="53"/>
      <c r="P219" s="53"/>
      <c r="Q219" s="53"/>
    </row>
    <row r="220" spans="3:17" ht="15.75" customHeight="1">
      <c r="C220" s="53"/>
      <c r="D220" s="73"/>
      <c r="E220" s="73"/>
      <c r="F220" s="73"/>
      <c r="G220" s="73"/>
      <c r="H220" s="73"/>
      <c r="I220" s="73"/>
      <c r="J220" s="73"/>
      <c r="K220" s="53"/>
      <c r="L220" s="53"/>
      <c r="M220" s="53"/>
      <c r="N220" s="53"/>
      <c r="O220" s="53"/>
      <c r="P220" s="53"/>
      <c r="Q220" s="53"/>
    </row>
    <row r="221" spans="3:17" ht="15.75" customHeight="1">
      <c r="C221" s="53"/>
      <c r="D221" s="73"/>
      <c r="E221" s="73"/>
      <c r="F221" s="73"/>
      <c r="G221" s="73"/>
      <c r="H221" s="73"/>
      <c r="I221" s="73"/>
      <c r="J221" s="73"/>
      <c r="K221" s="53"/>
      <c r="L221" s="53"/>
      <c r="M221" s="53"/>
      <c r="N221" s="53"/>
      <c r="O221" s="53"/>
      <c r="P221" s="53"/>
      <c r="Q221" s="53"/>
    </row>
    <row r="222" spans="3:17" ht="15.75" customHeight="1">
      <c r="C222" s="53"/>
      <c r="D222" s="73"/>
      <c r="E222" s="73"/>
      <c r="F222" s="73"/>
      <c r="G222" s="73"/>
      <c r="H222" s="73"/>
      <c r="I222" s="73"/>
      <c r="J222" s="73"/>
      <c r="K222" s="53"/>
      <c r="L222" s="53"/>
      <c r="M222" s="53"/>
      <c r="N222" s="53"/>
      <c r="O222" s="53"/>
      <c r="P222" s="53"/>
      <c r="Q222" s="53"/>
    </row>
    <row r="223" spans="3:17" ht="15.75" customHeight="1">
      <c r="C223" s="53"/>
      <c r="D223" s="73"/>
      <c r="E223" s="73"/>
      <c r="F223" s="73"/>
      <c r="G223" s="73"/>
      <c r="H223" s="73"/>
      <c r="I223" s="73"/>
      <c r="J223" s="73"/>
      <c r="K223" s="53"/>
      <c r="L223" s="53"/>
      <c r="M223" s="53"/>
      <c r="N223" s="53"/>
      <c r="O223" s="53"/>
      <c r="P223" s="53"/>
      <c r="Q223" s="53"/>
    </row>
    <row r="224" spans="3:17" ht="15.75" customHeight="1">
      <c r="C224" s="53"/>
      <c r="D224" s="73"/>
      <c r="E224" s="73"/>
      <c r="F224" s="73"/>
      <c r="G224" s="73"/>
      <c r="H224" s="73"/>
      <c r="I224" s="73"/>
      <c r="J224" s="73"/>
      <c r="K224" s="53"/>
      <c r="L224" s="53"/>
      <c r="M224" s="53"/>
      <c r="N224" s="53"/>
      <c r="O224" s="53"/>
      <c r="P224" s="53"/>
      <c r="Q224" s="53"/>
    </row>
    <row r="225" spans="3:17" ht="15.75" customHeight="1">
      <c r="C225" s="53"/>
      <c r="D225" s="73"/>
      <c r="E225" s="73"/>
      <c r="F225" s="73"/>
      <c r="G225" s="73"/>
      <c r="H225" s="73"/>
      <c r="I225" s="73"/>
      <c r="J225" s="73"/>
      <c r="K225" s="53"/>
      <c r="L225" s="53"/>
      <c r="M225" s="53"/>
      <c r="N225" s="53"/>
      <c r="O225" s="53"/>
      <c r="P225" s="53"/>
      <c r="Q225" s="53"/>
    </row>
    <row r="226" spans="3:17" ht="15.75" customHeight="1">
      <c r="C226" s="53"/>
      <c r="D226" s="73"/>
      <c r="E226" s="73"/>
      <c r="F226" s="73"/>
      <c r="G226" s="73"/>
      <c r="H226" s="73"/>
      <c r="I226" s="73"/>
      <c r="J226" s="73"/>
      <c r="K226" s="53"/>
      <c r="L226" s="53"/>
      <c r="M226" s="53"/>
      <c r="N226" s="53"/>
      <c r="O226" s="53"/>
      <c r="P226" s="53"/>
      <c r="Q226" s="53"/>
    </row>
    <row r="227" spans="3:17" ht="15.75" customHeight="1">
      <c r="C227" s="53"/>
      <c r="D227" s="73"/>
      <c r="E227" s="73"/>
      <c r="F227" s="73"/>
      <c r="G227" s="73"/>
      <c r="H227" s="73"/>
      <c r="I227" s="73"/>
      <c r="J227" s="73"/>
      <c r="K227" s="53"/>
      <c r="L227" s="53"/>
      <c r="M227" s="53"/>
      <c r="N227" s="53"/>
      <c r="O227" s="53"/>
      <c r="P227" s="53"/>
      <c r="Q227" s="53"/>
    </row>
    <row r="228" spans="3:17" ht="15.75" customHeight="1">
      <c r="C228" s="53"/>
      <c r="D228" s="73"/>
      <c r="E228" s="73"/>
      <c r="F228" s="73"/>
      <c r="G228" s="73"/>
      <c r="H228" s="73"/>
      <c r="I228" s="73"/>
      <c r="J228" s="73"/>
      <c r="K228" s="53"/>
      <c r="L228" s="53"/>
      <c r="M228" s="53"/>
      <c r="N228" s="53"/>
      <c r="O228" s="53"/>
      <c r="P228" s="53"/>
      <c r="Q228" s="53"/>
    </row>
    <row r="229" spans="3:17" ht="15.75" customHeight="1">
      <c r="C229" s="53"/>
      <c r="D229" s="73"/>
      <c r="E229" s="73"/>
      <c r="F229" s="73"/>
      <c r="G229" s="73"/>
      <c r="H229" s="73"/>
      <c r="I229" s="73"/>
      <c r="J229" s="73"/>
      <c r="K229" s="53"/>
      <c r="L229" s="53"/>
      <c r="M229" s="53"/>
      <c r="N229" s="53"/>
      <c r="O229" s="53"/>
      <c r="P229" s="53"/>
      <c r="Q229" s="53"/>
    </row>
    <row r="230" spans="3:17" ht="15.75" customHeight="1">
      <c r="C230" s="53"/>
      <c r="D230" s="73"/>
      <c r="E230" s="73"/>
      <c r="F230" s="73"/>
      <c r="G230" s="73"/>
      <c r="H230" s="73"/>
      <c r="I230" s="73"/>
      <c r="J230" s="73"/>
      <c r="K230" s="53"/>
      <c r="L230" s="53"/>
      <c r="M230" s="53"/>
      <c r="N230" s="53"/>
      <c r="O230" s="53"/>
      <c r="P230" s="53"/>
      <c r="Q230" s="53"/>
    </row>
    <row r="231" spans="3:17" ht="15.75" customHeight="1">
      <c r="C231" s="53"/>
      <c r="D231" s="73"/>
      <c r="E231" s="73"/>
      <c r="F231" s="73"/>
      <c r="G231" s="73"/>
      <c r="H231" s="73"/>
      <c r="I231" s="73"/>
      <c r="J231" s="73"/>
      <c r="K231" s="53"/>
      <c r="L231" s="53"/>
      <c r="M231" s="53"/>
      <c r="N231" s="53"/>
      <c r="O231" s="53"/>
      <c r="P231" s="53"/>
      <c r="Q231" s="53"/>
    </row>
    <row r="232" spans="3:17" ht="15.75" customHeight="1">
      <c r="C232" s="53"/>
      <c r="D232" s="73"/>
      <c r="E232" s="73"/>
      <c r="F232" s="73"/>
      <c r="G232" s="73"/>
      <c r="H232" s="73"/>
      <c r="I232" s="73"/>
      <c r="J232" s="73"/>
      <c r="K232" s="53"/>
      <c r="L232" s="53"/>
      <c r="M232" s="53"/>
      <c r="N232" s="53"/>
      <c r="O232" s="53"/>
      <c r="P232" s="53"/>
      <c r="Q232" s="53"/>
    </row>
    <row r="233" spans="3:17" ht="15.75" customHeight="1">
      <c r="C233" s="53"/>
      <c r="D233" s="73"/>
      <c r="E233" s="73"/>
      <c r="F233" s="73"/>
      <c r="G233" s="73"/>
      <c r="H233" s="73"/>
      <c r="I233" s="73"/>
      <c r="J233" s="73"/>
      <c r="K233" s="53"/>
      <c r="L233" s="53"/>
      <c r="M233" s="53"/>
      <c r="N233" s="53"/>
      <c r="O233" s="53"/>
      <c r="P233" s="53"/>
      <c r="Q233" s="53"/>
    </row>
    <row r="234" spans="3:17" ht="15.75" customHeight="1">
      <c r="C234" s="53"/>
      <c r="D234" s="73"/>
      <c r="E234" s="73"/>
      <c r="F234" s="73"/>
      <c r="G234" s="73"/>
      <c r="H234" s="73"/>
      <c r="I234" s="73"/>
      <c r="J234" s="73"/>
      <c r="K234" s="53"/>
      <c r="L234" s="53"/>
      <c r="M234" s="53"/>
      <c r="N234" s="53"/>
      <c r="O234" s="53"/>
      <c r="P234" s="53"/>
      <c r="Q234" s="53"/>
    </row>
    <row r="235" spans="3:17" ht="15.75" customHeight="1">
      <c r="C235" s="53"/>
      <c r="D235" s="73"/>
      <c r="E235" s="73"/>
      <c r="F235" s="73"/>
      <c r="G235" s="73"/>
      <c r="H235" s="73"/>
      <c r="I235" s="73"/>
      <c r="J235" s="73"/>
      <c r="K235" s="53"/>
      <c r="L235" s="53"/>
      <c r="M235" s="53"/>
      <c r="N235" s="53"/>
      <c r="O235" s="53"/>
      <c r="P235" s="53"/>
      <c r="Q235" s="53"/>
    </row>
    <row r="236" spans="3:17" ht="15.75" customHeight="1">
      <c r="C236" s="53"/>
      <c r="D236" s="73"/>
      <c r="E236" s="73"/>
      <c r="F236" s="73"/>
      <c r="G236" s="73"/>
      <c r="H236" s="73"/>
      <c r="I236" s="73"/>
      <c r="J236" s="73"/>
      <c r="K236" s="53"/>
      <c r="L236" s="53"/>
      <c r="M236" s="53"/>
      <c r="N236" s="53"/>
      <c r="O236" s="53"/>
      <c r="P236" s="53"/>
      <c r="Q236" s="53"/>
    </row>
    <row r="237" spans="3:17" ht="15.75" customHeight="1">
      <c r="C237" s="53"/>
      <c r="D237" s="73"/>
      <c r="E237" s="73"/>
      <c r="F237" s="73"/>
      <c r="G237" s="73"/>
      <c r="H237" s="73"/>
      <c r="I237" s="73"/>
      <c r="J237" s="73"/>
      <c r="K237" s="53"/>
      <c r="L237" s="53"/>
      <c r="M237" s="53"/>
      <c r="N237" s="53"/>
      <c r="O237" s="53"/>
      <c r="P237" s="53"/>
      <c r="Q237" s="53"/>
    </row>
    <row r="238" spans="3:17" ht="15.75" customHeight="1">
      <c r="C238" s="53"/>
      <c r="D238" s="73"/>
      <c r="E238" s="73"/>
      <c r="F238" s="73"/>
      <c r="G238" s="73"/>
      <c r="H238" s="73"/>
      <c r="I238" s="73"/>
      <c r="J238" s="73"/>
      <c r="K238" s="53"/>
      <c r="L238" s="53"/>
      <c r="M238" s="53"/>
      <c r="N238" s="53"/>
      <c r="O238" s="53"/>
      <c r="P238" s="53"/>
      <c r="Q238" s="53"/>
    </row>
    <row r="239" spans="3:17" ht="15.75" customHeight="1">
      <c r="C239" s="53"/>
      <c r="D239" s="73"/>
      <c r="E239" s="73"/>
      <c r="F239" s="73"/>
      <c r="G239" s="73"/>
      <c r="H239" s="73"/>
      <c r="I239" s="73"/>
      <c r="J239" s="73"/>
      <c r="K239" s="53"/>
      <c r="L239" s="53"/>
      <c r="M239" s="53"/>
      <c r="N239" s="53"/>
      <c r="O239" s="53"/>
      <c r="P239" s="53"/>
      <c r="Q239" s="53"/>
    </row>
    <row r="240" spans="3:17" ht="15.75" customHeight="1">
      <c r="C240" s="53"/>
      <c r="D240" s="73"/>
      <c r="E240" s="73"/>
      <c r="F240" s="73"/>
      <c r="G240" s="73"/>
      <c r="H240" s="73"/>
      <c r="I240" s="73"/>
      <c r="J240" s="73"/>
      <c r="K240" s="53"/>
      <c r="L240" s="53"/>
      <c r="M240" s="53"/>
      <c r="N240" s="53"/>
      <c r="O240" s="53"/>
      <c r="P240" s="53"/>
      <c r="Q240" s="53"/>
    </row>
    <row r="241" spans="3:17" ht="15.75" customHeight="1">
      <c r="C241" s="53"/>
      <c r="D241" s="73"/>
      <c r="E241" s="73"/>
      <c r="F241" s="73"/>
      <c r="G241" s="73"/>
      <c r="H241" s="73"/>
      <c r="I241" s="73"/>
      <c r="J241" s="73"/>
      <c r="K241" s="53"/>
      <c r="L241" s="53"/>
      <c r="M241" s="53"/>
      <c r="N241" s="53"/>
      <c r="O241" s="53"/>
      <c r="P241" s="53"/>
      <c r="Q241" s="53"/>
    </row>
    <row r="242" spans="3:17" ht="15.75" customHeight="1">
      <c r="C242" s="53"/>
      <c r="D242" s="73"/>
      <c r="E242" s="73"/>
      <c r="F242" s="73"/>
      <c r="G242" s="73"/>
      <c r="H242" s="73"/>
      <c r="I242" s="73"/>
      <c r="J242" s="73"/>
      <c r="K242" s="53"/>
      <c r="L242" s="53"/>
      <c r="M242" s="53"/>
      <c r="N242" s="53"/>
      <c r="O242" s="53"/>
      <c r="P242" s="53"/>
      <c r="Q242" s="53"/>
    </row>
    <row r="243" spans="3:17" ht="15.75" customHeight="1">
      <c r="C243" s="53"/>
      <c r="D243" s="73"/>
      <c r="E243" s="73"/>
      <c r="F243" s="73"/>
      <c r="G243" s="73"/>
      <c r="H243" s="73"/>
      <c r="I243" s="73"/>
      <c r="J243" s="73"/>
      <c r="K243" s="53"/>
      <c r="L243" s="53"/>
      <c r="M243" s="53"/>
      <c r="N243" s="53"/>
      <c r="O243" s="53"/>
      <c r="P243" s="53"/>
      <c r="Q243" s="53"/>
    </row>
    <row r="244" spans="3:17" ht="15.75" customHeight="1">
      <c r="C244" s="53"/>
      <c r="D244" s="73"/>
      <c r="E244" s="73"/>
      <c r="F244" s="73"/>
      <c r="G244" s="73"/>
      <c r="H244" s="73"/>
      <c r="I244" s="73"/>
      <c r="J244" s="73"/>
      <c r="K244" s="53"/>
      <c r="L244" s="53"/>
      <c r="M244" s="53"/>
      <c r="N244" s="53"/>
      <c r="O244" s="53"/>
      <c r="P244" s="53"/>
      <c r="Q244" s="53"/>
    </row>
    <row r="245" spans="3:17" ht="15.75" customHeight="1">
      <c r="C245" s="53"/>
      <c r="D245" s="73"/>
      <c r="E245" s="73"/>
      <c r="F245" s="73"/>
      <c r="G245" s="73"/>
      <c r="H245" s="73"/>
      <c r="I245" s="73"/>
      <c r="J245" s="73"/>
      <c r="K245" s="53"/>
      <c r="L245" s="53"/>
      <c r="M245" s="53"/>
      <c r="N245" s="53"/>
      <c r="O245" s="53"/>
      <c r="P245" s="53"/>
      <c r="Q245" s="53"/>
    </row>
    <row r="246" spans="3:17" ht="15.75" customHeight="1">
      <c r="C246" s="53"/>
      <c r="D246" s="73"/>
      <c r="E246" s="73"/>
      <c r="F246" s="73"/>
      <c r="G246" s="73"/>
      <c r="H246" s="73"/>
      <c r="I246" s="73"/>
      <c r="J246" s="73"/>
      <c r="K246" s="53"/>
      <c r="L246" s="53"/>
      <c r="M246" s="53"/>
      <c r="N246" s="53"/>
      <c r="O246" s="53"/>
      <c r="P246" s="53"/>
      <c r="Q246" s="53"/>
    </row>
    <row r="247" spans="3:17" ht="15.75" customHeight="1">
      <c r="C247" s="53"/>
      <c r="D247" s="73"/>
      <c r="E247" s="73"/>
      <c r="F247" s="73"/>
      <c r="G247" s="73"/>
      <c r="H247" s="73"/>
      <c r="I247" s="73"/>
      <c r="J247" s="73"/>
      <c r="K247" s="53"/>
      <c r="L247" s="53"/>
      <c r="M247" s="53"/>
      <c r="N247" s="53"/>
      <c r="O247" s="53"/>
      <c r="P247" s="53"/>
      <c r="Q247" s="53"/>
    </row>
    <row r="248" spans="3:17" ht="15.75" customHeight="1">
      <c r="C248" s="53"/>
      <c r="D248" s="73"/>
      <c r="E248" s="73"/>
      <c r="F248" s="73"/>
      <c r="G248" s="73"/>
      <c r="H248" s="73"/>
      <c r="I248" s="73"/>
      <c r="J248" s="73"/>
      <c r="K248" s="53"/>
      <c r="L248" s="53"/>
      <c r="M248" s="53"/>
      <c r="N248" s="53"/>
      <c r="O248" s="53"/>
      <c r="P248" s="53"/>
      <c r="Q248" s="53"/>
    </row>
    <row r="249" spans="3:17" ht="15.75" customHeight="1">
      <c r="C249" s="53"/>
      <c r="D249" s="73"/>
      <c r="E249" s="73"/>
      <c r="F249" s="73"/>
      <c r="G249" s="73"/>
      <c r="H249" s="73"/>
      <c r="I249" s="73"/>
      <c r="J249" s="73"/>
      <c r="K249" s="53"/>
      <c r="L249" s="53"/>
      <c r="M249" s="53"/>
      <c r="N249" s="53"/>
      <c r="O249" s="53"/>
      <c r="P249" s="53"/>
      <c r="Q249" s="53"/>
    </row>
    <row r="250" spans="3:17" ht="15.75" customHeight="1">
      <c r="C250" s="53"/>
      <c r="D250" s="73"/>
      <c r="E250" s="73"/>
      <c r="F250" s="73"/>
      <c r="G250" s="73"/>
      <c r="H250" s="73"/>
      <c r="I250" s="73"/>
      <c r="J250" s="73"/>
      <c r="K250" s="53"/>
      <c r="L250" s="53"/>
      <c r="M250" s="53"/>
      <c r="N250" s="53"/>
      <c r="O250" s="53"/>
      <c r="P250" s="53"/>
      <c r="Q250" s="53"/>
    </row>
    <row r="251" spans="3:17" ht="15.75" customHeight="1">
      <c r="C251" s="53"/>
      <c r="D251" s="73"/>
      <c r="E251" s="73"/>
      <c r="F251" s="73"/>
      <c r="G251" s="73"/>
      <c r="H251" s="73"/>
      <c r="I251" s="73"/>
      <c r="J251" s="73"/>
      <c r="K251" s="53"/>
      <c r="L251" s="53"/>
      <c r="M251" s="53"/>
      <c r="N251" s="53"/>
      <c r="O251" s="53"/>
      <c r="P251" s="53"/>
      <c r="Q251" s="53"/>
    </row>
    <row r="252" spans="3:17" ht="15.75" customHeight="1">
      <c r="C252" s="53"/>
      <c r="D252" s="73"/>
      <c r="E252" s="73"/>
      <c r="F252" s="73"/>
      <c r="G252" s="73"/>
      <c r="H252" s="73"/>
      <c r="I252" s="73"/>
      <c r="J252" s="73"/>
      <c r="K252" s="53"/>
      <c r="L252" s="53"/>
      <c r="M252" s="53"/>
      <c r="N252" s="53"/>
      <c r="O252" s="53"/>
      <c r="P252" s="53"/>
      <c r="Q252" s="53"/>
    </row>
    <row r="253" spans="3:17" ht="15.75" customHeight="1">
      <c r="C253" s="53"/>
      <c r="D253" s="73"/>
      <c r="E253" s="73"/>
      <c r="F253" s="73"/>
      <c r="G253" s="73"/>
      <c r="H253" s="73"/>
      <c r="I253" s="73"/>
      <c r="J253" s="73"/>
      <c r="K253" s="53"/>
      <c r="L253" s="53"/>
      <c r="M253" s="53"/>
      <c r="N253" s="53"/>
      <c r="O253" s="53"/>
      <c r="P253" s="53"/>
      <c r="Q253" s="53"/>
    </row>
    <row r="254" spans="3:17" ht="15.75" customHeight="1">
      <c r="C254" s="53"/>
      <c r="D254" s="73"/>
      <c r="E254" s="73"/>
      <c r="F254" s="73"/>
      <c r="G254" s="73"/>
      <c r="H254" s="73"/>
      <c r="I254" s="73"/>
      <c r="J254" s="73"/>
      <c r="K254" s="53"/>
      <c r="L254" s="53"/>
      <c r="M254" s="53"/>
      <c r="N254" s="53"/>
      <c r="O254" s="53"/>
      <c r="P254" s="53"/>
      <c r="Q254" s="53"/>
    </row>
    <row r="255" spans="3:17" ht="15.75" customHeight="1">
      <c r="C255" s="53"/>
      <c r="D255" s="73"/>
      <c r="E255" s="73"/>
      <c r="F255" s="73"/>
      <c r="G255" s="73"/>
      <c r="H255" s="73"/>
      <c r="I255" s="73"/>
      <c r="J255" s="73"/>
      <c r="K255" s="53"/>
      <c r="L255" s="53"/>
      <c r="M255" s="53"/>
      <c r="N255" s="53"/>
      <c r="O255" s="53"/>
      <c r="P255" s="53"/>
      <c r="Q255" s="53"/>
    </row>
    <row r="256" spans="3:17" ht="15.75" customHeight="1">
      <c r="C256" s="53"/>
      <c r="D256" s="73"/>
      <c r="E256" s="73"/>
      <c r="F256" s="73"/>
      <c r="G256" s="73"/>
      <c r="H256" s="73"/>
      <c r="I256" s="73"/>
      <c r="J256" s="73"/>
      <c r="K256" s="53"/>
      <c r="L256" s="53"/>
      <c r="M256" s="53"/>
      <c r="N256" s="53"/>
      <c r="O256" s="53"/>
      <c r="P256" s="53"/>
      <c r="Q256" s="53"/>
    </row>
    <row r="257" spans="3:17" ht="15.75" customHeight="1">
      <c r="C257" s="53"/>
      <c r="D257" s="73"/>
      <c r="E257" s="73"/>
      <c r="F257" s="73"/>
      <c r="G257" s="73"/>
      <c r="H257" s="73"/>
      <c r="I257" s="73"/>
      <c r="J257" s="73"/>
      <c r="K257" s="53"/>
      <c r="L257" s="53"/>
      <c r="M257" s="53"/>
      <c r="N257" s="53"/>
      <c r="O257" s="53"/>
      <c r="P257" s="53"/>
      <c r="Q257" s="53"/>
    </row>
    <row r="258" spans="3:17" ht="15.75" customHeight="1">
      <c r="C258" s="53"/>
      <c r="D258" s="73"/>
      <c r="E258" s="73"/>
      <c r="F258" s="73"/>
      <c r="G258" s="73"/>
      <c r="H258" s="73"/>
      <c r="I258" s="73"/>
      <c r="J258" s="73"/>
      <c r="K258" s="53"/>
      <c r="L258" s="53"/>
      <c r="M258" s="53"/>
      <c r="N258" s="53"/>
      <c r="O258" s="53"/>
      <c r="P258" s="53"/>
      <c r="Q258" s="53"/>
    </row>
    <row r="259" spans="3:17" ht="15.75" customHeight="1">
      <c r="C259" s="53"/>
      <c r="D259" s="73"/>
      <c r="E259" s="73"/>
      <c r="F259" s="73"/>
      <c r="G259" s="73"/>
      <c r="H259" s="73"/>
      <c r="I259" s="73"/>
      <c r="J259" s="73"/>
      <c r="K259" s="53"/>
      <c r="L259" s="53"/>
      <c r="M259" s="53"/>
      <c r="N259" s="53"/>
      <c r="O259" s="53"/>
      <c r="P259" s="53"/>
      <c r="Q259" s="53"/>
    </row>
    <row r="260" spans="3:17" ht="15.75" customHeight="1">
      <c r="C260" s="53"/>
      <c r="D260" s="73"/>
      <c r="E260" s="73"/>
      <c r="F260" s="73"/>
      <c r="G260" s="73"/>
      <c r="H260" s="73"/>
      <c r="I260" s="73"/>
      <c r="J260" s="73"/>
      <c r="K260" s="53"/>
      <c r="L260" s="53"/>
      <c r="M260" s="53"/>
      <c r="N260" s="53"/>
      <c r="O260" s="53"/>
      <c r="P260" s="53"/>
      <c r="Q260" s="53"/>
    </row>
    <row r="261" spans="3:17" ht="15.75" customHeight="1">
      <c r="C261" s="53"/>
      <c r="D261" s="73"/>
      <c r="E261" s="73"/>
      <c r="F261" s="73"/>
      <c r="G261" s="73"/>
      <c r="H261" s="73"/>
      <c r="I261" s="73"/>
      <c r="J261" s="73"/>
      <c r="K261" s="53"/>
      <c r="L261" s="53"/>
      <c r="M261" s="53"/>
      <c r="N261" s="53"/>
      <c r="O261" s="53"/>
      <c r="P261" s="53"/>
      <c r="Q261" s="53"/>
    </row>
    <row r="262" spans="3:17" ht="15.75" customHeight="1">
      <c r="C262" s="53"/>
      <c r="D262" s="73"/>
      <c r="E262" s="73"/>
      <c r="F262" s="73"/>
      <c r="G262" s="73"/>
      <c r="H262" s="73"/>
      <c r="I262" s="73"/>
      <c r="J262" s="73"/>
      <c r="K262" s="53"/>
      <c r="L262" s="53"/>
      <c r="M262" s="53"/>
      <c r="N262" s="53"/>
      <c r="O262" s="53"/>
      <c r="P262" s="53"/>
      <c r="Q262" s="53"/>
    </row>
    <row r="263" spans="3:17" ht="15.75" customHeight="1">
      <c r="C263" s="53"/>
      <c r="D263" s="73"/>
      <c r="E263" s="73"/>
      <c r="F263" s="73"/>
      <c r="G263" s="73"/>
      <c r="H263" s="73"/>
      <c r="I263" s="73"/>
      <c r="J263" s="73"/>
      <c r="K263" s="53"/>
      <c r="L263" s="53"/>
      <c r="M263" s="53"/>
      <c r="N263" s="53"/>
      <c r="O263" s="53"/>
      <c r="P263" s="53"/>
      <c r="Q263" s="53"/>
    </row>
    <row r="264" spans="3:17" ht="15.75" customHeight="1">
      <c r="C264" s="53"/>
      <c r="D264" s="73"/>
      <c r="E264" s="73"/>
      <c r="F264" s="73"/>
      <c r="G264" s="73"/>
      <c r="H264" s="73"/>
      <c r="I264" s="73"/>
      <c r="J264" s="73"/>
      <c r="K264" s="53"/>
      <c r="L264" s="53"/>
      <c r="M264" s="53"/>
      <c r="N264" s="53"/>
      <c r="O264" s="53"/>
      <c r="P264" s="53"/>
      <c r="Q264" s="53"/>
    </row>
    <row r="265" spans="3:17" ht="15.75" customHeight="1">
      <c r="C265" s="53"/>
      <c r="D265" s="73"/>
      <c r="E265" s="73"/>
      <c r="F265" s="73"/>
      <c r="G265" s="73"/>
      <c r="H265" s="73"/>
      <c r="I265" s="73"/>
      <c r="J265" s="73"/>
      <c r="K265" s="53"/>
      <c r="L265" s="53"/>
      <c r="M265" s="53"/>
      <c r="N265" s="53"/>
      <c r="O265" s="53"/>
      <c r="P265" s="53"/>
      <c r="Q265" s="53"/>
    </row>
    <row r="266" spans="3:17" ht="15.75" customHeight="1">
      <c r="C266" s="53"/>
      <c r="D266" s="73"/>
      <c r="E266" s="73"/>
      <c r="F266" s="73"/>
      <c r="G266" s="73"/>
      <c r="H266" s="73"/>
      <c r="I266" s="73"/>
      <c r="J266" s="73"/>
      <c r="K266" s="53"/>
      <c r="L266" s="53"/>
      <c r="M266" s="53"/>
      <c r="N266" s="53"/>
      <c r="O266" s="53"/>
      <c r="P266" s="53"/>
      <c r="Q266" s="53"/>
    </row>
    <row r="267" spans="3:17" ht="15.75" customHeight="1">
      <c r="C267" s="53"/>
      <c r="D267" s="73"/>
      <c r="E267" s="73"/>
      <c r="F267" s="73"/>
      <c r="G267" s="73"/>
      <c r="H267" s="73"/>
      <c r="I267" s="73"/>
      <c r="J267" s="73"/>
      <c r="K267" s="53"/>
      <c r="L267" s="53"/>
      <c r="M267" s="53"/>
      <c r="N267" s="53"/>
      <c r="O267" s="53"/>
      <c r="P267" s="53"/>
      <c r="Q267" s="53"/>
    </row>
    <row r="268" spans="3:17" ht="15.75" customHeight="1">
      <c r="C268" s="53"/>
      <c r="D268" s="73"/>
      <c r="E268" s="73"/>
      <c r="F268" s="73"/>
      <c r="G268" s="73"/>
      <c r="H268" s="73"/>
      <c r="I268" s="73"/>
      <c r="J268" s="73"/>
      <c r="K268" s="53"/>
      <c r="L268" s="53"/>
      <c r="M268" s="53"/>
      <c r="N268" s="53"/>
      <c r="O268" s="53"/>
      <c r="P268" s="53"/>
      <c r="Q268" s="53"/>
    </row>
    <row r="269" spans="3:17" ht="15.75" customHeight="1">
      <c r="C269" s="53"/>
      <c r="D269" s="73"/>
      <c r="E269" s="73"/>
      <c r="F269" s="73"/>
      <c r="G269" s="73"/>
      <c r="H269" s="73"/>
      <c r="I269" s="73"/>
      <c r="J269" s="73"/>
      <c r="K269" s="53"/>
      <c r="L269" s="53"/>
      <c r="M269" s="53"/>
      <c r="N269" s="53"/>
      <c r="O269" s="53"/>
      <c r="P269" s="53"/>
      <c r="Q269" s="53"/>
    </row>
    <row r="270" spans="3:17" ht="15.75" customHeight="1">
      <c r="C270" s="53"/>
      <c r="D270" s="73"/>
      <c r="E270" s="73"/>
      <c r="F270" s="73"/>
      <c r="G270" s="73"/>
      <c r="H270" s="73"/>
      <c r="I270" s="73"/>
      <c r="J270" s="73"/>
      <c r="K270" s="53"/>
      <c r="L270" s="53"/>
      <c r="M270" s="53"/>
      <c r="N270" s="53"/>
      <c r="O270" s="53"/>
      <c r="P270" s="53"/>
      <c r="Q270" s="53"/>
    </row>
    <row r="271" spans="3:17" ht="15.75" customHeight="1">
      <c r="C271" s="53"/>
      <c r="D271" s="73"/>
      <c r="E271" s="73"/>
      <c r="F271" s="73"/>
      <c r="G271" s="73"/>
      <c r="H271" s="73"/>
      <c r="I271" s="73"/>
      <c r="J271" s="73"/>
      <c r="K271" s="53"/>
      <c r="L271" s="53"/>
      <c r="M271" s="53"/>
      <c r="N271" s="53"/>
      <c r="O271" s="53"/>
      <c r="P271" s="53"/>
      <c r="Q271" s="53"/>
    </row>
    <row r="272" spans="3:17" ht="15.75" customHeight="1">
      <c r="C272" s="53"/>
      <c r="D272" s="73"/>
      <c r="E272" s="73"/>
      <c r="F272" s="73"/>
      <c r="G272" s="73"/>
      <c r="H272" s="73"/>
      <c r="I272" s="73"/>
      <c r="J272" s="73"/>
      <c r="K272" s="53"/>
      <c r="L272" s="53"/>
      <c r="M272" s="53"/>
      <c r="N272" s="53"/>
      <c r="O272" s="53"/>
      <c r="P272" s="53"/>
      <c r="Q272" s="53"/>
    </row>
    <row r="273" spans="3:17" ht="15.75" customHeight="1">
      <c r="C273" s="53"/>
      <c r="D273" s="73"/>
      <c r="E273" s="73"/>
      <c r="F273" s="73"/>
      <c r="G273" s="73"/>
      <c r="H273" s="73"/>
      <c r="I273" s="73"/>
      <c r="J273" s="73"/>
      <c r="K273" s="53"/>
      <c r="L273" s="53"/>
      <c r="M273" s="53"/>
      <c r="N273" s="53"/>
      <c r="O273" s="53"/>
      <c r="P273" s="53"/>
      <c r="Q273" s="53"/>
    </row>
    <row r="274" spans="3:17" ht="15.75" customHeight="1">
      <c r="C274" s="53"/>
      <c r="D274" s="73"/>
      <c r="E274" s="73"/>
      <c r="F274" s="73"/>
      <c r="G274" s="73"/>
      <c r="H274" s="73"/>
      <c r="I274" s="73"/>
      <c r="J274" s="73"/>
      <c r="K274" s="53"/>
      <c r="L274" s="53"/>
      <c r="M274" s="53"/>
      <c r="N274" s="53"/>
      <c r="O274" s="53"/>
      <c r="P274" s="53"/>
      <c r="Q274" s="53"/>
    </row>
    <row r="275" spans="3:17" ht="15.75" customHeight="1">
      <c r="C275" s="53"/>
      <c r="D275" s="73"/>
      <c r="E275" s="73"/>
      <c r="F275" s="73"/>
      <c r="G275" s="73"/>
      <c r="H275" s="73"/>
      <c r="I275" s="73"/>
      <c r="J275" s="73"/>
      <c r="K275" s="53"/>
      <c r="L275" s="53"/>
      <c r="M275" s="53"/>
      <c r="N275" s="53"/>
      <c r="O275" s="53"/>
      <c r="P275" s="53"/>
      <c r="Q275" s="53"/>
    </row>
    <row r="276" spans="3:17" ht="15.75" customHeight="1">
      <c r="C276" s="53"/>
      <c r="D276" s="73"/>
      <c r="E276" s="73"/>
      <c r="F276" s="73"/>
      <c r="G276" s="73"/>
      <c r="H276" s="73"/>
      <c r="I276" s="73"/>
      <c r="J276" s="73"/>
      <c r="K276" s="53"/>
      <c r="L276" s="53"/>
      <c r="M276" s="53"/>
      <c r="N276" s="53"/>
      <c r="O276" s="53"/>
      <c r="P276" s="53"/>
      <c r="Q276" s="53"/>
    </row>
    <row r="277" spans="3:17" ht="15.75" customHeight="1">
      <c r="C277" s="53"/>
      <c r="D277" s="73"/>
      <c r="E277" s="73"/>
      <c r="F277" s="73"/>
      <c r="G277" s="73"/>
      <c r="H277" s="73"/>
      <c r="I277" s="73"/>
      <c r="J277" s="73"/>
      <c r="K277" s="53"/>
      <c r="L277" s="53"/>
      <c r="M277" s="53"/>
      <c r="N277" s="53"/>
      <c r="O277" s="53"/>
      <c r="P277" s="53"/>
      <c r="Q277" s="53"/>
    </row>
    <row r="278" spans="3:17" ht="15.75" customHeight="1">
      <c r="C278" s="53"/>
      <c r="D278" s="73"/>
      <c r="E278" s="73"/>
      <c r="F278" s="73"/>
      <c r="G278" s="73"/>
      <c r="H278" s="73"/>
      <c r="I278" s="73"/>
      <c r="J278" s="73"/>
      <c r="K278" s="53"/>
      <c r="L278" s="53"/>
      <c r="M278" s="53"/>
      <c r="N278" s="53"/>
      <c r="O278" s="53"/>
      <c r="P278" s="53"/>
      <c r="Q278" s="53"/>
    </row>
    <row r="279" spans="3:17" ht="15.75" customHeight="1">
      <c r="C279" s="53"/>
      <c r="D279" s="73"/>
      <c r="E279" s="73"/>
      <c r="F279" s="73"/>
      <c r="G279" s="73"/>
      <c r="H279" s="73"/>
      <c r="I279" s="73"/>
      <c r="J279" s="73"/>
      <c r="K279" s="53"/>
      <c r="L279" s="53"/>
      <c r="M279" s="53"/>
      <c r="N279" s="53"/>
      <c r="O279" s="53"/>
      <c r="P279" s="53"/>
      <c r="Q279" s="53"/>
    </row>
    <row r="280" spans="3:17" ht="15.75" customHeight="1">
      <c r="C280" s="53"/>
      <c r="D280" s="73"/>
      <c r="E280" s="73"/>
      <c r="F280" s="73"/>
      <c r="G280" s="73"/>
      <c r="H280" s="73"/>
      <c r="I280" s="73"/>
      <c r="J280" s="73"/>
      <c r="K280" s="53"/>
      <c r="L280" s="53"/>
      <c r="M280" s="53"/>
      <c r="N280" s="53"/>
      <c r="O280" s="53"/>
      <c r="P280" s="53"/>
      <c r="Q280" s="53"/>
    </row>
    <row r="281" spans="3:17" ht="15.75" customHeight="1">
      <c r="C281" s="53"/>
      <c r="D281" s="73"/>
      <c r="E281" s="73"/>
      <c r="F281" s="73"/>
      <c r="G281" s="73"/>
      <c r="H281" s="73"/>
      <c r="I281" s="73"/>
      <c r="J281" s="73"/>
      <c r="K281" s="53"/>
      <c r="L281" s="53"/>
      <c r="M281" s="53"/>
      <c r="N281" s="53"/>
      <c r="O281" s="53"/>
      <c r="P281" s="53"/>
      <c r="Q281" s="53"/>
    </row>
    <row r="282" spans="3:17" ht="15.75" customHeight="1">
      <c r="C282" s="53"/>
      <c r="D282" s="73"/>
      <c r="E282" s="73"/>
      <c r="F282" s="73"/>
      <c r="G282" s="73"/>
      <c r="H282" s="73"/>
      <c r="I282" s="73"/>
      <c r="J282" s="73"/>
      <c r="K282" s="53"/>
      <c r="L282" s="53"/>
      <c r="M282" s="53"/>
      <c r="N282" s="53"/>
      <c r="O282" s="53"/>
      <c r="P282" s="53"/>
      <c r="Q282" s="53"/>
    </row>
    <row r="283" spans="3:17" ht="15.75" customHeight="1">
      <c r="C283" s="53"/>
      <c r="D283" s="73"/>
      <c r="E283" s="73"/>
      <c r="F283" s="73"/>
      <c r="G283" s="73"/>
      <c r="H283" s="73"/>
      <c r="I283" s="73"/>
      <c r="J283" s="73"/>
      <c r="K283" s="53"/>
      <c r="L283" s="53"/>
      <c r="M283" s="53"/>
      <c r="N283" s="53"/>
      <c r="O283" s="53"/>
      <c r="P283" s="53"/>
      <c r="Q283" s="53"/>
    </row>
    <row r="284" spans="3:17" ht="15.75" customHeight="1">
      <c r="C284" s="53"/>
      <c r="D284" s="73"/>
      <c r="E284" s="73"/>
      <c r="F284" s="73"/>
      <c r="G284" s="73"/>
      <c r="H284" s="73"/>
      <c r="I284" s="73"/>
      <c r="J284" s="73"/>
      <c r="K284" s="53"/>
      <c r="L284" s="53"/>
      <c r="M284" s="53"/>
      <c r="N284" s="53"/>
      <c r="O284" s="53"/>
      <c r="P284" s="53"/>
      <c r="Q284" s="53"/>
    </row>
    <row r="285" spans="3:17" ht="15.75" customHeight="1">
      <c r="C285" s="53"/>
      <c r="D285" s="73"/>
      <c r="E285" s="73"/>
      <c r="F285" s="73"/>
      <c r="G285" s="73"/>
      <c r="H285" s="73"/>
      <c r="I285" s="73"/>
      <c r="J285" s="73"/>
      <c r="K285" s="53"/>
      <c r="L285" s="53"/>
      <c r="M285" s="53"/>
      <c r="N285" s="53"/>
      <c r="O285" s="53"/>
      <c r="P285" s="53"/>
      <c r="Q285" s="53"/>
    </row>
    <row r="286" spans="3:17" ht="15.75" customHeight="1">
      <c r="C286" s="53"/>
      <c r="D286" s="73"/>
      <c r="E286" s="73"/>
      <c r="F286" s="73"/>
      <c r="G286" s="73"/>
      <c r="H286" s="73"/>
      <c r="I286" s="73"/>
      <c r="J286" s="73"/>
      <c r="K286" s="53"/>
      <c r="L286" s="53"/>
      <c r="M286" s="53"/>
      <c r="N286" s="53"/>
      <c r="O286" s="53"/>
      <c r="P286" s="53"/>
      <c r="Q286" s="53"/>
    </row>
    <row r="287" spans="3:17" ht="15.75" customHeight="1">
      <c r="C287" s="53"/>
      <c r="D287" s="73"/>
      <c r="E287" s="73"/>
      <c r="F287" s="73"/>
      <c r="G287" s="73"/>
      <c r="H287" s="73"/>
      <c r="I287" s="73"/>
      <c r="J287" s="73"/>
      <c r="K287" s="53"/>
      <c r="L287" s="53"/>
      <c r="M287" s="53"/>
      <c r="N287" s="53"/>
      <c r="O287" s="53"/>
      <c r="P287" s="53"/>
      <c r="Q287" s="53"/>
    </row>
    <row r="288" spans="3:17" ht="15.75" customHeight="1">
      <c r="C288" s="53"/>
      <c r="D288" s="73"/>
      <c r="E288" s="73"/>
      <c r="F288" s="73"/>
      <c r="G288" s="73"/>
      <c r="H288" s="73"/>
      <c r="I288" s="73"/>
      <c r="J288" s="73"/>
      <c r="K288" s="53"/>
      <c r="L288" s="53"/>
      <c r="M288" s="53"/>
      <c r="N288" s="53"/>
      <c r="O288" s="53"/>
      <c r="P288" s="53"/>
      <c r="Q288" s="53"/>
    </row>
    <row r="289" spans="3:17" ht="15.75" customHeight="1">
      <c r="C289" s="53"/>
      <c r="D289" s="73"/>
      <c r="E289" s="73"/>
      <c r="F289" s="73"/>
      <c r="G289" s="73"/>
      <c r="H289" s="73"/>
      <c r="I289" s="73"/>
      <c r="J289" s="73"/>
      <c r="K289" s="53"/>
      <c r="L289" s="53"/>
      <c r="M289" s="53"/>
      <c r="N289" s="53"/>
      <c r="O289" s="53"/>
      <c r="P289" s="53"/>
      <c r="Q289" s="53"/>
    </row>
    <row r="290" spans="3:17" ht="15.75" customHeight="1">
      <c r="C290" s="53"/>
      <c r="D290" s="73"/>
      <c r="E290" s="73"/>
      <c r="F290" s="73"/>
      <c r="G290" s="73"/>
      <c r="H290" s="73"/>
      <c r="I290" s="73"/>
      <c r="J290" s="73"/>
      <c r="K290" s="53"/>
      <c r="L290" s="53"/>
      <c r="M290" s="53"/>
      <c r="N290" s="53"/>
      <c r="O290" s="53"/>
      <c r="P290" s="53"/>
      <c r="Q290" s="53"/>
    </row>
    <row r="291" spans="3:17" ht="15.75" customHeight="1">
      <c r="C291" s="53"/>
      <c r="D291" s="73"/>
      <c r="E291" s="73"/>
      <c r="F291" s="73"/>
      <c r="G291" s="73"/>
      <c r="H291" s="73"/>
      <c r="I291" s="73"/>
      <c r="J291" s="73"/>
      <c r="K291" s="53"/>
      <c r="L291" s="53"/>
      <c r="M291" s="53"/>
      <c r="N291" s="53"/>
      <c r="O291" s="53"/>
      <c r="P291" s="53"/>
      <c r="Q291" s="53"/>
    </row>
    <row r="292" spans="3:17" ht="15.75" customHeight="1">
      <c r="C292" s="53"/>
      <c r="D292" s="73"/>
      <c r="E292" s="73"/>
      <c r="F292" s="73"/>
      <c r="G292" s="73"/>
      <c r="H292" s="73"/>
      <c r="I292" s="73"/>
      <c r="J292" s="73"/>
      <c r="K292" s="53"/>
      <c r="L292" s="53"/>
      <c r="M292" s="53"/>
      <c r="N292" s="53"/>
      <c r="O292" s="53"/>
      <c r="P292" s="53"/>
      <c r="Q292" s="53"/>
    </row>
    <row r="293" spans="3:17" ht="15.75" customHeight="1">
      <c r="C293" s="53"/>
      <c r="D293" s="73"/>
      <c r="E293" s="73"/>
      <c r="F293" s="73"/>
      <c r="G293" s="73"/>
      <c r="H293" s="73"/>
      <c r="I293" s="73"/>
      <c r="J293" s="73"/>
      <c r="K293" s="53"/>
      <c r="L293" s="53"/>
      <c r="M293" s="53"/>
      <c r="N293" s="53"/>
      <c r="O293" s="53"/>
      <c r="P293" s="53"/>
      <c r="Q293" s="53"/>
    </row>
    <row r="294" spans="3:17" ht="15.75" customHeight="1">
      <c r="C294" s="53"/>
      <c r="D294" s="73"/>
      <c r="E294" s="73"/>
      <c r="F294" s="73"/>
      <c r="G294" s="73"/>
      <c r="H294" s="73"/>
      <c r="I294" s="73"/>
      <c r="J294" s="73"/>
      <c r="K294" s="53"/>
      <c r="L294" s="53"/>
      <c r="M294" s="53"/>
      <c r="N294" s="53"/>
      <c r="O294" s="53"/>
      <c r="P294" s="53"/>
      <c r="Q294" s="53"/>
    </row>
    <row r="295" spans="3:17" ht="15.75" customHeight="1">
      <c r="C295" s="53"/>
      <c r="D295" s="73"/>
      <c r="E295" s="73"/>
      <c r="F295" s="73"/>
      <c r="G295" s="73"/>
      <c r="H295" s="73"/>
      <c r="I295" s="73"/>
      <c r="J295" s="73"/>
      <c r="K295" s="53"/>
      <c r="L295" s="53"/>
      <c r="M295" s="53"/>
      <c r="N295" s="53"/>
      <c r="O295" s="53"/>
      <c r="P295" s="53"/>
      <c r="Q295" s="53"/>
    </row>
    <row r="296" spans="3:17" ht="15.75" customHeight="1">
      <c r="C296" s="53"/>
      <c r="D296" s="73"/>
      <c r="E296" s="73"/>
      <c r="F296" s="73"/>
      <c r="G296" s="73"/>
      <c r="H296" s="73"/>
      <c r="I296" s="73"/>
      <c r="J296" s="73"/>
      <c r="K296" s="53"/>
      <c r="L296" s="53"/>
      <c r="M296" s="53"/>
      <c r="N296" s="53"/>
      <c r="O296" s="53"/>
      <c r="P296" s="53"/>
      <c r="Q296" s="53"/>
    </row>
    <row r="297" spans="3:17" ht="15.75" customHeight="1">
      <c r="C297" s="53"/>
      <c r="D297" s="73"/>
      <c r="E297" s="73"/>
      <c r="F297" s="73"/>
      <c r="G297" s="73"/>
      <c r="H297" s="73"/>
      <c r="I297" s="73"/>
      <c r="J297" s="73"/>
      <c r="K297" s="53"/>
      <c r="L297" s="53"/>
      <c r="M297" s="53"/>
      <c r="N297" s="53"/>
      <c r="O297" s="53"/>
      <c r="P297" s="53"/>
      <c r="Q297" s="53"/>
    </row>
    <row r="298" spans="3:17" ht="15.75" customHeight="1">
      <c r="C298" s="53"/>
      <c r="D298" s="73"/>
      <c r="E298" s="73"/>
      <c r="F298" s="73"/>
      <c r="G298" s="73"/>
      <c r="H298" s="73"/>
      <c r="I298" s="73"/>
      <c r="J298" s="73"/>
      <c r="K298" s="53"/>
      <c r="L298" s="53"/>
      <c r="M298" s="53"/>
      <c r="N298" s="53"/>
      <c r="O298" s="53"/>
      <c r="P298" s="53"/>
      <c r="Q298" s="53"/>
    </row>
    <row r="299" spans="3:17" ht="15.75" customHeight="1">
      <c r="C299" s="53"/>
      <c r="D299" s="73"/>
      <c r="E299" s="73"/>
      <c r="F299" s="73"/>
      <c r="G299" s="73"/>
      <c r="H299" s="73"/>
      <c r="I299" s="73"/>
      <c r="J299" s="73"/>
      <c r="K299" s="53"/>
      <c r="L299" s="53"/>
      <c r="M299" s="53"/>
      <c r="N299" s="53"/>
      <c r="O299" s="53"/>
      <c r="P299" s="53"/>
      <c r="Q299" s="53"/>
    </row>
    <row r="300" spans="3:17" ht="15.75" customHeight="1">
      <c r="C300" s="53"/>
      <c r="D300" s="73"/>
      <c r="E300" s="73"/>
      <c r="F300" s="73"/>
      <c r="G300" s="73"/>
      <c r="H300" s="73"/>
      <c r="I300" s="73"/>
      <c r="J300" s="73"/>
      <c r="K300" s="53"/>
      <c r="L300" s="53"/>
      <c r="M300" s="53"/>
      <c r="N300" s="53"/>
      <c r="O300" s="53"/>
      <c r="P300" s="53"/>
      <c r="Q300" s="53"/>
    </row>
    <row r="301" spans="3:17" ht="15.75" customHeight="1">
      <c r="C301" s="53"/>
      <c r="D301" s="73"/>
      <c r="E301" s="73"/>
      <c r="F301" s="73"/>
      <c r="G301" s="73"/>
      <c r="H301" s="73"/>
      <c r="I301" s="73"/>
      <c r="J301" s="73"/>
      <c r="K301" s="53"/>
      <c r="L301" s="53"/>
      <c r="M301" s="53"/>
      <c r="N301" s="53"/>
      <c r="O301" s="53"/>
      <c r="P301" s="53"/>
      <c r="Q301" s="53"/>
    </row>
    <row r="302" spans="3:17" ht="15.75" customHeight="1">
      <c r="C302" s="53"/>
      <c r="D302" s="73"/>
      <c r="E302" s="73"/>
      <c r="F302" s="73"/>
      <c r="G302" s="73"/>
      <c r="H302" s="73"/>
      <c r="I302" s="73"/>
      <c r="J302" s="73"/>
      <c r="K302" s="53"/>
      <c r="L302" s="53"/>
      <c r="M302" s="53"/>
      <c r="N302" s="53"/>
      <c r="O302" s="53"/>
      <c r="P302" s="53"/>
      <c r="Q302" s="53"/>
    </row>
    <row r="303" spans="3:17" ht="15.75" customHeight="1">
      <c r="C303" s="53"/>
      <c r="D303" s="73"/>
      <c r="E303" s="73"/>
      <c r="F303" s="73"/>
      <c r="G303" s="73"/>
      <c r="H303" s="73"/>
      <c r="I303" s="73"/>
      <c r="J303" s="73"/>
      <c r="K303" s="53"/>
      <c r="L303" s="53"/>
      <c r="M303" s="53"/>
      <c r="N303" s="53"/>
      <c r="O303" s="53"/>
      <c r="P303" s="53"/>
      <c r="Q303" s="53"/>
    </row>
    <row r="304" spans="3:17" ht="15.75" customHeight="1">
      <c r="C304" s="53"/>
      <c r="D304" s="73"/>
      <c r="E304" s="73"/>
      <c r="F304" s="73"/>
      <c r="G304" s="73"/>
      <c r="H304" s="73"/>
      <c r="I304" s="73"/>
      <c r="J304" s="73"/>
      <c r="K304" s="53"/>
      <c r="L304" s="53"/>
      <c r="M304" s="53"/>
      <c r="N304" s="53"/>
      <c r="O304" s="53"/>
      <c r="P304" s="53"/>
      <c r="Q304" s="53"/>
    </row>
    <row r="305" spans="3:17" ht="15.75" customHeight="1">
      <c r="C305" s="53"/>
      <c r="D305" s="73"/>
      <c r="E305" s="73"/>
      <c r="F305" s="73"/>
      <c r="G305" s="73"/>
      <c r="H305" s="73"/>
      <c r="I305" s="73"/>
      <c r="J305" s="73"/>
      <c r="K305" s="53"/>
      <c r="L305" s="53"/>
      <c r="M305" s="53"/>
      <c r="N305" s="53"/>
      <c r="O305" s="53"/>
      <c r="P305" s="53"/>
      <c r="Q305" s="53"/>
    </row>
    <row r="306" spans="3:17" ht="15.75" customHeight="1">
      <c r="C306" s="53"/>
      <c r="D306" s="73"/>
      <c r="E306" s="73"/>
      <c r="F306" s="73"/>
      <c r="G306" s="73"/>
      <c r="H306" s="73"/>
      <c r="I306" s="73"/>
      <c r="J306" s="73"/>
      <c r="K306" s="53"/>
      <c r="L306" s="53"/>
      <c r="M306" s="53"/>
      <c r="N306" s="53"/>
      <c r="O306" s="53"/>
      <c r="P306" s="53"/>
      <c r="Q306" s="53"/>
    </row>
    <row r="307" spans="3:17" ht="15.75" customHeight="1">
      <c r="C307" s="53"/>
      <c r="D307" s="73"/>
      <c r="E307" s="73"/>
      <c r="F307" s="73"/>
      <c r="G307" s="73"/>
      <c r="H307" s="73"/>
      <c r="I307" s="73"/>
      <c r="J307" s="73"/>
      <c r="K307" s="53"/>
      <c r="L307" s="53"/>
      <c r="M307" s="53"/>
      <c r="N307" s="53"/>
      <c r="O307" s="53"/>
      <c r="P307" s="53"/>
      <c r="Q307" s="53"/>
    </row>
    <row r="308" spans="3:17" ht="15.75" customHeight="1">
      <c r="C308" s="53"/>
      <c r="D308" s="73"/>
      <c r="E308" s="73"/>
      <c r="F308" s="73"/>
      <c r="G308" s="73"/>
      <c r="H308" s="73"/>
      <c r="I308" s="73"/>
      <c r="J308" s="73"/>
      <c r="K308" s="53"/>
      <c r="L308" s="53"/>
      <c r="M308" s="53"/>
      <c r="N308" s="53"/>
      <c r="O308" s="53"/>
      <c r="P308" s="53"/>
      <c r="Q308" s="53"/>
    </row>
    <row r="309" spans="3:17" ht="15.75" customHeight="1">
      <c r="C309" s="53"/>
      <c r="D309" s="73"/>
      <c r="E309" s="73"/>
      <c r="F309" s="73"/>
      <c r="G309" s="73"/>
      <c r="H309" s="73"/>
      <c r="I309" s="73"/>
      <c r="J309" s="73"/>
      <c r="K309" s="53"/>
      <c r="L309" s="53"/>
      <c r="M309" s="53"/>
      <c r="N309" s="53"/>
      <c r="O309" s="53"/>
      <c r="P309" s="53"/>
      <c r="Q309" s="53"/>
    </row>
    <row r="310" spans="3:17" ht="15.75" customHeight="1">
      <c r="C310" s="53"/>
      <c r="D310" s="73"/>
      <c r="E310" s="73"/>
      <c r="F310" s="73"/>
      <c r="G310" s="73"/>
      <c r="H310" s="73"/>
      <c r="I310" s="73"/>
      <c r="J310" s="73"/>
      <c r="K310" s="53"/>
      <c r="L310" s="53"/>
      <c r="M310" s="53"/>
      <c r="N310" s="53"/>
      <c r="O310" s="53"/>
      <c r="P310" s="53"/>
      <c r="Q310" s="53"/>
    </row>
    <row r="311" spans="3:17" ht="15.75" customHeight="1">
      <c r="C311" s="53"/>
      <c r="D311" s="73"/>
      <c r="E311" s="73"/>
      <c r="F311" s="73"/>
      <c r="G311" s="73"/>
      <c r="H311" s="73"/>
      <c r="I311" s="73"/>
      <c r="J311" s="73"/>
      <c r="K311" s="53"/>
      <c r="L311" s="53"/>
      <c r="M311" s="53"/>
      <c r="N311" s="53"/>
      <c r="O311" s="53"/>
      <c r="P311" s="53"/>
      <c r="Q311" s="53"/>
    </row>
    <row r="312" spans="3:17" ht="15.75" customHeight="1">
      <c r="C312" s="53"/>
      <c r="D312" s="73"/>
      <c r="E312" s="73"/>
      <c r="F312" s="73"/>
      <c r="G312" s="73"/>
      <c r="H312" s="73"/>
      <c r="I312" s="73"/>
      <c r="J312" s="73"/>
      <c r="K312" s="53"/>
      <c r="L312" s="53"/>
      <c r="M312" s="53"/>
      <c r="N312" s="53"/>
      <c r="O312" s="53"/>
      <c r="P312" s="53"/>
      <c r="Q312" s="53"/>
    </row>
    <row r="313" spans="3:17" ht="15.75" customHeight="1">
      <c r="C313" s="53"/>
      <c r="D313" s="73"/>
      <c r="E313" s="73"/>
      <c r="F313" s="73"/>
      <c r="G313" s="73"/>
      <c r="H313" s="73"/>
      <c r="I313" s="73"/>
      <c r="J313" s="73"/>
      <c r="K313" s="53"/>
      <c r="L313" s="53"/>
      <c r="M313" s="53"/>
      <c r="N313" s="53"/>
      <c r="O313" s="53"/>
      <c r="P313" s="53"/>
      <c r="Q313" s="53"/>
    </row>
    <row r="314" spans="3:17" ht="15.75" customHeight="1">
      <c r="C314" s="53"/>
      <c r="D314" s="73"/>
      <c r="E314" s="73"/>
      <c r="F314" s="73"/>
      <c r="G314" s="73"/>
      <c r="H314" s="73"/>
      <c r="I314" s="73"/>
      <c r="J314" s="73"/>
      <c r="K314" s="53"/>
      <c r="L314" s="53"/>
      <c r="M314" s="53"/>
      <c r="N314" s="53"/>
      <c r="O314" s="53"/>
      <c r="P314" s="53"/>
      <c r="Q314" s="53"/>
    </row>
    <row r="315" spans="3:17" ht="15.75" customHeight="1">
      <c r="C315" s="53"/>
      <c r="D315" s="73"/>
      <c r="E315" s="73"/>
      <c r="F315" s="73"/>
      <c r="G315" s="73"/>
      <c r="H315" s="73"/>
      <c r="I315" s="73"/>
      <c r="J315" s="73"/>
      <c r="K315" s="53"/>
      <c r="L315" s="53"/>
      <c r="M315" s="53"/>
      <c r="N315" s="53"/>
      <c r="O315" s="53"/>
      <c r="P315" s="53"/>
      <c r="Q315" s="53"/>
    </row>
    <row r="316" spans="3:17" ht="15.75" customHeight="1">
      <c r="C316" s="53"/>
      <c r="D316" s="73"/>
      <c r="E316" s="73"/>
      <c r="F316" s="73"/>
      <c r="G316" s="73"/>
      <c r="H316" s="73"/>
      <c r="I316" s="73"/>
      <c r="J316" s="73"/>
      <c r="K316" s="53"/>
      <c r="L316" s="53"/>
      <c r="M316" s="53"/>
      <c r="N316" s="53"/>
      <c r="O316" s="53"/>
      <c r="P316" s="53"/>
      <c r="Q316" s="53"/>
    </row>
    <row r="317" spans="3:17" ht="15.75" customHeight="1">
      <c r="C317" s="53"/>
      <c r="D317" s="73"/>
      <c r="E317" s="73"/>
      <c r="F317" s="73"/>
      <c r="G317" s="73"/>
      <c r="H317" s="73"/>
      <c r="I317" s="73"/>
      <c r="J317" s="73"/>
      <c r="K317" s="53"/>
      <c r="L317" s="53"/>
      <c r="M317" s="53"/>
      <c r="N317" s="53"/>
      <c r="O317" s="53"/>
      <c r="P317" s="53"/>
      <c r="Q317" s="53"/>
    </row>
    <row r="318" spans="3:17" ht="15.75" customHeight="1">
      <c r="C318" s="53"/>
      <c r="D318" s="73"/>
      <c r="E318" s="73"/>
      <c r="F318" s="73"/>
      <c r="G318" s="73"/>
      <c r="H318" s="73"/>
      <c r="I318" s="73"/>
      <c r="J318" s="73"/>
      <c r="K318" s="53"/>
      <c r="L318" s="53"/>
      <c r="M318" s="53"/>
      <c r="N318" s="53"/>
      <c r="O318" s="53"/>
      <c r="P318" s="53"/>
      <c r="Q318" s="53"/>
    </row>
    <row r="319" spans="3:17" ht="15.75" customHeight="1">
      <c r="C319" s="53"/>
      <c r="D319" s="73"/>
      <c r="E319" s="73"/>
      <c r="F319" s="73"/>
      <c r="G319" s="73"/>
      <c r="H319" s="73"/>
      <c r="I319" s="73"/>
      <c r="J319" s="73"/>
      <c r="K319" s="53"/>
      <c r="L319" s="53"/>
      <c r="M319" s="53"/>
      <c r="N319" s="53"/>
      <c r="O319" s="53"/>
      <c r="P319" s="53"/>
      <c r="Q319" s="53"/>
    </row>
    <row r="320" spans="3:17" ht="15.75" customHeight="1">
      <c r="C320" s="53"/>
      <c r="D320" s="73"/>
      <c r="E320" s="73"/>
      <c r="F320" s="73"/>
      <c r="G320" s="73"/>
      <c r="H320" s="73"/>
      <c r="I320" s="73"/>
      <c r="J320" s="73"/>
      <c r="K320" s="53"/>
      <c r="L320" s="53"/>
      <c r="M320" s="53"/>
      <c r="N320" s="53"/>
      <c r="O320" s="53"/>
      <c r="P320" s="53"/>
      <c r="Q320" s="53"/>
    </row>
    <row r="321" spans="3:17" ht="15.75" customHeight="1">
      <c r="C321" s="53"/>
      <c r="D321" s="73"/>
      <c r="E321" s="73"/>
      <c r="F321" s="73"/>
      <c r="G321" s="73"/>
      <c r="H321" s="73"/>
      <c r="I321" s="73"/>
      <c r="J321" s="73"/>
      <c r="K321" s="53"/>
      <c r="L321" s="53"/>
      <c r="M321" s="53"/>
      <c r="N321" s="53"/>
      <c r="O321" s="53"/>
      <c r="P321" s="53"/>
      <c r="Q321" s="53"/>
    </row>
    <row r="322" spans="3:17" ht="15.75" customHeight="1">
      <c r="C322" s="53"/>
      <c r="D322" s="73"/>
      <c r="E322" s="73"/>
      <c r="F322" s="73"/>
      <c r="G322" s="73"/>
      <c r="H322" s="73"/>
      <c r="I322" s="73"/>
      <c r="J322" s="73"/>
      <c r="K322" s="53"/>
      <c r="L322" s="53"/>
      <c r="M322" s="53"/>
      <c r="N322" s="53"/>
      <c r="O322" s="53"/>
      <c r="P322" s="53"/>
      <c r="Q322" s="53"/>
    </row>
    <row r="323" spans="3:17" ht="15.75" customHeight="1">
      <c r="C323" s="53"/>
      <c r="D323" s="73"/>
      <c r="E323" s="73"/>
      <c r="F323" s="73"/>
      <c r="G323" s="73"/>
      <c r="H323" s="73"/>
      <c r="I323" s="73"/>
      <c r="J323" s="73"/>
      <c r="K323" s="53"/>
      <c r="L323" s="53"/>
      <c r="M323" s="53"/>
      <c r="N323" s="53"/>
      <c r="O323" s="53"/>
      <c r="P323" s="53"/>
      <c r="Q323" s="53"/>
    </row>
    <row r="324" spans="3:17" ht="15.75" customHeight="1">
      <c r="C324" s="53"/>
      <c r="D324" s="73"/>
      <c r="E324" s="73"/>
      <c r="F324" s="73"/>
      <c r="G324" s="73"/>
      <c r="H324" s="73"/>
      <c r="I324" s="73"/>
      <c r="J324" s="73"/>
      <c r="K324" s="53"/>
      <c r="L324" s="53"/>
      <c r="M324" s="53"/>
      <c r="N324" s="53"/>
      <c r="O324" s="53"/>
      <c r="P324" s="53"/>
      <c r="Q324" s="53"/>
    </row>
    <row r="325" spans="3:17" ht="15.75" customHeight="1">
      <c r="C325" s="53"/>
      <c r="D325" s="73"/>
      <c r="E325" s="73"/>
      <c r="F325" s="73"/>
      <c r="G325" s="73"/>
      <c r="H325" s="73"/>
      <c r="I325" s="73"/>
      <c r="J325" s="73"/>
      <c r="K325" s="53"/>
      <c r="L325" s="53"/>
      <c r="M325" s="53"/>
      <c r="N325" s="53"/>
      <c r="O325" s="53"/>
      <c r="P325" s="53"/>
      <c r="Q325" s="53"/>
    </row>
    <row r="326" spans="3:17" ht="15.75" customHeight="1">
      <c r="C326" s="53"/>
      <c r="D326" s="73"/>
      <c r="E326" s="73"/>
      <c r="F326" s="73"/>
      <c r="G326" s="73"/>
      <c r="H326" s="73"/>
      <c r="I326" s="73"/>
      <c r="J326" s="73"/>
      <c r="K326" s="53"/>
      <c r="L326" s="53"/>
      <c r="M326" s="53"/>
      <c r="N326" s="53"/>
      <c r="O326" s="53"/>
      <c r="P326" s="53"/>
      <c r="Q326" s="53"/>
    </row>
    <row r="327" spans="3:17" ht="15.75" customHeight="1">
      <c r="C327" s="53"/>
      <c r="D327" s="73"/>
      <c r="E327" s="73"/>
      <c r="F327" s="73"/>
      <c r="G327" s="73"/>
      <c r="H327" s="73"/>
      <c r="I327" s="73"/>
      <c r="J327" s="73"/>
      <c r="K327" s="53"/>
      <c r="L327" s="53"/>
      <c r="M327" s="53"/>
      <c r="N327" s="53"/>
      <c r="O327" s="53"/>
      <c r="P327" s="53"/>
      <c r="Q327" s="53"/>
    </row>
    <row r="328" spans="3:17" ht="15.75" customHeight="1">
      <c r="C328" s="53"/>
      <c r="D328" s="73"/>
      <c r="E328" s="73"/>
      <c r="F328" s="73"/>
      <c r="G328" s="73"/>
      <c r="H328" s="73"/>
      <c r="I328" s="73"/>
      <c r="J328" s="73"/>
      <c r="K328" s="53"/>
      <c r="L328" s="53"/>
      <c r="M328" s="53"/>
      <c r="N328" s="53"/>
      <c r="O328" s="53"/>
      <c r="P328" s="53"/>
      <c r="Q328" s="53"/>
    </row>
    <row r="329" spans="3:17" ht="15.75" customHeight="1">
      <c r="C329" s="53"/>
      <c r="D329" s="73"/>
      <c r="E329" s="73"/>
      <c r="F329" s="73"/>
      <c r="G329" s="73"/>
      <c r="H329" s="73"/>
      <c r="I329" s="73"/>
      <c r="J329" s="73"/>
      <c r="K329" s="53"/>
      <c r="L329" s="53"/>
      <c r="M329" s="53"/>
      <c r="N329" s="53"/>
      <c r="O329" s="53"/>
      <c r="P329" s="53"/>
      <c r="Q329" s="53"/>
    </row>
    <row r="330" spans="3:17" ht="15.75" customHeight="1">
      <c r="C330" s="53"/>
      <c r="D330" s="73"/>
      <c r="E330" s="73"/>
      <c r="F330" s="73"/>
      <c r="G330" s="73"/>
      <c r="H330" s="73"/>
      <c r="I330" s="73"/>
      <c r="J330" s="73"/>
      <c r="K330" s="53"/>
      <c r="L330" s="53"/>
      <c r="M330" s="53"/>
      <c r="N330" s="53"/>
      <c r="O330" s="53"/>
      <c r="P330" s="53"/>
      <c r="Q330" s="53"/>
    </row>
    <row r="331" spans="3:17" ht="15.75" customHeight="1">
      <c r="C331" s="53"/>
      <c r="D331" s="73"/>
      <c r="E331" s="73"/>
      <c r="F331" s="73"/>
      <c r="G331" s="73"/>
      <c r="H331" s="73"/>
      <c r="I331" s="73"/>
      <c r="J331" s="73"/>
      <c r="K331" s="53"/>
      <c r="L331" s="53"/>
      <c r="M331" s="53"/>
      <c r="N331" s="53"/>
      <c r="O331" s="53"/>
      <c r="P331" s="53"/>
      <c r="Q331" s="53"/>
    </row>
    <row r="332" spans="3:17" ht="15.75" customHeight="1">
      <c r="C332" s="53"/>
      <c r="D332" s="73"/>
      <c r="E332" s="73"/>
      <c r="F332" s="73"/>
      <c r="G332" s="73"/>
      <c r="H332" s="73"/>
      <c r="I332" s="73"/>
      <c r="J332" s="73"/>
      <c r="K332" s="53"/>
      <c r="L332" s="53"/>
      <c r="M332" s="53"/>
      <c r="N332" s="53"/>
      <c r="O332" s="53"/>
      <c r="P332" s="53"/>
      <c r="Q332" s="53"/>
    </row>
    <row r="333" spans="3:17" ht="15.75" customHeight="1">
      <c r="C333" s="53"/>
      <c r="D333" s="73"/>
      <c r="E333" s="73"/>
      <c r="F333" s="73"/>
      <c r="G333" s="73"/>
      <c r="H333" s="73"/>
      <c r="I333" s="73"/>
      <c r="J333" s="73"/>
      <c r="K333" s="53"/>
      <c r="L333" s="53"/>
      <c r="M333" s="53"/>
      <c r="N333" s="53"/>
      <c r="O333" s="53"/>
      <c r="P333" s="53"/>
      <c r="Q333" s="53"/>
    </row>
    <row r="334" spans="3:17" ht="15.75" customHeight="1">
      <c r="C334" s="53"/>
      <c r="D334" s="73"/>
      <c r="E334" s="73"/>
      <c r="F334" s="73"/>
      <c r="G334" s="73"/>
      <c r="H334" s="73"/>
      <c r="I334" s="73"/>
      <c r="J334" s="73"/>
      <c r="K334" s="53"/>
      <c r="L334" s="53"/>
      <c r="M334" s="53"/>
      <c r="N334" s="53"/>
      <c r="O334" s="53"/>
      <c r="P334" s="53"/>
      <c r="Q334" s="53"/>
    </row>
    <row r="335" spans="3:17" ht="15.75" customHeight="1">
      <c r="C335" s="53"/>
      <c r="D335" s="73"/>
      <c r="E335" s="73"/>
      <c r="F335" s="73"/>
      <c r="G335" s="73"/>
      <c r="H335" s="73"/>
      <c r="I335" s="73"/>
      <c r="J335" s="73"/>
      <c r="K335" s="53"/>
      <c r="L335" s="53"/>
      <c r="M335" s="53"/>
      <c r="N335" s="53"/>
      <c r="O335" s="53"/>
      <c r="P335" s="53"/>
      <c r="Q335" s="53"/>
    </row>
    <row r="336" spans="3:17" ht="15.75" customHeight="1">
      <c r="C336" s="53"/>
      <c r="D336" s="73"/>
      <c r="E336" s="73"/>
      <c r="F336" s="73"/>
      <c r="G336" s="73"/>
      <c r="H336" s="73"/>
      <c r="I336" s="73"/>
      <c r="J336" s="73"/>
      <c r="K336" s="53"/>
      <c r="L336" s="53"/>
      <c r="M336" s="53"/>
      <c r="N336" s="53"/>
      <c r="O336" s="53"/>
      <c r="P336" s="53"/>
      <c r="Q336" s="53"/>
    </row>
    <row r="337" spans="3:17" ht="15.75" customHeight="1">
      <c r="C337" s="53"/>
      <c r="D337" s="73"/>
      <c r="E337" s="73"/>
      <c r="F337" s="73"/>
      <c r="G337" s="73"/>
      <c r="H337" s="73"/>
      <c r="I337" s="73"/>
      <c r="J337" s="73"/>
      <c r="K337" s="53"/>
      <c r="L337" s="53"/>
      <c r="M337" s="53"/>
      <c r="N337" s="53"/>
      <c r="O337" s="53"/>
      <c r="P337" s="53"/>
      <c r="Q337" s="53"/>
    </row>
    <row r="338" spans="3:17" ht="15.75" customHeight="1">
      <c r="C338" s="53"/>
      <c r="D338" s="73"/>
      <c r="E338" s="73"/>
      <c r="F338" s="73"/>
      <c r="G338" s="73"/>
      <c r="H338" s="73"/>
      <c r="I338" s="73"/>
      <c r="J338" s="73"/>
      <c r="K338" s="53"/>
      <c r="L338" s="53"/>
      <c r="M338" s="53"/>
      <c r="N338" s="53"/>
      <c r="O338" s="53"/>
      <c r="P338" s="53"/>
      <c r="Q338" s="53"/>
    </row>
    <row r="339" spans="3:17" ht="15.75" customHeight="1">
      <c r="C339" s="53"/>
      <c r="D339" s="73"/>
      <c r="E339" s="73"/>
      <c r="F339" s="73"/>
      <c r="G339" s="73"/>
      <c r="H339" s="73"/>
      <c r="I339" s="73"/>
      <c r="J339" s="73"/>
      <c r="K339" s="53"/>
      <c r="L339" s="53"/>
      <c r="M339" s="53"/>
      <c r="N339" s="53"/>
      <c r="O339" s="53"/>
      <c r="P339" s="53"/>
      <c r="Q339" s="53"/>
    </row>
    <row r="340" spans="3:17" ht="15.75" customHeight="1">
      <c r="C340" s="53"/>
      <c r="D340" s="73"/>
      <c r="E340" s="73"/>
      <c r="F340" s="73"/>
      <c r="G340" s="73"/>
      <c r="H340" s="73"/>
      <c r="I340" s="73"/>
      <c r="J340" s="73"/>
      <c r="K340" s="53"/>
      <c r="L340" s="53"/>
      <c r="M340" s="53"/>
      <c r="N340" s="53"/>
      <c r="O340" s="53"/>
      <c r="P340" s="53"/>
      <c r="Q340" s="53"/>
    </row>
    <row r="341" spans="3:17" ht="15.75" customHeight="1">
      <c r="C341" s="53"/>
      <c r="D341" s="73"/>
      <c r="E341" s="73"/>
      <c r="F341" s="73"/>
      <c r="G341" s="73"/>
      <c r="H341" s="73"/>
      <c r="I341" s="73"/>
      <c r="J341" s="73"/>
      <c r="K341" s="53"/>
      <c r="L341" s="53"/>
      <c r="M341" s="53"/>
      <c r="N341" s="53"/>
      <c r="O341" s="53"/>
      <c r="P341" s="53"/>
      <c r="Q341" s="53"/>
    </row>
    <row r="342" spans="3:17" ht="15.75" customHeight="1">
      <c r="C342" s="53"/>
      <c r="D342" s="73"/>
      <c r="E342" s="73"/>
      <c r="F342" s="73"/>
      <c r="G342" s="73"/>
      <c r="H342" s="73"/>
      <c r="I342" s="73"/>
      <c r="J342" s="73"/>
      <c r="K342" s="53"/>
      <c r="L342" s="53"/>
      <c r="M342" s="53"/>
      <c r="N342" s="53"/>
      <c r="O342" s="53"/>
      <c r="P342" s="53"/>
      <c r="Q342" s="53"/>
    </row>
    <row r="343" spans="3:17" ht="15.75" customHeight="1">
      <c r="C343" s="53"/>
      <c r="D343" s="73"/>
      <c r="E343" s="73"/>
      <c r="F343" s="73"/>
      <c r="G343" s="73"/>
      <c r="H343" s="73"/>
      <c r="I343" s="73"/>
      <c r="J343" s="73"/>
      <c r="K343" s="53"/>
      <c r="L343" s="53"/>
      <c r="M343" s="53"/>
      <c r="N343" s="53"/>
      <c r="O343" s="53"/>
      <c r="P343" s="53"/>
      <c r="Q343" s="53"/>
    </row>
    <row r="344" spans="3:17" ht="15.75" customHeight="1">
      <c r="C344" s="53"/>
      <c r="D344" s="73"/>
      <c r="E344" s="73"/>
      <c r="F344" s="73"/>
      <c r="G344" s="73"/>
      <c r="H344" s="73"/>
      <c r="I344" s="73"/>
      <c r="J344" s="73"/>
      <c r="K344" s="53"/>
      <c r="L344" s="53"/>
      <c r="M344" s="53"/>
      <c r="N344" s="53"/>
      <c r="O344" s="53"/>
      <c r="P344" s="53"/>
      <c r="Q344" s="53"/>
    </row>
    <row r="345" spans="3:17" ht="15.75" customHeight="1">
      <c r="C345" s="53"/>
      <c r="D345" s="73"/>
      <c r="E345" s="73"/>
      <c r="F345" s="73"/>
      <c r="G345" s="73"/>
      <c r="H345" s="73"/>
      <c r="I345" s="73"/>
      <c r="J345" s="73"/>
      <c r="K345" s="53"/>
      <c r="L345" s="53"/>
      <c r="M345" s="53"/>
      <c r="N345" s="53"/>
      <c r="O345" s="53"/>
      <c r="P345" s="53"/>
      <c r="Q345" s="53"/>
    </row>
    <row r="346" spans="3:17" ht="15.75" customHeight="1">
      <c r="C346" s="53"/>
      <c r="D346" s="73"/>
      <c r="E346" s="73"/>
      <c r="F346" s="73"/>
      <c r="G346" s="73"/>
      <c r="H346" s="73"/>
      <c r="I346" s="73"/>
      <c r="J346" s="73"/>
      <c r="K346" s="53"/>
      <c r="L346" s="53"/>
      <c r="M346" s="53"/>
      <c r="N346" s="53"/>
      <c r="O346" s="53"/>
      <c r="P346" s="53"/>
      <c r="Q346" s="53"/>
    </row>
    <row r="347" spans="3:17" ht="15.75" customHeight="1">
      <c r="C347" s="53"/>
      <c r="D347" s="73"/>
      <c r="E347" s="73"/>
      <c r="F347" s="73"/>
      <c r="G347" s="73"/>
      <c r="H347" s="73"/>
      <c r="I347" s="73"/>
      <c r="J347" s="73"/>
      <c r="K347" s="53"/>
      <c r="L347" s="53"/>
      <c r="M347" s="53"/>
      <c r="N347" s="53"/>
      <c r="O347" s="53"/>
      <c r="P347" s="53"/>
      <c r="Q347" s="53"/>
    </row>
    <row r="348" spans="3:17" ht="15.75" customHeight="1">
      <c r="C348" s="53"/>
      <c r="D348" s="73"/>
      <c r="E348" s="73"/>
      <c r="F348" s="73"/>
      <c r="G348" s="73"/>
      <c r="H348" s="73"/>
      <c r="I348" s="73"/>
      <c r="J348" s="73"/>
      <c r="K348" s="53"/>
      <c r="L348" s="53"/>
      <c r="M348" s="53"/>
      <c r="N348" s="53"/>
      <c r="O348" s="53"/>
      <c r="P348" s="53"/>
      <c r="Q348" s="53"/>
    </row>
    <row r="349" spans="3:17" ht="15.75" customHeight="1">
      <c r="C349" s="53"/>
      <c r="D349" s="73"/>
      <c r="E349" s="73"/>
      <c r="F349" s="73"/>
      <c r="G349" s="73"/>
      <c r="H349" s="73"/>
      <c r="I349" s="73"/>
      <c r="J349" s="73"/>
      <c r="K349" s="53"/>
      <c r="L349" s="53"/>
      <c r="M349" s="53"/>
      <c r="N349" s="53"/>
      <c r="O349" s="53"/>
      <c r="P349" s="53"/>
      <c r="Q349" s="53"/>
    </row>
    <row r="350" spans="3:17" ht="15.75" customHeight="1">
      <c r="C350" s="53"/>
      <c r="D350" s="73"/>
      <c r="E350" s="73"/>
      <c r="F350" s="73"/>
      <c r="G350" s="73"/>
      <c r="H350" s="73"/>
      <c r="I350" s="73"/>
      <c r="J350" s="73"/>
      <c r="K350" s="53"/>
      <c r="L350" s="53"/>
      <c r="M350" s="53"/>
      <c r="N350" s="53"/>
      <c r="O350" s="53"/>
      <c r="P350" s="53"/>
      <c r="Q350" s="53"/>
    </row>
    <row r="351" spans="3:17" ht="15.75" customHeight="1">
      <c r="C351" s="53"/>
      <c r="D351" s="73"/>
      <c r="E351" s="73"/>
      <c r="F351" s="73"/>
      <c r="G351" s="73"/>
      <c r="H351" s="73"/>
      <c r="I351" s="73"/>
      <c r="J351" s="73"/>
      <c r="K351" s="53"/>
      <c r="L351" s="53"/>
      <c r="M351" s="53"/>
      <c r="N351" s="53"/>
      <c r="O351" s="53"/>
      <c r="P351" s="53"/>
      <c r="Q351" s="53"/>
    </row>
    <row r="352" spans="3:17" ht="15.75" customHeight="1">
      <c r="C352" s="53"/>
      <c r="D352" s="73"/>
      <c r="E352" s="73"/>
      <c r="F352" s="73"/>
      <c r="G352" s="73"/>
      <c r="H352" s="73"/>
      <c r="I352" s="73"/>
      <c r="J352" s="73"/>
      <c r="K352" s="53"/>
      <c r="L352" s="53"/>
      <c r="M352" s="53"/>
      <c r="N352" s="53"/>
      <c r="O352" s="53"/>
      <c r="P352" s="53"/>
      <c r="Q352" s="53"/>
    </row>
    <row r="353" spans="3:17" ht="15.75" customHeight="1">
      <c r="C353" s="53"/>
      <c r="D353" s="73"/>
      <c r="E353" s="73"/>
      <c r="F353" s="73"/>
      <c r="G353" s="73"/>
      <c r="H353" s="73"/>
      <c r="I353" s="73"/>
      <c r="J353" s="73"/>
      <c r="K353" s="53"/>
      <c r="L353" s="53"/>
      <c r="M353" s="53"/>
      <c r="N353" s="53"/>
      <c r="O353" s="53"/>
      <c r="P353" s="53"/>
      <c r="Q353" s="53"/>
    </row>
    <row r="354" spans="3:17" ht="15.75" customHeight="1">
      <c r="C354" s="53"/>
      <c r="D354" s="73"/>
      <c r="E354" s="73"/>
      <c r="F354" s="73"/>
      <c r="G354" s="73"/>
      <c r="H354" s="73"/>
      <c r="I354" s="73"/>
      <c r="J354" s="73"/>
      <c r="K354" s="53"/>
      <c r="L354" s="53"/>
      <c r="M354" s="53"/>
      <c r="N354" s="53"/>
      <c r="O354" s="53"/>
      <c r="P354" s="53"/>
      <c r="Q354" s="53"/>
    </row>
    <row r="355" spans="3:17" ht="15.75" customHeight="1">
      <c r="C355" s="53"/>
      <c r="D355" s="73"/>
      <c r="E355" s="73"/>
      <c r="F355" s="73"/>
      <c r="G355" s="73"/>
      <c r="H355" s="73"/>
      <c r="I355" s="73"/>
      <c r="J355" s="73"/>
      <c r="K355" s="53"/>
      <c r="L355" s="53"/>
      <c r="M355" s="53"/>
      <c r="N355" s="53"/>
      <c r="O355" s="53"/>
      <c r="P355" s="53"/>
      <c r="Q355" s="53"/>
    </row>
    <row r="356" spans="3:17" ht="15.75" customHeight="1">
      <c r="C356" s="53"/>
      <c r="D356" s="73"/>
      <c r="E356" s="73"/>
      <c r="F356" s="73"/>
      <c r="G356" s="73"/>
      <c r="H356" s="73"/>
      <c r="I356" s="73"/>
      <c r="J356" s="73"/>
      <c r="K356" s="53"/>
      <c r="L356" s="53"/>
      <c r="M356" s="53"/>
      <c r="N356" s="53"/>
      <c r="O356" s="53"/>
      <c r="P356" s="53"/>
      <c r="Q356" s="53"/>
    </row>
    <row r="357" spans="3:17" ht="15.75" customHeight="1">
      <c r="C357" s="53"/>
      <c r="D357" s="73"/>
      <c r="E357" s="73"/>
      <c r="F357" s="73"/>
      <c r="G357" s="73"/>
      <c r="H357" s="73"/>
      <c r="I357" s="73"/>
      <c r="J357" s="73"/>
      <c r="K357" s="53"/>
      <c r="L357" s="53"/>
      <c r="M357" s="53"/>
      <c r="N357" s="53"/>
      <c r="O357" s="53"/>
      <c r="P357" s="53"/>
      <c r="Q357" s="53"/>
    </row>
    <row r="358" spans="3:17" ht="15.75" customHeight="1">
      <c r="C358" s="53"/>
      <c r="D358" s="73"/>
      <c r="E358" s="73"/>
      <c r="F358" s="73"/>
      <c r="G358" s="73"/>
      <c r="H358" s="73"/>
      <c r="I358" s="73"/>
      <c r="J358" s="73"/>
      <c r="K358" s="53"/>
      <c r="L358" s="53"/>
      <c r="M358" s="53"/>
      <c r="N358" s="53"/>
      <c r="O358" s="53"/>
      <c r="P358" s="53"/>
      <c r="Q358" s="53"/>
    </row>
    <row r="359" spans="3:17" ht="15.75" customHeight="1">
      <c r="C359" s="53"/>
      <c r="D359" s="73"/>
      <c r="E359" s="73"/>
      <c r="F359" s="73"/>
      <c r="G359" s="73"/>
      <c r="H359" s="73"/>
      <c r="I359" s="73"/>
      <c r="J359" s="73"/>
      <c r="K359" s="53"/>
      <c r="L359" s="53"/>
      <c r="M359" s="53"/>
      <c r="N359" s="53"/>
      <c r="O359" s="53"/>
      <c r="P359" s="53"/>
      <c r="Q359" s="53"/>
    </row>
    <row r="360" spans="3:17" ht="15.75" customHeight="1">
      <c r="C360" s="53"/>
      <c r="D360" s="73"/>
      <c r="E360" s="73"/>
      <c r="F360" s="73"/>
      <c r="G360" s="73"/>
      <c r="H360" s="73"/>
      <c r="I360" s="73"/>
      <c r="J360" s="73"/>
      <c r="K360" s="53"/>
      <c r="L360" s="53"/>
      <c r="M360" s="53"/>
      <c r="N360" s="53"/>
      <c r="O360" s="53"/>
      <c r="P360" s="53"/>
      <c r="Q360" s="53"/>
    </row>
    <row r="361" spans="3:17" ht="15.75" customHeight="1">
      <c r="C361" s="53"/>
      <c r="D361" s="73"/>
      <c r="E361" s="73"/>
      <c r="F361" s="73"/>
      <c r="G361" s="73"/>
      <c r="H361" s="73"/>
      <c r="I361" s="73"/>
      <c r="J361" s="73"/>
      <c r="K361" s="53"/>
      <c r="L361" s="53"/>
      <c r="M361" s="53"/>
      <c r="N361" s="53"/>
      <c r="O361" s="53"/>
      <c r="P361" s="53"/>
      <c r="Q361" s="53"/>
    </row>
    <row r="362" spans="3:17" ht="15.75" customHeight="1">
      <c r="C362" s="53"/>
      <c r="D362" s="73"/>
      <c r="E362" s="73"/>
      <c r="F362" s="73"/>
      <c r="G362" s="73"/>
      <c r="H362" s="73"/>
      <c r="I362" s="73"/>
      <c r="J362" s="73"/>
      <c r="K362" s="53"/>
      <c r="L362" s="53"/>
      <c r="M362" s="53"/>
      <c r="N362" s="53"/>
      <c r="O362" s="53"/>
      <c r="P362" s="53"/>
      <c r="Q362" s="53"/>
    </row>
    <row r="363" spans="3:17" ht="15.75" customHeight="1">
      <c r="C363" s="53"/>
      <c r="D363" s="73"/>
      <c r="E363" s="73"/>
      <c r="F363" s="73"/>
      <c r="G363" s="73"/>
      <c r="H363" s="73"/>
      <c r="I363" s="73"/>
      <c r="J363" s="73"/>
      <c r="K363" s="53"/>
      <c r="L363" s="53"/>
      <c r="M363" s="53"/>
      <c r="N363" s="53"/>
      <c r="O363" s="53"/>
      <c r="P363" s="53"/>
      <c r="Q363" s="53"/>
    </row>
    <row r="364" spans="3:17" ht="15.75" customHeight="1">
      <c r="C364" s="53"/>
      <c r="D364" s="73"/>
      <c r="E364" s="73"/>
      <c r="F364" s="73"/>
      <c r="G364" s="73"/>
      <c r="H364" s="73"/>
      <c r="I364" s="73"/>
      <c r="J364" s="73"/>
      <c r="K364" s="53"/>
      <c r="L364" s="53"/>
      <c r="M364" s="53"/>
      <c r="N364" s="53"/>
      <c r="O364" s="53"/>
      <c r="P364" s="53"/>
      <c r="Q364" s="53"/>
    </row>
    <row r="365" spans="3:17" ht="15.75" customHeight="1">
      <c r="C365" s="53"/>
      <c r="D365" s="73"/>
      <c r="E365" s="73"/>
      <c r="F365" s="73"/>
      <c r="G365" s="73"/>
      <c r="H365" s="73"/>
      <c r="I365" s="73"/>
      <c r="J365" s="73"/>
      <c r="K365" s="53"/>
      <c r="L365" s="53"/>
      <c r="M365" s="53"/>
      <c r="N365" s="53"/>
      <c r="O365" s="53"/>
      <c r="P365" s="53"/>
      <c r="Q365" s="53"/>
    </row>
    <row r="366" spans="3:17" ht="15.75" customHeight="1">
      <c r="C366" s="53"/>
      <c r="D366" s="73"/>
      <c r="E366" s="73"/>
      <c r="F366" s="73"/>
      <c r="G366" s="73"/>
      <c r="H366" s="73"/>
      <c r="I366" s="73"/>
      <c r="J366" s="73"/>
      <c r="K366" s="53"/>
      <c r="L366" s="53"/>
      <c r="M366" s="53"/>
      <c r="N366" s="53"/>
      <c r="O366" s="53"/>
      <c r="P366" s="53"/>
      <c r="Q366" s="53"/>
    </row>
    <row r="367" spans="3:17" ht="15.75" customHeight="1">
      <c r="C367" s="53"/>
      <c r="D367" s="73"/>
      <c r="E367" s="73"/>
      <c r="F367" s="73"/>
      <c r="G367" s="73"/>
      <c r="H367" s="73"/>
      <c r="I367" s="73"/>
      <c r="J367" s="73"/>
      <c r="K367" s="53"/>
      <c r="L367" s="53"/>
      <c r="M367" s="53"/>
      <c r="N367" s="53"/>
      <c r="O367" s="53"/>
      <c r="P367" s="53"/>
      <c r="Q367" s="53"/>
    </row>
    <row r="368" spans="3:17" ht="15.75" customHeight="1">
      <c r="C368" s="53"/>
      <c r="D368" s="73"/>
      <c r="E368" s="73"/>
      <c r="F368" s="73"/>
      <c r="G368" s="73"/>
      <c r="H368" s="73"/>
      <c r="I368" s="73"/>
      <c r="J368" s="73"/>
      <c r="K368" s="53"/>
      <c r="L368" s="53"/>
      <c r="M368" s="53"/>
      <c r="N368" s="53"/>
      <c r="O368" s="53"/>
      <c r="P368" s="53"/>
      <c r="Q368" s="53"/>
    </row>
    <row r="369" spans="3:17" ht="15.75" customHeight="1">
      <c r="C369" s="53"/>
      <c r="D369" s="73"/>
      <c r="E369" s="73"/>
      <c r="F369" s="73"/>
      <c r="G369" s="73"/>
      <c r="H369" s="73"/>
      <c r="I369" s="73"/>
      <c r="J369" s="73"/>
      <c r="K369" s="53"/>
      <c r="L369" s="53"/>
      <c r="M369" s="53"/>
      <c r="N369" s="53"/>
      <c r="O369" s="53"/>
      <c r="P369" s="53"/>
      <c r="Q369" s="53"/>
    </row>
    <row r="370" spans="3:17" ht="15.75" customHeight="1">
      <c r="C370" s="53"/>
      <c r="D370" s="73"/>
      <c r="E370" s="73"/>
      <c r="F370" s="73"/>
      <c r="G370" s="73"/>
      <c r="H370" s="73"/>
      <c r="I370" s="73"/>
      <c r="J370" s="73"/>
      <c r="K370" s="53"/>
      <c r="L370" s="53"/>
      <c r="M370" s="53"/>
      <c r="N370" s="53"/>
      <c r="O370" s="53"/>
      <c r="P370" s="53"/>
      <c r="Q370" s="53"/>
    </row>
    <row r="371" spans="3:17" ht="15.75" customHeight="1">
      <c r="C371" s="53"/>
      <c r="D371" s="73"/>
      <c r="E371" s="73"/>
      <c r="F371" s="73"/>
      <c r="G371" s="73"/>
      <c r="H371" s="73"/>
      <c r="I371" s="73"/>
      <c r="J371" s="73"/>
      <c r="K371" s="53"/>
      <c r="L371" s="53"/>
      <c r="M371" s="53"/>
      <c r="N371" s="53"/>
      <c r="O371" s="53"/>
      <c r="P371" s="53"/>
      <c r="Q371" s="53"/>
    </row>
    <row r="372" spans="3:17" ht="15.75" customHeight="1">
      <c r="C372" s="53"/>
      <c r="D372" s="73"/>
      <c r="E372" s="73"/>
      <c r="F372" s="73"/>
      <c r="G372" s="73"/>
      <c r="H372" s="73"/>
      <c r="I372" s="73"/>
      <c r="J372" s="73"/>
      <c r="K372" s="53"/>
      <c r="L372" s="53"/>
      <c r="M372" s="53"/>
      <c r="N372" s="53"/>
      <c r="O372" s="53"/>
      <c r="P372" s="53"/>
      <c r="Q372" s="53"/>
    </row>
    <row r="373" spans="3:17" ht="15.75" customHeight="1">
      <c r="C373" s="53"/>
      <c r="D373" s="73"/>
      <c r="E373" s="73"/>
      <c r="F373" s="73"/>
      <c r="G373" s="73"/>
      <c r="H373" s="73"/>
      <c r="I373" s="73"/>
      <c r="J373" s="73"/>
      <c r="K373" s="53"/>
      <c r="L373" s="53"/>
      <c r="M373" s="53"/>
      <c r="N373" s="53"/>
      <c r="O373" s="53"/>
      <c r="P373" s="53"/>
      <c r="Q373" s="53"/>
    </row>
    <row r="374" spans="3:17" ht="15.75" customHeight="1">
      <c r="C374" s="53"/>
      <c r="D374" s="73"/>
      <c r="E374" s="73"/>
      <c r="F374" s="73"/>
      <c r="G374" s="73"/>
      <c r="H374" s="73"/>
      <c r="I374" s="73"/>
      <c r="J374" s="73"/>
      <c r="K374" s="53"/>
      <c r="L374" s="53"/>
      <c r="M374" s="53"/>
      <c r="N374" s="53"/>
      <c r="O374" s="53"/>
      <c r="P374" s="53"/>
      <c r="Q374" s="53"/>
    </row>
    <row r="375" spans="3:17" ht="15.75" customHeight="1">
      <c r="C375" s="53"/>
      <c r="D375" s="73"/>
      <c r="E375" s="73"/>
      <c r="F375" s="73"/>
      <c r="G375" s="73"/>
      <c r="H375" s="73"/>
      <c r="I375" s="73"/>
      <c r="J375" s="73"/>
      <c r="K375" s="53"/>
      <c r="L375" s="53"/>
      <c r="M375" s="53"/>
      <c r="N375" s="53"/>
      <c r="O375" s="53"/>
      <c r="P375" s="53"/>
      <c r="Q375" s="53"/>
    </row>
    <row r="376" spans="3:17" ht="15.75" customHeight="1">
      <c r="C376" s="53"/>
      <c r="D376" s="73"/>
      <c r="E376" s="73"/>
      <c r="F376" s="73"/>
      <c r="G376" s="73"/>
      <c r="H376" s="73"/>
      <c r="I376" s="73"/>
      <c r="J376" s="73"/>
      <c r="K376" s="53"/>
      <c r="L376" s="53"/>
      <c r="M376" s="53"/>
      <c r="N376" s="53"/>
      <c r="O376" s="53"/>
      <c r="P376" s="53"/>
      <c r="Q376" s="53"/>
    </row>
    <row r="377" spans="3:17" ht="15.75" customHeight="1">
      <c r="C377" s="53"/>
      <c r="D377" s="73"/>
      <c r="E377" s="73"/>
      <c r="F377" s="73"/>
      <c r="G377" s="73"/>
      <c r="H377" s="73"/>
      <c r="I377" s="73"/>
      <c r="J377" s="73"/>
      <c r="K377" s="53"/>
      <c r="L377" s="53"/>
      <c r="M377" s="53"/>
      <c r="N377" s="53"/>
      <c r="O377" s="53"/>
      <c r="P377" s="53"/>
      <c r="Q377" s="53"/>
    </row>
    <row r="378" spans="3:17" ht="15.75" customHeight="1">
      <c r="C378" s="53"/>
      <c r="D378" s="73"/>
      <c r="E378" s="73"/>
      <c r="F378" s="73"/>
      <c r="G378" s="73"/>
      <c r="H378" s="73"/>
      <c r="I378" s="73"/>
      <c r="J378" s="73"/>
      <c r="K378" s="53"/>
      <c r="L378" s="53"/>
      <c r="M378" s="53"/>
      <c r="N378" s="53"/>
      <c r="O378" s="53"/>
      <c r="P378" s="53"/>
      <c r="Q378" s="53"/>
    </row>
    <row r="379" spans="3:17" ht="15.75" customHeight="1">
      <c r="C379" s="53"/>
      <c r="D379" s="73"/>
      <c r="E379" s="73"/>
      <c r="F379" s="73"/>
      <c r="G379" s="73"/>
      <c r="H379" s="73"/>
      <c r="I379" s="73"/>
      <c r="J379" s="73"/>
      <c r="K379" s="53"/>
      <c r="L379" s="53"/>
      <c r="M379" s="53"/>
      <c r="N379" s="53"/>
      <c r="O379" s="53"/>
      <c r="P379" s="53"/>
      <c r="Q379" s="53"/>
    </row>
    <row r="380" spans="3:17" ht="15.75" customHeight="1">
      <c r="C380" s="53"/>
      <c r="D380" s="73"/>
      <c r="E380" s="73"/>
      <c r="F380" s="73"/>
      <c r="G380" s="73"/>
      <c r="H380" s="73"/>
      <c r="I380" s="73"/>
      <c r="J380" s="73"/>
      <c r="K380" s="53"/>
      <c r="L380" s="53"/>
      <c r="M380" s="53"/>
      <c r="N380" s="53"/>
      <c r="O380" s="53"/>
      <c r="P380" s="53"/>
      <c r="Q380" s="53"/>
    </row>
    <row r="381" spans="3:17" ht="15.75" customHeight="1">
      <c r="C381" s="53"/>
      <c r="D381" s="73"/>
      <c r="E381" s="73"/>
      <c r="F381" s="73"/>
      <c r="G381" s="73"/>
      <c r="H381" s="73"/>
      <c r="I381" s="73"/>
      <c r="J381" s="73"/>
      <c r="K381" s="53"/>
      <c r="L381" s="53"/>
      <c r="M381" s="53"/>
      <c r="N381" s="53"/>
      <c r="O381" s="53"/>
      <c r="P381" s="53"/>
      <c r="Q381" s="53"/>
    </row>
    <row r="382" spans="3:17" ht="15.75" customHeight="1">
      <c r="C382" s="53"/>
      <c r="D382" s="73"/>
      <c r="E382" s="73"/>
      <c r="F382" s="73"/>
      <c r="G382" s="73"/>
      <c r="H382" s="73"/>
      <c r="I382" s="73"/>
      <c r="J382" s="73"/>
      <c r="K382" s="53"/>
      <c r="L382" s="53"/>
      <c r="M382" s="53"/>
      <c r="N382" s="53"/>
      <c r="O382" s="53"/>
      <c r="P382" s="53"/>
      <c r="Q382" s="53"/>
    </row>
    <row r="383" spans="3:17" ht="15.75" customHeight="1">
      <c r="C383" s="53"/>
      <c r="D383" s="73"/>
      <c r="E383" s="73"/>
      <c r="F383" s="73"/>
      <c r="G383" s="73"/>
      <c r="H383" s="73"/>
      <c r="I383" s="73"/>
      <c r="J383" s="73"/>
      <c r="K383" s="53"/>
      <c r="L383" s="53"/>
      <c r="M383" s="53"/>
      <c r="N383" s="53"/>
      <c r="O383" s="53"/>
      <c r="P383" s="53"/>
      <c r="Q383" s="53"/>
    </row>
    <row r="384" spans="3:17" ht="15.75" customHeight="1">
      <c r="C384" s="53"/>
      <c r="D384" s="73"/>
      <c r="E384" s="73"/>
      <c r="F384" s="73"/>
      <c r="G384" s="73"/>
      <c r="H384" s="73"/>
      <c r="I384" s="73"/>
      <c r="J384" s="73"/>
      <c r="K384" s="53"/>
      <c r="L384" s="53"/>
      <c r="M384" s="53"/>
      <c r="N384" s="53"/>
      <c r="O384" s="53"/>
      <c r="P384" s="53"/>
      <c r="Q384" s="53"/>
    </row>
    <row r="385" spans="3:17" ht="15.75" customHeight="1">
      <c r="C385" s="53"/>
      <c r="D385" s="73"/>
      <c r="E385" s="73"/>
      <c r="F385" s="73"/>
      <c r="G385" s="73"/>
      <c r="H385" s="73"/>
      <c r="I385" s="73"/>
      <c r="J385" s="73"/>
      <c r="K385" s="53"/>
      <c r="L385" s="53"/>
      <c r="M385" s="53"/>
      <c r="N385" s="53"/>
      <c r="O385" s="53"/>
      <c r="P385" s="53"/>
      <c r="Q385" s="53"/>
    </row>
    <row r="386" spans="3:17" ht="15.75" customHeight="1">
      <c r="C386" s="53"/>
      <c r="D386" s="73"/>
      <c r="E386" s="73"/>
      <c r="F386" s="73"/>
      <c r="G386" s="73"/>
      <c r="H386" s="73"/>
      <c r="I386" s="73"/>
      <c r="J386" s="73"/>
      <c r="K386" s="53"/>
      <c r="L386" s="53"/>
      <c r="M386" s="53"/>
      <c r="N386" s="53"/>
      <c r="O386" s="53"/>
      <c r="P386" s="53"/>
      <c r="Q386" s="53"/>
    </row>
    <row r="387" spans="3:17" ht="15.75" customHeight="1">
      <c r="C387" s="53"/>
      <c r="D387" s="73"/>
      <c r="E387" s="73"/>
      <c r="F387" s="73"/>
      <c r="G387" s="73"/>
      <c r="H387" s="73"/>
      <c r="I387" s="73"/>
      <c r="J387" s="73"/>
      <c r="K387" s="53"/>
      <c r="L387" s="53"/>
      <c r="M387" s="53"/>
      <c r="N387" s="53"/>
      <c r="O387" s="53"/>
      <c r="P387" s="53"/>
      <c r="Q387" s="53"/>
    </row>
    <row r="388" spans="3:17" ht="15.75" customHeight="1">
      <c r="C388" s="53"/>
      <c r="D388" s="73"/>
      <c r="E388" s="73"/>
      <c r="F388" s="73"/>
      <c r="G388" s="73"/>
      <c r="H388" s="73"/>
      <c r="I388" s="73"/>
      <c r="J388" s="73"/>
      <c r="K388" s="53"/>
      <c r="L388" s="53"/>
      <c r="M388" s="53"/>
      <c r="N388" s="53"/>
      <c r="O388" s="53"/>
      <c r="P388" s="53"/>
      <c r="Q388" s="53"/>
    </row>
    <row r="389" spans="3:17" ht="15.75" customHeight="1">
      <c r="C389" s="53"/>
      <c r="D389" s="73"/>
      <c r="E389" s="73"/>
      <c r="F389" s="73"/>
      <c r="G389" s="73"/>
      <c r="H389" s="73"/>
      <c r="I389" s="73"/>
      <c r="J389" s="73"/>
      <c r="K389" s="53"/>
      <c r="L389" s="53"/>
      <c r="M389" s="53"/>
      <c r="N389" s="53"/>
      <c r="O389" s="53"/>
      <c r="P389" s="53"/>
      <c r="Q389" s="53"/>
    </row>
    <row r="390" spans="3:17" ht="15.75" customHeight="1">
      <c r="C390" s="53"/>
      <c r="D390" s="73"/>
      <c r="E390" s="73"/>
      <c r="F390" s="73"/>
      <c r="G390" s="73"/>
      <c r="H390" s="73"/>
      <c r="I390" s="73"/>
      <c r="J390" s="73"/>
      <c r="K390" s="53"/>
      <c r="L390" s="53"/>
      <c r="M390" s="53"/>
      <c r="N390" s="53"/>
      <c r="O390" s="53"/>
      <c r="P390" s="53"/>
      <c r="Q390" s="53"/>
    </row>
    <row r="391" spans="3:17" ht="15.75" customHeight="1">
      <c r="C391" s="53"/>
      <c r="D391" s="73"/>
      <c r="E391" s="73"/>
      <c r="F391" s="73"/>
      <c r="G391" s="73"/>
      <c r="H391" s="73"/>
      <c r="I391" s="73"/>
      <c r="J391" s="73"/>
      <c r="K391" s="53"/>
      <c r="L391" s="53"/>
      <c r="M391" s="53"/>
      <c r="N391" s="53"/>
      <c r="O391" s="53"/>
      <c r="P391" s="53"/>
      <c r="Q391" s="53"/>
    </row>
    <row r="392" spans="3:17" ht="15.75" customHeight="1">
      <c r="C392" s="53"/>
      <c r="D392" s="73"/>
      <c r="E392" s="73"/>
      <c r="F392" s="73"/>
      <c r="G392" s="73"/>
      <c r="H392" s="73"/>
      <c r="I392" s="73"/>
      <c r="J392" s="73"/>
      <c r="K392" s="53"/>
      <c r="L392" s="53"/>
      <c r="M392" s="53"/>
      <c r="N392" s="53"/>
      <c r="O392" s="53"/>
      <c r="P392" s="53"/>
      <c r="Q392" s="53"/>
    </row>
    <row r="393" spans="3:17" ht="15.75" customHeight="1">
      <c r="C393" s="53"/>
      <c r="D393" s="73"/>
      <c r="E393" s="73"/>
      <c r="F393" s="73"/>
      <c r="G393" s="73"/>
      <c r="H393" s="73"/>
      <c r="I393" s="73"/>
      <c r="J393" s="73"/>
      <c r="K393" s="53"/>
      <c r="L393" s="53"/>
      <c r="M393" s="53"/>
      <c r="N393" s="53"/>
      <c r="O393" s="53"/>
      <c r="P393" s="53"/>
      <c r="Q393" s="53"/>
    </row>
    <row r="394" spans="3:17" ht="15.75" customHeight="1">
      <c r="C394" s="53"/>
      <c r="D394" s="73"/>
      <c r="E394" s="73"/>
      <c r="F394" s="73"/>
      <c r="G394" s="73"/>
      <c r="H394" s="73"/>
      <c r="I394" s="73"/>
      <c r="J394" s="73"/>
      <c r="K394" s="53"/>
      <c r="L394" s="53"/>
      <c r="M394" s="53"/>
      <c r="N394" s="53"/>
      <c r="O394" s="53"/>
      <c r="P394" s="53"/>
      <c r="Q394" s="53"/>
    </row>
    <row r="395" spans="3:17" ht="15.75" customHeight="1">
      <c r="C395" s="53"/>
      <c r="D395" s="73"/>
      <c r="E395" s="73"/>
      <c r="F395" s="73"/>
      <c r="G395" s="73"/>
      <c r="H395" s="73"/>
      <c r="I395" s="73"/>
      <c r="J395" s="73"/>
      <c r="K395" s="53"/>
      <c r="L395" s="53"/>
      <c r="M395" s="53"/>
      <c r="N395" s="53"/>
      <c r="O395" s="53"/>
      <c r="P395" s="53"/>
      <c r="Q395" s="53"/>
    </row>
    <row r="396" spans="3:17" ht="15.75" customHeight="1">
      <c r="C396" s="53"/>
      <c r="D396" s="73"/>
      <c r="E396" s="73"/>
      <c r="F396" s="73"/>
      <c r="G396" s="73"/>
      <c r="H396" s="73"/>
      <c r="I396" s="73"/>
      <c r="J396" s="73"/>
      <c r="K396" s="53"/>
      <c r="L396" s="53"/>
      <c r="M396" s="53"/>
      <c r="N396" s="53"/>
      <c r="O396" s="53"/>
      <c r="P396" s="53"/>
      <c r="Q396" s="53"/>
    </row>
    <row r="397" spans="3:17" ht="15.75" customHeight="1">
      <c r="C397" s="53"/>
      <c r="D397" s="73"/>
      <c r="E397" s="73"/>
      <c r="F397" s="73"/>
      <c r="G397" s="73"/>
      <c r="H397" s="73"/>
      <c r="I397" s="73"/>
      <c r="J397" s="73"/>
      <c r="K397" s="53"/>
      <c r="L397" s="53"/>
      <c r="M397" s="53"/>
      <c r="N397" s="53"/>
      <c r="O397" s="53"/>
      <c r="P397" s="53"/>
      <c r="Q397" s="53"/>
    </row>
    <row r="398" spans="3:17" ht="15.75" customHeight="1">
      <c r="C398" s="53"/>
      <c r="D398" s="73"/>
      <c r="E398" s="73"/>
      <c r="F398" s="73"/>
      <c r="G398" s="73"/>
      <c r="H398" s="73"/>
      <c r="I398" s="73"/>
      <c r="J398" s="73"/>
      <c r="K398" s="53"/>
      <c r="L398" s="53"/>
      <c r="M398" s="53"/>
      <c r="N398" s="53"/>
      <c r="O398" s="53"/>
      <c r="P398" s="53"/>
      <c r="Q398" s="53"/>
    </row>
    <row r="399" spans="3:17" ht="15.75" customHeight="1">
      <c r="C399" s="53"/>
      <c r="D399" s="73"/>
      <c r="E399" s="73"/>
      <c r="F399" s="73"/>
      <c r="G399" s="73"/>
      <c r="H399" s="73"/>
      <c r="I399" s="73"/>
      <c r="J399" s="73"/>
      <c r="K399" s="53"/>
      <c r="L399" s="53"/>
      <c r="M399" s="53"/>
      <c r="N399" s="53"/>
      <c r="O399" s="53"/>
      <c r="P399" s="53"/>
      <c r="Q399" s="53"/>
    </row>
    <row r="400" spans="3:17" ht="15.75" customHeight="1">
      <c r="C400" s="53"/>
      <c r="D400" s="73"/>
      <c r="E400" s="73"/>
      <c r="F400" s="73"/>
      <c r="G400" s="73"/>
      <c r="H400" s="73"/>
      <c r="I400" s="73"/>
      <c r="J400" s="73"/>
      <c r="K400" s="53"/>
      <c r="L400" s="53"/>
      <c r="M400" s="53"/>
      <c r="N400" s="53"/>
      <c r="O400" s="53"/>
      <c r="P400" s="53"/>
      <c r="Q400" s="53"/>
    </row>
    <row r="401" spans="3:17" ht="15.75" customHeight="1">
      <c r="C401" s="53"/>
      <c r="D401" s="73"/>
      <c r="E401" s="73"/>
      <c r="F401" s="73"/>
      <c r="G401" s="73"/>
      <c r="H401" s="73"/>
      <c r="I401" s="73"/>
      <c r="J401" s="73"/>
      <c r="K401" s="53"/>
      <c r="L401" s="53"/>
      <c r="M401" s="53"/>
      <c r="N401" s="53"/>
      <c r="O401" s="53"/>
      <c r="P401" s="53"/>
      <c r="Q401" s="53"/>
    </row>
    <row r="402" spans="3:17" ht="15.75" customHeight="1">
      <c r="C402" s="53"/>
      <c r="D402" s="73"/>
      <c r="E402" s="73"/>
      <c r="F402" s="73"/>
      <c r="G402" s="73"/>
      <c r="H402" s="73"/>
      <c r="I402" s="73"/>
      <c r="J402" s="73"/>
      <c r="K402" s="53"/>
      <c r="L402" s="53"/>
      <c r="M402" s="53"/>
      <c r="N402" s="53"/>
      <c r="O402" s="53"/>
      <c r="P402" s="53"/>
      <c r="Q402" s="53"/>
    </row>
    <row r="403" spans="3:17" ht="15.75" customHeight="1">
      <c r="C403" s="53"/>
      <c r="D403" s="73"/>
      <c r="E403" s="73"/>
      <c r="F403" s="73"/>
      <c r="G403" s="73"/>
      <c r="H403" s="73"/>
      <c r="I403" s="73"/>
      <c r="J403" s="73"/>
      <c r="K403" s="53"/>
      <c r="L403" s="53"/>
      <c r="M403" s="53"/>
      <c r="N403" s="53"/>
      <c r="O403" s="53"/>
      <c r="P403" s="53"/>
      <c r="Q403" s="53"/>
    </row>
    <row r="404" spans="3:17" ht="15.75" customHeight="1">
      <c r="C404" s="53"/>
      <c r="D404" s="73"/>
      <c r="E404" s="73"/>
      <c r="F404" s="73"/>
      <c r="G404" s="73"/>
      <c r="H404" s="73"/>
      <c r="I404" s="73"/>
      <c r="J404" s="73"/>
      <c r="K404" s="53"/>
      <c r="L404" s="53"/>
      <c r="M404" s="53"/>
      <c r="N404" s="53"/>
      <c r="O404" s="53"/>
      <c r="P404" s="53"/>
      <c r="Q404" s="53"/>
    </row>
    <row r="405" spans="3:17" ht="15.75" customHeight="1">
      <c r="C405" s="53"/>
      <c r="D405" s="73"/>
      <c r="E405" s="73"/>
      <c r="F405" s="73"/>
      <c r="G405" s="73"/>
      <c r="H405" s="73"/>
      <c r="I405" s="73"/>
      <c r="J405" s="73"/>
      <c r="K405" s="53"/>
      <c r="L405" s="53"/>
      <c r="M405" s="53"/>
      <c r="N405" s="53"/>
      <c r="O405" s="53"/>
      <c r="P405" s="53"/>
      <c r="Q405" s="53"/>
    </row>
    <row r="406" spans="3:17" ht="15.75" customHeight="1">
      <c r="C406" s="53"/>
      <c r="D406" s="73"/>
      <c r="E406" s="73"/>
      <c r="F406" s="73"/>
      <c r="G406" s="73"/>
      <c r="H406" s="73"/>
      <c r="I406" s="73"/>
      <c r="J406" s="73"/>
      <c r="K406" s="53"/>
      <c r="L406" s="53"/>
      <c r="M406" s="53"/>
      <c r="N406" s="53"/>
      <c r="O406" s="53"/>
      <c r="P406" s="53"/>
      <c r="Q406" s="53"/>
    </row>
    <row r="407" spans="3:17" ht="15.75" customHeight="1">
      <c r="C407" s="53"/>
      <c r="D407" s="73"/>
      <c r="E407" s="73"/>
      <c r="F407" s="73"/>
      <c r="G407" s="73"/>
      <c r="H407" s="73"/>
      <c r="I407" s="73"/>
      <c r="J407" s="73"/>
      <c r="K407" s="53"/>
      <c r="L407" s="53"/>
      <c r="M407" s="53"/>
      <c r="N407" s="53"/>
      <c r="O407" s="53"/>
      <c r="P407" s="53"/>
      <c r="Q407" s="53"/>
    </row>
    <row r="408" spans="3:17" ht="15.75" customHeight="1">
      <c r="C408" s="53"/>
      <c r="D408" s="73"/>
      <c r="E408" s="73"/>
      <c r="F408" s="73"/>
      <c r="G408" s="73"/>
      <c r="H408" s="73"/>
      <c r="I408" s="73"/>
      <c r="J408" s="73"/>
      <c r="K408" s="53"/>
      <c r="L408" s="53"/>
      <c r="M408" s="53"/>
      <c r="N408" s="53"/>
      <c r="O408" s="53"/>
      <c r="P408" s="53"/>
      <c r="Q408" s="53"/>
    </row>
    <row r="409" spans="3:17" ht="15.75" customHeight="1">
      <c r="C409" s="53"/>
      <c r="D409" s="73"/>
      <c r="E409" s="73"/>
      <c r="F409" s="73"/>
      <c r="G409" s="73"/>
      <c r="H409" s="73"/>
      <c r="I409" s="73"/>
      <c r="J409" s="73"/>
      <c r="K409" s="53"/>
      <c r="L409" s="53"/>
      <c r="M409" s="53"/>
      <c r="N409" s="53"/>
      <c r="O409" s="53"/>
      <c r="P409" s="53"/>
      <c r="Q409" s="53"/>
    </row>
    <row r="410" spans="3:17" ht="15.75" customHeight="1">
      <c r="C410" s="53"/>
      <c r="D410" s="73"/>
      <c r="E410" s="73"/>
      <c r="F410" s="73"/>
      <c r="G410" s="73"/>
      <c r="H410" s="73"/>
      <c r="I410" s="73"/>
      <c r="J410" s="73"/>
      <c r="K410" s="53"/>
      <c r="L410" s="53"/>
      <c r="M410" s="53"/>
      <c r="N410" s="53"/>
      <c r="O410" s="53"/>
      <c r="P410" s="53"/>
      <c r="Q410" s="53"/>
    </row>
    <row r="411" spans="3:17" ht="15.75" customHeight="1">
      <c r="C411" s="53"/>
      <c r="D411" s="73"/>
      <c r="E411" s="73"/>
      <c r="F411" s="73"/>
      <c r="G411" s="73"/>
      <c r="H411" s="73"/>
      <c r="I411" s="73"/>
      <c r="J411" s="73"/>
      <c r="K411" s="53"/>
      <c r="L411" s="53"/>
      <c r="M411" s="53"/>
      <c r="N411" s="53"/>
      <c r="O411" s="53"/>
      <c r="P411" s="53"/>
      <c r="Q411" s="53"/>
    </row>
    <row r="412" spans="3:17" ht="15.75" customHeight="1">
      <c r="C412" s="53"/>
      <c r="D412" s="73"/>
      <c r="E412" s="73"/>
      <c r="F412" s="73"/>
      <c r="G412" s="73"/>
      <c r="H412" s="73"/>
      <c r="I412" s="73"/>
      <c r="J412" s="73"/>
      <c r="K412" s="53"/>
      <c r="L412" s="53"/>
      <c r="M412" s="53"/>
      <c r="N412" s="53"/>
      <c r="O412" s="53"/>
      <c r="P412" s="53"/>
      <c r="Q412" s="53"/>
    </row>
    <row r="413" spans="3:17" ht="15.75" customHeight="1">
      <c r="C413" s="53"/>
      <c r="D413" s="73"/>
      <c r="E413" s="73"/>
      <c r="F413" s="73"/>
      <c r="G413" s="73"/>
      <c r="H413" s="73"/>
      <c r="I413" s="73"/>
      <c r="J413" s="73"/>
      <c r="K413" s="53"/>
      <c r="L413" s="53"/>
      <c r="M413" s="53"/>
      <c r="N413" s="53"/>
      <c r="O413" s="53"/>
      <c r="P413" s="53"/>
      <c r="Q413" s="53"/>
    </row>
    <row r="414" spans="3:17" ht="15.75" customHeight="1">
      <c r="C414" s="53"/>
      <c r="D414" s="73"/>
      <c r="E414" s="73"/>
      <c r="F414" s="73"/>
      <c r="G414" s="73"/>
      <c r="H414" s="73"/>
      <c r="I414" s="73"/>
      <c r="J414" s="73"/>
      <c r="K414" s="53"/>
      <c r="L414" s="53"/>
      <c r="M414" s="53"/>
      <c r="N414" s="53"/>
      <c r="O414" s="53"/>
      <c r="P414" s="53"/>
      <c r="Q414" s="53"/>
    </row>
    <row r="415" spans="3:17" ht="15.75" customHeight="1">
      <c r="C415" s="53"/>
      <c r="D415" s="73"/>
      <c r="E415" s="73"/>
      <c r="F415" s="73"/>
      <c r="G415" s="73"/>
      <c r="H415" s="73"/>
      <c r="I415" s="73"/>
      <c r="J415" s="73"/>
      <c r="K415" s="53"/>
      <c r="L415" s="53"/>
      <c r="M415" s="53"/>
      <c r="N415" s="53"/>
      <c r="O415" s="53"/>
      <c r="P415" s="53"/>
      <c r="Q415" s="53"/>
    </row>
    <row r="416" spans="3:17" ht="15.75" customHeight="1">
      <c r="C416" s="53"/>
      <c r="D416" s="73"/>
      <c r="E416" s="73"/>
      <c r="F416" s="73"/>
      <c r="G416" s="73"/>
      <c r="H416" s="73"/>
      <c r="I416" s="73"/>
      <c r="J416" s="73"/>
      <c r="K416" s="53"/>
      <c r="L416" s="53"/>
      <c r="M416" s="53"/>
      <c r="N416" s="53"/>
      <c r="O416" s="53"/>
      <c r="P416" s="53"/>
      <c r="Q416" s="53"/>
    </row>
    <row r="417" spans="3:17" ht="15.75" customHeight="1">
      <c r="C417" s="53"/>
      <c r="D417" s="73"/>
      <c r="E417" s="73"/>
      <c r="F417" s="73"/>
      <c r="G417" s="73"/>
      <c r="H417" s="73"/>
      <c r="I417" s="73"/>
      <c r="J417" s="73"/>
      <c r="K417" s="53"/>
      <c r="L417" s="53"/>
      <c r="M417" s="53"/>
      <c r="N417" s="53"/>
      <c r="O417" s="53"/>
      <c r="P417" s="53"/>
      <c r="Q417" s="53"/>
    </row>
    <row r="418" spans="3:17" ht="15.75" customHeight="1">
      <c r="C418" s="53"/>
      <c r="D418" s="73"/>
      <c r="E418" s="73"/>
      <c r="F418" s="73"/>
      <c r="G418" s="73"/>
      <c r="H418" s="73"/>
      <c r="I418" s="73"/>
      <c r="J418" s="73"/>
      <c r="K418" s="53"/>
      <c r="L418" s="53"/>
      <c r="M418" s="53"/>
      <c r="N418" s="53"/>
      <c r="O418" s="53"/>
      <c r="P418" s="53"/>
      <c r="Q418" s="53"/>
    </row>
    <row r="419" spans="3:17" ht="15.75" customHeight="1">
      <c r="C419" s="53"/>
      <c r="D419" s="73"/>
      <c r="E419" s="73"/>
      <c r="F419" s="73"/>
      <c r="G419" s="73"/>
      <c r="H419" s="73"/>
      <c r="I419" s="73"/>
      <c r="J419" s="73"/>
      <c r="K419" s="53"/>
      <c r="L419" s="53"/>
      <c r="M419" s="53"/>
      <c r="N419" s="53"/>
      <c r="O419" s="53"/>
      <c r="P419" s="53"/>
      <c r="Q419" s="53"/>
    </row>
    <row r="420" spans="3:17" ht="15.75" customHeight="1">
      <c r="C420" s="53"/>
      <c r="D420" s="73"/>
      <c r="E420" s="73"/>
      <c r="F420" s="73"/>
      <c r="G420" s="73"/>
      <c r="H420" s="73"/>
      <c r="I420" s="73"/>
      <c r="J420" s="73"/>
      <c r="K420" s="53"/>
      <c r="L420" s="53"/>
      <c r="M420" s="53"/>
      <c r="N420" s="53"/>
      <c r="O420" s="53"/>
      <c r="P420" s="53"/>
      <c r="Q420" s="53"/>
    </row>
    <row r="421" spans="3:17" ht="15.75" customHeight="1">
      <c r="C421" s="53"/>
      <c r="D421" s="73"/>
      <c r="E421" s="73"/>
      <c r="F421" s="73"/>
      <c r="G421" s="73"/>
      <c r="H421" s="73"/>
      <c r="I421" s="73"/>
      <c r="J421" s="73"/>
      <c r="K421" s="53"/>
      <c r="L421" s="53"/>
      <c r="M421" s="53"/>
      <c r="N421" s="53"/>
      <c r="O421" s="53"/>
      <c r="P421" s="53"/>
      <c r="Q421" s="53"/>
    </row>
    <row r="422" spans="3:17" ht="15.75" customHeight="1">
      <c r="C422" s="53"/>
      <c r="D422" s="73"/>
      <c r="E422" s="73"/>
      <c r="F422" s="73"/>
      <c r="G422" s="73"/>
      <c r="H422" s="73"/>
      <c r="I422" s="73"/>
      <c r="J422" s="73"/>
      <c r="K422" s="53"/>
      <c r="L422" s="53"/>
      <c r="M422" s="53"/>
      <c r="N422" s="53"/>
      <c r="O422" s="53"/>
      <c r="P422" s="53"/>
      <c r="Q422" s="53"/>
    </row>
    <row r="423" spans="3:17" ht="15.75" customHeight="1">
      <c r="C423" s="53"/>
      <c r="D423" s="73"/>
      <c r="E423" s="73"/>
      <c r="F423" s="73"/>
      <c r="G423" s="73"/>
      <c r="H423" s="73"/>
      <c r="I423" s="73"/>
      <c r="J423" s="73"/>
      <c r="K423" s="53"/>
      <c r="L423" s="53"/>
      <c r="M423" s="53"/>
      <c r="N423" s="53"/>
      <c r="O423" s="53"/>
      <c r="P423" s="53"/>
      <c r="Q423" s="53"/>
    </row>
    <row r="424" spans="3:17" ht="15.75" customHeight="1">
      <c r="C424" s="53"/>
      <c r="D424" s="73"/>
      <c r="E424" s="73"/>
      <c r="F424" s="73"/>
      <c r="G424" s="73"/>
      <c r="H424" s="73"/>
      <c r="I424" s="73"/>
      <c r="J424" s="73"/>
      <c r="K424" s="53"/>
      <c r="L424" s="53"/>
      <c r="M424" s="53"/>
      <c r="N424" s="53"/>
      <c r="O424" s="53"/>
      <c r="P424" s="53"/>
      <c r="Q424" s="53"/>
    </row>
    <row r="425" spans="3:17" ht="15.75" customHeight="1">
      <c r="C425" s="53"/>
      <c r="D425" s="73"/>
      <c r="E425" s="73"/>
      <c r="F425" s="73"/>
      <c r="G425" s="73"/>
      <c r="H425" s="73"/>
      <c r="I425" s="73"/>
      <c r="J425" s="73"/>
      <c r="K425" s="53"/>
      <c r="L425" s="53"/>
      <c r="M425" s="53"/>
      <c r="N425" s="53"/>
      <c r="O425" s="53"/>
      <c r="P425" s="53"/>
      <c r="Q425" s="53"/>
    </row>
    <row r="426" spans="3:17" ht="15.75" customHeight="1">
      <c r="C426" s="53"/>
      <c r="D426" s="73"/>
      <c r="E426" s="73"/>
      <c r="F426" s="73"/>
      <c r="G426" s="73"/>
      <c r="H426" s="73"/>
      <c r="I426" s="73"/>
      <c r="J426" s="73"/>
      <c r="K426" s="53"/>
      <c r="L426" s="53"/>
      <c r="M426" s="53"/>
      <c r="N426" s="53"/>
      <c r="O426" s="53"/>
      <c r="P426" s="53"/>
      <c r="Q426" s="53"/>
    </row>
    <row r="427" spans="3:17" ht="15.75" customHeight="1">
      <c r="C427" s="53"/>
      <c r="D427" s="73"/>
      <c r="E427" s="73"/>
      <c r="F427" s="73"/>
      <c r="G427" s="73"/>
      <c r="H427" s="73"/>
      <c r="I427" s="73"/>
      <c r="J427" s="73"/>
      <c r="K427" s="53"/>
      <c r="L427" s="53"/>
      <c r="M427" s="53"/>
      <c r="N427" s="53"/>
      <c r="O427" s="53"/>
      <c r="P427" s="53"/>
      <c r="Q427" s="53"/>
    </row>
    <row r="428" spans="3:17" ht="15.75" customHeight="1">
      <c r="C428" s="53"/>
      <c r="D428" s="73"/>
      <c r="E428" s="73"/>
      <c r="F428" s="73"/>
      <c r="G428" s="73"/>
      <c r="H428" s="73"/>
      <c r="I428" s="73"/>
      <c r="J428" s="73"/>
      <c r="K428" s="53"/>
      <c r="L428" s="53"/>
      <c r="M428" s="53"/>
      <c r="N428" s="53"/>
      <c r="O428" s="53"/>
      <c r="P428" s="53"/>
      <c r="Q428" s="53"/>
    </row>
    <row r="429" spans="3:17" ht="15.75" customHeight="1">
      <c r="C429" s="53"/>
      <c r="D429" s="73"/>
      <c r="E429" s="73"/>
      <c r="F429" s="73"/>
      <c r="G429" s="73"/>
      <c r="H429" s="73"/>
      <c r="I429" s="73"/>
      <c r="J429" s="73"/>
      <c r="K429" s="53"/>
      <c r="L429" s="53"/>
      <c r="M429" s="53"/>
      <c r="N429" s="53"/>
      <c r="O429" s="53"/>
      <c r="P429" s="53"/>
      <c r="Q429" s="53"/>
    </row>
    <row r="430" spans="3:17" ht="15.75" customHeight="1">
      <c r="C430" s="53"/>
      <c r="D430" s="73"/>
      <c r="E430" s="73"/>
      <c r="F430" s="73"/>
      <c r="G430" s="73"/>
      <c r="H430" s="73"/>
      <c r="I430" s="73"/>
      <c r="J430" s="73"/>
      <c r="K430" s="53"/>
      <c r="L430" s="53"/>
      <c r="M430" s="53"/>
      <c r="N430" s="53"/>
      <c r="O430" s="53"/>
      <c r="P430" s="53"/>
      <c r="Q430" s="53"/>
    </row>
    <row r="431" spans="3:17" ht="15.75" customHeight="1">
      <c r="C431" s="53"/>
      <c r="D431" s="73"/>
      <c r="E431" s="73"/>
      <c r="F431" s="73"/>
      <c r="G431" s="73"/>
      <c r="H431" s="73"/>
      <c r="I431" s="73"/>
      <c r="J431" s="73"/>
      <c r="K431" s="53"/>
      <c r="L431" s="53"/>
      <c r="M431" s="53"/>
      <c r="N431" s="53"/>
      <c r="O431" s="53"/>
      <c r="P431" s="53"/>
      <c r="Q431" s="53"/>
    </row>
    <row r="432" spans="3:17" ht="15.75" customHeight="1">
      <c r="C432" s="53"/>
      <c r="D432" s="73"/>
      <c r="E432" s="73"/>
      <c r="F432" s="73"/>
      <c r="G432" s="73"/>
      <c r="H432" s="73"/>
      <c r="I432" s="73"/>
      <c r="J432" s="73"/>
      <c r="K432" s="53"/>
      <c r="L432" s="53"/>
      <c r="M432" s="53"/>
      <c r="N432" s="53"/>
      <c r="O432" s="53"/>
      <c r="P432" s="53"/>
      <c r="Q432" s="53"/>
    </row>
    <row r="433" spans="3:17" ht="15.75" customHeight="1">
      <c r="C433" s="53"/>
      <c r="D433" s="73"/>
      <c r="E433" s="73"/>
      <c r="F433" s="73"/>
      <c r="G433" s="73"/>
      <c r="H433" s="73"/>
      <c r="I433" s="73"/>
      <c r="J433" s="73"/>
      <c r="K433" s="53"/>
      <c r="L433" s="53"/>
      <c r="M433" s="53"/>
      <c r="N433" s="53"/>
      <c r="O433" s="53"/>
      <c r="P433" s="53"/>
      <c r="Q433" s="53"/>
    </row>
    <row r="434" spans="3:17" ht="15.75" customHeight="1">
      <c r="C434" s="53"/>
      <c r="D434" s="73"/>
      <c r="E434" s="73"/>
      <c r="F434" s="73"/>
      <c r="G434" s="73"/>
      <c r="H434" s="73"/>
      <c r="I434" s="73"/>
      <c r="J434" s="73"/>
      <c r="K434" s="53"/>
      <c r="L434" s="53"/>
      <c r="M434" s="53"/>
      <c r="N434" s="53"/>
      <c r="O434" s="53"/>
      <c r="P434" s="53"/>
      <c r="Q434" s="53"/>
    </row>
    <row r="435" spans="3:17" ht="15.75" customHeight="1">
      <c r="C435" s="53"/>
      <c r="D435" s="73"/>
      <c r="E435" s="73"/>
      <c r="F435" s="73"/>
      <c r="G435" s="73"/>
      <c r="H435" s="73"/>
      <c r="I435" s="73"/>
      <c r="J435" s="73"/>
      <c r="K435" s="53"/>
      <c r="L435" s="53"/>
      <c r="M435" s="53"/>
      <c r="N435" s="53"/>
      <c r="O435" s="53"/>
      <c r="P435" s="53"/>
      <c r="Q435" s="53"/>
    </row>
    <row r="436" spans="3:17" ht="15.75" customHeight="1">
      <c r="C436" s="53"/>
      <c r="D436" s="73"/>
      <c r="E436" s="73"/>
      <c r="F436" s="73"/>
      <c r="G436" s="73"/>
      <c r="H436" s="73"/>
      <c r="I436" s="73"/>
      <c r="J436" s="73"/>
      <c r="K436" s="53"/>
      <c r="L436" s="53"/>
      <c r="M436" s="53"/>
      <c r="N436" s="53"/>
      <c r="O436" s="53"/>
      <c r="P436" s="53"/>
      <c r="Q436" s="53"/>
    </row>
    <row r="437" spans="3:17" ht="15.75" customHeight="1">
      <c r="C437" s="53"/>
      <c r="D437" s="73"/>
      <c r="E437" s="73"/>
      <c r="F437" s="73"/>
      <c r="G437" s="73"/>
      <c r="H437" s="73"/>
      <c r="I437" s="73"/>
      <c r="J437" s="73"/>
      <c r="K437" s="53"/>
      <c r="L437" s="53"/>
      <c r="M437" s="53"/>
      <c r="N437" s="53"/>
      <c r="O437" s="53"/>
      <c r="P437" s="53"/>
      <c r="Q437" s="53"/>
    </row>
    <row r="438" spans="3:17" ht="15.75" customHeight="1">
      <c r="C438" s="53"/>
      <c r="D438" s="73"/>
      <c r="E438" s="73"/>
      <c r="F438" s="73"/>
      <c r="G438" s="73"/>
      <c r="H438" s="73"/>
      <c r="I438" s="73"/>
      <c r="J438" s="73"/>
      <c r="K438" s="53"/>
      <c r="L438" s="53"/>
      <c r="M438" s="53"/>
      <c r="N438" s="53"/>
      <c r="O438" s="53"/>
      <c r="P438" s="53"/>
      <c r="Q438" s="53"/>
    </row>
    <row r="439" spans="3:17" ht="15.75" customHeight="1">
      <c r="C439" s="53"/>
      <c r="D439" s="73"/>
      <c r="E439" s="73"/>
      <c r="F439" s="73"/>
      <c r="G439" s="73"/>
      <c r="H439" s="73"/>
      <c r="I439" s="73"/>
      <c r="J439" s="73"/>
      <c r="K439" s="53"/>
      <c r="L439" s="53"/>
      <c r="M439" s="53"/>
      <c r="N439" s="53"/>
      <c r="O439" s="53"/>
      <c r="P439" s="53"/>
      <c r="Q439" s="53"/>
    </row>
    <row r="440" spans="3:17" ht="15.75" customHeight="1">
      <c r="C440" s="53"/>
      <c r="D440" s="73"/>
      <c r="E440" s="73"/>
      <c r="F440" s="73"/>
      <c r="G440" s="73"/>
      <c r="H440" s="73"/>
      <c r="I440" s="73"/>
      <c r="J440" s="73"/>
      <c r="K440" s="53"/>
      <c r="L440" s="53"/>
      <c r="M440" s="53"/>
      <c r="N440" s="53"/>
      <c r="O440" s="53"/>
      <c r="P440" s="53"/>
      <c r="Q440" s="53"/>
    </row>
    <row r="441" spans="3:17" ht="15.75" customHeight="1">
      <c r="C441" s="53"/>
      <c r="D441" s="73"/>
      <c r="E441" s="73"/>
      <c r="F441" s="73"/>
      <c r="G441" s="73"/>
      <c r="H441" s="73"/>
      <c r="I441" s="73"/>
      <c r="J441" s="73"/>
      <c r="K441" s="53"/>
      <c r="L441" s="53"/>
      <c r="M441" s="53"/>
      <c r="N441" s="53"/>
      <c r="O441" s="53"/>
      <c r="P441" s="53"/>
      <c r="Q441" s="53"/>
    </row>
    <row r="442" spans="3:17" ht="15.75" customHeight="1">
      <c r="C442" s="53"/>
      <c r="D442" s="73"/>
      <c r="E442" s="73"/>
      <c r="F442" s="73"/>
      <c r="G442" s="73"/>
      <c r="H442" s="73"/>
      <c r="I442" s="73"/>
      <c r="J442" s="73"/>
      <c r="K442" s="53"/>
      <c r="L442" s="53"/>
      <c r="M442" s="53"/>
      <c r="N442" s="53"/>
      <c r="O442" s="53"/>
      <c r="P442" s="53"/>
      <c r="Q442" s="53"/>
    </row>
    <row r="443" spans="3:17" ht="15.75" customHeight="1">
      <c r="C443" s="53"/>
      <c r="D443" s="73"/>
      <c r="E443" s="73"/>
      <c r="F443" s="73"/>
      <c r="G443" s="73"/>
      <c r="H443" s="73"/>
      <c r="I443" s="73"/>
      <c r="J443" s="73"/>
      <c r="K443" s="53"/>
      <c r="L443" s="53"/>
      <c r="M443" s="53"/>
      <c r="N443" s="53"/>
      <c r="O443" s="53"/>
      <c r="P443" s="53"/>
      <c r="Q443" s="53"/>
    </row>
    <row r="444" spans="3:17" ht="15.75" customHeight="1">
      <c r="C444" s="53"/>
      <c r="D444" s="73"/>
      <c r="E444" s="73"/>
      <c r="F444" s="73"/>
      <c r="G444" s="73"/>
      <c r="H444" s="73"/>
      <c r="I444" s="73"/>
      <c r="J444" s="73"/>
      <c r="K444" s="53"/>
      <c r="L444" s="53"/>
      <c r="M444" s="53"/>
      <c r="N444" s="53"/>
      <c r="O444" s="53"/>
      <c r="P444" s="53"/>
      <c r="Q444" s="53"/>
    </row>
    <row r="445" spans="3:17" ht="15.75" customHeight="1">
      <c r="C445" s="53"/>
      <c r="D445" s="73"/>
      <c r="E445" s="73"/>
      <c r="F445" s="73"/>
      <c r="G445" s="73"/>
      <c r="H445" s="73"/>
      <c r="I445" s="73"/>
      <c r="J445" s="73"/>
      <c r="K445" s="53"/>
      <c r="L445" s="53"/>
      <c r="M445" s="53"/>
      <c r="N445" s="53"/>
      <c r="O445" s="53"/>
      <c r="P445" s="53"/>
      <c r="Q445" s="53"/>
    </row>
    <row r="446" spans="3:17" ht="15.75" customHeight="1">
      <c r="C446" s="53"/>
      <c r="D446" s="73"/>
      <c r="E446" s="73"/>
      <c r="F446" s="73"/>
      <c r="G446" s="73"/>
      <c r="H446" s="73"/>
      <c r="I446" s="73"/>
      <c r="J446" s="73"/>
      <c r="K446" s="53"/>
      <c r="L446" s="53"/>
      <c r="M446" s="53"/>
      <c r="N446" s="53"/>
      <c r="O446" s="53"/>
      <c r="P446" s="53"/>
      <c r="Q446" s="53"/>
    </row>
    <row r="447" spans="3:17" ht="15.75" customHeight="1">
      <c r="C447" s="53"/>
      <c r="D447" s="73"/>
      <c r="E447" s="73"/>
      <c r="F447" s="73"/>
      <c r="G447" s="73"/>
      <c r="H447" s="73"/>
      <c r="I447" s="73"/>
      <c r="J447" s="73"/>
      <c r="K447" s="53"/>
      <c r="L447" s="53"/>
      <c r="M447" s="53"/>
      <c r="N447" s="53"/>
      <c r="O447" s="53"/>
      <c r="P447" s="53"/>
      <c r="Q447" s="53"/>
    </row>
    <row r="448" spans="3:17" ht="15.75" customHeight="1">
      <c r="C448" s="53"/>
      <c r="D448" s="73"/>
      <c r="E448" s="73"/>
      <c r="F448" s="73"/>
      <c r="G448" s="73"/>
      <c r="H448" s="73"/>
      <c r="I448" s="73"/>
      <c r="J448" s="73"/>
      <c r="K448" s="53"/>
      <c r="L448" s="53"/>
      <c r="M448" s="53"/>
      <c r="N448" s="53"/>
      <c r="O448" s="53"/>
      <c r="P448" s="53"/>
      <c r="Q448" s="53"/>
    </row>
    <row r="449" spans="3:17" ht="15.75" customHeight="1">
      <c r="C449" s="53"/>
      <c r="D449" s="73"/>
      <c r="E449" s="73"/>
      <c r="F449" s="73"/>
      <c r="G449" s="73"/>
      <c r="H449" s="73"/>
      <c r="I449" s="73"/>
      <c r="J449" s="73"/>
      <c r="K449" s="53"/>
      <c r="L449" s="53"/>
      <c r="M449" s="53"/>
      <c r="N449" s="53"/>
      <c r="O449" s="53"/>
      <c r="P449" s="53"/>
      <c r="Q449" s="53"/>
    </row>
    <row r="450" spans="3:17" ht="15.75" customHeight="1">
      <c r="C450" s="53"/>
      <c r="D450" s="73"/>
      <c r="E450" s="73"/>
      <c r="F450" s="73"/>
      <c r="G450" s="73"/>
      <c r="H450" s="73"/>
      <c r="I450" s="73"/>
      <c r="J450" s="73"/>
      <c r="K450" s="53"/>
      <c r="L450" s="53"/>
      <c r="M450" s="53"/>
      <c r="N450" s="53"/>
      <c r="O450" s="53"/>
      <c r="P450" s="53"/>
      <c r="Q450" s="53"/>
    </row>
    <row r="451" spans="3:17" ht="15.75" customHeight="1">
      <c r="C451" s="53"/>
      <c r="D451" s="73"/>
      <c r="E451" s="73"/>
      <c r="F451" s="73"/>
      <c r="G451" s="73"/>
      <c r="H451" s="73"/>
      <c r="I451" s="73"/>
      <c r="J451" s="73"/>
      <c r="K451" s="53"/>
      <c r="L451" s="53"/>
      <c r="M451" s="53"/>
      <c r="N451" s="53"/>
      <c r="O451" s="53"/>
      <c r="P451" s="53"/>
      <c r="Q451" s="53"/>
    </row>
    <row r="452" spans="3:17" ht="15.75" customHeight="1">
      <c r="C452" s="53"/>
      <c r="D452" s="73"/>
      <c r="E452" s="73"/>
      <c r="F452" s="73"/>
      <c r="G452" s="73"/>
      <c r="H452" s="73"/>
      <c r="I452" s="73"/>
      <c r="J452" s="73"/>
      <c r="K452" s="53"/>
      <c r="L452" s="53"/>
      <c r="M452" s="53"/>
      <c r="N452" s="53"/>
      <c r="O452" s="53"/>
      <c r="P452" s="53"/>
      <c r="Q452" s="53"/>
    </row>
    <row r="453" spans="3:17" ht="15.75" customHeight="1">
      <c r="C453" s="53"/>
      <c r="D453" s="73"/>
      <c r="E453" s="73"/>
      <c r="F453" s="73"/>
      <c r="G453" s="73"/>
      <c r="H453" s="73"/>
      <c r="I453" s="73"/>
      <c r="J453" s="73"/>
      <c r="K453" s="53"/>
      <c r="L453" s="53"/>
      <c r="M453" s="53"/>
      <c r="N453" s="53"/>
      <c r="O453" s="53"/>
      <c r="P453" s="53"/>
      <c r="Q453" s="53"/>
    </row>
    <row r="454" spans="3:17" ht="15.75" customHeight="1">
      <c r="C454" s="53"/>
      <c r="D454" s="73"/>
      <c r="E454" s="73"/>
      <c r="F454" s="73"/>
      <c r="G454" s="73"/>
      <c r="H454" s="73"/>
      <c r="I454" s="73"/>
      <c r="J454" s="73"/>
      <c r="K454" s="53"/>
      <c r="L454" s="53"/>
      <c r="M454" s="53"/>
      <c r="N454" s="53"/>
      <c r="O454" s="53"/>
      <c r="P454" s="53"/>
      <c r="Q454" s="53"/>
    </row>
    <row r="455" spans="3:17" ht="15.75" customHeight="1">
      <c r="C455" s="53"/>
      <c r="D455" s="73"/>
      <c r="E455" s="73"/>
      <c r="F455" s="73"/>
      <c r="G455" s="73"/>
      <c r="H455" s="73"/>
      <c r="I455" s="73"/>
      <c r="J455" s="73"/>
      <c r="K455" s="53"/>
      <c r="L455" s="53"/>
      <c r="M455" s="53"/>
      <c r="N455" s="53"/>
      <c r="O455" s="53"/>
      <c r="P455" s="53"/>
      <c r="Q455" s="53"/>
    </row>
    <row r="456" spans="3:17" ht="15.75" customHeight="1">
      <c r="C456" s="53"/>
      <c r="D456" s="73"/>
      <c r="E456" s="73"/>
      <c r="F456" s="73"/>
      <c r="G456" s="73"/>
      <c r="H456" s="73"/>
      <c r="I456" s="73"/>
      <c r="J456" s="73"/>
      <c r="K456" s="53"/>
      <c r="L456" s="53"/>
      <c r="M456" s="53"/>
      <c r="N456" s="53"/>
      <c r="O456" s="53"/>
      <c r="P456" s="53"/>
      <c r="Q456" s="53"/>
    </row>
    <row r="457" spans="3:17" ht="15.75" customHeight="1">
      <c r="C457" s="53"/>
      <c r="D457" s="73"/>
      <c r="E457" s="73"/>
      <c r="F457" s="73"/>
      <c r="G457" s="73"/>
      <c r="H457" s="73"/>
      <c r="I457" s="73"/>
      <c r="J457" s="73"/>
      <c r="K457" s="53"/>
      <c r="L457" s="53"/>
      <c r="M457" s="53"/>
      <c r="N457" s="53"/>
      <c r="O457" s="53"/>
      <c r="P457" s="53"/>
      <c r="Q457" s="53"/>
    </row>
    <row r="458" spans="3:17" ht="15.75" customHeight="1">
      <c r="C458" s="53"/>
      <c r="D458" s="73"/>
      <c r="E458" s="73"/>
      <c r="F458" s="73"/>
      <c r="G458" s="73"/>
      <c r="H458" s="73"/>
      <c r="I458" s="73"/>
      <c r="J458" s="73"/>
      <c r="K458" s="53"/>
      <c r="L458" s="53"/>
      <c r="M458" s="53"/>
      <c r="N458" s="53"/>
      <c r="O458" s="53"/>
      <c r="P458" s="53"/>
      <c r="Q458" s="53"/>
    </row>
    <row r="459" spans="3:17" ht="15.75" customHeight="1">
      <c r="C459" s="53"/>
      <c r="D459" s="73"/>
      <c r="E459" s="73"/>
      <c r="F459" s="73"/>
      <c r="G459" s="73"/>
      <c r="H459" s="73"/>
      <c r="I459" s="73"/>
      <c r="J459" s="73"/>
      <c r="K459" s="53"/>
      <c r="L459" s="53"/>
      <c r="M459" s="53"/>
      <c r="N459" s="53"/>
      <c r="O459" s="53"/>
      <c r="P459" s="53"/>
      <c r="Q459" s="53"/>
    </row>
    <row r="460" spans="3:17" ht="15.75" customHeight="1">
      <c r="C460" s="53"/>
      <c r="D460" s="73"/>
      <c r="E460" s="73"/>
      <c r="F460" s="73"/>
      <c r="G460" s="73"/>
      <c r="H460" s="73"/>
      <c r="I460" s="73"/>
      <c r="J460" s="73"/>
      <c r="K460" s="53"/>
      <c r="L460" s="53"/>
      <c r="M460" s="53"/>
      <c r="N460" s="53"/>
      <c r="O460" s="53"/>
      <c r="P460" s="53"/>
      <c r="Q460" s="53"/>
    </row>
    <row r="461" spans="3:17" ht="15.75" customHeight="1">
      <c r="C461" s="53"/>
      <c r="D461" s="73"/>
      <c r="E461" s="73"/>
      <c r="F461" s="73"/>
      <c r="G461" s="73"/>
      <c r="H461" s="73"/>
      <c r="I461" s="73"/>
      <c r="J461" s="73"/>
      <c r="K461" s="53"/>
      <c r="L461" s="53"/>
      <c r="M461" s="53"/>
      <c r="N461" s="53"/>
      <c r="O461" s="53"/>
      <c r="P461" s="53"/>
      <c r="Q461" s="53"/>
    </row>
    <row r="462" spans="3:17" ht="15.75" customHeight="1">
      <c r="C462" s="53"/>
      <c r="D462" s="73"/>
      <c r="E462" s="73"/>
      <c r="F462" s="73"/>
      <c r="G462" s="73"/>
      <c r="H462" s="73"/>
      <c r="I462" s="73"/>
      <c r="J462" s="73"/>
      <c r="K462" s="53"/>
      <c r="L462" s="53"/>
      <c r="M462" s="53"/>
      <c r="N462" s="53"/>
      <c r="O462" s="53"/>
      <c r="P462" s="53"/>
      <c r="Q462" s="53"/>
    </row>
    <row r="463" spans="3:17" ht="15.75" customHeight="1">
      <c r="C463" s="53"/>
      <c r="D463" s="73"/>
      <c r="E463" s="73"/>
      <c r="F463" s="73"/>
      <c r="G463" s="73"/>
      <c r="H463" s="73"/>
      <c r="I463" s="73"/>
      <c r="J463" s="73"/>
      <c r="K463" s="53"/>
      <c r="L463" s="53"/>
      <c r="M463" s="53"/>
      <c r="N463" s="53"/>
      <c r="O463" s="53"/>
      <c r="P463" s="53"/>
      <c r="Q463" s="53"/>
    </row>
    <row r="464" spans="3:17" ht="15.75" customHeight="1">
      <c r="C464" s="53"/>
      <c r="D464" s="73"/>
      <c r="E464" s="73"/>
      <c r="F464" s="73"/>
      <c r="G464" s="73"/>
      <c r="H464" s="73"/>
      <c r="I464" s="73"/>
      <c r="J464" s="73"/>
      <c r="K464" s="53"/>
      <c r="L464" s="53"/>
      <c r="M464" s="53"/>
      <c r="N464" s="53"/>
      <c r="O464" s="53"/>
      <c r="P464" s="53"/>
      <c r="Q464" s="53"/>
    </row>
    <row r="465" spans="3:17" ht="15.75" customHeight="1">
      <c r="C465" s="53"/>
      <c r="D465" s="73"/>
      <c r="E465" s="73"/>
      <c r="F465" s="73"/>
      <c r="G465" s="73"/>
      <c r="H465" s="73"/>
      <c r="I465" s="73"/>
      <c r="J465" s="73"/>
      <c r="K465" s="53"/>
      <c r="L465" s="53"/>
      <c r="M465" s="53"/>
      <c r="N465" s="53"/>
      <c r="O465" s="53"/>
      <c r="P465" s="53"/>
      <c r="Q465" s="53"/>
    </row>
    <row r="466" spans="3:17" ht="15.75" customHeight="1">
      <c r="C466" s="53"/>
      <c r="D466" s="73"/>
      <c r="E466" s="73"/>
      <c r="F466" s="73"/>
      <c r="G466" s="73"/>
      <c r="H466" s="73"/>
      <c r="I466" s="73"/>
      <c r="J466" s="73"/>
      <c r="K466" s="53"/>
      <c r="L466" s="53"/>
      <c r="M466" s="53"/>
      <c r="N466" s="53"/>
      <c r="O466" s="53"/>
      <c r="P466" s="53"/>
      <c r="Q466" s="53"/>
    </row>
    <row r="467" spans="3:17" ht="15.75" customHeight="1">
      <c r="C467" s="53"/>
      <c r="D467" s="73"/>
      <c r="E467" s="73"/>
      <c r="F467" s="73"/>
      <c r="G467" s="73"/>
      <c r="H467" s="73"/>
      <c r="I467" s="73"/>
      <c r="J467" s="73"/>
      <c r="K467" s="53"/>
      <c r="L467" s="53"/>
      <c r="M467" s="53"/>
      <c r="N467" s="53"/>
      <c r="O467" s="53"/>
      <c r="P467" s="53"/>
      <c r="Q467" s="53"/>
    </row>
    <row r="468" spans="3:17" ht="15.75" customHeight="1">
      <c r="C468" s="53"/>
      <c r="D468" s="73"/>
      <c r="E468" s="73"/>
      <c r="F468" s="73"/>
      <c r="G468" s="73"/>
      <c r="H468" s="73"/>
      <c r="I468" s="73"/>
      <c r="J468" s="73"/>
      <c r="K468" s="53"/>
      <c r="L468" s="53"/>
      <c r="M468" s="53"/>
      <c r="N468" s="53"/>
      <c r="O468" s="53"/>
      <c r="P468" s="53"/>
      <c r="Q468" s="53"/>
    </row>
    <row r="469" spans="3:17" ht="15.75" customHeight="1">
      <c r="C469" s="53"/>
      <c r="D469" s="73"/>
      <c r="E469" s="73"/>
      <c r="F469" s="73"/>
      <c r="G469" s="73"/>
      <c r="H469" s="73"/>
      <c r="I469" s="73"/>
      <c r="J469" s="73"/>
      <c r="K469" s="53"/>
      <c r="L469" s="53"/>
      <c r="M469" s="53"/>
      <c r="N469" s="53"/>
      <c r="O469" s="53"/>
      <c r="P469" s="53"/>
      <c r="Q469" s="53"/>
    </row>
    <row r="470" spans="3:17" ht="15.75" customHeight="1">
      <c r="C470" s="53"/>
      <c r="D470" s="73"/>
      <c r="E470" s="73"/>
      <c r="F470" s="73"/>
      <c r="G470" s="73"/>
      <c r="H470" s="73"/>
      <c r="I470" s="73"/>
      <c r="J470" s="73"/>
      <c r="K470" s="53"/>
      <c r="L470" s="53"/>
      <c r="M470" s="53"/>
      <c r="N470" s="53"/>
      <c r="O470" s="53"/>
      <c r="P470" s="53"/>
      <c r="Q470" s="53"/>
    </row>
    <row r="471" spans="3:17" ht="15.75" customHeight="1">
      <c r="C471" s="53"/>
      <c r="D471" s="73"/>
      <c r="E471" s="73"/>
      <c r="F471" s="73"/>
      <c r="G471" s="73"/>
      <c r="H471" s="73"/>
      <c r="I471" s="73"/>
      <c r="J471" s="73"/>
      <c r="K471" s="53"/>
      <c r="L471" s="53"/>
      <c r="M471" s="53"/>
      <c r="N471" s="53"/>
      <c r="O471" s="53"/>
      <c r="P471" s="53"/>
      <c r="Q471" s="53"/>
    </row>
    <row r="472" spans="3:17" ht="15.75" customHeight="1">
      <c r="C472" s="53"/>
      <c r="D472" s="73"/>
      <c r="E472" s="73"/>
      <c r="F472" s="73"/>
      <c r="G472" s="73"/>
      <c r="H472" s="73"/>
      <c r="I472" s="73"/>
      <c r="J472" s="73"/>
      <c r="K472" s="53"/>
      <c r="L472" s="53"/>
      <c r="M472" s="53"/>
      <c r="N472" s="53"/>
      <c r="O472" s="53"/>
      <c r="P472" s="53"/>
      <c r="Q472" s="53"/>
    </row>
    <row r="473" spans="3:17" ht="15.75" customHeight="1">
      <c r="C473" s="53"/>
      <c r="D473" s="73"/>
      <c r="E473" s="73"/>
      <c r="F473" s="73"/>
      <c r="G473" s="73"/>
      <c r="H473" s="73"/>
      <c r="I473" s="73"/>
      <c r="J473" s="73"/>
      <c r="K473" s="53"/>
      <c r="L473" s="53"/>
      <c r="M473" s="53"/>
      <c r="N473" s="53"/>
      <c r="O473" s="53"/>
      <c r="P473" s="53"/>
      <c r="Q473" s="53"/>
    </row>
    <row r="474" spans="3:17" ht="15.75" customHeight="1">
      <c r="C474" s="53"/>
      <c r="D474" s="73"/>
      <c r="E474" s="73"/>
      <c r="F474" s="73"/>
      <c r="G474" s="73"/>
      <c r="H474" s="73"/>
      <c r="I474" s="73"/>
      <c r="J474" s="73"/>
      <c r="K474" s="53"/>
      <c r="L474" s="53"/>
      <c r="M474" s="53"/>
      <c r="N474" s="53"/>
      <c r="O474" s="53"/>
      <c r="P474" s="53"/>
      <c r="Q474" s="53"/>
    </row>
    <row r="475" spans="3:17" ht="15.75" customHeight="1">
      <c r="C475" s="53"/>
      <c r="D475" s="73"/>
      <c r="E475" s="73"/>
      <c r="F475" s="73"/>
      <c r="G475" s="73"/>
      <c r="H475" s="73"/>
      <c r="I475" s="73"/>
      <c r="J475" s="73"/>
      <c r="K475" s="53"/>
      <c r="L475" s="53"/>
      <c r="M475" s="53"/>
      <c r="N475" s="53"/>
      <c r="O475" s="53"/>
      <c r="P475" s="53"/>
      <c r="Q475" s="53"/>
    </row>
    <row r="476" spans="3:17" ht="15.75" customHeight="1">
      <c r="C476" s="53"/>
      <c r="D476" s="73"/>
      <c r="E476" s="73"/>
      <c r="F476" s="73"/>
      <c r="G476" s="73"/>
      <c r="H476" s="73"/>
      <c r="I476" s="73"/>
      <c r="J476" s="73"/>
      <c r="K476" s="53"/>
      <c r="L476" s="53"/>
      <c r="M476" s="53"/>
      <c r="N476" s="53"/>
      <c r="O476" s="53"/>
      <c r="P476" s="53"/>
      <c r="Q476" s="53"/>
    </row>
    <row r="477" spans="3:17" ht="15.75" customHeight="1">
      <c r="C477" s="53"/>
      <c r="D477" s="73"/>
      <c r="E477" s="73"/>
      <c r="F477" s="73"/>
      <c r="G477" s="73"/>
      <c r="H477" s="73"/>
      <c r="I477" s="73"/>
      <c r="J477" s="73"/>
      <c r="K477" s="53"/>
      <c r="L477" s="53"/>
      <c r="M477" s="53"/>
      <c r="N477" s="53"/>
      <c r="O477" s="53"/>
      <c r="P477" s="53"/>
      <c r="Q477" s="53"/>
    </row>
    <row r="478" spans="3:17" ht="15.75" customHeight="1">
      <c r="C478" s="53"/>
      <c r="D478" s="73"/>
      <c r="E478" s="73"/>
      <c r="F478" s="73"/>
      <c r="G478" s="73"/>
      <c r="H478" s="73"/>
      <c r="I478" s="73"/>
      <c r="J478" s="73"/>
      <c r="K478" s="53"/>
      <c r="L478" s="53"/>
      <c r="M478" s="53"/>
      <c r="N478" s="53"/>
      <c r="O478" s="53"/>
      <c r="P478" s="53"/>
      <c r="Q478" s="53"/>
    </row>
    <row r="479" spans="3:17" ht="15.75" customHeight="1">
      <c r="C479" s="53"/>
      <c r="D479" s="73"/>
      <c r="E479" s="73"/>
      <c r="F479" s="73"/>
      <c r="G479" s="73"/>
      <c r="H479" s="73"/>
      <c r="I479" s="73"/>
      <c r="J479" s="73"/>
      <c r="K479" s="53"/>
      <c r="L479" s="53"/>
      <c r="M479" s="53"/>
      <c r="N479" s="53"/>
      <c r="O479" s="53"/>
      <c r="P479" s="53"/>
      <c r="Q479" s="53"/>
    </row>
    <row r="480" spans="3:17" ht="15.75" customHeight="1">
      <c r="C480" s="53"/>
      <c r="D480" s="73"/>
      <c r="E480" s="73"/>
      <c r="F480" s="73"/>
      <c r="G480" s="73"/>
      <c r="H480" s="73"/>
      <c r="I480" s="73"/>
      <c r="J480" s="73"/>
      <c r="K480" s="53"/>
      <c r="L480" s="53"/>
      <c r="M480" s="53"/>
      <c r="N480" s="53"/>
      <c r="O480" s="53"/>
      <c r="P480" s="53"/>
      <c r="Q480" s="53"/>
    </row>
    <row r="481" spans="3:17" ht="15.75" customHeight="1">
      <c r="C481" s="53"/>
      <c r="D481" s="73"/>
      <c r="E481" s="73"/>
      <c r="F481" s="73"/>
      <c r="G481" s="73"/>
      <c r="H481" s="73"/>
      <c r="I481" s="73"/>
      <c r="J481" s="73"/>
      <c r="K481" s="53"/>
      <c r="L481" s="53"/>
      <c r="M481" s="53"/>
      <c r="N481" s="53"/>
      <c r="O481" s="53"/>
      <c r="P481" s="53"/>
      <c r="Q481" s="53"/>
    </row>
    <row r="482" spans="3:17" ht="15.75" customHeight="1">
      <c r="C482" s="53"/>
      <c r="D482" s="73"/>
      <c r="E482" s="73"/>
      <c r="F482" s="73"/>
      <c r="G482" s="73"/>
      <c r="H482" s="73"/>
      <c r="I482" s="73"/>
      <c r="J482" s="73"/>
      <c r="K482" s="53"/>
      <c r="L482" s="53"/>
      <c r="M482" s="53"/>
      <c r="N482" s="53"/>
      <c r="O482" s="53"/>
      <c r="P482" s="53"/>
      <c r="Q482" s="53"/>
    </row>
    <row r="483" spans="3:17" ht="15.75" customHeight="1">
      <c r="C483" s="53"/>
      <c r="D483" s="73"/>
      <c r="E483" s="73"/>
      <c r="F483" s="73"/>
      <c r="G483" s="73"/>
      <c r="H483" s="73"/>
      <c r="I483" s="73"/>
      <c r="J483" s="73"/>
      <c r="K483" s="53"/>
      <c r="L483" s="53"/>
      <c r="M483" s="53"/>
      <c r="N483" s="53"/>
      <c r="O483" s="53"/>
      <c r="P483" s="53"/>
      <c r="Q483" s="53"/>
    </row>
    <row r="484" spans="3:17" ht="15.75" customHeight="1">
      <c r="C484" s="53"/>
      <c r="D484" s="73"/>
      <c r="E484" s="73"/>
      <c r="F484" s="73"/>
      <c r="G484" s="73"/>
      <c r="H484" s="73"/>
      <c r="I484" s="73"/>
      <c r="J484" s="73"/>
      <c r="K484" s="53"/>
      <c r="L484" s="53"/>
      <c r="M484" s="53"/>
      <c r="N484" s="53"/>
      <c r="O484" s="53"/>
      <c r="P484" s="53"/>
      <c r="Q484" s="53"/>
    </row>
    <row r="485" spans="3:17" ht="15.75" customHeight="1">
      <c r="C485" s="53"/>
      <c r="D485" s="73"/>
      <c r="E485" s="73"/>
      <c r="F485" s="73"/>
      <c r="G485" s="73"/>
      <c r="H485" s="73"/>
      <c r="I485" s="73"/>
      <c r="J485" s="73"/>
      <c r="K485" s="53"/>
      <c r="L485" s="53"/>
      <c r="M485" s="53"/>
      <c r="N485" s="53"/>
      <c r="O485" s="53"/>
      <c r="P485" s="53"/>
      <c r="Q485" s="53"/>
    </row>
    <row r="486" spans="3:17" ht="15.75" customHeight="1">
      <c r="C486" s="53"/>
      <c r="D486" s="73"/>
      <c r="E486" s="73"/>
      <c r="F486" s="73"/>
      <c r="G486" s="73"/>
      <c r="H486" s="73"/>
      <c r="I486" s="73"/>
      <c r="J486" s="73"/>
      <c r="K486" s="53"/>
      <c r="L486" s="53"/>
      <c r="M486" s="53"/>
      <c r="N486" s="53"/>
      <c r="O486" s="53"/>
      <c r="P486" s="53"/>
      <c r="Q486" s="53"/>
    </row>
    <row r="487" spans="3:17" ht="15.75" customHeight="1">
      <c r="C487" s="53"/>
      <c r="D487" s="73"/>
      <c r="E487" s="73"/>
      <c r="F487" s="73"/>
      <c r="G487" s="73"/>
      <c r="H487" s="73"/>
      <c r="I487" s="73"/>
      <c r="J487" s="73"/>
      <c r="K487" s="53"/>
      <c r="L487" s="53"/>
      <c r="M487" s="53"/>
      <c r="N487" s="53"/>
      <c r="O487" s="53"/>
      <c r="P487" s="53"/>
      <c r="Q487" s="53"/>
    </row>
    <row r="488" spans="3:17" ht="15.75" customHeight="1">
      <c r="C488" s="53"/>
      <c r="D488" s="73"/>
      <c r="E488" s="73"/>
      <c r="F488" s="73"/>
      <c r="G488" s="73"/>
      <c r="H488" s="73"/>
      <c r="I488" s="73"/>
      <c r="J488" s="73"/>
      <c r="K488" s="53"/>
      <c r="L488" s="53"/>
      <c r="M488" s="53"/>
      <c r="N488" s="53"/>
      <c r="O488" s="53"/>
      <c r="P488" s="53"/>
      <c r="Q488" s="53"/>
    </row>
    <row r="489" spans="3:17" ht="15.75" customHeight="1">
      <c r="C489" s="53"/>
      <c r="D489" s="73"/>
      <c r="E489" s="73"/>
      <c r="F489" s="73"/>
      <c r="G489" s="73"/>
      <c r="H489" s="73"/>
      <c r="I489" s="73"/>
      <c r="J489" s="73"/>
      <c r="K489" s="53"/>
      <c r="L489" s="53"/>
      <c r="M489" s="53"/>
      <c r="N489" s="53"/>
      <c r="O489" s="53"/>
      <c r="P489" s="53"/>
      <c r="Q489" s="53"/>
    </row>
    <row r="490" spans="3:17" ht="15.75" customHeight="1">
      <c r="C490" s="53"/>
      <c r="D490" s="73"/>
      <c r="E490" s="73"/>
      <c r="F490" s="73"/>
      <c r="G490" s="73"/>
      <c r="H490" s="73"/>
      <c r="I490" s="73"/>
      <c r="J490" s="73"/>
      <c r="K490" s="53"/>
      <c r="L490" s="53"/>
      <c r="M490" s="53"/>
      <c r="N490" s="53"/>
      <c r="O490" s="53"/>
      <c r="P490" s="53"/>
      <c r="Q490" s="53"/>
    </row>
    <row r="491" spans="3:17" ht="15.75" customHeight="1">
      <c r="C491" s="53"/>
      <c r="D491" s="73"/>
      <c r="E491" s="73"/>
      <c r="F491" s="73"/>
      <c r="G491" s="73"/>
      <c r="H491" s="73"/>
      <c r="I491" s="73"/>
      <c r="J491" s="73"/>
      <c r="K491" s="53"/>
      <c r="L491" s="53"/>
      <c r="M491" s="53"/>
      <c r="N491" s="53"/>
      <c r="O491" s="53"/>
      <c r="P491" s="53"/>
      <c r="Q491" s="53"/>
    </row>
    <row r="492" spans="3:17" ht="15.75" customHeight="1">
      <c r="C492" s="53"/>
      <c r="D492" s="73"/>
      <c r="E492" s="73"/>
      <c r="F492" s="73"/>
      <c r="G492" s="73"/>
      <c r="H492" s="73"/>
      <c r="I492" s="73"/>
      <c r="J492" s="73"/>
      <c r="K492" s="53"/>
      <c r="L492" s="53"/>
      <c r="M492" s="53"/>
      <c r="N492" s="53"/>
      <c r="O492" s="53"/>
      <c r="P492" s="53"/>
      <c r="Q492" s="53"/>
    </row>
    <row r="493" spans="3:17" ht="15.75" customHeight="1">
      <c r="C493" s="53"/>
      <c r="D493" s="73"/>
      <c r="E493" s="73"/>
      <c r="F493" s="73"/>
      <c r="G493" s="73"/>
      <c r="H493" s="73"/>
      <c r="I493" s="73"/>
      <c r="J493" s="73"/>
      <c r="K493" s="53"/>
      <c r="L493" s="53"/>
      <c r="M493" s="53"/>
      <c r="N493" s="53"/>
      <c r="O493" s="53"/>
      <c r="P493" s="53"/>
      <c r="Q493" s="53"/>
    </row>
    <row r="494" spans="3:17" ht="15.75" customHeight="1">
      <c r="C494" s="53"/>
      <c r="D494" s="73"/>
      <c r="E494" s="73"/>
      <c r="F494" s="73"/>
      <c r="G494" s="73"/>
      <c r="H494" s="73"/>
      <c r="I494" s="73"/>
      <c r="J494" s="73"/>
      <c r="K494" s="53"/>
      <c r="L494" s="53"/>
      <c r="M494" s="53"/>
      <c r="N494" s="53"/>
      <c r="O494" s="53"/>
      <c r="P494" s="53"/>
      <c r="Q494" s="53"/>
    </row>
    <row r="495" spans="3:17" ht="15.75" customHeight="1">
      <c r="C495" s="53"/>
      <c r="D495" s="73"/>
      <c r="E495" s="73"/>
      <c r="F495" s="73"/>
      <c r="G495" s="73"/>
      <c r="H495" s="73"/>
      <c r="I495" s="73"/>
      <c r="J495" s="73"/>
      <c r="K495" s="53"/>
      <c r="L495" s="53"/>
      <c r="M495" s="53"/>
      <c r="N495" s="53"/>
      <c r="O495" s="53"/>
      <c r="P495" s="53"/>
      <c r="Q495" s="53"/>
    </row>
    <row r="496" spans="3:17" ht="15.75" customHeight="1">
      <c r="C496" s="53"/>
      <c r="D496" s="73"/>
      <c r="E496" s="73"/>
      <c r="F496" s="73"/>
      <c r="G496" s="73"/>
      <c r="H496" s="73"/>
      <c r="I496" s="73"/>
      <c r="J496" s="73"/>
      <c r="K496" s="53"/>
      <c r="L496" s="53"/>
      <c r="M496" s="53"/>
      <c r="N496" s="53"/>
      <c r="O496" s="53"/>
      <c r="P496" s="53"/>
      <c r="Q496" s="53"/>
    </row>
    <row r="497" spans="3:17" ht="15.75" customHeight="1">
      <c r="C497" s="53"/>
      <c r="D497" s="73"/>
      <c r="E497" s="73"/>
      <c r="F497" s="73"/>
      <c r="G497" s="73"/>
      <c r="H497" s="73"/>
      <c r="I497" s="73"/>
      <c r="J497" s="73"/>
      <c r="K497" s="53"/>
      <c r="L497" s="53"/>
      <c r="M497" s="53"/>
      <c r="N497" s="53"/>
      <c r="O497" s="53"/>
      <c r="P497" s="53"/>
      <c r="Q497" s="53"/>
    </row>
    <row r="498" spans="3:17" ht="15.75" customHeight="1">
      <c r="C498" s="53"/>
      <c r="D498" s="73"/>
      <c r="E498" s="73"/>
      <c r="F498" s="73"/>
      <c r="G498" s="73"/>
      <c r="H498" s="73"/>
      <c r="I498" s="73"/>
      <c r="J498" s="73"/>
      <c r="K498" s="53"/>
      <c r="L498" s="53"/>
      <c r="M498" s="53"/>
      <c r="N498" s="53"/>
      <c r="O498" s="53"/>
      <c r="P498" s="53"/>
      <c r="Q498" s="53"/>
    </row>
    <row r="499" spans="3:17" ht="15.75" customHeight="1">
      <c r="C499" s="53"/>
      <c r="D499" s="73"/>
      <c r="E499" s="73"/>
      <c r="F499" s="73"/>
      <c r="G499" s="73"/>
      <c r="H499" s="73"/>
      <c r="I499" s="73"/>
      <c r="J499" s="73"/>
      <c r="K499" s="53"/>
      <c r="L499" s="53"/>
      <c r="M499" s="53"/>
      <c r="N499" s="53"/>
      <c r="O499" s="53"/>
      <c r="P499" s="53"/>
      <c r="Q499" s="53"/>
    </row>
    <row r="500" spans="3:17" ht="15.75" customHeight="1">
      <c r="C500" s="53"/>
      <c r="D500" s="73"/>
      <c r="E500" s="73"/>
      <c r="F500" s="73"/>
      <c r="G500" s="73"/>
      <c r="H500" s="73"/>
      <c r="I500" s="73"/>
      <c r="J500" s="73"/>
      <c r="K500" s="53"/>
      <c r="L500" s="53"/>
      <c r="M500" s="53"/>
      <c r="N500" s="53"/>
      <c r="O500" s="53"/>
      <c r="P500" s="53"/>
      <c r="Q500" s="53"/>
    </row>
    <row r="501" spans="3:17" ht="15.75" customHeight="1">
      <c r="C501" s="53"/>
      <c r="D501" s="73"/>
      <c r="E501" s="73"/>
      <c r="F501" s="73"/>
      <c r="G501" s="73"/>
      <c r="H501" s="73"/>
      <c r="I501" s="73"/>
      <c r="J501" s="73"/>
      <c r="K501" s="53"/>
      <c r="L501" s="53"/>
      <c r="M501" s="53"/>
      <c r="N501" s="53"/>
      <c r="O501" s="53"/>
      <c r="P501" s="53"/>
      <c r="Q501" s="53"/>
    </row>
    <row r="502" spans="3:17" ht="15.75" customHeight="1">
      <c r="C502" s="53"/>
      <c r="D502" s="73"/>
      <c r="E502" s="73"/>
      <c r="F502" s="73"/>
      <c r="G502" s="73"/>
      <c r="H502" s="73"/>
      <c r="I502" s="73"/>
      <c r="J502" s="73"/>
      <c r="K502" s="53"/>
      <c r="L502" s="53"/>
      <c r="M502" s="53"/>
      <c r="N502" s="53"/>
      <c r="O502" s="53"/>
      <c r="P502" s="53"/>
      <c r="Q502" s="53"/>
    </row>
    <row r="503" spans="3:17" ht="15.75" customHeight="1">
      <c r="C503" s="53"/>
      <c r="D503" s="73"/>
      <c r="E503" s="73"/>
      <c r="F503" s="73"/>
      <c r="G503" s="73"/>
      <c r="H503" s="73"/>
      <c r="I503" s="73"/>
      <c r="J503" s="73"/>
      <c r="K503" s="53"/>
      <c r="L503" s="53"/>
      <c r="M503" s="53"/>
      <c r="N503" s="53"/>
      <c r="O503" s="53"/>
      <c r="P503" s="53"/>
      <c r="Q503" s="53"/>
    </row>
    <row r="504" spans="3:17" ht="15.75" customHeight="1">
      <c r="C504" s="53"/>
      <c r="D504" s="73"/>
      <c r="E504" s="73"/>
      <c r="F504" s="73"/>
      <c r="G504" s="73"/>
      <c r="H504" s="73"/>
      <c r="I504" s="73"/>
      <c r="J504" s="73"/>
      <c r="K504" s="53"/>
      <c r="L504" s="53"/>
      <c r="M504" s="53"/>
      <c r="N504" s="53"/>
      <c r="O504" s="53"/>
      <c r="P504" s="53"/>
      <c r="Q504" s="53"/>
    </row>
    <row r="505" spans="3:17" ht="15.75" customHeight="1">
      <c r="C505" s="53"/>
      <c r="D505" s="73"/>
      <c r="E505" s="73"/>
      <c r="F505" s="73"/>
      <c r="G505" s="73"/>
      <c r="H505" s="73"/>
      <c r="I505" s="73"/>
      <c r="J505" s="73"/>
      <c r="K505" s="53"/>
      <c r="L505" s="53"/>
      <c r="M505" s="53"/>
      <c r="N505" s="53"/>
      <c r="O505" s="53"/>
      <c r="P505" s="53"/>
      <c r="Q505" s="53"/>
    </row>
    <row r="506" spans="3:17" ht="15.75" customHeight="1">
      <c r="C506" s="53"/>
      <c r="D506" s="73"/>
      <c r="E506" s="73"/>
      <c r="F506" s="73"/>
      <c r="G506" s="73"/>
      <c r="H506" s="73"/>
      <c r="I506" s="73"/>
      <c r="J506" s="73"/>
      <c r="K506" s="53"/>
      <c r="L506" s="53"/>
      <c r="M506" s="53"/>
      <c r="N506" s="53"/>
      <c r="O506" s="53"/>
      <c r="P506" s="53"/>
      <c r="Q506" s="53"/>
    </row>
    <row r="507" spans="3:17" ht="15.75" customHeight="1">
      <c r="C507" s="53"/>
      <c r="D507" s="73"/>
      <c r="E507" s="73"/>
      <c r="F507" s="73"/>
      <c r="G507" s="73"/>
      <c r="H507" s="73"/>
      <c r="I507" s="73"/>
      <c r="J507" s="73"/>
      <c r="K507" s="53"/>
      <c r="L507" s="53"/>
      <c r="M507" s="53"/>
      <c r="N507" s="53"/>
      <c r="O507" s="53"/>
      <c r="P507" s="53"/>
      <c r="Q507" s="53"/>
    </row>
    <row r="508" spans="3:17" ht="15.75" customHeight="1">
      <c r="C508" s="53"/>
      <c r="D508" s="73"/>
      <c r="E508" s="73"/>
      <c r="F508" s="73"/>
      <c r="G508" s="73"/>
      <c r="H508" s="73"/>
      <c r="I508" s="73"/>
      <c r="J508" s="73"/>
      <c r="K508" s="53"/>
      <c r="L508" s="53"/>
      <c r="M508" s="53"/>
      <c r="N508" s="53"/>
      <c r="O508" s="53"/>
      <c r="P508" s="53"/>
      <c r="Q508" s="53"/>
    </row>
    <row r="509" spans="3:17" ht="15.75" customHeight="1">
      <c r="C509" s="53"/>
      <c r="D509" s="73"/>
      <c r="E509" s="73"/>
      <c r="F509" s="73"/>
      <c r="G509" s="73"/>
      <c r="H509" s="73"/>
      <c r="I509" s="73"/>
      <c r="J509" s="73"/>
      <c r="K509" s="53"/>
      <c r="L509" s="53"/>
      <c r="M509" s="53"/>
      <c r="N509" s="53"/>
      <c r="O509" s="53"/>
      <c r="P509" s="53"/>
      <c r="Q509" s="53"/>
    </row>
    <row r="510" spans="3:17" ht="15.75" customHeight="1">
      <c r="C510" s="53"/>
      <c r="D510" s="73"/>
      <c r="E510" s="73"/>
      <c r="F510" s="73"/>
      <c r="G510" s="73"/>
      <c r="H510" s="73"/>
      <c r="I510" s="73"/>
      <c r="J510" s="73"/>
      <c r="K510" s="53"/>
      <c r="L510" s="53"/>
      <c r="M510" s="53"/>
      <c r="N510" s="53"/>
      <c r="O510" s="53"/>
      <c r="P510" s="53"/>
      <c r="Q510" s="53"/>
    </row>
    <row r="511" spans="3:17" ht="15.75" customHeight="1">
      <c r="C511" s="53"/>
      <c r="D511" s="73"/>
      <c r="E511" s="73"/>
      <c r="F511" s="73"/>
      <c r="G511" s="73"/>
      <c r="H511" s="73"/>
      <c r="I511" s="73"/>
      <c r="J511" s="73"/>
      <c r="K511" s="53"/>
      <c r="L511" s="53"/>
      <c r="M511" s="53"/>
      <c r="N511" s="53"/>
      <c r="O511" s="53"/>
      <c r="P511" s="53"/>
      <c r="Q511" s="53"/>
    </row>
    <row r="512" spans="3:17" ht="15.75" customHeight="1">
      <c r="C512" s="53"/>
      <c r="D512" s="73"/>
      <c r="E512" s="73"/>
      <c r="F512" s="73"/>
      <c r="G512" s="73"/>
      <c r="H512" s="73"/>
      <c r="I512" s="73"/>
      <c r="J512" s="73"/>
      <c r="K512" s="53"/>
      <c r="L512" s="53"/>
      <c r="M512" s="53"/>
      <c r="N512" s="53"/>
      <c r="O512" s="53"/>
      <c r="P512" s="53"/>
      <c r="Q512" s="53"/>
    </row>
    <row r="513" spans="3:17" ht="15.75" customHeight="1">
      <c r="C513" s="53"/>
      <c r="D513" s="73"/>
      <c r="E513" s="73"/>
      <c r="F513" s="73"/>
      <c r="G513" s="73"/>
      <c r="H513" s="73"/>
      <c r="I513" s="73"/>
      <c r="J513" s="73"/>
      <c r="K513" s="53"/>
      <c r="L513" s="53"/>
      <c r="M513" s="53"/>
      <c r="N513" s="53"/>
      <c r="O513" s="53"/>
      <c r="P513" s="53"/>
      <c r="Q513" s="53"/>
    </row>
    <row r="514" spans="3:17" ht="15.75" customHeight="1">
      <c r="C514" s="53"/>
      <c r="D514" s="73"/>
      <c r="E514" s="73"/>
      <c r="F514" s="73"/>
      <c r="G514" s="73"/>
      <c r="H514" s="73"/>
      <c r="I514" s="73"/>
      <c r="J514" s="73"/>
      <c r="K514" s="53"/>
      <c r="L514" s="53"/>
      <c r="M514" s="53"/>
      <c r="N514" s="53"/>
      <c r="O514" s="53"/>
      <c r="P514" s="53"/>
      <c r="Q514" s="53"/>
    </row>
    <row r="515" spans="3:17" ht="15.75" customHeight="1">
      <c r="C515" s="53"/>
      <c r="D515" s="73"/>
      <c r="E515" s="73"/>
      <c r="F515" s="73"/>
      <c r="G515" s="73"/>
      <c r="H515" s="73"/>
      <c r="I515" s="73"/>
      <c r="J515" s="73"/>
      <c r="K515" s="53"/>
      <c r="L515" s="53"/>
      <c r="M515" s="53"/>
      <c r="N515" s="53"/>
      <c r="O515" s="53"/>
      <c r="P515" s="53"/>
      <c r="Q515" s="53"/>
    </row>
    <row r="516" spans="3:17" ht="15.75" customHeight="1">
      <c r="C516" s="53"/>
      <c r="D516" s="73"/>
      <c r="E516" s="73"/>
      <c r="F516" s="73"/>
      <c r="G516" s="73"/>
      <c r="H516" s="73"/>
      <c r="I516" s="73"/>
      <c r="J516" s="73"/>
      <c r="K516" s="53"/>
      <c r="L516" s="53"/>
      <c r="M516" s="53"/>
      <c r="N516" s="53"/>
      <c r="O516" s="53"/>
      <c r="P516" s="53"/>
      <c r="Q516" s="53"/>
    </row>
    <row r="517" spans="3:17" ht="15.75" customHeight="1">
      <c r="C517" s="53"/>
      <c r="D517" s="73"/>
      <c r="E517" s="73"/>
      <c r="F517" s="73"/>
      <c r="G517" s="73"/>
      <c r="H517" s="73"/>
      <c r="I517" s="73"/>
      <c r="J517" s="73"/>
      <c r="K517" s="53"/>
      <c r="L517" s="53"/>
      <c r="M517" s="53"/>
      <c r="N517" s="53"/>
      <c r="O517" s="53"/>
      <c r="P517" s="53"/>
      <c r="Q517" s="53"/>
    </row>
    <row r="518" spans="3:17" ht="15.75" customHeight="1">
      <c r="C518" s="53"/>
      <c r="D518" s="73"/>
      <c r="E518" s="73"/>
      <c r="F518" s="73"/>
      <c r="G518" s="73"/>
      <c r="H518" s="73"/>
      <c r="I518" s="73"/>
      <c r="J518" s="73"/>
      <c r="K518" s="53"/>
      <c r="L518" s="53"/>
      <c r="M518" s="53"/>
      <c r="N518" s="53"/>
      <c r="O518" s="53"/>
      <c r="P518" s="53"/>
      <c r="Q518" s="53"/>
    </row>
    <row r="519" spans="3:17" ht="15.75" customHeight="1">
      <c r="C519" s="53"/>
      <c r="D519" s="73"/>
      <c r="E519" s="73"/>
      <c r="F519" s="73"/>
      <c r="G519" s="73"/>
      <c r="H519" s="73"/>
      <c r="I519" s="73"/>
      <c r="J519" s="73"/>
      <c r="K519" s="53"/>
      <c r="L519" s="53"/>
      <c r="M519" s="53"/>
      <c r="N519" s="53"/>
      <c r="O519" s="53"/>
      <c r="P519" s="53"/>
      <c r="Q519" s="53"/>
    </row>
    <row r="520" spans="3:17" ht="15.75" customHeight="1">
      <c r="C520" s="53"/>
      <c r="D520" s="73"/>
      <c r="E520" s="73"/>
      <c r="F520" s="73"/>
      <c r="G520" s="73"/>
      <c r="H520" s="73"/>
      <c r="I520" s="73"/>
      <c r="J520" s="73"/>
      <c r="K520" s="53"/>
      <c r="L520" s="53"/>
      <c r="M520" s="53"/>
      <c r="N520" s="53"/>
      <c r="O520" s="53"/>
      <c r="P520" s="53"/>
      <c r="Q520" s="53"/>
    </row>
    <row r="521" spans="3:17" ht="15.75" customHeight="1">
      <c r="C521" s="53"/>
      <c r="D521" s="73"/>
      <c r="E521" s="73"/>
      <c r="F521" s="73"/>
      <c r="G521" s="73"/>
      <c r="H521" s="73"/>
      <c r="I521" s="73"/>
      <c r="J521" s="73"/>
      <c r="K521" s="53"/>
      <c r="L521" s="53"/>
      <c r="M521" s="53"/>
      <c r="N521" s="53"/>
      <c r="O521" s="53"/>
      <c r="P521" s="53"/>
      <c r="Q521" s="53"/>
    </row>
    <row r="522" spans="3:17" ht="15.75" customHeight="1">
      <c r="C522" s="53"/>
      <c r="D522" s="73"/>
      <c r="E522" s="73"/>
      <c r="F522" s="73"/>
      <c r="G522" s="73"/>
      <c r="H522" s="73"/>
      <c r="I522" s="73"/>
      <c r="J522" s="73"/>
      <c r="K522" s="53"/>
      <c r="L522" s="53"/>
      <c r="M522" s="53"/>
      <c r="N522" s="53"/>
      <c r="O522" s="53"/>
      <c r="P522" s="53"/>
      <c r="Q522" s="53"/>
    </row>
    <row r="523" spans="3:17" ht="15.75" customHeight="1">
      <c r="C523" s="53"/>
      <c r="D523" s="73"/>
      <c r="E523" s="73"/>
      <c r="F523" s="73"/>
      <c r="G523" s="73"/>
      <c r="H523" s="73"/>
      <c r="I523" s="73"/>
      <c r="J523" s="73"/>
      <c r="K523" s="53"/>
      <c r="L523" s="53"/>
      <c r="M523" s="53"/>
      <c r="N523" s="53"/>
      <c r="O523" s="53"/>
      <c r="P523" s="53"/>
      <c r="Q523" s="53"/>
    </row>
    <row r="524" spans="3:17" ht="15.75" customHeight="1">
      <c r="C524" s="53"/>
      <c r="D524" s="73"/>
      <c r="E524" s="73"/>
      <c r="F524" s="73"/>
      <c r="G524" s="73"/>
      <c r="H524" s="73"/>
      <c r="I524" s="73"/>
      <c r="J524" s="73"/>
      <c r="K524" s="53"/>
      <c r="L524" s="53"/>
      <c r="M524" s="53"/>
      <c r="N524" s="53"/>
      <c r="O524" s="53"/>
      <c r="P524" s="53"/>
      <c r="Q524" s="53"/>
    </row>
    <row r="525" spans="3:17" ht="15.75" customHeight="1">
      <c r="C525" s="53"/>
      <c r="D525" s="73"/>
      <c r="E525" s="73"/>
      <c r="F525" s="73"/>
      <c r="G525" s="73"/>
      <c r="H525" s="73"/>
      <c r="I525" s="73"/>
      <c r="J525" s="73"/>
      <c r="K525" s="53"/>
      <c r="L525" s="53"/>
      <c r="M525" s="53"/>
      <c r="N525" s="53"/>
      <c r="O525" s="53"/>
      <c r="P525" s="53"/>
      <c r="Q525" s="53"/>
    </row>
    <row r="526" spans="3:17" ht="15.75" customHeight="1">
      <c r="C526" s="53"/>
      <c r="D526" s="73"/>
      <c r="E526" s="73"/>
      <c r="F526" s="73"/>
      <c r="G526" s="73"/>
      <c r="H526" s="73"/>
      <c r="I526" s="73"/>
      <c r="J526" s="73"/>
      <c r="K526" s="53"/>
      <c r="L526" s="53"/>
      <c r="M526" s="53"/>
      <c r="N526" s="53"/>
      <c r="O526" s="53"/>
      <c r="P526" s="53"/>
      <c r="Q526" s="53"/>
    </row>
    <row r="527" spans="3:17" ht="15.75" customHeight="1">
      <c r="C527" s="53"/>
      <c r="D527" s="73"/>
      <c r="E527" s="73"/>
      <c r="F527" s="73"/>
      <c r="G527" s="73"/>
      <c r="H527" s="73"/>
      <c r="I527" s="73"/>
      <c r="J527" s="73"/>
      <c r="K527" s="53"/>
      <c r="L527" s="53"/>
      <c r="M527" s="53"/>
      <c r="N527" s="53"/>
      <c r="O527" s="53"/>
      <c r="P527" s="53"/>
      <c r="Q527" s="53"/>
    </row>
    <row r="528" spans="3:17" ht="15.75" customHeight="1">
      <c r="C528" s="53"/>
      <c r="D528" s="73"/>
      <c r="E528" s="73"/>
      <c r="F528" s="73"/>
      <c r="G528" s="73"/>
      <c r="H528" s="73"/>
      <c r="I528" s="73"/>
      <c r="J528" s="73"/>
      <c r="K528" s="53"/>
      <c r="L528" s="53"/>
      <c r="M528" s="53"/>
      <c r="N528" s="53"/>
      <c r="O528" s="53"/>
      <c r="P528" s="53"/>
      <c r="Q528" s="53"/>
    </row>
    <row r="529" spans="3:17" ht="15.75" customHeight="1">
      <c r="C529" s="53"/>
      <c r="D529" s="73"/>
      <c r="E529" s="73"/>
      <c r="F529" s="73"/>
      <c r="G529" s="73"/>
      <c r="H529" s="73"/>
      <c r="I529" s="73"/>
      <c r="J529" s="73"/>
      <c r="K529" s="53"/>
      <c r="L529" s="53"/>
      <c r="M529" s="53"/>
      <c r="N529" s="53"/>
      <c r="O529" s="53"/>
      <c r="P529" s="53"/>
      <c r="Q529" s="53"/>
    </row>
    <row r="530" spans="3:17" ht="15.75" customHeight="1">
      <c r="C530" s="53"/>
      <c r="D530" s="73"/>
      <c r="E530" s="73"/>
      <c r="F530" s="73"/>
      <c r="G530" s="73"/>
      <c r="H530" s="73"/>
      <c r="I530" s="73"/>
      <c r="J530" s="73"/>
      <c r="K530" s="53"/>
      <c r="L530" s="53"/>
      <c r="M530" s="53"/>
      <c r="N530" s="53"/>
      <c r="O530" s="53"/>
      <c r="P530" s="53"/>
      <c r="Q530" s="53"/>
    </row>
    <row r="531" spans="3:17" ht="15.75" customHeight="1">
      <c r="C531" s="53"/>
      <c r="D531" s="73"/>
      <c r="E531" s="73"/>
      <c r="F531" s="73"/>
      <c r="G531" s="73"/>
      <c r="H531" s="73"/>
      <c r="I531" s="73"/>
      <c r="J531" s="73"/>
      <c r="K531" s="53"/>
      <c r="L531" s="53"/>
      <c r="M531" s="53"/>
      <c r="N531" s="53"/>
      <c r="O531" s="53"/>
      <c r="P531" s="53"/>
      <c r="Q531" s="53"/>
    </row>
    <row r="532" spans="3:17" ht="15.75" customHeight="1">
      <c r="C532" s="53"/>
      <c r="D532" s="73"/>
      <c r="E532" s="73"/>
      <c r="F532" s="73"/>
      <c r="G532" s="73"/>
      <c r="H532" s="73"/>
      <c r="I532" s="73"/>
      <c r="J532" s="73"/>
      <c r="K532" s="53"/>
      <c r="L532" s="53"/>
      <c r="M532" s="53"/>
      <c r="N532" s="53"/>
      <c r="O532" s="53"/>
      <c r="P532" s="53"/>
      <c r="Q532" s="53"/>
    </row>
    <row r="533" spans="3:17" ht="15.75" customHeight="1">
      <c r="C533" s="53"/>
      <c r="D533" s="73"/>
      <c r="E533" s="73"/>
      <c r="F533" s="73"/>
      <c r="G533" s="73"/>
      <c r="H533" s="73"/>
      <c r="I533" s="73"/>
      <c r="J533" s="73"/>
      <c r="K533" s="53"/>
      <c r="L533" s="53"/>
      <c r="M533" s="53"/>
      <c r="N533" s="53"/>
      <c r="O533" s="53"/>
      <c r="P533" s="53"/>
      <c r="Q533" s="53"/>
    </row>
    <row r="534" spans="3:17" ht="15.75" customHeight="1">
      <c r="C534" s="53"/>
      <c r="D534" s="73"/>
      <c r="E534" s="73"/>
      <c r="F534" s="73"/>
      <c r="G534" s="73"/>
      <c r="H534" s="73"/>
      <c r="I534" s="73"/>
      <c r="J534" s="73"/>
      <c r="K534" s="53"/>
      <c r="L534" s="53"/>
      <c r="M534" s="53"/>
      <c r="N534" s="53"/>
      <c r="O534" s="53"/>
      <c r="P534" s="53"/>
      <c r="Q534" s="53"/>
    </row>
    <row r="535" spans="3:17" ht="15.75" customHeight="1">
      <c r="C535" s="53"/>
      <c r="D535" s="73"/>
      <c r="E535" s="73"/>
      <c r="F535" s="73"/>
      <c r="G535" s="73"/>
      <c r="H535" s="73"/>
      <c r="I535" s="73"/>
      <c r="J535" s="73"/>
      <c r="K535" s="53"/>
      <c r="L535" s="53"/>
      <c r="M535" s="53"/>
      <c r="N535" s="53"/>
      <c r="O535" s="53"/>
      <c r="P535" s="53"/>
      <c r="Q535" s="53"/>
    </row>
    <row r="536" spans="3:17" ht="15.75" customHeight="1">
      <c r="C536" s="53"/>
      <c r="D536" s="73"/>
      <c r="E536" s="73"/>
      <c r="F536" s="73"/>
      <c r="G536" s="73"/>
      <c r="H536" s="73"/>
      <c r="I536" s="73"/>
      <c r="J536" s="73"/>
      <c r="K536" s="53"/>
      <c r="L536" s="53"/>
      <c r="M536" s="53"/>
      <c r="N536" s="53"/>
      <c r="O536" s="53"/>
      <c r="P536" s="53"/>
      <c r="Q536" s="53"/>
    </row>
    <row r="537" spans="3:17" ht="15.75" customHeight="1">
      <c r="C537" s="53"/>
      <c r="D537" s="73"/>
      <c r="E537" s="73"/>
      <c r="F537" s="73"/>
      <c r="G537" s="73"/>
      <c r="H537" s="73"/>
      <c r="I537" s="73"/>
      <c r="J537" s="73"/>
      <c r="K537" s="53"/>
      <c r="L537" s="53"/>
      <c r="M537" s="53"/>
      <c r="N537" s="53"/>
      <c r="O537" s="53"/>
      <c r="P537" s="53"/>
      <c r="Q537" s="53"/>
    </row>
    <row r="538" spans="3:17" ht="15.75" customHeight="1">
      <c r="C538" s="53"/>
      <c r="D538" s="73"/>
      <c r="E538" s="73"/>
      <c r="F538" s="73"/>
      <c r="G538" s="73"/>
      <c r="H538" s="73"/>
      <c r="I538" s="73"/>
      <c r="J538" s="73"/>
      <c r="K538" s="53"/>
      <c r="L538" s="53"/>
      <c r="M538" s="53"/>
      <c r="N538" s="53"/>
      <c r="O538" s="53"/>
      <c r="P538" s="53"/>
      <c r="Q538" s="53"/>
    </row>
    <row r="539" spans="3:17" ht="15.75" customHeight="1">
      <c r="C539" s="53"/>
      <c r="D539" s="73"/>
      <c r="E539" s="73"/>
      <c r="F539" s="73"/>
      <c r="G539" s="73"/>
      <c r="H539" s="73"/>
      <c r="I539" s="73"/>
      <c r="J539" s="73"/>
      <c r="K539" s="53"/>
      <c r="L539" s="53"/>
      <c r="M539" s="53"/>
      <c r="N539" s="53"/>
      <c r="O539" s="53"/>
      <c r="P539" s="53"/>
      <c r="Q539" s="53"/>
    </row>
    <row r="540" spans="3:17" ht="15.75" customHeight="1">
      <c r="C540" s="53"/>
      <c r="D540" s="73"/>
      <c r="E540" s="73"/>
      <c r="F540" s="73"/>
      <c r="G540" s="73"/>
      <c r="H540" s="73"/>
      <c r="I540" s="73"/>
      <c r="J540" s="73"/>
      <c r="K540" s="53"/>
      <c r="L540" s="53"/>
      <c r="M540" s="53"/>
      <c r="N540" s="53"/>
      <c r="O540" s="53"/>
      <c r="P540" s="53"/>
      <c r="Q540" s="53"/>
    </row>
    <row r="541" spans="3:17" ht="15.75" customHeight="1">
      <c r="C541" s="53"/>
      <c r="D541" s="73"/>
      <c r="E541" s="73"/>
      <c r="F541" s="73"/>
      <c r="G541" s="73"/>
      <c r="H541" s="73"/>
      <c r="I541" s="73"/>
      <c r="J541" s="73"/>
      <c r="K541" s="53"/>
      <c r="L541" s="53"/>
      <c r="M541" s="53"/>
      <c r="N541" s="53"/>
      <c r="O541" s="53"/>
      <c r="P541" s="53"/>
      <c r="Q541" s="53"/>
    </row>
    <row r="542" spans="3:17" ht="15.75" customHeight="1">
      <c r="C542" s="53"/>
      <c r="D542" s="73"/>
      <c r="E542" s="73"/>
      <c r="F542" s="73"/>
      <c r="G542" s="73"/>
      <c r="H542" s="73"/>
      <c r="I542" s="73"/>
      <c r="J542" s="73"/>
      <c r="K542" s="53"/>
      <c r="L542" s="53"/>
      <c r="M542" s="53"/>
      <c r="N542" s="53"/>
      <c r="O542" s="53"/>
      <c r="P542" s="53"/>
      <c r="Q542" s="53"/>
    </row>
    <row r="543" spans="3:17" ht="15.75" customHeight="1">
      <c r="C543" s="53"/>
      <c r="D543" s="73"/>
      <c r="E543" s="73"/>
      <c r="F543" s="73"/>
      <c r="G543" s="73"/>
      <c r="H543" s="73"/>
      <c r="I543" s="73"/>
      <c r="J543" s="73"/>
      <c r="K543" s="53"/>
      <c r="L543" s="53"/>
      <c r="M543" s="53"/>
      <c r="N543" s="53"/>
      <c r="O543" s="53"/>
      <c r="P543" s="53"/>
      <c r="Q543" s="53"/>
    </row>
    <row r="544" spans="3:17" ht="15.75" customHeight="1">
      <c r="C544" s="53"/>
      <c r="D544" s="73"/>
      <c r="E544" s="73"/>
      <c r="F544" s="73"/>
      <c r="G544" s="73"/>
      <c r="H544" s="73"/>
      <c r="I544" s="73"/>
      <c r="J544" s="73"/>
      <c r="K544" s="53"/>
      <c r="L544" s="53"/>
      <c r="M544" s="53"/>
      <c r="N544" s="53"/>
      <c r="O544" s="53"/>
      <c r="P544" s="53"/>
      <c r="Q544" s="53"/>
    </row>
    <row r="545" spans="3:17" ht="15.75" customHeight="1">
      <c r="C545" s="53"/>
      <c r="D545" s="73"/>
      <c r="E545" s="73"/>
      <c r="F545" s="73"/>
      <c r="G545" s="73"/>
      <c r="H545" s="73"/>
      <c r="I545" s="73"/>
      <c r="J545" s="73"/>
      <c r="K545" s="53"/>
      <c r="L545" s="53"/>
      <c r="M545" s="53"/>
      <c r="N545" s="53"/>
      <c r="O545" s="53"/>
      <c r="P545" s="53"/>
      <c r="Q545" s="53"/>
    </row>
    <row r="546" spans="3:17" ht="15.75" customHeight="1">
      <c r="C546" s="53"/>
      <c r="D546" s="73"/>
      <c r="E546" s="73"/>
      <c r="F546" s="73"/>
      <c r="G546" s="73"/>
      <c r="H546" s="73"/>
      <c r="I546" s="73"/>
      <c r="J546" s="73"/>
      <c r="K546" s="53"/>
      <c r="L546" s="53"/>
      <c r="M546" s="53"/>
      <c r="N546" s="53"/>
      <c r="O546" s="53"/>
      <c r="P546" s="53"/>
      <c r="Q546" s="53"/>
    </row>
    <row r="547" spans="3:17" ht="15.75" customHeight="1">
      <c r="C547" s="53"/>
      <c r="D547" s="73"/>
      <c r="E547" s="73"/>
      <c r="F547" s="73"/>
      <c r="G547" s="73"/>
      <c r="H547" s="73"/>
      <c r="I547" s="73"/>
      <c r="J547" s="73"/>
      <c r="K547" s="53"/>
      <c r="L547" s="53"/>
      <c r="M547" s="53"/>
      <c r="N547" s="53"/>
      <c r="O547" s="53"/>
      <c r="P547" s="53"/>
      <c r="Q547" s="53"/>
    </row>
    <row r="548" spans="3:17" ht="15.75" customHeight="1">
      <c r="C548" s="53"/>
      <c r="D548" s="73"/>
      <c r="E548" s="73"/>
      <c r="F548" s="73"/>
      <c r="G548" s="73"/>
      <c r="H548" s="73"/>
      <c r="I548" s="73"/>
      <c r="J548" s="73"/>
      <c r="K548" s="53"/>
      <c r="L548" s="53"/>
      <c r="M548" s="53"/>
      <c r="N548" s="53"/>
      <c r="O548" s="53"/>
      <c r="P548" s="53"/>
      <c r="Q548" s="53"/>
    </row>
    <row r="549" spans="3:17" ht="15.75" customHeight="1">
      <c r="C549" s="53"/>
      <c r="D549" s="73"/>
      <c r="E549" s="73"/>
      <c r="F549" s="73"/>
      <c r="G549" s="73"/>
      <c r="H549" s="73"/>
      <c r="I549" s="73"/>
      <c r="J549" s="73"/>
      <c r="K549" s="53"/>
      <c r="L549" s="53"/>
      <c r="M549" s="53"/>
      <c r="N549" s="53"/>
      <c r="O549" s="53"/>
      <c r="P549" s="53"/>
      <c r="Q549" s="53"/>
    </row>
    <row r="550" spans="3:17" ht="15.75" customHeight="1">
      <c r="C550" s="53"/>
      <c r="D550" s="73"/>
      <c r="E550" s="73"/>
      <c r="F550" s="73"/>
      <c r="G550" s="73"/>
      <c r="H550" s="73"/>
      <c r="I550" s="73"/>
      <c r="J550" s="73"/>
      <c r="K550" s="53"/>
      <c r="L550" s="53"/>
      <c r="M550" s="53"/>
      <c r="N550" s="53"/>
      <c r="O550" s="53"/>
      <c r="P550" s="53"/>
      <c r="Q550" s="53"/>
    </row>
    <row r="551" spans="3:17" ht="15.75" customHeight="1">
      <c r="C551" s="53"/>
      <c r="D551" s="73"/>
      <c r="E551" s="73"/>
      <c r="F551" s="73"/>
      <c r="G551" s="73"/>
      <c r="H551" s="73"/>
      <c r="I551" s="73"/>
      <c r="J551" s="73"/>
      <c r="K551" s="53"/>
      <c r="L551" s="53"/>
      <c r="M551" s="53"/>
      <c r="N551" s="53"/>
      <c r="O551" s="53"/>
      <c r="P551" s="53"/>
      <c r="Q551" s="53"/>
    </row>
    <row r="552" spans="3:17" ht="15.75" customHeight="1">
      <c r="C552" s="53"/>
      <c r="D552" s="73"/>
      <c r="E552" s="73"/>
      <c r="F552" s="73"/>
      <c r="G552" s="73"/>
      <c r="H552" s="73"/>
      <c r="I552" s="73"/>
      <c r="J552" s="73"/>
      <c r="K552" s="53"/>
      <c r="L552" s="53"/>
      <c r="M552" s="53"/>
      <c r="N552" s="53"/>
      <c r="O552" s="53"/>
      <c r="P552" s="53"/>
      <c r="Q552" s="53"/>
    </row>
    <row r="553" spans="3:17" ht="15.75" customHeight="1">
      <c r="C553" s="53"/>
      <c r="D553" s="73"/>
      <c r="E553" s="73"/>
      <c r="F553" s="73"/>
      <c r="G553" s="73"/>
      <c r="H553" s="73"/>
      <c r="I553" s="73"/>
      <c r="J553" s="73"/>
      <c r="K553" s="53"/>
      <c r="L553" s="53"/>
      <c r="M553" s="53"/>
      <c r="N553" s="53"/>
      <c r="O553" s="53"/>
      <c r="P553" s="53"/>
      <c r="Q553" s="53"/>
    </row>
    <row r="554" spans="3:17" ht="15.75" customHeight="1">
      <c r="C554" s="53"/>
      <c r="D554" s="73"/>
      <c r="E554" s="73"/>
      <c r="F554" s="73"/>
      <c r="G554" s="73"/>
      <c r="H554" s="73"/>
      <c r="I554" s="73"/>
      <c r="J554" s="73"/>
      <c r="K554" s="53"/>
      <c r="L554" s="53"/>
      <c r="M554" s="53"/>
      <c r="N554" s="53"/>
      <c r="O554" s="53"/>
      <c r="P554" s="53"/>
      <c r="Q554" s="53"/>
    </row>
    <row r="555" spans="3:17" ht="15.75" customHeight="1">
      <c r="C555" s="53"/>
      <c r="D555" s="73"/>
      <c r="E555" s="73"/>
      <c r="F555" s="73"/>
      <c r="G555" s="73"/>
      <c r="H555" s="73"/>
      <c r="I555" s="73"/>
      <c r="J555" s="73"/>
      <c r="K555" s="53"/>
      <c r="L555" s="53"/>
      <c r="M555" s="53"/>
      <c r="N555" s="53"/>
      <c r="O555" s="53"/>
      <c r="P555" s="53"/>
      <c r="Q555" s="53"/>
    </row>
    <row r="556" spans="3:17" ht="15.75" customHeight="1">
      <c r="C556" s="53"/>
      <c r="D556" s="73"/>
      <c r="E556" s="73"/>
      <c r="F556" s="73"/>
      <c r="G556" s="73"/>
      <c r="H556" s="73"/>
      <c r="I556" s="73"/>
      <c r="J556" s="73"/>
      <c r="K556" s="53"/>
      <c r="L556" s="53"/>
      <c r="M556" s="53"/>
      <c r="N556" s="53"/>
      <c r="O556" s="53"/>
      <c r="P556" s="53"/>
      <c r="Q556" s="53"/>
    </row>
    <row r="557" spans="3:17" ht="15.75" customHeight="1">
      <c r="C557" s="53"/>
      <c r="D557" s="73"/>
      <c r="E557" s="73"/>
      <c r="F557" s="73"/>
      <c r="G557" s="73"/>
      <c r="H557" s="73"/>
      <c r="I557" s="73"/>
      <c r="J557" s="73"/>
      <c r="K557" s="53"/>
      <c r="L557" s="53"/>
      <c r="M557" s="53"/>
      <c r="N557" s="53"/>
      <c r="O557" s="53"/>
      <c r="P557" s="53"/>
      <c r="Q557" s="53"/>
    </row>
    <row r="558" spans="3:17" ht="15.75" customHeight="1">
      <c r="C558" s="53"/>
      <c r="D558" s="73"/>
      <c r="E558" s="73"/>
      <c r="F558" s="73"/>
      <c r="G558" s="73"/>
      <c r="H558" s="73"/>
      <c r="I558" s="73"/>
      <c r="J558" s="73"/>
      <c r="K558" s="53"/>
      <c r="L558" s="53"/>
      <c r="M558" s="53"/>
      <c r="N558" s="53"/>
      <c r="O558" s="53"/>
      <c r="P558" s="53"/>
      <c r="Q558" s="53"/>
    </row>
    <row r="559" spans="3:17" ht="15.75" customHeight="1">
      <c r="C559" s="53"/>
      <c r="D559" s="73"/>
      <c r="E559" s="73"/>
      <c r="F559" s="73"/>
      <c r="G559" s="73"/>
      <c r="H559" s="73"/>
      <c r="I559" s="73"/>
      <c r="J559" s="73"/>
      <c r="K559" s="53"/>
      <c r="L559" s="53"/>
      <c r="M559" s="53"/>
      <c r="N559" s="53"/>
      <c r="O559" s="53"/>
      <c r="P559" s="53"/>
      <c r="Q559" s="53"/>
    </row>
    <row r="560" spans="3:17" ht="15.75" customHeight="1">
      <c r="C560" s="53"/>
      <c r="D560" s="73"/>
      <c r="E560" s="73"/>
      <c r="F560" s="73"/>
      <c r="G560" s="73"/>
      <c r="H560" s="73"/>
      <c r="I560" s="73"/>
      <c r="J560" s="73"/>
      <c r="K560" s="53"/>
      <c r="L560" s="53"/>
      <c r="M560" s="53"/>
      <c r="N560" s="53"/>
      <c r="O560" s="53"/>
      <c r="P560" s="53"/>
      <c r="Q560" s="53"/>
    </row>
    <row r="561" spans="3:17" ht="15.75" customHeight="1">
      <c r="C561" s="53"/>
      <c r="D561" s="73"/>
      <c r="E561" s="73"/>
      <c r="F561" s="73"/>
      <c r="G561" s="73"/>
      <c r="H561" s="73"/>
      <c r="I561" s="73"/>
      <c r="J561" s="73"/>
      <c r="K561" s="53"/>
      <c r="L561" s="53"/>
      <c r="M561" s="53"/>
      <c r="N561" s="53"/>
      <c r="O561" s="53"/>
      <c r="P561" s="53"/>
      <c r="Q561" s="53"/>
    </row>
    <row r="562" spans="3:17" ht="15.75" customHeight="1">
      <c r="C562" s="53"/>
      <c r="D562" s="73"/>
      <c r="E562" s="73"/>
      <c r="F562" s="73"/>
      <c r="G562" s="73"/>
      <c r="H562" s="73"/>
      <c r="I562" s="73"/>
      <c r="J562" s="73"/>
      <c r="K562" s="53"/>
      <c r="L562" s="53"/>
      <c r="M562" s="53"/>
      <c r="N562" s="53"/>
      <c r="O562" s="53"/>
      <c r="P562" s="53"/>
      <c r="Q562" s="53"/>
    </row>
    <row r="563" spans="3:17" ht="15.75" customHeight="1">
      <c r="C563" s="53"/>
      <c r="D563" s="73"/>
      <c r="E563" s="73"/>
      <c r="F563" s="73"/>
      <c r="G563" s="73"/>
      <c r="H563" s="73"/>
      <c r="I563" s="73"/>
      <c r="J563" s="73"/>
      <c r="K563" s="53"/>
      <c r="L563" s="53"/>
      <c r="M563" s="53"/>
      <c r="N563" s="53"/>
      <c r="O563" s="53"/>
      <c r="P563" s="53"/>
      <c r="Q563" s="53"/>
    </row>
    <row r="564" spans="3:17" ht="15.75" customHeight="1">
      <c r="C564" s="53"/>
      <c r="D564" s="73"/>
      <c r="E564" s="73"/>
      <c r="F564" s="73"/>
      <c r="G564" s="73"/>
      <c r="H564" s="73"/>
      <c r="I564" s="73"/>
      <c r="J564" s="73"/>
      <c r="K564" s="53"/>
      <c r="L564" s="53"/>
      <c r="M564" s="53"/>
      <c r="N564" s="53"/>
      <c r="O564" s="53"/>
      <c r="P564" s="53"/>
      <c r="Q564" s="53"/>
    </row>
    <row r="565" spans="3:17" ht="15.75" customHeight="1">
      <c r="C565" s="53"/>
      <c r="D565" s="73"/>
      <c r="E565" s="73"/>
      <c r="F565" s="73"/>
      <c r="G565" s="73"/>
      <c r="H565" s="73"/>
      <c r="I565" s="73"/>
      <c r="J565" s="73"/>
      <c r="K565" s="53"/>
      <c r="L565" s="53"/>
      <c r="M565" s="53"/>
      <c r="N565" s="53"/>
      <c r="O565" s="53"/>
      <c r="P565" s="53"/>
      <c r="Q565" s="53"/>
    </row>
    <row r="566" spans="3:17" ht="15.75" customHeight="1">
      <c r="C566" s="53"/>
      <c r="D566" s="73"/>
      <c r="E566" s="73"/>
      <c r="F566" s="73"/>
      <c r="G566" s="73"/>
      <c r="H566" s="73"/>
      <c r="I566" s="73"/>
      <c r="J566" s="73"/>
      <c r="K566" s="53"/>
      <c r="L566" s="53"/>
      <c r="M566" s="53"/>
      <c r="N566" s="53"/>
      <c r="O566" s="53"/>
      <c r="P566" s="53"/>
      <c r="Q566" s="53"/>
    </row>
    <row r="567" spans="3:17" ht="15.75" customHeight="1">
      <c r="C567" s="53"/>
      <c r="D567" s="73"/>
      <c r="E567" s="73"/>
      <c r="F567" s="73"/>
      <c r="G567" s="73"/>
      <c r="H567" s="73"/>
      <c r="I567" s="73"/>
      <c r="J567" s="73"/>
      <c r="K567" s="53"/>
      <c r="L567" s="53"/>
      <c r="M567" s="53"/>
      <c r="N567" s="53"/>
      <c r="O567" s="53"/>
      <c r="P567" s="53"/>
      <c r="Q567" s="53"/>
    </row>
    <row r="568" spans="3:17" ht="15.75" customHeight="1">
      <c r="C568" s="53"/>
      <c r="D568" s="73"/>
      <c r="E568" s="73"/>
      <c r="F568" s="73"/>
      <c r="G568" s="73"/>
      <c r="H568" s="73"/>
      <c r="I568" s="73"/>
      <c r="J568" s="73"/>
      <c r="K568" s="53"/>
      <c r="L568" s="53"/>
      <c r="M568" s="53"/>
      <c r="N568" s="53"/>
      <c r="O568" s="53"/>
      <c r="P568" s="53"/>
      <c r="Q568" s="53"/>
    </row>
    <row r="569" spans="3:17" ht="15.75" customHeight="1">
      <c r="C569" s="53"/>
      <c r="D569" s="73"/>
      <c r="E569" s="73"/>
      <c r="F569" s="73"/>
      <c r="G569" s="73"/>
      <c r="H569" s="73"/>
      <c r="I569" s="73"/>
      <c r="J569" s="73"/>
      <c r="K569" s="53"/>
      <c r="L569" s="53"/>
      <c r="M569" s="53"/>
      <c r="N569" s="53"/>
      <c r="O569" s="53"/>
      <c r="P569" s="53"/>
      <c r="Q569" s="53"/>
    </row>
    <row r="570" spans="3:17" ht="15.75" customHeight="1">
      <c r="C570" s="53"/>
      <c r="D570" s="73"/>
      <c r="E570" s="73"/>
      <c r="F570" s="73"/>
      <c r="G570" s="73"/>
      <c r="H570" s="73"/>
      <c r="I570" s="73"/>
      <c r="J570" s="73"/>
      <c r="K570" s="53"/>
      <c r="L570" s="53"/>
      <c r="M570" s="53"/>
      <c r="N570" s="53"/>
      <c r="O570" s="53"/>
      <c r="P570" s="53"/>
      <c r="Q570" s="53"/>
    </row>
    <row r="571" spans="3:17" ht="15.75" customHeight="1">
      <c r="C571" s="53"/>
      <c r="D571" s="73"/>
      <c r="E571" s="73"/>
      <c r="F571" s="73"/>
      <c r="G571" s="73"/>
      <c r="H571" s="73"/>
      <c r="I571" s="73"/>
      <c r="J571" s="73"/>
      <c r="K571" s="53"/>
      <c r="L571" s="53"/>
      <c r="M571" s="53"/>
      <c r="N571" s="53"/>
      <c r="O571" s="53"/>
      <c r="P571" s="53"/>
      <c r="Q571" s="53"/>
    </row>
    <row r="572" spans="3:17" ht="15.75" customHeight="1">
      <c r="C572" s="53"/>
      <c r="D572" s="73"/>
      <c r="E572" s="73"/>
      <c r="F572" s="73"/>
      <c r="G572" s="73"/>
      <c r="H572" s="73"/>
      <c r="I572" s="73"/>
      <c r="J572" s="73"/>
      <c r="K572" s="53"/>
      <c r="L572" s="53"/>
      <c r="M572" s="53"/>
      <c r="N572" s="53"/>
      <c r="O572" s="53"/>
      <c r="P572" s="53"/>
      <c r="Q572" s="53"/>
    </row>
    <row r="573" spans="3:17" ht="15.75" customHeight="1">
      <c r="C573" s="53"/>
      <c r="D573" s="73"/>
      <c r="E573" s="73"/>
      <c r="F573" s="73"/>
      <c r="G573" s="73"/>
      <c r="H573" s="73"/>
      <c r="I573" s="73"/>
      <c r="J573" s="73"/>
      <c r="K573" s="53"/>
      <c r="L573" s="53"/>
      <c r="M573" s="53"/>
      <c r="N573" s="53"/>
      <c r="O573" s="53"/>
      <c r="P573" s="53"/>
      <c r="Q573" s="53"/>
    </row>
    <row r="574" spans="3:17" ht="15.75" customHeight="1">
      <c r="C574" s="53"/>
      <c r="D574" s="73"/>
      <c r="E574" s="73"/>
      <c r="F574" s="73"/>
      <c r="G574" s="73"/>
      <c r="H574" s="73"/>
      <c r="I574" s="73"/>
      <c r="J574" s="73"/>
      <c r="K574" s="53"/>
      <c r="L574" s="53"/>
      <c r="M574" s="53"/>
      <c r="N574" s="53"/>
      <c r="O574" s="53"/>
      <c r="P574" s="53"/>
      <c r="Q574" s="53"/>
    </row>
    <row r="575" spans="3:17" ht="15.75" customHeight="1">
      <c r="C575" s="53"/>
      <c r="D575" s="73"/>
      <c r="E575" s="73"/>
      <c r="F575" s="73"/>
      <c r="G575" s="73"/>
      <c r="H575" s="73"/>
      <c r="I575" s="73"/>
      <c r="J575" s="73"/>
      <c r="K575" s="53"/>
      <c r="L575" s="53"/>
      <c r="M575" s="53"/>
      <c r="N575" s="53"/>
      <c r="O575" s="53"/>
      <c r="P575" s="53"/>
      <c r="Q575" s="53"/>
    </row>
    <row r="576" spans="3:17" ht="15.75" customHeight="1">
      <c r="C576" s="53"/>
      <c r="D576" s="73"/>
      <c r="E576" s="73"/>
      <c r="F576" s="73"/>
      <c r="G576" s="73"/>
      <c r="H576" s="73"/>
      <c r="I576" s="73"/>
      <c r="J576" s="73"/>
      <c r="K576" s="53"/>
      <c r="L576" s="53"/>
      <c r="M576" s="53"/>
      <c r="N576" s="53"/>
      <c r="O576" s="53"/>
      <c r="P576" s="53"/>
      <c r="Q576" s="53"/>
    </row>
    <row r="577" spans="3:17" ht="15.75" customHeight="1">
      <c r="C577" s="53"/>
      <c r="D577" s="73"/>
      <c r="E577" s="73"/>
      <c r="F577" s="73"/>
      <c r="G577" s="73"/>
      <c r="H577" s="73"/>
      <c r="I577" s="73"/>
      <c r="J577" s="73"/>
      <c r="K577" s="53"/>
      <c r="L577" s="53"/>
      <c r="M577" s="53"/>
      <c r="N577" s="53"/>
      <c r="O577" s="53"/>
      <c r="P577" s="53"/>
      <c r="Q577" s="53"/>
    </row>
    <row r="578" spans="3:17" ht="15.75" customHeight="1">
      <c r="C578" s="53"/>
      <c r="D578" s="73"/>
      <c r="E578" s="73"/>
      <c r="F578" s="73"/>
      <c r="G578" s="73"/>
      <c r="H578" s="73"/>
      <c r="I578" s="73"/>
      <c r="J578" s="73"/>
      <c r="K578" s="53"/>
      <c r="L578" s="53"/>
      <c r="M578" s="53"/>
      <c r="N578" s="53"/>
      <c r="O578" s="53"/>
      <c r="P578" s="53"/>
      <c r="Q578" s="53"/>
    </row>
    <row r="579" spans="3:17" ht="15.75" customHeight="1">
      <c r="C579" s="53"/>
      <c r="D579" s="73"/>
      <c r="E579" s="73"/>
      <c r="F579" s="73"/>
      <c r="G579" s="73"/>
      <c r="H579" s="73"/>
      <c r="I579" s="73"/>
      <c r="J579" s="73"/>
      <c r="K579" s="53"/>
      <c r="L579" s="53"/>
      <c r="M579" s="53"/>
      <c r="N579" s="53"/>
      <c r="O579" s="53"/>
      <c r="P579" s="53"/>
      <c r="Q579" s="53"/>
    </row>
    <row r="580" spans="3:17" ht="15.75" customHeight="1">
      <c r="C580" s="53"/>
      <c r="D580" s="73"/>
      <c r="E580" s="73"/>
      <c r="F580" s="73"/>
      <c r="G580" s="73"/>
      <c r="H580" s="73"/>
      <c r="I580" s="73"/>
      <c r="J580" s="73"/>
      <c r="K580" s="53"/>
      <c r="L580" s="53"/>
      <c r="M580" s="53"/>
      <c r="N580" s="53"/>
      <c r="O580" s="53"/>
      <c r="P580" s="53"/>
      <c r="Q580" s="53"/>
    </row>
    <row r="581" spans="3:17" ht="15.75" customHeight="1">
      <c r="C581" s="53"/>
      <c r="D581" s="73"/>
      <c r="E581" s="73"/>
      <c r="F581" s="73"/>
      <c r="G581" s="73"/>
      <c r="H581" s="73"/>
      <c r="I581" s="73"/>
      <c r="J581" s="73"/>
      <c r="K581" s="53"/>
      <c r="L581" s="53"/>
      <c r="M581" s="53"/>
      <c r="N581" s="53"/>
      <c r="O581" s="53"/>
      <c r="P581" s="53"/>
      <c r="Q581" s="53"/>
    </row>
    <row r="582" spans="3:17" ht="15.75" customHeight="1">
      <c r="C582" s="53"/>
      <c r="D582" s="73"/>
      <c r="E582" s="73"/>
      <c r="F582" s="73"/>
      <c r="G582" s="73"/>
      <c r="H582" s="73"/>
      <c r="I582" s="73"/>
      <c r="J582" s="73"/>
      <c r="K582" s="53"/>
      <c r="L582" s="53"/>
      <c r="M582" s="53"/>
      <c r="N582" s="53"/>
      <c r="O582" s="53"/>
      <c r="P582" s="53"/>
      <c r="Q582" s="53"/>
    </row>
    <row r="583" spans="3:17" ht="15.75" customHeight="1">
      <c r="C583" s="53"/>
      <c r="D583" s="73"/>
      <c r="E583" s="73"/>
      <c r="F583" s="73"/>
      <c r="G583" s="73"/>
      <c r="H583" s="73"/>
      <c r="I583" s="73"/>
      <c r="J583" s="73"/>
      <c r="K583" s="53"/>
      <c r="L583" s="53"/>
      <c r="M583" s="53"/>
      <c r="N583" s="53"/>
      <c r="O583" s="53"/>
      <c r="P583" s="53"/>
      <c r="Q583" s="53"/>
    </row>
    <row r="584" spans="3:17" ht="15.75" customHeight="1">
      <c r="C584" s="53"/>
      <c r="D584" s="73"/>
      <c r="E584" s="73"/>
      <c r="F584" s="73"/>
      <c r="G584" s="73"/>
      <c r="H584" s="73"/>
      <c r="I584" s="73"/>
      <c r="J584" s="73"/>
      <c r="K584" s="53"/>
      <c r="L584" s="53"/>
      <c r="M584" s="53"/>
      <c r="N584" s="53"/>
      <c r="O584" s="53"/>
      <c r="P584" s="53"/>
      <c r="Q584" s="53"/>
    </row>
    <row r="585" spans="3:17" ht="15.75" customHeight="1">
      <c r="C585" s="53"/>
      <c r="D585" s="73"/>
      <c r="E585" s="73"/>
      <c r="F585" s="73"/>
      <c r="G585" s="73"/>
      <c r="H585" s="73"/>
      <c r="I585" s="73"/>
      <c r="J585" s="73"/>
      <c r="K585" s="53"/>
      <c r="L585" s="53"/>
      <c r="M585" s="53"/>
      <c r="N585" s="53"/>
      <c r="O585" s="53"/>
      <c r="P585" s="53"/>
      <c r="Q585" s="53"/>
    </row>
    <row r="586" spans="3:17" ht="15.75" customHeight="1">
      <c r="C586" s="53"/>
      <c r="D586" s="73"/>
      <c r="E586" s="73"/>
      <c r="F586" s="73"/>
      <c r="G586" s="73"/>
      <c r="H586" s="73"/>
      <c r="I586" s="73"/>
      <c r="J586" s="73"/>
      <c r="K586" s="53"/>
      <c r="L586" s="53"/>
      <c r="M586" s="53"/>
      <c r="N586" s="53"/>
      <c r="O586" s="53"/>
      <c r="P586" s="53"/>
      <c r="Q586" s="53"/>
    </row>
    <row r="587" spans="3:17" ht="15.75" customHeight="1">
      <c r="C587" s="53"/>
      <c r="D587" s="73"/>
      <c r="E587" s="73"/>
      <c r="F587" s="73"/>
      <c r="G587" s="73"/>
      <c r="H587" s="73"/>
      <c r="I587" s="73"/>
      <c r="J587" s="73"/>
      <c r="K587" s="53"/>
      <c r="L587" s="53"/>
      <c r="M587" s="53"/>
      <c r="N587" s="53"/>
      <c r="O587" s="53"/>
      <c r="P587" s="53"/>
      <c r="Q587" s="53"/>
    </row>
    <row r="588" spans="3:17" ht="15.75" customHeight="1">
      <c r="C588" s="53"/>
      <c r="D588" s="73"/>
      <c r="E588" s="73"/>
      <c r="F588" s="73"/>
      <c r="G588" s="73"/>
      <c r="H588" s="73"/>
      <c r="I588" s="73"/>
      <c r="J588" s="73"/>
      <c r="K588" s="53"/>
      <c r="L588" s="53"/>
      <c r="M588" s="53"/>
      <c r="N588" s="53"/>
      <c r="O588" s="53"/>
      <c r="P588" s="53"/>
      <c r="Q588" s="53"/>
    </row>
    <row r="589" spans="3:17" ht="15.75" customHeight="1">
      <c r="C589" s="53"/>
      <c r="D589" s="73"/>
      <c r="E589" s="73"/>
      <c r="F589" s="73"/>
      <c r="G589" s="73"/>
      <c r="H589" s="73"/>
      <c r="I589" s="73"/>
      <c r="J589" s="73"/>
      <c r="K589" s="53"/>
      <c r="L589" s="53"/>
      <c r="M589" s="53"/>
      <c r="N589" s="53"/>
      <c r="O589" s="53"/>
      <c r="P589" s="53"/>
      <c r="Q589" s="53"/>
    </row>
    <row r="590" spans="3:17" ht="15.75" customHeight="1">
      <c r="C590" s="53"/>
      <c r="D590" s="73"/>
      <c r="E590" s="73"/>
      <c r="F590" s="73"/>
      <c r="G590" s="73"/>
      <c r="H590" s="73"/>
      <c r="I590" s="73"/>
      <c r="J590" s="73"/>
      <c r="K590" s="53"/>
      <c r="L590" s="53"/>
      <c r="M590" s="53"/>
      <c r="N590" s="53"/>
      <c r="O590" s="53"/>
      <c r="P590" s="53"/>
      <c r="Q590" s="53"/>
    </row>
    <row r="591" spans="3:17" ht="15.75" customHeight="1">
      <c r="C591" s="53"/>
      <c r="D591" s="73"/>
      <c r="E591" s="73"/>
      <c r="F591" s="73"/>
      <c r="G591" s="73"/>
      <c r="H591" s="73"/>
      <c r="I591" s="73"/>
      <c r="J591" s="73"/>
      <c r="K591" s="53"/>
      <c r="L591" s="53"/>
      <c r="M591" s="53"/>
      <c r="N591" s="53"/>
      <c r="O591" s="53"/>
      <c r="P591" s="53"/>
      <c r="Q591" s="53"/>
    </row>
    <row r="592" spans="3:17" ht="15.75" customHeight="1">
      <c r="C592" s="53"/>
      <c r="D592" s="73"/>
      <c r="E592" s="73"/>
      <c r="F592" s="73"/>
      <c r="G592" s="73"/>
      <c r="H592" s="73"/>
      <c r="I592" s="73"/>
      <c r="J592" s="73"/>
      <c r="K592" s="53"/>
      <c r="L592" s="53"/>
      <c r="M592" s="53"/>
      <c r="N592" s="53"/>
      <c r="O592" s="53"/>
      <c r="P592" s="53"/>
      <c r="Q592" s="53"/>
    </row>
    <row r="593" spans="3:17" ht="15.75" customHeight="1">
      <c r="C593" s="53"/>
      <c r="D593" s="73"/>
      <c r="E593" s="73"/>
      <c r="F593" s="73"/>
      <c r="G593" s="73"/>
      <c r="H593" s="73"/>
      <c r="I593" s="73"/>
      <c r="J593" s="73"/>
      <c r="K593" s="53"/>
      <c r="L593" s="53"/>
      <c r="M593" s="53"/>
      <c r="N593" s="53"/>
      <c r="O593" s="53"/>
      <c r="P593" s="53"/>
      <c r="Q593" s="53"/>
    </row>
    <row r="594" spans="3:17" ht="15.75" customHeight="1">
      <c r="C594" s="53"/>
      <c r="D594" s="73"/>
      <c r="E594" s="73"/>
      <c r="F594" s="73"/>
      <c r="G594" s="73"/>
      <c r="H594" s="73"/>
      <c r="I594" s="73"/>
      <c r="J594" s="73"/>
      <c r="K594" s="53"/>
      <c r="L594" s="53"/>
      <c r="M594" s="53"/>
      <c r="N594" s="53"/>
      <c r="O594" s="53"/>
      <c r="P594" s="53"/>
      <c r="Q594" s="53"/>
    </row>
    <row r="595" spans="3:17" ht="15.75" customHeight="1">
      <c r="C595" s="53"/>
      <c r="D595" s="73"/>
      <c r="E595" s="73"/>
      <c r="F595" s="73"/>
      <c r="G595" s="73"/>
      <c r="H595" s="73"/>
      <c r="I595" s="73"/>
      <c r="J595" s="73"/>
      <c r="K595" s="53"/>
      <c r="L595" s="53"/>
      <c r="M595" s="53"/>
      <c r="N595" s="53"/>
      <c r="O595" s="53"/>
      <c r="P595" s="53"/>
      <c r="Q595" s="53"/>
    </row>
    <row r="596" spans="3:17" ht="15.75" customHeight="1">
      <c r="C596" s="53"/>
      <c r="D596" s="73"/>
      <c r="E596" s="73"/>
      <c r="F596" s="73"/>
      <c r="G596" s="73"/>
      <c r="H596" s="73"/>
      <c r="I596" s="73"/>
      <c r="J596" s="73"/>
      <c r="K596" s="53"/>
      <c r="L596" s="53"/>
      <c r="M596" s="53"/>
      <c r="N596" s="53"/>
      <c r="O596" s="53"/>
      <c r="P596" s="53"/>
      <c r="Q596" s="53"/>
    </row>
    <row r="597" spans="3:17" ht="15.75" customHeight="1">
      <c r="C597" s="53"/>
      <c r="D597" s="73"/>
      <c r="E597" s="73"/>
      <c r="F597" s="73"/>
      <c r="G597" s="73"/>
      <c r="H597" s="73"/>
      <c r="I597" s="73"/>
      <c r="J597" s="73"/>
      <c r="K597" s="53"/>
      <c r="L597" s="53"/>
      <c r="M597" s="53"/>
      <c r="N597" s="53"/>
      <c r="O597" s="53"/>
      <c r="P597" s="53"/>
      <c r="Q597" s="53"/>
    </row>
    <row r="598" spans="3:17" ht="15.75" customHeight="1">
      <c r="C598" s="53"/>
      <c r="D598" s="73"/>
      <c r="E598" s="73"/>
      <c r="F598" s="73"/>
      <c r="G598" s="73"/>
      <c r="H598" s="73"/>
      <c r="I598" s="73"/>
      <c r="J598" s="73"/>
      <c r="K598" s="53"/>
      <c r="L598" s="53"/>
      <c r="M598" s="53"/>
      <c r="N598" s="53"/>
      <c r="O598" s="53"/>
      <c r="P598" s="53"/>
      <c r="Q598" s="53"/>
    </row>
    <row r="599" spans="3:17" ht="15.75" customHeight="1">
      <c r="C599" s="53"/>
      <c r="D599" s="73"/>
      <c r="E599" s="73"/>
      <c r="F599" s="73"/>
      <c r="G599" s="73"/>
      <c r="H599" s="73"/>
      <c r="I599" s="73"/>
      <c r="J599" s="73"/>
      <c r="K599" s="53"/>
      <c r="L599" s="53"/>
      <c r="M599" s="53"/>
      <c r="N599" s="53"/>
      <c r="O599" s="53"/>
      <c r="P599" s="53"/>
      <c r="Q599" s="53"/>
    </row>
    <row r="600" spans="3:17" ht="15.75" customHeight="1">
      <c r="C600" s="53"/>
      <c r="D600" s="73"/>
      <c r="E600" s="73"/>
      <c r="F600" s="73"/>
      <c r="G600" s="73"/>
      <c r="H600" s="73"/>
      <c r="I600" s="73"/>
      <c r="J600" s="73"/>
      <c r="K600" s="53"/>
      <c r="L600" s="53"/>
      <c r="M600" s="53"/>
      <c r="N600" s="53"/>
      <c r="O600" s="53"/>
      <c r="P600" s="53"/>
      <c r="Q600" s="53"/>
    </row>
    <row r="601" spans="3:17" ht="15.75" customHeight="1">
      <c r="C601" s="53"/>
      <c r="D601" s="73"/>
      <c r="E601" s="73"/>
      <c r="F601" s="73"/>
      <c r="G601" s="73"/>
      <c r="H601" s="73"/>
      <c r="I601" s="73"/>
      <c r="J601" s="73"/>
      <c r="K601" s="53"/>
      <c r="L601" s="53"/>
      <c r="M601" s="53"/>
      <c r="N601" s="53"/>
      <c r="O601" s="53"/>
      <c r="P601" s="53"/>
      <c r="Q601" s="53"/>
    </row>
    <row r="602" spans="3:17" ht="15.75" customHeight="1">
      <c r="C602" s="53"/>
      <c r="D602" s="73"/>
      <c r="E602" s="73"/>
      <c r="F602" s="73"/>
      <c r="G602" s="73"/>
      <c r="H602" s="73"/>
      <c r="I602" s="73"/>
      <c r="J602" s="73"/>
      <c r="K602" s="53"/>
      <c r="L602" s="53"/>
      <c r="M602" s="53"/>
      <c r="N602" s="53"/>
      <c r="O602" s="53"/>
      <c r="P602" s="53"/>
      <c r="Q602" s="53"/>
    </row>
    <row r="603" spans="3:17" ht="15.75" customHeight="1">
      <c r="C603" s="53"/>
      <c r="D603" s="73"/>
      <c r="E603" s="73"/>
      <c r="F603" s="73"/>
      <c r="G603" s="73"/>
      <c r="H603" s="73"/>
      <c r="I603" s="73"/>
      <c r="J603" s="73"/>
      <c r="K603" s="53"/>
      <c r="L603" s="53"/>
      <c r="M603" s="53"/>
      <c r="N603" s="53"/>
      <c r="O603" s="53"/>
      <c r="P603" s="53"/>
      <c r="Q603" s="53"/>
    </row>
    <row r="604" spans="3:17" ht="15.75" customHeight="1">
      <c r="C604" s="53"/>
      <c r="D604" s="73"/>
      <c r="E604" s="73"/>
      <c r="F604" s="73"/>
      <c r="G604" s="73"/>
      <c r="H604" s="73"/>
      <c r="I604" s="73"/>
      <c r="J604" s="73"/>
      <c r="K604" s="53"/>
      <c r="L604" s="53"/>
      <c r="M604" s="53"/>
      <c r="N604" s="53"/>
      <c r="O604" s="53"/>
      <c r="P604" s="53"/>
      <c r="Q604" s="53"/>
    </row>
    <row r="605" spans="3:17" ht="15.75" customHeight="1">
      <c r="C605" s="53"/>
      <c r="D605" s="73"/>
      <c r="E605" s="73"/>
      <c r="F605" s="73"/>
      <c r="G605" s="73"/>
      <c r="H605" s="73"/>
      <c r="I605" s="73"/>
      <c r="J605" s="73"/>
      <c r="K605" s="53"/>
      <c r="L605" s="53"/>
      <c r="M605" s="53"/>
      <c r="N605" s="53"/>
      <c r="O605" s="53"/>
      <c r="P605" s="53"/>
      <c r="Q605" s="53"/>
    </row>
    <row r="606" spans="3:17" ht="15.75" customHeight="1">
      <c r="C606" s="53"/>
      <c r="D606" s="73"/>
      <c r="E606" s="73"/>
      <c r="F606" s="73"/>
      <c r="G606" s="73"/>
      <c r="H606" s="73"/>
      <c r="I606" s="73"/>
      <c r="J606" s="73"/>
      <c r="K606" s="53"/>
      <c r="L606" s="53"/>
      <c r="M606" s="53"/>
      <c r="N606" s="53"/>
      <c r="O606" s="53"/>
      <c r="P606" s="53"/>
      <c r="Q606" s="53"/>
    </row>
    <row r="607" spans="3:17" ht="15.75" customHeight="1">
      <c r="C607" s="53"/>
      <c r="D607" s="73"/>
      <c r="E607" s="73"/>
      <c r="F607" s="73"/>
      <c r="G607" s="73"/>
      <c r="H607" s="73"/>
      <c r="I607" s="73"/>
      <c r="J607" s="73"/>
      <c r="K607" s="53"/>
      <c r="L607" s="53"/>
      <c r="M607" s="53"/>
      <c r="N607" s="53"/>
      <c r="O607" s="53"/>
      <c r="P607" s="53"/>
      <c r="Q607" s="53"/>
    </row>
    <row r="608" spans="3:17" ht="15.75" customHeight="1">
      <c r="C608" s="53"/>
      <c r="D608" s="73"/>
      <c r="E608" s="73"/>
      <c r="F608" s="73"/>
      <c r="G608" s="73"/>
      <c r="H608" s="73"/>
      <c r="I608" s="73"/>
      <c r="J608" s="73"/>
      <c r="K608" s="53"/>
      <c r="L608" s="53"/>
      <c r="M608" s="53"/>
      <c r="N608" s="53"/>
      <c r="O608" s="53"/>
      <c r="P608" s="53"/>
      <c r="Q608" s="53"/>
    </row>
    <row r="609" spans="3:17" ht="15.75" customHeight="1">
      <c r="C609" s="53"/>
      <c r="D609" s="73"/>
      <c r="E609" s="73"/>
      <c r="F609" s="73"/>
      <c r="G609" s="73"/>
      <c r="H609" s="73"/>
      <c r="I609" s="73"/>
      <c r="J609" s="73"/>
      <c r="K609" s="53"/>
      <c r="L609" s="53"/>
      <c r="M609" s="53"/>
      <c r="N609" s="53"/>
      <c r="O609" s="53"/>
      <c r="P609" s="53"/>
      <c r="Q609" s="53"/>
    </row>
    <row r="610" spans="3:17" ht="15.75" customHeight="1">
      <c r="C610" s="53"/>
      <c r="D610" s="73"/>
      <c r="E610" s="73"/>
      <c r="F610" s="73"/>
      <c r="G610" s="73"/>
      <c r="H610" s="73"/>
      <c r="I610" s="73"/>
      <c r="J610" s="73"/>
      <c r="K610" s="53"/>
      <c r="L610" s="53"/>
      <c r="M610" s="53"/>
      <c r="N610" s="53"/>
      <c r="O610" s="53"/>
      <c r="P610" s="53"/>
      <c r="Q610" s="53"/>
    </row>
    <row r="611" spans="3:17" ht="15.75" customHeight="1">
      <c r="C611" s="53"/>
      <c r="D611" s="73"/>
      <c r="E611" s="73"/>
      <c r="F611" s="73"/>
      <c r="G611" s="73"/>
      <c r="H611" s="73"/>
      <c r="I611" s="73"/>
      <c r="J611" s="73"/>
      <c r="K611" s="53"/>
      <c r="L611" s="53"/>
      <c r="M611" s="53"/>
      <c r="N611" s="53"/>
      <c r="O611" s="53"/>
      <c r="P611" s="53"/>
      <c r="Q611" s="53"/>
    </row>
    <row r="612" spans="3:17" ht="15.75" customHeight="1">
      <c r="C612" s="53"/>
      <c r="D612" s="73"/>
      <c r="E612" s="73"/>
      <c r="F612" s="73"/>
      <c r="G612" s="73"/>
      <c r="H612" s="73"/>
      <c r="I612" s="73"/>
      <c r="J612" s="73"/>
      <c r="K612" s="53"/>
      <c r="L612" s="53"/>
      <c r="M612" s="53"/>
      <c r="N612" s="53"/>
      <c r="O612" s="53"/>
      <c r="P612" s="53"/>
      <c r="Q612" s="53"/>
    </row>
    <row r="613" spans="3:17" ht="15.75" customHeight="1">
      <c r="C613" s="53"/>
      <c r="D613" s="73"/>
      <c r="E613" s="73"/>
      <c r="F613" s="73"/>
      <c r="G613" s="73"/>
      <c r="H613" s="73"/>
      <c r="I613" s="73"/>
      <c r="J613" s="73"/>
      <c r="K613" s="53"/>
      <c r="L613" s="53"/>
      <c r="M613" s="53"/>
      <c r="N613" s="53"/>
      <c r="O613" s="53"/>
      <c r="P613" s="53"/>
      <c r="Q613" s="53"/>
    </row>
    <row r="614" spans="3:17" ht="15.75" customHeight="1">
      <c r="C614" s="53"/>
      <c r="D614" s="73"/>
      <c r="E614" s="73"/>
      <c r="F614" s="73"/>
      <c r="G614" s="73"/>
      <c r="H614" s="73"/>
      <c r="I614" s="73"/>
      <c r="J614" s="73"/>
      <c r="K614" s="53"/>
      <c r="L614" s="53"/>
      <c r="M614" s="53"/>
      <c r="N614" s="53"/>
      <c r="O614" s="53"/>
      <c r="P614" s="53"/>
      <c r="Q614" s="53"/>
    </row>
    <row r="615" spans="3:17" ht="15.75" customHeight="1">
      <c r="C615" s="53"/>
      <c r="D615" s="73"/>
      <c r="E615" s="73"/>
      <c r="F615" s="73"/>
      <c r="G615" s="73"/>
      <c r="H615" s="73"/>
      <c r="I615" s="73"/>
      <c r="J615" s="73"/>
      <c r="K615" s="53"/>
      <c r="L615" s="53"/>
      <c r="M615" s="53"/>
      <c r="N615" s="53"/>
      <c r="O615" s="53"/>
      <c r="P615" s="53"/>
      <c r="Q615" s="53"/>
    </row>
    <row r="616" spans="3:17" ht="15.75" customHeight="1">
      <c r="C616" s="53"/>
      <c r="D616" s="73"/>
      <c r="E616" s="73"/>
      <c r="F616" s="73"/>
      <c r="G616" s="73"/>
      <c r="H616" s="73"/>
      <c r="I616" s="73"/>
      <c r="J616" s="73"/>
      <c r="K616" s="53"/>
      <c r="L616" s="53"/>
      <c r="M616" s="53"/>
      <c r="N616" s="53"/>
      <c r="O616" s="53"/>
      <c r="P616" s="53"/>
      <c r="Q616" s="53"/>
    </row>
    <row r="617" spans="3:17" ht="15.75" customHeight="1">
      <c r="C617" s="53"/>
      <c r="D617" s="73"/>
      <c r="E617" s="73"/>
      <c r="F617" s="73"/>
      <c r="G617" s="73"/>
      <c r="H617" s="73"/>
      <c r="I617" s="73"/>
      <c r="J617" s="73"/>
      <c r="K617" s="53"/>
      <c r="L617" s="53"/>
      <c r="M617" s="53"/>
      <c r="N617" s="53"/>
      <c r="O617" s="53"/>
      <c r="P617" s="53"/>
      <c r="Q617" s="53"/>
    </row>
    <row r="618" spans="3:17" ht="15.75" customHeight="1">
      <c r="C618" s="53"/>
      <c r="D618" s="73"/>
      <c r="E618" s="73"/>
      <c r="F618" s="73"/>
      <c r="G618" s="73"/>
      <c r="H618" s="73"/>
      <c r="I618" s="73"/>
      <c r="J618" s="73"/>
      <c r="K618" s="53"/>
      <c r="L618" s="53"/>
      <c r="M618" s="53"/>
      <c r="N618" s="53"/>
      <c r="O618" s="53"/>
      <c r="P618" s="53"/>
      <c r="Q618" s="53"/>
    </row>
    <row r="619" spans="3:17" ht="15.75" customHeight="1">
      <c r="C619" s="53"/>
      <c r="D619" s="73"/>
      <c r="E619" s="73"/>
      <c r="F619" s="73"/>
      <c r="G619" s="73"/>
      <c r="H619" s="73"/>
      <c r="I619" s="73"/>
      <c r="J619" s="73"/>
      <c r="K619" s="53"/>
      <c r="L619" s="53"/>
      <c r="M619" s="53"/>
      <c r="N619" s="53"/>
      <c r="O619" s="53"/>
      <c r="P619" s="53"/>
      <c r="Q619" s="53"/>
    </row>
    <row r="620" spans="3:17" ht="15.75" customHeight="1">
      <c r="C620" s="53"/>
      <c r="D620" s="73"/>
      <c r="E620" s="73"/>
      <c r="F620" s="73"/>
      <c r="G620" s="73"/>
      <c r="H620" s="73"/>
      <c r="I620" s="73"/>
      <c r="J620" s="73"/>
      <c r="K620" s="53"/>
      <c r="L620" s="53"/>
      <c r="M620" s="53"/>
      <c r="N620" s="53"/>
      <c r="O620" s="53"/>
      <c r="P620" s="53"/>
      <c r="Q620" s="53"/>
    </row>
    <row r="621" spans="3:17" ht="15.75" customHeight="1">
      <c r="C621" s="53"/>
      <c r="D621" s="73"/>
      <c r="E621" s="73"/>
      <c r="F621" s="73"/>
      <c r="G621" s="73"/>
      <c r="H621" s="73"/>
      <c r="I621" s="73"/>
      <c r="J621" s="73"/>
      <c r="K621" s="53"/>
      <c r="L621" s="53"/>
      <c r="M621" s="53"/>
      <c r="N621" s="53"/>
      <c r="O621" s="53"/>
      <c r="P621" s="53"/>
      <c r="Q621" s="53"/>
    </row>
    <row r="622" spans="3:17" ht="15.75" customHeight="1">
      <c r="C622" s="53"/>
      <c r="D622" s="73"/>
      <c r="E622" s="73"/>
      <c r="F622" s="73"/>
      <c r="G622" s="73"/>
      <c r="H622" s="73"/>
      <c r="I622" s="73"/>
      <c r="J622" s="73"/>
      <c r="K622" s="53"/>
      <c r="L622" s="53"/>
      <c r="M622" s="53"/>
      <c r="N622" s="53"/>
      <c r="O622" s="53"/>
      <c r="P622" s="53"/>
      <c r="Q622" s="53"/>
    </row>
    <row r="623" spans="3:17" ht="15.75" customHeight="1">
      <c r="C623" s="53"/>
      <c r="D623" s="73"/>
      <c r="E623" s="73"/>
      <c r="F623" s="73"/>
      <c r="G623" s="73"/>
      <c r="H623" s="73"/>
      <c r="I623" s="73"/>
      <c r="J623" s="73"/>
      <c r="K623" s="53"/>
      <c r="L623" s="53"/>
      <c r="M623" s="53"/>
      <c r="N623" s="53"/>
      <c r="O623" s="53"/>
      <c r="P623" s="53"/>
      <c r="Q623" s="53"/>
    </row>
    <row r="624" spans="3:17" ht="15.75" customHeight="1">
      <c r="C624" s="53"/>
      <c r="D624" s="73"/>
      <c r="E624" s="73"/>
      <c r="F624" s="73"/>
      <c r="G624" s="73"/>
      <c r="H624" s="73"/>
      <c r="I624" s="73"/>
      <c r="J624" s="73"/>
      <c r="K624" s="53"/>
      <c r="L624" s="53"/>
      <c r="M624" s="53"/>
      <c r="N624" s="53"/>
      <c r="O624" s="53"/>
      <c r="P624" s="53"/>
      <c r="Q624" s="53"/>
    </row>
    <row r="625" spans="3:17" ht="15.75" customHeight="1">
      <c r="C625" s="53"/>
      <c r="D625" s="73"/>
      <c r="E625" s="73"/>
      <c r="F625" s="73"/>
      <c r="G625" s="73"/>
      <c r="H625" s="73"/>
      <c r="I625" s="73"/>
      <c r="J625" s="73"/>
      <c r="K625" s="53"/>
      <c r="L625" s="53"/>
      <c r="M625" s="53"/>
      <c r="N625" s="53"/>
      <c r="O625" s="53"/>
      <c r="P625" s="53"/>
      <c r="Q625" s="53"/>
    </row>
    <row r="626" spans="3:17" ht="15.75" customHeight="1">
      <c r="C626" s="53"/>
      <c r="D626" s="73"/>
      <c r="E626" s="73"/>
      <c r="F626" s="73"/>
      <c r="G626" s="73"/>
      <c r="H626" s="73"/>
      <c r="I626" s="73"/>
      <c r="J626" s="73"/>
      <c r="K626" s="53"/>
      <c r="L626" s="53"/>
      <c r="M626" s="53"/>
      <c r="N626" s="53"/>
      <c r="O626" s="53"/>
      <c r="P626" s="53"/>
      <c r="Q626" s="53"/>
    </row>
    <row r="627" spans="3:17" ht="15.75" customHeight="1">
      <c r="C627" s="53"/>
      <c r="D627" s="73"/>
      <c r="E627" s="73"/>
      <c r="F627" s="73"/>
      <c r="G627" s="73"/>
      <c r="H627" s="73"/>
      <c r="I627" s="73"/>
      <c r="J627" s="73"/>
      <c r="K627" s="53"/>
      <c r="L627" s="53"/>
      <c r="M627" s="53"/>
      <c r="N627" s="53"/>
      <c r="O627" s="53"/>
      <c r="P627" s="53"/>
      <c r="Q627" s="53"/>
    </row>
    <row r="628" spans="3:17" ht="15.75" customHeight="1">
      <c r="C628" s="53"/>
      <c r="D628" s="73"/>
      <c r="E628" s="73"/>
      <c r="F628" s="73"/>
      <c r="G628" s="73"/>
      <c r="H628" s="73"/>
      <c r="I628" s="73"/>
      <c r="J628" s="73"/>
      <c r="K628" s="53"/>
      <c r="L628" s="53"/>
      <c r="M628" s="53"/>
      <c r="N628" s="53"/>
      <c r="O628" s="53"/>
      <c r="P628" s="53"/>
      <c r="Q628" s="53"/>
    </row>
    <row r="629" spans="3:17" ht="15.75" customHeight="1">
      <c r="C629" s="53"/>
      <c r="D629" s="73"/>
      <c r="E629" s="73"/>
      <c r="F629" s="73"/>
      <c r="G629" s="73"/>
      <c r="H629" s="73"/>
      <c r="I629" s="73"/>
      <c r="J629" s="73"/>
      <c r="K629" s="53"/>
      <c r="L629" s="53"/>
      <c r="M629" s="53"/>
      <c r="N629" s="53"/>
      <c r="O629" s="53"/>
      <c r="P629" s="53"/>
      <c r="Q629" s="53"/>
    </row>
    <row r="630" spans="3:17" ht="15.75" customHeight="1">
      <c r="C630" s="53"/>
      <c r="D630" s="73"/>
      <c r="E630" s="73"/>
      <c r="F630" s="73"/>
      <c r="G630" s="73"/>
      <c r="H630" s="73"/>
      <c r="I630" s="73"/>
      <c r="J630" s="73"/>
      <c r="K630" s="53"/>
      <c r="L630" s="53"/>
      <c r="M630" s="53"/>
      <c r="N630" s="53"/>
      <c r="O630" s="53"/>
      <c r="P630" s="53"/>
      <c r="Q630" s="53"/>
    </row>
    <row r="631" spans="3:17" ht="15.75" customHeight="1">
      <c r="C631" s="53"/>
      <c r="D631" s="73"/>
      <c r="E631" s="73"/>
      <c r="F631" s="73"/>
      <c r="G631" s="73"/>
      <c r="H631" s="73"/>
      <c r="I631" s="73"/>
      <c r="J631" s="73"/>
      <c r="K631" s="53"/>
      <c r="L631" s="53"/>
      <c r="M631" s="53"/>
      <c r="N631" s="53"/>
      <c r="O631" s="53"/>
      <c r="P631" s="53"/>
      <c r="Q631" s="53"/>
    </row>
    <row r="632" spans="3:17" ht="15.75" customHeight="1">
      <c r="C632" s="53"/>
      <c r="D632" s="73"/>
      <c r="E632" s="73"/>
      <c r="F632" s="73"/>
      <c r="G632" s="73"/>
      <c r="H632" s="73"/>
      <c r="I632" s="73"/>
      <c r="J632" s="73"/>
      <c r="K632" s="53"/>
      <c r="L632" s="53"/>
      <c r="M632" s="53"/>
      <c r="N632" s="53"/>
      <c r="O632" s="53"/>
      <c r="P632" s="53"/>
      <c r="Q632" s="53"/>
    </row>
    <row r="633" spans="3:17" ht="15.75" customHeight="1">
      <c r="C633" s="53"/>
      <c r="D633" s="73"/>
      <c r="E633" s="73"/>
      <c r="F633" s="73"/>
      <c r="G633" s="73"/>
      <c r="H633" s="73"/>
      <c r="I633" s="73"/>
      <c r="J633" s="73"/>
      <c r="K633" s="53"/>
      <c r="L633" s="53"/>
      <c r="M633" s="53"/>
      <c r="N633" s="53"/>
      <c r="O633" s="53"/>
      <c r="P633" s="53"/>
      <c r="Q633" s="53"/>
    </row>
    <row r="634" spans="3:17" ht="15.75" customHeight="1">
      <c r="C634" s="53"/>
      <c r="D634" s="73"/>
      <c r="E634" s="73"/>
      <c r="F634" s="73"/>
      <c r="G634" s="73"/>
      <c r="H634" s="73"/>
      <c r="I634" s="73"/>
      <c r="J634" s="73"/>
      <c r="K634" s="53"/>
      <c r="L634" s="53"/>
      <c r="M634" s="53"/>
      <c r="N634" s="53"/>
      <c r="O634" s="53"/>
      <c r="P634" s="53"/>
      <c r="Q634" s="53"/>
    </row>
    <row r="635" spans="3:17" ht="15.75" customHeight="1">
      <c r="C635" s="53"/>
      <c r="D635" s="73"/>
      <c r="E635" s="73"/>
      <c r="F635" s="73"/>
      <c r="G635" s="73"/>
      <c r="H635" s="73"/>
      <c r="I635" s="73"/>
      <c r="J635" s="73"/>
      <c r="K635" s="53"/>
      <c r="L635" s="53"/>
      <c r="M635" s="53"/>
      <c r="N635" s="53"/>
      <c r="O635" s="53"/>
      <c r="P635" s="53"/>
      <c r="Q635" s="53"/>
    </row>
    <row r="636" spans="3:17" ht="15.75" customHeight="1">
      <c r="C636" s="53"/>
      <c r="D636" s="73"/>
      <c r="E636" s="73"/>
      <c r="F636" s="73"/>
      <c r="G636" s="73"/>
      <c r="H636" s="73"/>
      <c r="I636" s="73"/>
      <c r="J636" s="73"/>
      <c r="K636" s="53"/>
      <c r="L636" s="53"/>
      <c r="M636" s="53"/>
      <c r="N636" s="53"/>
      <c r="O636" s="53"/>
      <c r="P636" s="53"/>
      <c r="Q636" s="53"/>
    </row>
    <row r="637" spans="3:17" ht="15.75" customHeight="1">
      <c r="C637" s="53"/>
      <c r="D637" s="73"/>
      <c r="E637" s="73"/>
      <c r="F637" s="73"/>
      <c r="G637" s="73"/>
      <c r="H637" s="73"/>
      <c r="I637" s="73"/>
      <c r="J637" s="73"/>
      <c r="K637" s="53"/>
      <c r="L637" s="53"/>
      <c r="M637" s="53"/>
      <c r="N637" s="53"/>
      <c r="O637" s="53"/>
      <c r="P637" s="53"/>
      <c r="Q637" s="53"/>
    </row>
    <row r="638" spans="3:17" ht="15.75" customHeight="1">
      <c r="C638" s="53"/>
      <c r="D638" s="73"/>
      <c r="E638" s="73"/>
      <c r="F638" s="73"/>
      <c r="G638" s="73"/>
      <c r="H638" s="73"/>
      <c r="I638" s="73"/>
      <c r="J638" s="73"/>
      <c r="K638" s="53"/>
      <c r="L638" s="53"/>
      <c r="M638" s="53"/>
      <c r="N638" s="53"/>
      <c r="O638" s="53"/>
      <c r="P638" s="53"/>
      <c r="Q638" s="53"/>
    </row>
    <row r="639" spans="3:17" ht="15.75" customHeight="1">
      <c r="C639" s="53"/>
      <c r="D639" s="73"/>
      <c r="E639" s="73"/>
      <c r="F639" s="73"/>
      <c r="G639" s="73"/>
      <c r="H639" s="73"/>
      <c r="I639" s="73"/>
      <c r="J639" s="73"/>
      <c r="K639" s="53"/>
      <c r="L639" s="53"/>
      <c r="M639" s="53"/>
      <c r="N639" s="53"/>
      <c r="O639" s="53"/>
      <c r="P639" s="53"/>
      <c r="Q639" s="53"/>
    </row>
    <row r="640" spans="3:17" ht="15.75" customHeight="1">
      <c r="C640" s="53"/>
      <c r="D640" s="73"/>
      <c r="E640" s="73"/>
      <c r="F640" s="73"/>
      <c r="G640" s="73"/>
      <c r="H640" s="73"/>
      <c r="I640" s="73"/>
      <c r="J640" s="73"/>
      <c r="K640" s="53"/>
      <c r="L640" s="53"/>
      <c r="M640" s="53"/>
      <c r="N640" s="53"/>
      <c r="O640" s="53"/>
      <c r="P640" s="53"/>
      <c r="Q640" s="53"/>
    </row>
    <row r="641" spans="3:17" ht="15.75" customHeight="1">
      <c r="C641" s="53"/>
      <c r="D641" s="73"/>
      <c r="E641" s="73"/>
      <c r="F641" s="73"/>
      <c r="G641" s="73"/>
      <c r="H641" s="73"/>
      <c r="I641" s="73"/>
      <c r="J641" s="73"/>
      <c r="K641" s="53"/>
      <c r="L641" s="53"/>
      <c r="M641" s="53"/>
      <c r="N641" s="53"/>
      <c r="O641" s="53"/>
      <c r="P641" s="53"/>
      <c r="Q641" s="53"/>
    </row>
    <row r="642" spans="3:17" ht="15.75" customHeight="1">
      <c r="C642" s="53"/>
      <c r="D642" s="73"/>
      <c r="E642" s="73"/>
      <c r="F642" s="73"/>
      <c r="G642" s="73"/>
      <c r="H642" s="73"/>
      <c r="I642" s="73"/>
      <c r="J642" s="73"/>
      <c r="K642" s="53"/>
      <c r="L642" s="53"/>
      <c r="M642" s="53"/>
      <c r="N642" s="53"/>
      <c r="O642" s="53"/>
      <c r="P642" s="53"/>
      <c r="Q642" s="53"/>
    </row>
    <row r="643" spans="3:17" ht="15.75" customHeight="1">
      <c r="C643" s="53"/>
      <c r="D643" s="73"/>
      <c r="E643" s="73"/>
      <c r="F643" s="73"/>
      <c r="G643" s="73"/>
      <c r="H643" s="73"/>
      <c r="I643" s="73"/>
      <c r="J643" s="73"/>
      <c r="K643" s="53"/>
      <c r="L643" s="53"/>
      <c r="M643" s="53"/>
      <c r="N643" s="53"/>
      <c r="O643" s="53"/>
      <c r="P643" s="53"/>
      <c r="Q643" s="53"/>
    </row>
    <row r="644" spans="3:17" ht="15.75" customHeight="1">
      <c r="C644" s="53"/>
      <c r="D644" s="73"/>
      <c r="E644" s="73"/>
      <c r="F644" s="73"/>
      <c r="G644" s="73"/>
      <c r="H644" s="73"/>
      <c r="I644" s="73"/>
      <c r="J644" s="73"/>
      <c r="K644" s="53"/>
      <c r="L644" s="53"/>
      <c r="M644" s="53"/>
      <c r="N644" s="53"/>
      <c r="O644" s="53"/>
      <c r="P644" s="53"/>
      <c r="Q644" s="53"/>
    </row>
    <row r="645" spans="3:17" ht="15.75" customHeight="1">
      <c r="C645" s="53"/>
      <c r="D645" s="73"/>
      <c r="E645" s="73"/>
      <c r="F645" s="73"/>
      <c r="G645" s="73"/>
      <c r="H645" s="73"/>
      <c r="I645" s="73"/>
      <c r="J645" s="73"/>
      <c r="K645" s="53"/>
      <c r="L645" s="53"/>
      <c r="M645" s="53"/>
      <c r="N645" s="53"/>
      <c r="O645" s="53"/>
      <c r="P645" s="53"/>
      <c r="Q645" s="53"/>
    </row>
    <row r="646" spans="3:17" ht="15.75" customHeight="1">
      <c r="C646" s="53"/>
      <c r="D646" s="73"/>
      <c r="E646" s="73"/>
      <c r="F646" s="73"/>
      <c r="G646" s="73"/>
      <c r="H646" s="73"/>
      <c r="I646" s="73"/>
      <c r="J646" s="73"/>
      <c r="K646" s="53"/>
      <c r="L646" s="53"/>
      <c r="M646" s="53"/>
      <c r="N646" s="53"/>
      <c r="O646" s="53"/>
      <c r="P646" s="53"/>
      <c r="Q646" s="53"/>
    </row>
    <row r="647" spans="3:17" ht="15.75" customHeight="1">
      <c r="C647" s="53"/>
      <c r="D647" s="73"/>
      <c r="E647" s="73"/>
      <c r="F647" s="73"/>
      <c r="G647" s="73"/>
      <c r="H647" s="73"/>
      <c r="I647" s="73"/>
      <c r="J647" s="73"/>
      <c r="K647" s="53"/>
      <c r="L647" s="53"/>
      <c r="M647" s="53"/>
      <c r="N647" s="53"/>
      <c r="O647" s="53"/>
      <c r="P647" s="53"/>
      <c r="Q647" s="53"/>
    </row>
    <row r="648" spans="3:17" ht="15.75" customHeight="1">
      <c r="C648" s="53"/>
      <c r="D648" s="73"/>
      <c r="E648" s="73"/>
      <c r="F648" s="73"/>
      <c r="G648" s="73"/>
      <c r="H648" s="73"/>
      <c r="I648" s="73"/>
      <c r="J648" s="73"/>
      <c r="K648" s="53"/>
      <c r="L648" s="53"/>
      <c r="M648" s="53"/>
      <c r="N648" s="53"/>
      <c r="O648" s="53"/>
      <c r="P648" s="53"/>
      <c r="Q648" s="53"/>
    </row>
    <row r="649" spans="3:17" ht="15.75" customHeight="1">
      <c r="C649" s="53"/>
      <c r="D649" s="73"/>
      <c r="E649" s="73"/>
      <c r="F649" s="73"/>
      <c r="G649" s="73"/>
      <c r="H649" s="73"/>
      <c r="I649" s="73"/>
      <c r="J649" s="73"/>
      <c r="K649" s="53"/>
      <c r="L649" s="53"/>
      <c r="M649" s="53"/>
      <c r="N649" s="53"/>
      <c r="O649" s="53"/>
      <c r="P649" s="53"/>
      <c r="Q649" s="53"/>
    </row>
    <row r="650" spans="3:17" ht="15.75" customHeight="1">
      <c r="C650" s="53"/>
      <c r="D650" s="73"/>
      <c r="E650" s="73"/>
      <c r="F650" s="73"/>
      <c r="G650" s="73"/>
      <c r="H650" s="73"/>
      <c r="I650" s="73"/>
      <c r="J650" s="73"/>
      <c r="K650" s="53"/>
      <c r="L650" s="53"/>
      <c r="M650" s="53"/>
      <c r="N650" s="53"/>
      <c r="O650" s="53"/>
      <c r="P650" s="53"/>
      <c r="Q650" s="53"/>
    </row>
    <row r="651" spans="3:17" ht="15.75" customHeight="1">
      <c r="C651" s="53"/>
      <c r="D651" s="73"/>
      <c r="E651" s="73"/>
      <c r="F651" s="73"/>
      <c r="G651" s="73"/>
      <c r="H651" s="73"/>
      <c r="I651" s="73"/>
      <c r="J651" s="73"/>
      <c r="K651" s="53"/>
      <c r="L651" s="53"/>
      <c r="M651" s="53"/>
      <c r="N651" s="53"/>
      <c r="O651" s="53"/>
      <c r="P651" s="53"/>
      <c r="Q651" s="53"/>
    </row>
    <row r="652" spans="3:17" ht="15.75" customHeight="1">
      <c r="C652" s="53"/>
      <c r="D652" s="73"/>
      <c r="E652" s="73"/>
      <c r="F652" s="73"/>
      <c r="G652" s="73"/>
      <c r="H652" s="73"/>
      <c r="I652" s="73"/>
      <c r="J652" s="73"/>
      <c r="K652" s="53"/>
      <c r="L652" s="53"/>
      <c r="M652" s="53"/>
      <c r="N652" s="53"/>
      <c r="O652" s="53"/>
      <c r="P652" s="53"/>
      <c r="Q652" s="53"/>
    </row>
    <row r="653" spans="3:17" ht="15.75" customHeight="1">
      <c r="C653" s="53"/>
      <c r="D653" s="73"/>
      <c r="E653" s="73"/>
      <c r="F653" s="73"/>
      <c r="G653" s="73"/>
      <c r="H653" s="73"/>
      <c r="I653" s="73"/>
      <c r="J653" s="73"/>
      <c r="K653" s="53"/>
      <c r="L653" s="53"/>
      <c r="M653" s="53"/>
      <c r="N653" s="53"/>
      <c r="O653" s="53"/>
      <c r="P653" s="53"/>
      <c r="Q653" s="53"/>
    </row>
    <row r="654" spans="3:17" ht="15.75" customHeight="1">
      <c r="C654" s="53"/>
      <c r="D654" s="73"/>
      <c r="E654" s="73"/>
      <c r="F654" s="73"/>
      <c r="G654" s="73"/>
      <c r="H654" s="73"/>
      <c r="I654" s="73"/>
      <c r="J654" s="73"/>
      <c r="K654" s="53"/>
      <c r="L654" s="53"/>
      <c r="M654" s="53"/>
      <c r="N654" s="53"/>
      <c r="O654" s="53"/>
      <c r="P654" s="53"/>
      <c r="Q654" s="53"/>
    </row>
    <row r="655" spans="3:17" ht="15.75" customHeight="1">
      <c r="C655" s="53"/>
      <c r="D655" s="73"/>
      <c r="E655" s="73"/>
      <c r="F655" s="73"/>
      <c r="G655" s="73"/>
      <c r="H655" s="73"/>
      <c r="I655" s="73"/>
      <c r="J655" s="73"/>
      <c r="K655" s="53"/>
      <c r="L655" s="53"/>
      <c r="M655" s="53"/>
      <c r="N655" s="53"/>
      <c r="O655" s="53"/>
      <c r="P655" s="53"/>
      <c r="Q655" s="53"/>
    </row>
    <row r="656" spans="3:17" ht="15.75" customHeight="1">
      <c r="C656" s="53"/>
      <c r="D656" s="73"/>
      <c r="E656" s="73"/>
      <c r="F656" s="73"/>
      <c r="G656" s="73"/>
      <c r="H656" s="73"/>
      <c r="I656" s="73"/>
      <c r="J656" s="73"/>
      <c r="K656" s="53"/>
      <c r="L656" s="53"/>
      <c r="M656" s="53"/>
      <c r="N656" s="53"/>
      <c r="O656" s="53"/>
      <c r="P656" s="53"/>
      <c r="Q656" s="53"/>
    </row>
    <row r="657" spans="3:17" ht="15.75" customHeight="1">
      <c r="C657" s="53"/>
      <c r="D657" s="73"/>
      <c r="E657" s="73"/>
      <c r="F657" s="73"/>
      <c r="G657" s="73"/>
      <c r="H657" s="73"/>
      <c r="I657" s="73"/>
      <c r="J657" s="73"/>
      <c r="K657" s="53"/>
      <c r="L657" s="53"/>
      <c r="M657" s="53"/>
      <c r="N657" s="53"/>
      <c r="O657" s="53"/>
      <c r="P657" s="53"/>
      <c r="Q657" s="53"/>
    </row>
    <row r="658" spans="3:17" ht="15.75" customHeight="1">
      <c r="C658" s="53"/>
      <c r="D658" s="73"/>
      <c r="E658" s="73"/>
      <c r="F658" s="73"/>
      <c r="G658" s="73"/>
      <c r="H658" s="73"/>
      <c r="I658" s="73"/>
      <c r="J658" s="73"/>
      <c r="K658" s="53"/>
      <c r="L658" s="53"/>
      <c r="M658" s="53"/>
      <c r="N658" s="53"/>
      <c r="O658" s="53"/>
      <c r="P658" s="53"/>
      <c r="Q658" s="53"/>
    </row>
    <row r="659" spans="3:17" ht="15.75" customHeight="1">
      <c r="C659" s="53"/>
      <c r="D659" s="73"/>
      <c r="E659" s="73"/>
      <c r="F659" s="73"/>
      <c r="G659" s="73"/>
      <c r="H659" s="73"/>
      <c r="I659" s="73"/>
      <c r="J659" s="73"/>
      <c r="K659" s="53"/>
      <c r="L659" s="53"/>
      <c r="M659" s="53"/>
      <c r="N659" s="53"/>
      <c r="O659" s="53"/>
      <c r="P659" s="53"/>
      <c r="Q659" s="53"/>
    </row>
    <row r="660" spans="3:17" ht="15.75" customHeight="1">
      <c r="C660" s="53"/>
      <c r="D660" s="73"/>
      <c r="E660" s="73"/>
      <c r="F660" s="73"/>
      <c r="G660" s="73"/>
      <c r="H660" s="73"/>
      <c r="I660" s="73"/>
      <c r="J660" s="73"/>
      <c r="K660" s="53"/>
      <c r="L660" s="53"/>
      <c r="M660" s="53"/>
      <c r="N660" s="53"/>
      <c r="O660" s="53"/>
      <c r="P660" s="53"/>
      <c r="Q660" s="53"/>
    </row>
    <row r="661" spans="3:17" ht="15.75" customHeight="1">
      <c r="C661" s="53"/>
      <c r="D661" s="73"/>
      <c r="E661" s="73"/>
      <c r="F661" s="73"/>
      <c r="G661" s="73"/>
      <c r="H661" s="73"/>
      <c r="I661" s="73"/>
      <c r="J661" s="73"/>
      <c r="K661" s="53"/>
      <c r="L661" s="53"/>
      <c r="M661" s="53"/>
      <c r="N661" s="53"/>
      <c r="O661" s="53"/>
      <c r="P661" s="53"/>
      <c r="Q661" s="53"/>
    </row>
    <row r="662" spans="3:17" ht="15.75" customHeight="1">
      <c r="C662" s="53"/>
      <c r="D662" s="73"/>
      <c r="E662" s="73"/>
      <c r="F662" s="73"/>
      <c r="G662" s="73"/>
      <c r="H662" s="73"/>
      <c r="I662" s="73"/>
      <c r="J662" s="73"/>
      <c r="K662" s="53"/>
      <c r="L662" s="53"/>
      <c r="M662" s="53"/>
      <c r="N662" s="53"/>
      <c r="O662" s="53"/>
      <c r="P662" s="53"/>
      <c r="Q662" s="53"/>
    </row>
    <row r="663" spans="3:17" ht="15.75" customHeight="1">
      <c r="C663" s="53"/>
      <c r="D663" s="73"/>
      <c r="E663" s="73"/>
      <c r="F663" s="73"/>
      <c r="G663" s="73"/>
      <c r="H663" s="73"/>
      <c r="I663" s="73"/>
      <c r="J663" s="73"/>
      <c r="K663" s="53"/>
      <c r="L663" s="53"/>
      <c r="M663" s="53"/>
      <c r="N663" s="53"/>
      <c r="O663" s="53"/>
      <c r="P663" s="53"/>
      <c r="Q663" s="53"/>
    </row>
    <row r="664" spans="3:17" ht="15.75" customHeight="1">
      <c r="C664" s="53"/>
      <c r="D664" s="73"/>
      <c r="E664" s="73"/>
      <c r="F664" s="73"/>
      <c r="G664" s="73"/>
      <c r="H664" s="73"/>
      <c r="I664" s="73"/>
      <c r="J664" s="73"/>
      <c r="K664" s="53"/>
      <c r="L664" s="53"/>
      <c r="M664" s="53"/>
      <c r="N664" s="53"/>
      <c r="O664" s="53"/>
      <c r="P664" s="53"/>
      <c r="Q664" s="53"/>
    </row>
    <row r="665" spans="3:17" ht="15.75" customHeight="1">
      <c r="C665" s="53"/>
      <c r="D665" s="73"/>
      <c r="E665" s="73"/>
      <c r="F665" s="73"/>
      <c r="G665" s="73"/>
      <c r="H665" s="73"/>
      <c r="I665" s="73"/>
      <c r="J665" s="73"/>
      <c r="K665" s="53"/>
      <c r="L665" s="53"/>
      <c r="M665" s="53"/>
      <c r="N665" s="53"/>
      <c r="O665" s="53"/>
      <c r="P665" s="53"/>
      <c r="Q665" s="53"/>
    </row>
    <row r="666" spans="3:17" ht="15.75" customHeight="1">
      <c r="C666" s="53"/>
      <c r="D666" s="73"/>
      <c r="E666" s="73"/>
      <c r="F666" s="73"/>
      <c r="G666" s="73"/>
      <c r="H666" s="73"/>
      <c r="I666" s="73"/>
      <c r="J666" s="73"/>
      <c r="K666" s="53"/>
      <c r="L666" s="53"/>
      <c r="M666" s="53"/>
      <c r="N666" s="53"/>
      <c r="O666" s="53"/>
      <c r="P666" s="53"/>
      <c r="Q666" s="53"/>
    </row>
    <row r="667" spans="3:17" ht="15.75" customHeight="1">
      <c r="C667" s="53"/>
      <c r="D667" s="73"/>
      <c r="E667" s="73"/>
      <c r="F667" s="73"/>
      <c r="G667" s="73"/>
      <c r="H667" s="73"/>
      <c r="I667" s="73"/>
      <c r="J667" s="73"/>
      <c r="K667" s="53"/>
      <c r="L667" s="53"/>
      <c r="M667" s="53"/>
      <c r="N667" s="53"/>
      <c r="O667" s="53"/>
      <c r="P667" s="53"/>
      <c r="Q667" s="53"/>
    </row>
    <row r="668" spans="3:17" ht="15.75" customHeight="1">
      <c r="C668" s="53"/>
      <c r="D668" s="73"/>
      <c r="E668" s="73"/>
      <c r="F668" s="73"/>
      <c r="G668" s="73"/>
      <c r="H668" s="73"/>
      <c r="I668" s="73"/>
      <c r="J668" s="73"/>
      <c r="K668" s="53"/>
      <c r="L668" s="53"/>
      <c r="M668" s="53"/>
      <c r="N668" s="53"/>
      <c r="O668" s="53"/>
      <c r="P668" s="53"/>
      <c r="Q668" s="53"/>
    </row>
    <row r="669" spans="3:17" ht="15.75" customHeight="1">
      <c r="C669" s="53"/>
      <c r="D669" s="73"/>
      <c r="E669" s="73"/>
      <c r="F669" s="73"/>
      <c r="G669" s="73"/>
      <c r="H669" s="73"/>
      <c r="I669" s="73"/>
      <c r="J669" s="73"/>
      <c r="K669" s="53"/>
      <c r="L669" s="53"/>
      <c r="M669" s="53"/>
      <c r="N669" s="53"/>
      <c r="O669" s="53"/>
      <c r="P669" s="53"/>
      <c r="Q669" s="53"/>
    </row>
    <row r="670" spans="3:17" ht="15.75" customHeight="1">
      <c r="C670" s="53"/>
      <c r="D670" s="73"/>
      <c r="E670" s="73"/>
      <c r="F670" s="73"/>
      <c r="G670" s="73"/>
      <c r="H670" s="73"/>
      <c r="I670" s="73"/>
      <c r="J670" s="73"/>
      <c r="K670" s="53"/>
      <c r="L670" s="53"/>
      <c r="M670" s="53"/>
      <c r="N670" s="53"/>
      <c r="O670" s="53"/>
      <c r="P670" s="53"/>
      <c r="Q670" s="53"/>
    </row>
    <row r="671" spans="3:17" ht="15.75" customHeight="1">
      <c r="C671" s="53"/>
      <c r="D671" s="73"/>
      <c r="E671" s="73"/>
      <c r="F671" s="73"/>
      <c r="G671" s="73"/>
      <c r="H671" s="73"/>
      <c r="I671" s="73"/>
      <c r="J671" s="73"/>
      <c r="K671" s="53"/>
      <c r="L671" s="53"/>
      <c r="M671" s="53"/>
      <c r="N671" s="53"/>
      <c r="O671" s="53"/>
      <c r="P671" s="53"/>
      <c r="Q671" s="53"/>
    </row>
    <row r="672" spans="3:17" ht="15.75" customHeight="1">
      <c r="C672" s="53"/>
      <c r="D672" s="73"/>
      <c r="E672" s="73"/>
      <c r="F672" s="73"/>
      <c r="G672" s="73"/>
      <c r="H672" s="73"/>
      <c r="I672" s="73"/>
      <c r="J672" s="73"/>
      <c r="K672" s="53"/>
      <c r="L672" s="53"/>
      <c r="M672" s="53"/>
      <c r="N672" s="53"/>
      <c r="O672" s="53"/>
      <c r="P672" s="53"/>
      <c r="Q672" s="53"/>
    </row>
    <row r="673" spans="3:17" ht="15.75" customHeight="1">
      <c r="C673" s="53"/>
      <c r="D673" s="73"/>
      <c r="E673" s="73"/>
      <c r="F673" s="73"/>
      <c r="G673" s="73"/>
      <c r="H673" s="73"/>
      <c r="I673" s="73"/>
      <c r="J673" s="73"/>
      <c r="K673" s="53"/>
      <c r="L673" s="53"/>
      <c r="M673" s="53"/>
      <c r="N673" s="53"/>
      <c r="O673" s="53"/>
      <c r="P673" s="53"/>
      <c r="Q673" s="53"/>
    </row>
    <row r="674" spans="3:17" ht="15.75" customHeight="1">
      <c r="C674" s="53"/>
      <c r="D674" s="73"/>
      <c r="E674" s="73"/>
      <c r="F674" s="73"/>
      <c r="G674" s="73"/>
      <c r="H674" s="73"/>
      <c r="I674" s="73"/>
      <c r="J674" s="73"/>
      <c r="K674" s="53"/>
      <c r="L674" s="53"/>
      <c r="M674" s="53"/>
      <c r="N674" s="53"/>
      <c r="O674" s="53"/>
      <c r="P674" s="53"/>
      <c r="Q674" s="53"/>
    </row>
    <row r="675" spans="3:17" ht="15.75" customHeight="1">
      <c r="C675" s="53"/>
      <c r="D675" s="73"/>
      <c r="E675" s="73"/>
      <c r="F675" s="73"/>
      <c r="G675" s="73"/>
      <c r="H675" s="73"/>
      <c r="I675" s="73"/>
      <c r="J675" s="73"/>
      <c r="K675" s="53"/>
      <c r="L675" s="53"/>
      <c r="M675" s="53"/>
      <c r="N675" s="53"/>
      <c r="O675" s="53"/>
      <c r="P675" s="53"/>
      <c r="Q675" s="53"/>
    </row>
    <row r="676" spans="3:17" ht="15.75" customHeight="1">
      <c r="C676" s="53"/>
      <c r="D676" s="73"/>
      <c r="E676" s="73"/>
      <c r="F676" s="73"/>
      <c r="G676" s="73"/>
      <c r="H676" s="73"/>
      <c r="I676" s="73"/>
      <c r="J676" s="73"/>
      <c r="K676" s="53"/>
      <c r="L676" s="53"/>
      <c r="M676" s="53"/>
      <c r="N676" s="53"/>
      <c r="O676" s="53"/>
      <c r="P676" s="53"/>
      <c r="Q676" s="53"/>
    </row>
    <row r="677" spans="3:17" ht="15.75" customHeight="1">
      <c r="C677" s="53"/>
      <c r="D677" s="73"/>
      <c r="E677" s="73"/>
      <c r="F677" s="73"/>
      <c r="G677" s="73"/>
      <c r="H677" s="73"/>
      <c r="I677" s="73"/>
      <c r="J677" s="73"/>
      <c r="K677" s="53"/>
      <c r="L677" s="53"/>
      <c r="M677" s="53"/>
      <c r="N677" s="53"/>
      <c r="O677" s="53"/>
      <c r="P677" s="53"/>
      <c r="Q677" s="53"/>
    </row>
    <row r="678" spans="3:17" ht="15.75" customHeight="1">
      <c r="C678" s="53"/>
      <c r="D678" s="73"/>
      <c r="E678" s="73"/>
      <c r="F678" s="73"/>
      <c r="G678" s="73"/>
      <c r="H678" s="73"/>
      <c r="I678" s="73"/>
      <c r="J678" s="73"/>
      <c r="K678" s="53"/>
      <c r="L678" s="53"/>
      <c r="M678" s="53"/>
      <c r="N678" s="53"/>
      <c r="O678" s="53"/>
      <c r="P678" s="53"/>
      <c r="Q678" s="53"/>
    </row>
    <row r="679" spans="3:17" ht="15.75" customHeight="1">
      <c r="C679" s="53"/>
      <c r="D679" s="73"/>
      <c r="E679" s="73"/>
      <c r="F679" s="73"/>
      <c r="G679" s="73"/>
      <c r="H679" s="73"/>
      <c r="I679" s="73"/>
      <c r="J679" s="73"/>
      <c r="K679" s="53"/>
      <c r="L679" s="53"/>
      <c r="M679" s="53"/>
      <c r="N679" s="53"/>
      <c r="O679" s="53"/>
      <c r="P679" s="53"/>
      <c r="Q679" s="53"/>
    </row>
    <row r="680" spans="3:17" ht="15.75" customHeight="1">
      <c r="C680" s="53"/>
      <c r="D680" s="73"/>
      <c r="E680" s="73"/>
      <c r="F680" s="73"/>
      <c r="G680" s="73"/>
      <c r="H680" s="73"/>
      <c r="I680" s="73"/>
      <c r="J680" s="73"/>
      <c r="K680" s="53"/>
      <c r="L680" s="53"/>
      <c r="M680" s="53"/>
      <c r="N680" s="53"/>
      <c r="O680" s="53"/>
      <c r="P680" s="53"/>
      <c r="Q680" s="53"/>
    </row>
    <row r="681" spans="3:17" ht="15.75" customHeight="1">
      <c r="C681" s="53"/>
      <c r="D681" s="73"/>
      <c r="E681" s="73"/>
      <c r="F681" s="73"/>
      <c r="G681" s="73"/>
      <c r="H681" s="73"/>
      <c r="I681" s="73"/>
      <c r="J681" s="73"/>
      <c r="K681" s="53"/>
      <c r="L681" s="53"/>
      <c r="M681" s="53"/>
      <c r="N681" s="53"/>
      <c r="O681" s="53"/>
      <c r="P681" s="53"/>
      <c r="Q681" s="53"/>
    </row>
    <row r="682" spans="3:17" ht="15.75" customHeight="1">
      <c r="C682" s="53"/>
      <c r="D682" s="73"/>
      <c r="E682" s="73"/>
      <c r="F682" s="73"/>
      <c r="G682" s="73"/>
      <c r="H682" s="73"/>
      <c r="I682" s="73"/>
      <c r="J682" s="73"/>
      <c r="K682" s="53"/>
      <c r="L682" s="53"/>
      <c r="M682" s="53"/>
      <c r="N682" s="53"/>
      <c r="O682" s="53"/>
      <c r="P682" s="53"/>
      <c r="Q682" s="53"/>
    </row>
    <row r="683" spans="3:17" ht="15.75" customHeight="1">
      <c r="C683" s="53"/>
      <c r="D683" s="73"/>
      <c r="E683" s="73"/>
      <c r="F683" s="73"/>
      <c r="G683" s="73"/>
      <c r="H683" s="73"/>
      <c r="I683" s="73"/>
      <c r="J683" s="73"/>
      <c r="K683" s="53"/>
      <c r="L683" s="53"/>
      <c r="M683" s="53"/>
      <c r="N683" s="53"/>
      <c r="O683" s="53"/>
      <c r="P683" s="53"/>
      <c r="Q683" s="53"/>
    </row>
    <row r="684" spans="3:17" ht="15.75" customHeight="1">
      <c r="C684" s="53"/>
      <c r="D684" s="73"/>
      <c r="E684" s="73"/>
      <c r="F684" s="73"/>
      <c r="G684" s="73"/>
      <c r="H684" s="73"/>
      <c r="I684" s="73"/>
      <c r="J684" s="73"/>
      <c r="K684" s="53"/>
      <c r="L684" s="53"/>
      <c r="M684" s="53"/>
      <c r="N684" s="53"/>
      <c r="O684" s="53"/>
      <c r="P684" s="53"/>
      <c r="Q684" s="53"/>
    </row>
    <row r="685" spans="3:17" ht="15.75" customHeight="1">
      <c r="C685" s="53"/>
      <c r="D685" s="73"/>
      <c r="E685" s="73"/>
      <c r="F685" s="73"/>
      <c r="G685" s="73"/>
      <c r="H685" s="73"/>
      <c r="I685" s="73"/>
      <c r="J685" s="73"/>
      <c r="K685" s="53"/>
      <c r="L685" s="53"/>
      <c r="M685" s="53"/>
      <c r="N685" s="53"/>
      <c r="O685" s="53"/>
      <c r="P685" s="53"/>
      <c r="Q685" s="53"/>
    </row>
    <row r="686" spans="3:17" ht="15.75" customHeight="1">
      <c r="C686" s="53"/>
      <c r="D686" s="73"/>
      <c r="E686" s="73"/>
      <c r="F686" s="73"/>
      <c r="G686" s="73"/>
      <c r="H686" s="73"/>
      <c r="I686" s="73"/>
      <c r="J686" s="73"/>
      <c r="K686" s="53"/>
      <c r="L686" s="53"/>
      <c r="M686" s="53"/>
      <c r="N686" s="53"/>
      <c r="O686" s="53"/>
      <c r="P686" s="53"/>
      <c r="Q686" s="53"/>
    </row>
    <row r="687" spans="3:17" ht="15.75" customHeight="1">
      <c r="C687" s="53"/>
      <c r="D687" s="73"/>
      <c r="E687" s="73"/>
      <c r="F687" s="73"/>
      <c r="G687" s="73"/>
      <c r="H687" s="73"/>
      <c r="I687" s="73"/>
      <c r="J687" s="73"/>
      <c r="K687" s="53"/>
      <c r="L687" s="53"/>
      <c r="M687" s="53"/>
      <c r="N687" s="53"/>
      <c r="O687" s="53"/>
      <c r="P687" s="53"/>
      <c r="Q687" s="53"/>
    </row>
    <row r="688" spans="3:17" ht="15.75" customHeight="1">
      <c r="C688" s="53"/>
      <c r="D688" s="73"/>
      <c r="E688" s="73"/>
      <c r="F688" s="73"/>
      <c r="G688" s="73"/>
      <c r="H688" s="73"/>
      <c r="I688" s="73"/>
      <c r="J688" s="73"/>
      <c r="K688" s="53"/>
      <c r="L688" s="53"/>
      <c r="M688" s="53"/>
      <c r="N688" s="53"/>
      <c r="O688" s="53"/>
      <c r="P688" s="53"/>
      <c r="Q688" s="53"/>
    </row>
    <row r="689" spans="3:17" ht="15.75" customHeight="1">
      <c r="C689" s="53"/>
      <c r="D689" s="73"/>
      <c r="E689" s="73"/>
      <c r="F689" s="73"/>
      <c r="G689" s="73"/>
      <c r="H689" s="73"/>
      <c r="I689" s="73"/>
      <c r="J689" s="73"/>
      <c r="K689" s="53"/>
      <c r="L689" s="53"/>
      <c r="M689" s="53"/>
      <c r="N689" s="53"/>
      <c r="O689" s="53"/>
      <c r="P689" s="53"/>
      <c r="Q689" s="53"/>
    </row>
    <row r="690" spans="3:17" ht="15.75" customHeight="1">
      <c r="C690" s="53"/>
      <c r="D690" s="73"/>
      <c r="E690" s="73"/>
      <c r="F690" s="73"/>
      <c r="G690" s="73"/>
      <c r="H690" s="73"/>
      <c r="I690" s="73"/>
      <c r="J690" s="73"/>
      <c r="K690" s="53"/>
      <c r="L690" s="53"/>
      <c r="M690" s="53"/>
      <c r="N690" s="53"/>
      <c r="O690" s="53"/>
      <c r="P690" s="53"/>
      <c r="Q690" s="53"/>
    </row>
    <row r="691" spans="3:17" ht="15.75" customHeight="1">
      <c r="C691" s="53"/>
      <c r="D691" s="73"/>
      <c r="E691" s="73"/>
      <c r="F691" s="73"/>
      <c r="G691" s="73"/>
      <c r="H691" s="73"/>
      <c r="I691" s="73"/>
      <c r="J691" s="73"/>
      <c r="K691" s="53"/>
      <c r="L691" s="53"/>
      <c r="M691" s="53"/>
      <c r="N691" s="53"/>
      <c r="O691" s="53"/>
      <c r="P691" s="53"/>
      <c r="Q691" s="53"/>
    </row>
    <row r="692" spans="3:17" ht="15.75" customHeight="1">
      <c r="C692" s="53"/>
      <c r="D692" s="73"/>
      <c r="E692" s="73"/>
      <c r="F692" s="73"/>
      <c r="G692" s="73"/>
      <c r="H692" s="73"/>
      <c r="I692" s="73"/>
      <c r="J692" s="73"/>
      <c r="K692" s="53"/>
      <c r="L692" s="53"/>
      <c r="M692" s="53"/>
      <c r="N692" s="53"/>
      <c r="O692" s="53"/>
      <c r="P692" s="53"/>
      <c r="Q692" s="53"/>
    </row>
    <row r="693" spans="3:17" ht="15.75" customHeight="1">
      <c r="C693" s="53"/>
      <c r="D693" s="73"/>
      <c r="E693" s="73"/>
      <c r="F693" s="73"/>
      <c r="G693" s="73"/>
      <c r="H693" s="73"/>
      <c r="I693" s="73"/>
      <c r="J693" s="73"/>
      <c r="K693" s="53"/>
      <c r="L693" s="53"/>
      <c r="M693" s="53"/>
      <c r="N693" s="53"/>
      <c r="O693" s="53"/>
      <c r="P693" s="53"/>
      <c r="Q693" s="53"/>
    </row>
    <row r="694" spans="3:17" ht="15.75" customHeight="1">
      <c r="C694" s="53"/>
      <c r="D694" s="73"/>
      <c r="E694" s="73"/>
      <c r="F694" s="73"/>
      <c r="G694" s="73"/>
      <c r="H694" s="73"/>
      <c r="I694" s="73"/>
      <c r="J694" s="73"/>
      <c r="K694" s="53"/>
      <c r="L694" s="53"/>
      <c r="M694" s="53"/>
      <c r="N694" s="53"/>
      <c r="O694" s="53"/>
      <c r="P694" s="53"/>
      <c r="Q694" s="53"/>
    </row>
    <row r="695" spans="3:17" ht="15.75" customHeight="1">
      <c r="C695" s="53"/>
      <c r="D695" s="73"/>
      <c r="E695" s="73"/>
      <c r="F695" s="73"/>
      <c r="G695" s="73"/>
      <c r="H695" s="73"/>
      <c r="I695" s="73"/>
      <c r="J695" s="73"/>
      <c r="K695" s="53"/>
      <c r="L695" s="53"/>
      <c r="M695" s="53"/>
      <c r="N695" s="53"/>
      <c r="O695" s="53"/>
      <c r="P695" s="53"/>
      <c r="Q695" s="53"/>
    </row>
    <row r="696" spans="3:17" ht="15.75" customHeight="1">
      <c r="C696" s="53"/>
      <c r="D696" s="73"/>
      <c r="E696" s="73"/>
      <c r="F696" s="73"/>
      <c r="G696" s="73"/>
      <c r="H696" s="73"/>
      <c r="I696" s="73"/>
      <c r="J696" s="73"/>
      <c r="K696" s="53"/>
      <c r="L696" s="53"/>
      <c r="M696" s="53"/>
      <c r="N696" s="53"/>
      <c r="O696" s="53"/>
      <c r="P696" s="53"/>
      <c r="Q696" s="53"/>
    </row>
    <row r="697" spans="3:17" ht="15.75" customHeight="1">
      <c r="C697" s="53"/>
      <c r="D697" s="73"/>
      <c r="E697" s="73"/>
      <c r="F697" s="73"/>
      <c r="G697" s="73"/>
      <c r="H697" s="73"/>
      <c r="I697" s="73"/>
      <c r="J697" s="73"/>
      <c r="K697" s="53"/>
      <c r="L697" s="53"/>
      <c r="M697" s="53"/>
      <c r="N697" s="53"/>
      <c r="O697" s="53"/>
      <c r="P697" s="53"/>
      <c r="Q697" s="53"/>
    </row>
    <row r="698" spans="3:17" ht="15.75" customHeight="1">
      <c r="C698" s="53"/>
      <c r="D698" s="73"/>
      <c r="E698" s="73"/>
      <c r="F698" s="73"/>
      <c r="G698" s="73"/>
      <c r="H698" s="73"/>
      <c r="I698" s="73"/>
      <c r="J698" s="73"/>
      <c r="K698" s="53"/>
      <c r="L698" s="53"/>
      <c r="M698" s="53"/>
      <c r="N698" s="53"/>
      <c r="O698" s="53"/>
      <c r="P698" s="53"/>
      <c r="Q698" s="53"/>
    </row>
    <row r="699" spans="3:17" ht="15.75" customHeight="1">
      <c r="C699" s="53"/>
      <c r="D699" s="73"/>
      <c r="E699" s="73"/>
      <c r="F699" s="73"/>
      <c r="G699" s="73"/>
      <c r="H699" s="73"/>
      <c r="I699" s="73"/>
      <c r="J699" s="73"/>
      <c r="K699" s="53"/>
      <c r="L699" s="53"/>
      <c r="M699" s="53"/>
      <c r="N699" s="53"/>
      <c r="O699" s="53"/>
      <c r="P699" s="53"/>
      <c r="Q699" s="53"/>
    </row>
    <row r="700" spans="3:17" ht="15.75" customHeight="1">
      <c r="C700" s="53"/>
      <c r="D700" s="73"/>
      <c r="E700" s="73"/>
      <c r="F700" s="73"/>
      <c r="G700" s="73"/>
      <c r="H700" s="73"/>
      <c r="I700" s="73"/>
      <c r="J700" s="73"/>
      <c r="K700" s="53"/>
      <c r="L700" s="53"/>
      <c r="M700" s="53"/>
      <c r="N700" s="53"/>
      <c r="O700" s="53"/>
      <c r="P700" s="53"/>
      <c r="Q700" s="53"/>
    </row>
    <row r="701" spans="3:17" ht="15.75" customHeight="1">
      <c r="C701" s="53"/>
      <c r="D701" s="73"/>
      <c r="E701" s="73"/>
      <c r="F701" s="73"/>
      <c r="G701" s="73"/>
      <c r="H701" s="73"/>
      <c r="I701" s="73"/>
      <c r="J701" s="73"/>
      <c r="K701" s="53"/>
      <c r="L701" s="53"/>
      <c r="M701" s="53"/>
      <c r="N701" s="53"/>
      <c r="O701" s="53"/>
      <c r="P701" s="53"/>
      <c r="Q701" s="53"/>
    </row>
    <row r="702" spans="3:17" ht="15.75" customHeight="1">
      <c r="C702" s="53"/>
      <c r="D702" s="73"/>
      <c r="E702" s="73"/>
      <c r="F702" s="73"/>
      <c r="G702" s="73"/>
      <c r="H702" s="73"/>
      <c r="I702" s="73"/>
      <c r="J702" s="73"/>
      <c r="K702" s="53"/>
      <c r="L702" s="53"/>
      <c r="M702" s="53"/>
      <c r="N702" s="53"/>
      <c r="O702" s="53"/>
      <c r="P702" s="53"/>
      <c r="Q702" s="53"/>
    </row>
    <row r="703" spans="3:17" ht="15.75" customHeight="1">
      <c r="C703" s="53"/>
      <c r="D703" s="73"/>
      <c r="E703" s="73"/>
      <c r="F703" s="73"/>
      <c r="G703" s="73"/>
      <c r="H703" s="73"/>
      <c r="I703" s="73"/>
      <c r="J703" s="73"/>
      <c r="K703" s="53"/>
      <c r="L703" s="53"/>
      <c r="M703" s="53"/>
      <c r="N703" s="53"/>
      <c r="O703" s="53"/>
      <c r="P703" s="53"/>
      <c r="Q703" s="53"/>
    </row>
    <row r="704" spans="3:17" ht="15.75" customHeight="1">
      <c r="C704" s="53"/>
      <c r="D704" s="73"/>
      <c r="E704" s="73"/>
      <c r="F704" s="73"/>
      <c r="G704" s="73"/>
      <c r="H704" s="73"/>
      <c r="I704" s="73"/>
      <c r="J704" s="73"/>
      <c r="K704" s="53"/>
      <c r="L704" s="53"/>
      <c r="M704" s="53"/>
      <c r="N704" s="53"/>
      <c r="O704" s="53"/>
      <c r="P704" s="53"/>
      <c r="Q704" s="53"/>
    </row>
    <row r="705" spans="3:17" ht="15.75" customHeight="1">
      <c r="C705" s="53"/>
      <c r="D705" s="73"/>
      <c r="E705" s="73"/>
      <c r="F705" s="73"/>
      <c r="G705" s="73"/>
      <c r="H705" s="73"/>
      <c r="I705" s="73"/>
      <c r="J705" s="73"/>
      <c r="K705" s="53"/>
      <c r="L705" s="53"/>
      <c r="M705" s="53"/>
      <c r="N705" s="53"/>
      <c r="O705" s="53"/>
      <c r="P705" s="53"/>
      <c r="Q705" s="53"/>
    </row>
    <row r="706" spans="3:17" ht="15.75" customHeight="1">
      <c r="C706" s="53"/>
      <c r="D706" s="73"/>
      <c r="E706" s="73"/>
      <c r="F706" s="73"/>
      <c r="G706" s="73"/>
      <c r="H706" s="73"/>
      <c r="I706" s="73"/>
      <c r="J706" s="73"/>
      <c r="K706" s="53"/>
      <c r="L706" s="53"/>
      <c r="M706" s="53"/>
      <c r="N706" s="53"/>
      <c r="O706" s="53"/>
      <c r="P706" s="53"/>
      <c r="Q706" s="53"/>
    </row>
    <row r="707" spans="3:17" ht="15.75" customHeight="1">
      <c r="C707" s="53"/>
      <c r="D707" s="73"/>
      <c r="E707" s="73"/>
      <c r="F707" s="73"/>
      <c r="G707" s="73"/>
      <c r="H707" s="73"/>
      <c r="I707" s="73"/>
      <c r="J707" s="73"/>
      <c r="K707" s="53"/>
      <c r="L707" s="53"/>
      <c r="M707" s="53"/>
      <c r="N707" s="53"/>
      <c r="O707" s="53"/>
      <c r="P707" s="53"/>
      <c r="Q707" s="53"/>
    </row>
    <row r="708" spans="3:17" ht="15.75" customHeight="1">
      <c r="C708" s="53"/>
      <c r="D708" s="73"/>
      <c r="E708" s="73"/>
      <c r="F708" s="73"/>
      <c r="G708" s="73"/>
      <c r="H708" s="73"/>
      <c r="I708" s="73"/>
      <c r="J708" s="73"/>
      <c r="K708" s="53"/>
      <c r="L708" s="53"/>
      <c r="M708" s="53"/>
      <c r="N708" s="53"/>
      <c r="O708" s="53"/>
      <c r="P708" s="53"/>
      <c r="Q708" s="53"/>
    </row>
    <row r="709" spans="3:17" ht="15.75" customHeight="1">
      <c r="C709" s="53"/>
      <c r="D709" s="73"/>
      <c r="E709" s="73"/>
      <c r="F709" s="73"/>
      <c r="G709" s="73"/>
      <c r="H709" s="73"/>
      <c r="I709" s="73"/>
      <c r="J709" s="73"/>
      <c r="K709" s="53"/>
      <c r="L709" s="53"/>
      <c r="M709" s="53"/>
      <c r="N709" s="53"/>
      <c r="O709" s="53"/>
      <c r="P709" s="53"/>
      <c r="Q709" s="53"/>
    </row>
    <row r="710" spans="3:17" ht="15.75" customHeight="1">
      <c r="C710" s="53"/>
      <c r="D710" s="73"/>
      <c r="E710" s="73"/>
      <c r="F710" s="73"/>
      <c r="G710" s="73"/>
      <c r="H710" s="73"/>
      <c r="I710" s="73"/>
      <c r="J710" s="73"/>
      <c r="K710" s="53"/>
      <c r="L710" s="53"/>
      <c r="M710" s="53"/>
      <c r="N710" s="53"/>
      <c r="O710" s="53"/>
      <c r="P710" s="53"/>
      <c r="Q710" s="53"/>
    </row>
    <row r="711" spans="3:17" ht="15.75" customHeight="1">
      <c r="C711" s="53"/>
      <c r="D711" s="73"/>
      <c r="E711" s="73"/>
      <c r="F711" s="73"/>
      <c r="G711" s="73"/>
      <c r="H711" s="73"/>
      <c r="I711" s="73"/>
      <c r="J711" s="73"/>
      <c r="K711" s="53"/>
      <c r="L711" s="53"/>
      <c r="M711" s="53"/>
      <c r="N711" s="53"/>
      <c r="O711" s="53"/>
      <c r="P711" s="53"/>
      <c r="Q711" s="53"/>
    </row>
    <row r="712" spans="3:17" ht="15.75" customHeight="1">
      <c r="C712" s="53"/>
      <c r="D712" s="73"/>
      <c r="E712" s="73"/>
      <c r="F712" s="73"/>
      <c r="G712" s="73"/>
      <c r="H712" s="73"/>
      <c r="I712" s="73"/>
      <c r="J712" s="73"/>
      <c r="K712" s="53"/>
      <c r="L712" s="53"/>
      <c r="M712" s="53"/>
      <c r="N712" s="53"/>
      <c r="O712" s="53"/>
      <c r="P712" s="53"/>
      <c r="Q712" s="53"/>
    </row>
    <row r="713" spans="3:17" ht="15.75" customHeight="1">
      <c r="C713" s="53"/>
      <c r="D713" s="73"/>
      <c r="E713" s="73"/>
      <c r="F713" s="73"/>
      <c r="G713" s="73"/>
      <c r="H713" s="73"/>
      <c r="I713" s="73"/>
      <c r="J713" s="73"/>
      <c r="K713" s="53"/>
      <c r="L713" s="53"/>
      <c r="M713" s="53"/>
      <c r="N713" s="53"/>
      <c r="O713" s="53"/>
      <c r="P713" s="53"/>
      <c r="Q713" s="53"/>
    </row>
    <row r="714" spans="3:17" ht="15.75" customHeight="1">
      <c r="C714" s="53"/>
      <c r="D714" s="73"/>
      <c r="E714" s="73"/>
      <c r="F714" s="73"/>
      <c r="G714" s="73"/>
      <c r="H714" s="73"/>
      <c r="I714" s="73"/>
      <c r="J714" s="73"/>
      <c r="K714" s="53"/>
      <c r="L714" s="53"/>
      <c r="M714" s="53"/>
      <c r="N714" s="53"/>
      <c r="O714" s="53"/>
      <c r="P714" s="53"/>
      <c r="Q714" s="53"/>
    </row>
    <row r="715" spans="3:17" ht="15.75" customHeight="1">
      <c r="C715" s="53"/>
      <c r="D715" s="73"/>
      <c r="E715" s="73"/>
      <c r="F715" s="73"/>
      <c r="G715" s="73"/>
      <c r="H715" s="73"/>
      <c r="I715" s="73"/>
      <c r="J715" s="73"/>
      <c r="K715" s="53"/>
      <c r="L715" s="53"/>
      <c r="M715" s="53"/>
      <c r="N715" s="53"/>
      <c r="O715" s="53"/>
      <c r="P715" s="53"/>
      <c r="Q715" s="53"/>
    </row>
    <row r="716" spans="3:17" ht="15.75" customHeight="1">
      <c r="C716" s="53"/>
      <c r="D716" s="73"/>
      <c r="E716" s="73"/>
      <c r="F716" s="73"/>
      <c r="G716" s="73"/>
      <c r="H716" s="73"/>
      <c r="I716" s="73"/>
      <c r="J716" s="73"/>
      <c r="K716" s="53"/>
      <c r="L716" s="53"/>
      <c r="M716" s="53"/>
      <c r="N716" s="53"/>
      <c r="O716" s="53"/>
      <c r="P716" s="53"/>
      <c r="Q716" s="53"/>
    </row>
    <row r="717" spans="3:17" ht="15.75" customHeight="1">
      <c r="C717" s="53"/>
      <c r="D717" s="73"/>
      <c r="E717" s="73"/>
      <c r="F717" s="73"/>
      <c r="G717" s="73"/>
      <c r="H717" s="73"/>
      <c r="I717" s="73"/>
      <c r="J717" s="73"/>
      <c r="K717" s="53"/>
      <c r="L717" s="53"/>
      <c r="M717" s="53"/>
      <c r="N717" s="53"/>
      <c r="O717" s="53"/>
      <c r="P717" s="53"/>
      <c r="Q717" s="53"/>
    </row>
    <row r="718" spans="3:17" ht="15.75" customHeight="1">
      <c r="C718" s="53"/>
      <c r="D718" s="73"/>
      <c r="E718" s="73"/>
      <c r="F718" s="73"/>
      <c r="G718" s="73"/>
      <c r="H718" s="73"/>
      <c r="I718" s="73"/>
      <c r="J718" s="73"/>
      <c r="K718" s="53"/>
      <c r="L718" s="53"/>
      <c r="M718" s="53"/>
      <c r="N718" s="53"/>
      <c r="O718" s="53"/>
      <c r="P718" s="53"/>
      <c r="Q718" s="53"/>
    </row>
    <row r="719" spans="3:17" ht="15.75" customHeight="1">
      <c r="C719" s="53"/>
      <c r="D719" s="73"/>
      <c r="E719" s="73"/>
      <c r="F719" s="73"/>
      <c r="G719" s="73"/>
      <c r="H719" s="73"/>
      <c r="I719" s="73"/>
      <c r="J719" s="73"/>
      <c r="K719" s="53"/>
      <c r="L719" s="53"/>
      <c r="M719" s="53"/>
      <c r="N719" s="53"/>
      <c r="O719" s="53"/>
      <c r="P719" s="53"/>
      <c r="Q719" s="53"/>
    </row>
    <row r="720" spans="3:17" ht="15.75" customHeight="1">
      <c r="C720" s="53"/>
      <c r="D720" s="73"/>
      <c r="E720" s="73"/>
      <c r="F720" s="73"/>
      <c r="G720" s="73"/>
      <c r="H720" s="73"/>
      <c r="I720" s="73"/>
      <c r="J720" s="73"/>
      <c r="K720" s="53"/>
      <c r="L720" s="53"/>
      <c r="M720" s="53"/>
      <c r="N720" s="53"/>
      <c r="O720" s="53"/>
      <c r="P720" s="53"/>
      <c r="Q720" s="53"/>
    </row>
    <row r="721" spans="3:17" ht="15.75" customHeight="1">
      <c r="C721" s="53"/>
      <c r="D721" s="73"/>
      <c r="E721" s="73"/>
      <c r="F721" s="73"/>
      <c r="G721" s="73"/>
      <c r="H721" s="73"/>
      <c r="I721" s="73"/>
      <c r="J721" s="73"/>
      <c r="K721" s="53"/>
      <c r="L721" s="53"/>
      <c r="M721" s="53"/>
      <c r="N721" s="53"/>
      <c r="O721" s="53"/>
      <c r="P721" s="53"/>
      <c r="Q721" s="53"/>
    </row>
    <row r="722" spans="3:17" ht="15.75" customHeight="1">
      <c r="C722" s="53"/>
      <c r="D722" s="73"/>
      <c r="E722" s="73"/>
      <c r="F722" s="73"/>
      <c r="G722" s="73"/>
      <c r="H722" s="73"/>
      <c r="I722" s="73"/>
      <c r="J722" s="73"/>
      <c r="K722" s="53"/>
      <c r="L722" s="53"/>
      <c r="M722" s="53"/>
      <c r="N722" s="53"/>
      <c r="O722" s="53"/>
      <c r="P722" s="53"/>
      <c r="Q722" s="53"/>
    </row>
    <row r="723" spans="3:17" ht="15.75" customHeight="1">
      <c r="C723" s="53"/>
      <c r="D723" s="73"/>
      <c r="E723" s="73"/>
      <c r="F723" s="73"/>
      <c r="G723" s="73"/>
      <c r="H723" s="73"/>
      <c r="I723" s="73"/>
      <c r="J723" s="73"/>
      <c r="K723" s="53"/>
      <c r="L723" s="53"/>
      <c r="M723" s="53"/>
      <c r="N723" s="53"/>
      <c r="O723" s="53"/>
      <c r="P723" s="53"/>
      <c r="Q723" s="53"/>
    </row>
    <row r="724" spans="3:17" ht="15.75" customHeight="1">
      <c r="C724" s="53"/>
      <c r="D724" s="73"/>
      <c r="E724" s="73"/>
      <c r="F724" s="73"/>
      <c r="G724" s="73"/>
      <c r="H724" s="73"/>
      <c r="I724" s="73"/>
      <c r="J724" s="73"/>
      <c r="K724" s="53"/>
      <c r="L724" s="53"/>
      <c r="M724" s="53"/>
      <c r="N724" s="53"/>
      <c r="O724" s="53"/>
      <c r="P724" s="53"/>
      <c r="Q724" s="53"/>
    </row>
    <row r="725" spans="3:17" ht="15.75" customHeight="1">
      <c r="C725" s="53"/>
      <c r="D725" s="73"/>
      <c r="E725" s="73"/>
      <c r="F725" s="73"/>
      <c r="G725" s="73"/>
      <c r="H725" s="73"/>
      <c r="I725" s="73"/>
      <c r="J725" s="73"/>
      <c r="K725" s="53"/>
      <c r="L725" s="53"/>
      <c r="M725" s="53"/>
      <c r="N725" s="53"/>
      <c r="O725" s="53"/>
      <c r="P725" s="53"/>
      <c r="Q725" s="53"/>
    </row>
    <row r="726" spans="3:17" ht="15.75" customHeight="1">
      <c r="C726" s="53"/>
      <c r="D726" s="73"/>
      <c r="E726" s="73"/>
      <c r="F726" s="73"/>
      <c r="G726" s="73"/>
      <c r="H726" s="73"/>
      <c r="I726" s="73"/>
      <c r="J726" s="73"/>
      <c r="K726" s="53"/>
      <c r="L726" s="53"/>
      <c r="M726" s="53"/>
      <c r="N726" s="53"/>
      <c r="O726" s="53"/>
      <c r="P726" s="53"/>
      <c r="Q726" s="53"/>
    </row>
    <row r="727" spans="3:17" ht="15.75" customHeight="1">
      <c r="C727" s="53"/>
      <c r="D727" s="73"/>
      <c r="E727" s="73"/>
      <c r="F727" s="73"/>
      <c r="G727" s="73"/>
      <c r="H727" s="73"/>
      <c r="I727" s="73"/>
      <c r="J727" s="73"/>
      <c r="K727" s="53"/>
      <c r="L727" s="53"/>
      <c r="M727" s="53"/>
      <c r="N727" s="53"/>
      <c r="O727" s="53"/>
      <c r="P727" s="53"/>
      <c r="Q727" s="53"/>
    </row>
    <row r="728" spans="3:17" ht="15.75" customHeight="1">
      <c r="C728" s="53"/>
      <c r="D728" s="73"/>
      <c r="E728" s="73"/>
      <c r="F728" s="73"/>
      <c r="G728" s="73"/>
      <c r="H728" s="73"/>
      <c r="I728" s="73"/>
      <c r="J728" s="73"/>
      <c r="K728" s="53"/>
      <c r="L728" s="53"/>
      <c r="M728" s="53"/>
      <c r="N728" s="53"/>
      <c r="O728" s="53"/>
      <c r="P728" s="53"/>
      <c r="Q728" s="53"/>
    </row>
    <row r="729" spans="3:17" ht="15.75" customHeight="1">
      <c r="C729" s="53"/>
      <c r="D729" s="73"/>
      <c r="E729" s="73"/>
      <c r="F729" s="73"/>
      <c r="G729" s="73"/>
      <c r="H729" s="73"/>
      <c r="I729" s="73"/>
      <c r="J729" s="73"/>
      <c r="K729" s="53"/>
      <c r="L729" s="53"/>
      <c r="M729" s="53"/>
      <c r="N729" s="53"/>
      <c r="O729" s="53"/>
      <c r="P729" s="53"/>
      <c r="Q729" s="53"/>
    </row>
    <row r="730" spans="3:17" ht="15.75" customHeight="1">
      <c r="C730" s="53"/>
      <c r="D730" s="73"/>
      <c r="E730" s="73"/>
      <c r="F730" s="73"/>
      <c r="G730" s="73"/>
      <c r="H730" s="73"/>
      <c r="I730" s="73"/>
      <c r="J730" s="73"/>
      <c r="K730" s="53"/>
      <c r="L730" s="53"/>
      <c r="M730" s="53"/>
      <c r="N730" s="53"/>
      <c r="O730" s="53"/>
      <c r="P730" s="53"/>
      <c r="Q730" s="53"/>
    </row>
    <row r="731" spans="3:17" ht="15.75" customHeight="1">
      <c r="C731" s="53"/>
      <c r="D731" s="73"/>
      <c r="E731" s="73"/>
      <c r="F731" s="73"/>
      <c r="G731" s="73"/>
      <c r="H731" s="73"/>
      <c r="I731" s="73"/>
      <c r="J731" s="73"/>
      <c r="K731" s="53"/>
      <c r="L731" s="53"/>
      <c r="M731" s="53"/>
      <c r="N731" s="53"/>
      <c r="O731" s="53"/>
      <c r="P731" s="53"/>
      <c r="Q731" s="53"/>
    </row>
    <row r="732" spans="3:17" ht="15.75" customHeight="1">
      <c r="C732" s="53"/>
      <c r="D732" s="73"/>
      <c r="E732" s="73"/>
      <c r="F732" s="73"/>
      <c r="G732" s="73"/>
      <c r="H732" s="73"/>
      <c r="I732" s="73"/>
      <c r="J732" s="73"/>
      <c r="K732" s="53"/>
      <c r="L732" s="53"/>
      <c r="M732" s="53"/>
      <c r="N732" s="53"/>
      <c r="O732" s="53"/>
      <c r="P732" s="53"/>
      <c r="Q732" s="53"/>
    </row>
    <row r="733" spans="3:17" ht="15.75" customHeight="1">
      <c r="C733" s="53"/>
      <c r="D733" s="73"/>
      <c r="E733" s="73"/>
      <c r="F733" s="73"/>
      <c r="G733" s="73"/>
      <c r="H733" s="73"/>
      <c r="I733" s="73"/>
      <c r="J733" s="73"/>
      <c r="K733" s="53"/>
      <c r="L733" s="53"/>
      <c r="M733" s="53"/>
      <c r="N733" s="53"/>
      <c r="O733" s="53"/>
      <c r="P733" s="53"/>
      <c r="Q733" s="53"/>
    </row>
    <row r="734" spans="3:17" ht="15.75" customHeight="1">
      <c r="C734" s="53"/>
      <c r="D734" s="73"/>
      <c r="E734" s="73"/>
      <c r="F734" s="73"/>
      <c r="G734" s="73"/>
      <c r="H734" s="73"/>
      <c r="I734" s="73"/>
      <c r="J734" s="73"/>
      <c r="K734" s="53"/>
      <c r="L734" s="53"/>
      <c r="M734" s="53"/>
      <c r="N734" s="53"/>
      <c r="O734" s="53"/>
      <c r="P734" s="53"/>
      <c r="Q734" s="53"/>
    </row>
    <row r="735" spans="3:17" ht="15.75" customHeight="1">
      <c r="C735" s="53"/>
      <c r="D735" s="73"/>
      <c r="E735" s="73"/>
      <c r="F735" s="73"/>
      <c r="G735" s="73"/>
      <c r="H735" s="73"/>
      <c r="I735" s="73"/>
      <c r="J735" s="73"/>
      <c r="K735" s="53"/>
      <c r="L735" s="53"/>
      <c r="M735" s="53"/>
      <c r="N735" s="53"/>
      <c r="O735" s="53"/>
      <c r="P735" s="53"/>
      <c r="Q735" s="53"/>
    </row>
    <row r="736" spans="3:17" ht="15.75" customHeight="1">
      <c r="C736" s="53"/>
      <c r="D736" s="73"/>
      <c r="E736" s="73"/>
      <c r="F736" s="73"/>
      <c r="G736" s="73"/>
      <c r="H736" s="73"/>
      <c r="I736" s="73"/>
      <c r="J736" s="73"/>
      <c r="K736" s="53"/>
      <c r="L736" s="53"/>
      <c r="M736" s="53"/>
      <c r="N736" s="53"/>
      <c r="O736" s="53"/>
      <c r="P736" s="53"/>
      <c r="Q736" s="53"/>
    </row>
    <row r="737" spans="3:17" ht="15.75" customHeight="1">
      <c r="C737" s="53"/>
      <c r="D737" s="73"/>
      <c r="E737" s="73"/>
      <c r="F737" s="73"/>
      <c r="G737" s="73"/>
      <c r="H737" s="73"/>
      <c r="I737" s="73"/>
      <c r="J737" s="73"/>
      <c r="K737" s="53"/>
      <c r="L737" s="53"/>
      <c r="M737" s="53"/>
      <c r="N737" s="53"/>
      <c r="O737" s="53"/>
      <c r="P737" s="53"/>
      <c r="Q737" s="53"/>
    </row>
    <row r="738" spans="3:17" ht="15.75" customHeight="1">
      <c r="C738" s="53"/>
      <c r="D738" s="73"/>
      <c r="E738" s="73"/>
      <c r="F738" s="73"/>
      <c r="G738" s="73"/>
      <c r="H738" s="73"/>
      <c r="I738" s="73"/>
      <c r="J738" s="73"/>
      <c r="K738" s="53"/>
      <c r="L738" s="53"/>
      <c r="M738" s="53"/>
      <c r="N738" s="53"/>
      <c r="O738" s="53"/>
      <c r="P738" s="53"/>
      <c r="Q738" s="53"/>
    </row>
    <row r="739" spans="3:17" ht="15.75" customHeight="1">
      <c r="C739" s="53"/>
      <c r="D739" s="73"/>
      <c r="E739" s="73"/>
      <c r="F739" s="73"/>
      <c r="G739" s="73"/>
      <c r="H739" s="73"/>
      <c r="I739" s="73"/>
      <c r="J739" s="73"/>
      <c r="K739" s="53"/>
      <c r="L739" s="53"/>
      <c r="M739" s="53"/>
      <c r="N739" s="53"/>
      <c r="O739" s="53"/>
      <c r="P739" s="53"/>
      <c r="Q739" s="53"/>
    </row>
    <row r="740" spans="3:17" ht="15.75" customHeight="1">
      <c r="C740" s="53"/>
      <c r="D740" s="73"/>
      <c r="E740" s="73"/>
      <c r="F740" s="73"/>
      <c r="G740" s="73"/>
      <c r="H740" s="73"/>
      <c r="I740" s="73"/>
      <c r="J740" s="73"/>
      <c r="K740" s="53"/>
      <c r="L740" s="53"/>
      <c r="M740" s="53"/>
      <c r="N740" s="53"/>
      <c r="O740" s="53"/>
      <c r="P740" s="53"/>
      <c r="Q740" s="53"/>
    </row>
    <row r="741" spans="3:17" ht="15.75" customHeight="1">
      <c r="C741" s="53"/>
      <c r="D741" s="73"/>
      <c r="E741" s="73"/>
      <c r="F741" s="73"/>
      <c r="G741" s="73"/>
      <c r="H741" s="73"/>
      <c r="I741" s="73"/>
      <c r="J741" s="73"/>
      <c r="K741" s="53"/>
      <c r="L741" s="53"/>
      <c r="M741" s="53"/>
      <c r="N741" s="53"/>
      <c r="O741" s="53"/>
      <c r="P741" s="53"/>
      <c r="Q741" s="53"/>
    </row>
    <row r="742" spans="3:17" ht="15.75" customHeight="1">
      <c r="C742" s="53"/>
      <c r="D742" s="73"/>
      <c r="E742" s="73"/>
      <c r="F742" s="73"/>
      <c r="G742" s="73"/>
      <c r="H742" s="73"/>
      <c r="I742" s="73"/>
      <c r="J742" s="73"/>
      <c r="K742" s="53"/>
      <c r="L742" s="53"/>
      <c r="M742" s="53"/>
      <c r="N742" s="53"/>
      <c r="O742" s="53"/>
      <c r="P742" s="53"/>
      <c r="Q742" s="53"/>
    </row>
    <row r="743" spans="3:17" ht="15.75" customHeight="1">
      <c r="C743" s="53"/>
      <c r="D743" s="73"/>
      <c r="E743" s="73"/>
      <c r="F743" s="73"/>
      <c r="G743" s="73"/>
      <c r="H743" s="73"/>
      <c r="I743" s="73"/>
      <c r="J743" s="73"/>
      <c r="K743" s="53"/>
      <c r="L743" s="53"/>
      <c r="M743" s="53"/>
      <c r="N743" s="53"/>
      <c r="O743" s="53"/>
      <c r="P743" s="53"/>
      <c r="Q743" s="53"/>
    </row>
    <row r="744" spans="3:17" ht="15.75" customHeight="1">
      <c r="C744" s="53"/>
      <c r="D744" s="73"/>
      <c r="E744" s="73"/>
      <c r="F744" s="73"/>
      <c r="G744" s="73"/>
      <c r="H744" s="73"/>
      <c r="I744" s="73"/>
      <c r="J744" s="73"/>
      <c r="K744" s="53"/>
      <c r="L744" s="53"/>
      <c r="M744" s="53"/>
      <c r="N744" s="53"/>
      <c r="O744" s="53"/>
      <c r="P744" s="53"/>
      <c r="Q744" s="53"/>
    </row>
    <row r="745" spans="3:17" ht="15.75" customHeight="1">
      <c r="C745" s="53"/>
      <c r="D745" s="73"/>
      <c r="E745" s="73"/>
      <c r="F745" s="73"/>
      <c r="G745" s="73"/>
      <c r="H745" s="73"/>
      <c r="I745" s="73"/>
      <c r="J745" s="73"/>
      <c r="K745" s="53"/>
      <c r="L745" s="53"/>
      <c r="M745" s="53"/>
      <c r="N745" s="53"/>
      <c r="O745" s="53"/>
      <c r="P745" s="53"/>
      <c r="Q745" s="53"/>
    </row>
    <row r="746" spans="3:17" ht="15.75" customHeight="1">
      <c r="C746" s="53"/>
      <c r="D746" s="73"/>
      <c r="E746" s="73"/>
      <c r="F746" s="73"/>
      <c r="G746" s="73"/>
      <c r="H746" s="73"/>
      <c r="I746" s="73"/>
      <c r="J746" s="73"/>
      <c r="K746" s="53"/>
      <c r="L746" s="53"/>
      <c r="M746" s="53"/>
      <c r="N746" s="53"/>
      <c r="O746" s="53"/>
      <c r="P746" s="53"/>
      <c r="Q746" s="53"/>
    </row>
    <row r="747" spans="3:17" ht="15.75" customHeight="1">
      <c r="C747" s="53"/>
      <c r="D747" s="73"/>
      <c r="E747" s="73"/>
      <c r="F747" s="73"/>
      <c r="G747" s="73"/>
      <c r="H747" s="73"/>
      <c r="I747" s="73"/>
      <c r="J747" s="73"/>
      <c r="K747" s="53"/>
      <c r="L747" s="53"/>
      <c r="M747" s="53"/>
      <c r="N747" s="53"/>
      <c r="O747" s="53"/>
      <c r="P747" s="53"/>
      <c r="Q747" s="53"/>
    </row>
    <row r="748" spans="3:17" ht="15.75" customHeight="1">
      <c r="C748" s="53"/>
      <c r="D748" s="73"/>
      <c r="E748" s="73"/>
      <c r="F748" s="73"/>
      <c r="G748" s="73"/>
      <c r="H748" s="73"/>
      <c r="I748" s="73"/>
      <c r="J748" s="73"/>
      <c r="K748" s="53"/>
      <c r="L748" s="53"/>
      <c r="M748" s="53"/>
      <c r="N748" s="53"/>
      <c r="O748" s="53"/>
      <c r="P748" s="53"/>
      <c r="Q748" s="53"/>
    </row>
    <row r="749" spans="3:17" ht="15.75" customHeight="1">
      <c r="C749" s="53"/>
      <c r="D749" s="73"/>
      <c r="E749" s="73"/>
      <c r="F749" s="73"/>
      <c r="G749" s="73"/>
      <c r="H749" s="73"/>
      <c r="I749" s="73"/>
      <c r="J749" s="73"/>
      <c r="K749" s="53"/>
      <c r="L749" s="53"/>
      <c r="M749" s="53"/>
      <c r="N749" s="53"/>
      <c r="O749" s="53"/>
      <c r="P749" s="53"/>
      <c r="Q749" s="53"/>
    </row>
    <row r="750" spans="3:17" ht="15.75" customHeight="1">
      <c r="C750" s="53"/>
      <c r="D750" s="73"/>
      <c r="E750" s="73"/>
      <c r="F750" s="73"/>
      <c r="G750" s="73"/>
      <c r="H750" s="73"/>
      <c r="I750" s="73"/>
      <c r="J750" s="73"/>
      <c r="K750" s="53"/>
      <c r="L750" s="53"/>
      <c r="M750" s="53"/>
      <c r="N750" s="53"/>
      <c r="O750" s="53"/>
      <c r="P750" s="53"/>
      <c r="Q750" s="53"/>
    </row>
    <row r="751" spans="3:17" ht="15.75" customHeight="1">
      <c r="C751" s="53"/>
      <c r="D751" s="73"/>
      <c r="E751" s="73"/>
      <c r="F751" s="73"/>
      <c r="G751" s="73"/>
      <c r="H751" s="73"/>
      <c r="I751" s="73"/>
      <c r="J751" s="73"/>
      <c r="K751" s="53"/>
      <c r="L751" s="53"/>
      <c r="M751" s="53"/>
      <c r="N751" s="53"/>
      <c r="O751" s="53"/>
      <c r="P751" s="53"/>
      <c r="Q751" s="53"/>
    </row>
    <row r="752" spans="3:17" ht="15.75" customHeight="1">
      <c r="C752" s="53"/>
      <c r="D752" s="73"/>
      <c r="E752" s="73"/>
      <c r="F752" s="73"/>
      <c r="G752" s="73"/>
      <c r="H752" s="73"/>
      <c r="I752" s="73"/>
      <c r="J752" s="73"/>
      <c r="K752" s="53"/>
      <c r="L752" s="53"/>
      <c r="M752" s="53"/>
      <c r="N752" s="53"/>
      <c r="O752" s="53"/>
      <c r="P752" s="53"/>
      <c r="Q752" s="53"/>
    </row>
    <row r="753" spans="3:17" ht="15.75" customHeight="1">
      <c r="C753" s="53"/>
      <c r="D753" s="73"/>
      <c r="E753" s="73"/>
      <c r="F753" s="73"/>
      <c r="G753" s="73"/>
      <c r="H753" s="73"/>
      <c r="I753" s="73"/>
      <c r="J753" s="73"/>
      <c r="K753" s="53"/>
      <c r="L753" s="53"/>
      <c r="M753" s="53"/>
      <c r="N753" s="53"/>
      <c r="O753" s="53"/>
      <c r="P753" s="53"/>
      <c r="Q753" s="53"/>
    </row>
    <row r="754" spans="3:17" ht="15.75" customHeight="1">
      <c r="C754" s="53"/>
      <c r="D754" s="73"/>
      <c r="E754" s="73"/>
      <c r="F754" s="73"/>
      <c r="G754" s="73"/>
      <c r="H754" s="73"/>
      <c r="I754" s="73"/>
      <c r="J754" s="73"/>
      <c r="K754" s="53"/>
      <c r="L754" s="53"/>
      <c r="M754" s="53"/>
      <c r="N754" s="53"/>
      <c r="O754" s="53"/>
      <c r="P754" s="53"/>
      <c r="Q754" s="53"/>
    </row>
    <row r="755" spans="3:17" ht="15.75" customHeight="1">
      <c r="C755" s="53"/>
      <c r="D755" s="73"/>
      <c r="E755" s="73"/>
      <c r="F755" s="73"/>
      <c r="G755" s="73"/>
      <c r="H755" s="73"/>
      <c r="I755" s="73"/>
      <c r="J755" s="73"/>
      <c r="K755" s="53"/>
      <c r="L755" s="53"/>
      <c r="M755" s="53"/>
      <c r="N755" s="53"/>
      <c r="O755" s="53"/>
      <c r="P755" s="53"/>
      <c r="Q755" s="53"/>
    </row>
    <row r="756" spans="3:17" ht="15.75" customHeight="1">
      <c r="C756" s="53"/>
      <c r="D756" s="73"/>
      <c r="E756" s="73"/>
      <c r="F756" s="73"/>
      <c r="G756" s="73"/>
      <c r="H756" s="73"/>
      <c r="I756" s="73"/>
      <c r="J756" s="73"/>
      <c r="K756" s="53"/>
      <c r="L756" s="53"/>
      <c r="M756" s="53"/>
      <c r="N756" s="53"/>
      <c r="O756" s="53"/>
      <c r="P756" s="53"/>
      <c r="Q756" s="53"/>
    </row>
    <row r="757" spans="3:17" ht="15.75" customHeight="1">
      <c r="C757" s="53"/>
      <c r="D757" s="73"/>
      <c r="E757" s="73"/>
      <c r="F757" s="73"/>
      <c r="G757" s="73"/>
      <c r="H757" s="73"/>
      <c r="I757" s="73"/>
      <c r="J757" s="73"/>
      <c r="K757" s="53"/>
      <c r="L757" s="53"/>
      <c r="M757" s="53"/>
      <c r="N757" s="53"/>
      <c r="O757" s="53"/>
      <c r="P757" s="53"/>
      <c r="Q757" s="53"/>
    </row>
    <row r="758" spans="3:17" ht="15.75" customHeight="1">
      <c r="C758" s="53"/>
      <c r="D758" s="73"/>
      <c r="E758" s="73"/>
      <c r="F758" s="73"/>
      <c r="G758" s="73"/>
      <c r="H758" s="73"/>
      <c r="I758" s="73"/>
      <c r="J758" s="73"/>
      <c r="K758" s="53"/>
      <c r="L758" s="53"/>
      <c r="M758" s="53"/>
      <c r="N758" s="53"/>
      <c r="O758" s="53"/>
      <c r="P758" s="53"/>
      <c r="Q758" s="53"/>
    </row>
    <row r="759" spans="3:17" ht="15.75" customHeight="1">
      <c r="C759" s="53"/>
      <c r="D759" s="73"/>
      <c r="E759" s="73"/>
      <c r="F759" s="73"/>
      <c r="G759" s="73"/>
      <c r="H759" s="73"/>
      <c r="I759" s="73"/>
      <c r="J759" s="73"/>
      <c r="K759" s="53"/>
      <c r="L759" s="53"/>
      <c r="M759" s="53"/>
      <c r="N759" s="53"/>
      <c r="O759" s="53"/>
      <c r="P759" s="53"/>
      <c r="Q759" s="53"/>
    </row>
    <row r="760" spans="3:17" ht="15.75" customHeight="1">
      <c r="C760" s="53"/>
      <c r="D760" s="73"/>
      <c r="E760" s="73"/>
      <c r="F760" s="73"/>
      <c r="G760" s="73"/>
      <c r="H760" s="73"/>
      <c r="I760" s="73"/>
      <c r="J760" s="73"/>
      <c r="K760" s="53"/>
      <c r="L760" s="53"/>
      <c r="M760" s="53"/>
      <c r="N760" s="53"/>
      <c r="O760" s="53"/>
      <c r="P760" s="53"/>
      <c r="Q760" s="53"/>
    </row>
    <row r="761" spans="3:17" ht="15.75" customHeight="1">
      <c r="C761" s="53"/>
      <c r="D761" s="73"/>
      <c r="E761" s="73"/>
      <c r="F761" s="73"/>
      <c r="G761" s="73"/>
      <c r="H761" s="73"/>
      <c r="I761" s="73"/>
      <c r="J761" s="73"/>
      <c r="K761" s="53"/>
      <c r="L761" s="53"/>
      <c r="M761" s="53"/>
      <c r="N761" s="53"/>
      <c r="O761" s="53"/>
      <c r="P761" s="53"/>
      <c r="Q761" s="53"/>
    </row>
    <row r="762" spans="3:17" ht="15.75" customHeight="1">
      <c r="C762" s="53"/>
      <c r="D762" s="73"/>
      <c r="E762" s="73"/>
      <c r="F762" s="73"/>
      <c r="G762" s="73"/>
      <c r="H762" s="73"/>
      <c r="I762" s="73"/>
      <c r="J762" s="73"/>
      <c r="K762" s="53"/>
      <c r="L762" s="53"/>
      <c r="M762" s="53"/>
      <c r="N762" s="53"/>
      <c r="O762" s="53"/>
      <c r="P762" s="53"/>
      <c r="Q762" s="53"/>
    </row>
    <row r="763" spans="3:17" ht="15.75" customHeight="1">
      <c r="C763" s="53"/>
      <c r="D763" s="73"/>
      <c r="E763" s="73"/>
      <c r="F763" s="73"/>
      <c r="G763" s="73"/>
      <c r="H763" s="73"/>
      <c r="I763" s="73"/>
      <c r="J763" s="73"/>
      <c r="K763" s="53"/>
      <c r="L763" s="53"/>
      <c r="M763" s="53"/>
      <c r="N763" s="53"/>
      <c r="O763" s="53"/>
      <c r="P763" s="53"/>
      <c r="Q763" s="53"/>
    </row>
    <row r="764" spans="3:17" ht="15.75" customHeight="1">
      <c r="C764" s="53"/>
      <c r="D764" s="73"/>
      <c r="E764" s="73"/>
      <c r="F764" s="73"/>
      <c r="G764" s="73"/>
      <c r="H764" s="73"/>
      <c r="I764" s="73"/>
      <c r="J764" s="73"/>
      <c r="K764" s="53"/>
      <c r="L764" s="53"/>
      <c r="M764" s="53"/>
      <c r="N764" s="53"/>
      <c r="O764" s="53"/>
      <c r="P764" s="53"/>
      <c r="Q764" s="53"/>
    </row>
    <row r="765" spans="3:17" ht="15.75" customHeight="1">
      <c r="C765" s="53"/>
      <c r="D765" s="73"/>
      <c r="E765" s="73"/>
      <c r="F765" s="73"/>
      <c r="G765" s="73"/>
      <c r="H765" s="73"/>
      <c r="I765" s="73"/>
      <c r="J765" s="73"/>
      <c r="K765" s="53"/>
      <c r="L765" s="53"/>
      <c r="M765" s="53"/>
      <c r="N765" s="53"/>
      <c r="O765" s="53"/>
      <c r="P765" s="53"/>
      <c r="Q765" s="53"/>
    </row>
    <row r="766" spans="3:17" ht="15.75" customHeight="1">
      <c r="C766" s="53"/>
      <c r="D766" s="73"/>
      <c r="E766" s="73"/>
      <c r="F766" s="73"/>
      <c r="G766" s="73"/>
      <c r="H766" s="73"/>
      <c r="I766" s="73"/>
      <c r="J766" s="73"/>
      <c r="K766" s="53"/>
      <c r="L766" s="53"/>
      <c r="M766" s="53"/>
      <c r="N766" s="53"/>
      <c r="O766" s="53"/>
      <c r="P766" s="53"/>
      <c r="Q766" s="53"/>
    </row>
    <row r="767" spans="3:17" ht="15.75" customHeight="1">
      <c r="C767" s="53"/>
      <c r="D767" s="73"/>
      <c r="E767" s="73"/>
      <c r="F767" s="73"/>
      <c r="G767" s="73"/>
      <c r="H767" s="73"/>
      <c r="I767" s="73"/>
      <c r="J767" s="73"/>
      <c r="K767" s="53"/>
      <c r="L767" s="53"/>
      <c r="M767" s="53"/>
      <c r="N767" s="53"/>
      <c r="O767" s="53"/>
      <c r="P767" s="53"/>
      <c r="Q767" s="53"/>
    </row>
    <row r="768" spans="3:17" ht="15.75" customHeight="1">
      <c r="C768" s="53"/>
      <c r="D768" s="73"/>
      <c r="E768" s="73"/>
      <c r="F768" s="73"/>
      <c r="G768" s="73"/>
      <c r="H768" s="73"/>
      <c r="I768" s="73"/>
      <c r="J768" s="73"/>
      <c r="K768" s="53"/>
      <c r="L768" s="53"/>
      <c r="M768" s="53"/>
      <c r="N768" s="53"/>
      <c r="O768" s="53"/>
      <c r="P768" s="53"/>
      <c r="Q768" s="53"/>
    </row>
    <row r="769" spans="3:17" ht="15.75" customHeight="1">
      <c r="C769" s="53"/>
      <c r="D769" s="73"/>
      <c r="E769" s="73"/>
      <c r="F769" s="73"/>
      <c r="G769" s="73"/>
      <c r="H769" s="73"/>
      <c r="I769" s="73"/>
      <c r="J769" s="73"/>
      <c r="K769" s="53"/>
      <c r="L769" s="53"/>
      <c r="M769" s="53"/>
      <c r="N769" s="53"/>
      <c r="O769" s="53"/>
      <c r="P769" s="53"/>
      <c r="Q769" s="53"/>
    </row>
    <row r="770" spans="3:17" ht="15.75" customHeight="1">
      <c r="C770" s="53"/>
      <c r="D770" s="73"/>
      <c r="E770" s="73"/>
      <c r="F770" s="73"/>
      <c r="G770" s="73"/>
      <c r="H770" s="73"/>
      <c r="I770" s="73"/>
      <c r="J770" s="73"/>
      <c r="K770" s="53"/>
      <c r="L770" s="53"/>
      <c r="M770" s="53"/>
      <c r="N770" s="53"/>
      <c r="O770" s="53"/>
      <c r="P770" s="53"/>
      <c r="Q770" s="53"/>
    </row>
    <row r="771" spans="3:17" ht="15.75" customHeight="1">
      <c r="C771" s="53"/>
      <c r="D771" s="73"/>
      <c r="E771" s="73"/>
      <c r="F771" s="73"/>
      <c r="G771" s="73"/>
      <c r="H771" s="73"/>
      <c r="I771" s="73"/>
      <c r="J771" s="73"/>
      <c r="K771" s="53"/>
      <c r="L771" s="53"/>
      <c r="M771" s="53"/>
      <c r="N771" s="53"/>
      <c r="O771" s="53"/>
      <c r="P771" s="53"/>
      <c r="Q771" s="53"/>
    </row>
    <row r="772" spans="3:17" ht="15.75" customHeight="1">
      <c r="C772" s="53"/>
      <c r="D772" s="73"/>
      <c r="E772" s="73"/>
      <c r="F772" s="73"/>
      <c r="G772" s="73"/>
      <c r="H772" s="73"/>
      <c r="I772" s="73"/>
      <c r="J772" s="73"/>
      <c r="K772" s="53"/>
      <c r="L772" s="53"/>
      <c r="M772" s="53"/>
      <c r="N772" s="53"/>
      <c r="O772" s="53"/>
      <c r="P772" s="53"/>
      <c r="Q772" s="53"/>
    </row>
    <row r="773" spans="3:17" ht="15.75" customHeight="1">
      <c r="C773" s="53"/>
      <c r="D773" s="73"/>
      <c r="E773" s="73"/>
      <c r="F773" s="73"/>
      <c r="G773" s="73"/>
      <c r="H773" s="73"/>
      <c r="I773" s="73"/>
      <c r="J773" s="73"/>
      <c r="K773" s="53"/>
      <c r="L773" s="53"/>
      <c r="M773" s="53"/>
      <c r="N773" s="53"/>
      <c r="O773" s="53"/>
      <c r="P773" s="53"/>
      <c r="Q773" s="53"/>
    </row>
    <row r="774" spans="3:17" ht="15.75" customHeight="1">
      <c r="C774" s="53"/>
      <c r="D774" s="73"/>
      <c r="E774" s="73"/>
      <c r="F774" s="73"/>
      <c r="G774" s="73"/>
      <c r="H774" s="73"/>
      <c r="I774" s="73"/>
      <c r="J774" s="73"/>
      <c r="K774" s="53"/>
      <c r="L774" s="53"/>
      <c r="M774" s="53"/>
      <c r="N774" s="53"/>
      <c r="O774" s="53"/>
      <c r="P774" s="53"/>
      <c r="Q774" s="53"/>
    </row>
    <row r="775" spans="3:17" ht="15.75" customHeight="1">
      <c r="C775" s="53"/>
      <c r="D775" s="73"/>
      <c r="E775" s="73"/>
      <c r="F775" s="73"/>
      <c r="G775" s="73"/>
      <c r="H775" s="73"/>
      <c r="I775" s="73"/>
      <c r="J775" s="73"/>
      <c r="K775" s="53"/>
      <c r="L775" s="53"/>
      <c r="M775" s="53"/>
      <c r="N775" s="53"/>
      <c r="O775" s="53"/>
      <c r="P775" s="53"/>
      <c r="Q775" s="53"/>
    </row>
    <row r="776" spans="3:17" ht="15.75" customHeight="1">
      <c r="C776" s="53"/>
      <c r="D776" s="73"/>
      <c r="E776" s="73"/>
      <c r="F776" s="73"/>
      <c r="G776" s="73"/>
      <c r="H776" s="73"/>
      <c r="I776" s="73"/>
      <c r="J776" s="73"/>
      <c r="K776" s="53"/>
      <c r="L776" s="53"/>
      <c r="M776" s="53"/>
      <c r="N776" s="53"/>
      <c r="O776" s="53"/>
      <c r="P776" s="53"/>
      <c r="Q776" s="53"/>
    </row>
    <row r="777" spans="3:17" ht="15.75" customHeight="1">
      <c r="C777" s="53"/>
      <c r="D777" s="73"/>
      <c r="E777" s="73"/>
      <c r="F777" s="73"/>
      <c r="G777" s="73"/>
      <c r="H777" s="73"/>
      <c r="I777" s="73"/>
      <c r="J777" s="73"/>
      <c r="K777" s="53"/>
      <c r="L777" s="53"/>
      <c r="M777" s="53"/>
      <c r="N777" s="53"/>
      <c r="O777" s="53"/>
      <c r="P777" s="53"/>
      <c r="Q777" s="53"/>
    </row>
    <row r="778" spans="3:17" ht="15.75" customHeight="1">
      <c r="C778" s="53"/>
      <c r="D778" s="73"/>
      <c r="E778" s="73"/>
      <c r="F778" s="73"/>
      <c r="G778" s="73"/>
      <c r="H778" s="73"/>
      <c r="I778" s="73"/>
      <c r="J778" s="73"/>
      <c r="K778" s="53"/>
      <c r="L778" s="53"/>
      <c r="M778" s="53"/>
      <c r="N778" s="53"/>
      <c r="O778" s="53"/>
      <c r="P778" s="53"/>
      <c r="Q778" s="53"/>
    </row>
    <row r="779" spans="3:17" ht="15.75" customHeight="1">
      <c r="C779" s="53"/>
      <c r="D779" s="73"/>
      <c r="E779" s="73"/>
      <c r="F779" s="73"/>
      <c r="G779" s="73"/>
      <c r="H779" s="73"/>
      <c r="I779" s="73"/>
      <c r="J779" s="73"/>
      <c r="K779" s="53"/>
      <c r="L779" s="53"/>
      <c r="M779" s="53"/>
      <c r="N779" s="53"/>
      <c r="O779" s="53"/>
      <c r="P779" s="53"/>
      <c r="Q779" s="53"/>
    </row>
    <row r="780" spans="3:17" ht="15.75" customHeight="1">
      <c r="C780" s="53"/>
      <c r="D780" s="73"/>
      <c r="E780" s="73"/>
      <c r="F780" s="73"/>
      <c r="G780" s="73"/>
      <c r="H780" s="73"/>
      <c r="I780" s="73"/>
      <c r="J780" s="73"/>
      <c r="K780" s="53"/>
      <c r="L780" s="53"/>
      <c r="M780" s="53"/>
      <c r="N780" s="53"/>
      <c r="O780" s="53"/>
      <c r="P780" s="53"/>
      <c r="Q780" s="53"/>
    </row>
    <row r="781" spans="3:17" ht="15.75" customHeight="1">
      <c r="C781" s="53"/>
      <c r="D781" s="73"/>
      <c r="E781" s="73"/>
      <c r="F781" s="73"/>
      <c r="G781" s="73"/>
      <c r="H781" s="73"/>
      <c r="I781" s="73"/>
      <c r="J781" s="73"/>
      <c r="K781" s="53"/>
      <c r="L781" s="53"/>
      <c r="M781" s="53"/>
      <c r="N781" s="53"/>
      <c r="O781" s="53"/>
      <c r="P781" s="53"/>
      <c r="Q781" s="53"/>
    </row>
    <row r="782" spans="3:17" ht="15.75" customHeight="1">
      <c r="C782" s="53"/>
      <c r="D782" s="73"/>
      <c r="E782" s="73"/>
      <c r="F782" s="73"/>
      <c r="G782" s="73"/>
      <c r="H782" s="73"/>
      <c r="I782" s="73"/>
      <c r="J782" s="73"/>
      <c r="K782" s="53"/>
      <c r="L782" s="53"/>
      <c r="M782" s="53"/>
      <c r="N782" s="53"/>
      <c r="O782" s="53"/>
      <c r="P782" s="53"/>
      <c r="Q782" s="53"/>
    </row>
    <row r="783" spans="3:17" ht="15.75" customHeight="1">
      <c r="C783" s="53"/>
      <c r="D783" s="73"/>
      <c r="E783" s="73"/>
      <c r="F783" s="73"/>
      <c r="G783" s="73"/>
      <c r="H783" s="73"/>
      <c r="I783" s="73"/>
      <c r="J783" s="73"/>
      <c r="K783" s="53"/>
      <c r="L783" s="53"/>
      <c r="M783" s="53"/>
      <c r="N783" s="53"/>
      <c r="O783" s="53"/>
      <c r="P783" s="53"/>
      <c r="Q783" s="53"/>
    </row>
    <row r="784" spans="3:17" ht="15.75" customHeight="1">
      <c r="C784" s="53"/>
      <c r="D784" s="73"/>
      <c r="E784" s="73"/>
      <c r="F784" s="73"/>
      <c r="G784" s="73"/>
      <c r="H784" s="73"/>
      <c r="I784" s="73"/>
      <c r="J784" s="73"/>
      <c r="K784" s="53"/>
      <c r="L784" s="53"/>
      <c r="M784" s="53"/>
      <c r="N784" s="53"/>
      <c r="O784" s="53"/>
      <c r="P784" s="53"/>
      <c r="Q784" s="53"/>
    </row>
    <row r="785" spans="3:17" ht="15.75" customHeight="1">
      <c r="C785" s="53"/>
      <c r="D785" s="73"/>
      <c r="E785" s="73"/>
      <c r="F785" s="73"/>
      <c r="G785" s="73"/>
      <c r="H785" s="73"/>
      <c r="I785" s="73"/>
      <c r="J785" s="73"/>
      <c r="K785" s="53"/>
      <c r="L785" s="53"/>
      <c r="M785" s="53"/>
      <c r="N785" s="53"/>
      <c r="O785" s="53"/>
      <c r="P785" s="53"/>
      <c r="Q785" s="53"/>
    </row>
    <row r="786" spans="3:17" ht="15.75" customHeight="1">
      <c r="C786" s="53"/>
      <c r="D786" s="73"/>
      <c r="E786" s="73"/>
      <c r="F786" s="73"/>
      <c r="G786" s="73"/>
      <c r="H786" s="73"/>
      <c r="I786" s="73"/>
      <c r="J786" s="73"/>
      <c r="K786" s="53"/>
      <c r="L786" s="53"/>
      <c r="M786" s="53"/>
      <c r="N786" s="53"/>
      <c r="O786" s="53"/>
      <c r="P786" s="53"/>
      <c r="Q786" s="53"/>
    </row>
    <row r="787" spans="3:17" ht="15.75" customHeight="1">
      <c r="C787" s="53"/>
      <c r="D787" s="73"/>
      <c r="E787" s="73"/>
      <c r="F787" s="73"/>
      <c r="G787" s="73"/>
      <c r="H787" s="73"/>
      <c r="I787" s="73"/>
      <c r="J787" s="73"/>
      <c r="K787" s="53"/>
      <c r="L787" s="53"/>
      <c r="M787" s="53"/>
      <c r="N787" s="53"/>
      <c r="O787" s="53"/>
      <c r="P787" s="53"/>
      <c r="Q787" s="53"/>
    </row>
    <row r="788" spans="3:17" ht="15.75" customHeight="1">
      <c r="C788" s="53"/>
      <c r="D788" s="73"/>
      <c r="E788" s="73"/>
      <c r="F788" s="73"/>
      <c r="G788" s="73"/>
      <c r="H788" s="73"/>
      <c r="I788" s="73"/>
      <c r="J788" s="73"/>
      <c r="K788" s="53"/>
      <c r="L788" s="53"/>
      <c r="M788" s="53"/>
      <c r="N788" s="53"/>
      <c r="O788" s="53"/>
      <c r="P788" s="53"/>
      <c r="Q788" s="53"/>
    </row>
    <row r="789" spans="3:17" ht="15.75" customHeight="1">
      <c r="C789" s="53"/>
      <c r="D789" s="73"/>
      <c r="E789" s="73"/>
      <c r="F789" s="73"/>
      <c r="G789" s="73"/>
      <c r="H789" s="73"/>
      <c r="I789" s="73"/>
      <c r="J789" s="73"/>
      <c r="K789" s="53"/>
      <c r="L789" s="53"/>
      <c r="M789" s="53"/>
      <c r="N789" s="53"/>
      <c r="O789" s="53"/>
      <c r="P789" s="53"/>
      <c r="Q789" s="53"/>
    </row>
    <row r="790" spans="3:17" ht="15.75" customHeight="1">
      <c r="C790" s="53"/>
      <c r="D790" s="73"/>
      <c r="E790" s="73"/>
      <c r="F790" s="73"/>
      <c r="G790" s="73"/>
      <c r="H790" s="73"/>
      <c r="I790" s="73"/>
      <c r="J790" s="73"/>
      <c r="K790" s="53"/>
      <c r="L790" s="53"/>
      <c r="M790" s="53"/>
      <c r="N790" s="53"/>
      <c r="O790" s="53"/>
      <c r="P790" s="53"/>
      <c r="Q790" s="53"/>
    </row>
    <row r="791" spans="3:17" ht="15.75" customHeight="1">
      <c r="C791" s="53"/>
      <c r="D791" s="73"/>
      <c r="E791" s="73"/>
      <c r="F791" s="73"/>
      <c r="G791" s="73"/>
      <c r="H791" s="73"/>
      <c r="I791" s="73"/>
      <c r="J791" s="73"/>
      <c r="K791" s="53"/>
      <c r="L791" s="53"/>
      <c r="M791" s="53"/>
      <c r="N791" s="53"/>
      <c r="O791" s="53"/>
      <c r="P791" s="53"/>
      <c r="Q791" s="53"/>
    </row>
    <row r="792" spans="3:17" ht="15.75" customHeight="1">
      <c r="C792" s="53"/>
      <c r="D792" s="73"/>
      <c r="E792" s="73"/>
      <c r="F792" s="73"/>
      <c r="G792" s="73"/>
      <c r="H792" s="73"/>
      <c r="I792" s="73"/>
      <c r="J792" s="73"/>
      <c r="K792" s="53"/>
      <c r="L792" s="53"/>
      <c r="M792" s="53"/>
      <c r="N792" s="53"/>
      <c r="O792" s="53"/>
      <c r="P792" s="53"/>
      <c r="Q792" s="53"/>
    </row>
    <row r="793" spans="3:17" ht="15.75" customHeight="1">
      <c r="C793" s="53"/>
      <c r="D793" s="73"/>
      <c r="E793" s="73"/>
      <c r="F793" s="73"/>
      <c r="G793" s="73"/>
      <c r="H793" s="73"/>
      <c r="I793" s="73"/>
      <c r="J793" s="73"/>
      <c r="K793" s="53"/>
      <c r="L793" s="53"/>
      <c r="M793" s="53"/>
      <c r="N793" s="53"/>
      <c r="O793" s="53"/>
      <c r="P793" s="53"/>
      <c r="Q793" s="53"/>
    </row>
    <row r="794" spans="3:17" ht="15.75" customHeight="1">
      <c r="C794" s="53"/>
      <c r="D794" s="73"/>
      <c r="E794" s="73"/>
      <c r="F794" s="73"/>
      <c r="G794" s="73"/>
      <c r="H794" s="73"/>
      <c r="I794" s="73"/>
      <c r="J794" s="73"/>
      <c r="K794" s="53"/>
      <c r="L794" s="53"/>
      <c r="M794" s="53"/>
      <c r="N794" s="53"/>
      <c r="O794" s="53"/>
      <c r="P794" s="53"/>
      <c r="Q794" s="53"/>
    </row>
    <row r="795" spans="3:17" ht="15.75" customHeight="1">
      <c r="C795" s="53"/>
      <c r="D795" s="73"/>
      <c r="E795" s="73"/>
      <c r="F795" s="73"/>
      <c r="G795" s="73"/>
      <c r="H795" s="73"/>
      <c r="I795" s="73"/>
      <c r="J795" s="73"/>
      <c r="K795" s="53"/>
      <c r="L795" s="53"/>
      <c r="M795" s="53"/>
      <c r="N795" s="53"/>
      <c r="O795" s="53"/>
      <c r="P795" s="53"/>
      <c r="Q795" s="53"/>
    </row>
    <row r="796" spans="3:17" ht="15.75" customHeight="1">
      <c r="C796" s="53"/>
      <c r="D796" s="73"/>
      <c r="E796" s="73"/>
      <c r="F796" s="73"/>
      <c r="G796" s="73"/>
      <c r="H796" s="73"/>
      <c r="I796" s="73"/>
      <c r="J796" s="73"/>
      <c r="K796" s="53"/>
      <c r="L796" s="53"/>
      <c r="M796" s="53"/>
      <c r="N796" s="53"/>
      <c r="O796" s="53"/>
      <c r="P796" s="53"/>
      <c r="Q796" s="53"/>
    </row>
    <row r="797" spans="3:17" ht="15.75" customHeight="1">
      <c r="C797" s="53"/>
      <c r="D797" s="73"/>
      <c r="E797" s="73"/>
      <c r="F797" s="73"/>
      <c r="G797" s="73"/>
      <c r="H797" s="73"/>
      <c r="I797" s="73"/>
      <c r="J797" s="73"/>
      <c r="K797" s="53"/>
      <c r="L797" s="53"/>
      <c r="M797" s="53"/>
      <c r="N797" s="53"/>
      <c r="O797" s="53"/>
      <c r="P797" s="53"/>
      <c r="Q797" s="53"/>
    </row>
    <row r="798" spans="3:17" ht="15.75" customHeight="1">
      <c r="C798" s="53"/>
      <c r="D798" s="73"/>
      <c r="E798" s="73"/>
      <c r="F798" s="73"/>
      <c r="G798" s="73"/>
      <c r="H798" s="73"/>
      <c r="I798" s="73"/>
      <c r="J798" s="73"/>
      <c r="K798" s="53"/>
      <c r="L798" s="53"/>
      <c r="M798" s="53"/>
      <c r="N798" s="53"/>
      <c r="O798" s="53"/>
      <c r="P798" s="53"/>
      <c r="Q798" s="53"/>
    </row>
    <row r="799" spans="3:17" ht="15.75" customHeight="1">
      <c r="C799" s="53"/>
      <c r="D799" s="73"/>
      <c r="E799" s="73"/>
      <c r="F799" s="73"/>
      <c r="G799" s="73"/>
      <c r="H799" s="73"/>
      <c r="I799" s="73"/>
      <c r="J799" s="73"/>
      <c r="K799" s="53"/>
      <c r="L799" s="53"/>
      <c r="M799" s="53"/>
      <c r="N799" s="53"/>
      <c r="O799" s="53"/>
      <c r="P799" s="53"/>
      <c r="Q799" s="53"/>
    </row>
    <row r="800" spans="3:17" ht="15.75" customHeight="1">
      <c r="C800" s="53"/>
      <c r="D800" s="73"/>
      <c r="E800" s="73"/>
      <c r="F800" s="73"/>
      <c r="G800" s="73"/>
      <c r="H800" s="73"/>
      <c r="I800" s="73"/>
      <c r="J800" s="73"/>
      <c r="K800" s="53"/>
      <c r="L800" s="53"/>
      <c r="M800" s="53"/>
      <c r="N800" s="53"/>
      <c r="O800" s="53"/>
      <c r="P800" s="53"/>
      <c r="Q800" s="53"/>
    </row>
    <row r="801" spans="3:17" ht="15.75" customHeight="1">
      <c r="C801" s="53"/>
      <c r="D801" s="73"/>
      <c r="E801" s="73"/>
      <c r="F801" s="73"/>
      <c r="G801" s="73"/>
      <c r="H801" s="73"/>
      <c r="I801" s="73"/>
      <c r="J801" s="73"/>
      <c r="K801" s="53"/>
      <c r="L801" s="53"/>
      <c r="M801" s="53"/>
      <c r="N801" s="53"/>
      <c r="O801" s="53"/>
      <c r="P801" s="53"/>
      <c r="Q801" s="53"/>
    </row>
    <row r="802" spans="3:17" ht="15.75" customHeight="1">
      <c r="C802" s="53"/>
      <c r="D802" s="73"/>
      <c r="E802" s="73"/>
      <c r="F802" s="73"/>
      <c r="G802" s="73"/>
      <c r="H802" s="73"/>
      <c r="I802" s="73"/>
      <c r="J802" s="73"/>
      <c r="K802" s="53"/>
      <c r="L802" s="53"/>
      <c r="M802" s="53"/>
      <c r="N802" s="53"/>
      <c r="O802" s="53"/>
      <c r="P802" s="53"/>
      <c r="Q802" s="53"/>
    </row>
    <row r="803" spans="3:17" ht="15.75" customHeight="1">
      <c r="C803" s="53"/>
      <c r="D803" s="73"/>
      <c r="E803" s="73"/>
      <c r="F803" s="73"/>
      <c r="G803" s="73"/>
      <c r="H803" s="73"/>
      <c r="I803" s="73"/>
      <c r="J803" s="73"/>
      <c r="K803" s="53"/>
      <c r="L803" s="53"/>
      <c r="M803" s="53"/>
      <c r="N803" s="53"/>
      <c r="O803" s="53"/>
      <c r="P803" s="53"/>
      <c r="Q803" s="53"/>
    </row>
    <row r="804" spans="3:17" ht="15.75" customHeight="1">
      <c r="C804" s="53"/>
      <c r="D804" s="73"/>
      <c r="E804" s="73"/>
      <c r="F804" s="73"/>
      <c r="G804" s="73"/>
      <c r="H804" s="73"/>
      <c r="I804" s="73"/>
      <c r="J804" s="73"/>
      <c r="K804" s="53"/>
      <c r="L804" s="53"/>
      <c r="M804" s="53"/>
      <c r="N804" s="53"/>
      <c r="O804" s="53"/>
      <c r="P804" s="53"/>
      <c r="Q804" s="53"/>
    </row>
    <row r="805" spans="3:17" ht="15.75" customHeight="1">
      <c r="C805" s="53"/>
      <c r="D805" s="73"/>
      <c r="E805" s="73"/>
      <c r="F805" s="73"/>
      <c r="G805" s="73"/>
      <c r="H805" s="73"/>
      <c r="I805" s="73"/>
      <c r="J805" s="73"/>
      <c r="K805" s="53"/>
      <c r="L805" s="53"/>
      <c r="M805" s="53"/>
      <c r="N805" s="53"/>
      <c r="O805" s="53"/>
      <c r="P805" s="53"/>
      <c r="Q805" s="53"/>
    </row>
    <row r="806" spans="3:17" ht="15.75" customHeight="1">
      <c r="C806" s="53"/>
      <c r="D806" s="73"/>
      <c r="E806" s="73"/>
      <c r="F806" s="73"/>
      <c r="G806" s="73"/>
      <c r="H806" s="73"/>
      <c r="I806" s="73"/>
      <c r="J806" s="73"/>
      <c r="K806" s="53"/>
      <c r="L806" s="53"/>
      <c r="M806" s="53"/>
      <c r="N806" s="53"/>
      <c r="O806" s="53"/>
      <c r="P806" s="53"/>
      <c r="Q806" s="53"/>
    </row>
    <row r="807" spans="3:17" ht="15.75" customHeight="1">
      <c r="C807" s="53"/>
      <c r="D807" s="73"/>
      <c r="E807" s="73"/>
      <c r="F807" s="73"/>
      <c r="G807" s="73"/>
      <c r="H807" s="73"/>
      <c r="I807" s="73"/>
      <c r="J807" s="73"/>
      <c r="K807" s="53"/>
      <c r="L807" s="53"/>
      <c r="M807" s="53"/>
      <c r="N807" s="53"/>
      <c r="O807" s="53"/>
      <c r="P807" s="53"/>
      <c r="Q807" s="53"/>
    </row>
    <row r="808" spans="3:17" ht="15.75" customHeight="1">
      <c r="C808" s="53"/>
      <c r="D808" s="73"/>
      <c r="E808" s="73"/>
      <c r="F808" s="73"/>
      <c r="G808" s="73"/>
      <c r="H808" s="73"/>
      <c r="I808" s="73"/>
      <c r="J808" s="73"/>
      <c r="K808" s="53"/>
      <c r="L808" s="53"/>
      <c r="M808" s="53"/>
      <c r="N808" s="53"/>
      <c r="O808" s="53"/>
      <c r="P808" s="53"/>
      <c r="Q808" s="53"/>
    </row>
    <row r="809" spans="3:17" ht="15.75" customHeight="1">
      <c r="C809" s="53"/>
      <c r="D809" s="73"/>
      <c r="E809" s="73"/>
      <c r="F809" s="73"/>
      <c r="G809" s="73"/>
      <c r="H809" s="73"/>
      <c r="I809" s="73"/>
      <c r="J809" s="73"/>
      <c r="K809" s="53"/>
      <c r="L809" s="53"/>
      <c r="M809" s="53"/>
      <c r="N809" s="53"/>
      <c r="O809" s="53"/>
      <c r="P809" s="53"/>
      <c r="Q809" s="53"/>
    </row>
    <row r="810" spans="3:17" ht="15.75" customHeight="1">
      <c r="C810" s="53"/>
      <c r="D810" s="73"/>
      <c r="E810" s="73"/>
      <c r="F810" s="73"/>
      <c r="G810" s="73"/>
      <c r="H810" s="73"/>
      <c r="I810" s="73"/>
      <c r="J810" s="73"/>
      <c r="K810" s="53"/>
      <c r="L810" s="53"/>
      <c r="M810" s="53"/>
      <c r="N810" s="53"/>
      <c r="O810" s="53"/>
      <c r="P810" s="53"/>
      <c r="Q810" s="53"/>
    </row>
    <row r="811" spans="3:17" ht="15.75" customHeight="1">
      <c r="C811" s="53"/>
      <c r="D811" s="73"/>
      <c r="E811" s="73"/>
      <c r="F811" s="73"/>
      <c r="G811" s="73"/>
      <c r="H811" s="73"/>
      <c r="I811" s="73"/>
      <c r="J811" s="73"/>
      <c r="K811" s="53"/>
      <c r="L811" s="53"/>
      <c r="M811" s="53"/>
      <c r="N811" s="53"/>
      <c r="O811" s="53"/>
      <c r="P811" s="53"/>
      <c r="Q811" s="53"/>
    </row>
    <row r="812" spans="3:17" ht="15.75" customHeight="1">
      <c r="C812" s="53"/>
      <c r="D812" s="73"/>
      <c r="E812" s="73"/>
      <c r="F812" s="73"/>
      <c r="G812" s="73"/>
      <c r="H812" s="73"/>
      <c r="I812" s="73"/>
      <c r="J812" s="73"/>
      <c r="K812" s="53"/>
      <c r="L812" s="53"/>
      <c r="M812" s="53"/>
      <c r="N812" s="53"/>
      <c r="O812" s="53"/>
      <c r="P812" s="53"/>
      <c r="Q812" s="53"/>
    </row>
    <row r="813" spans="3:17" ht="15.75" customHeight="1">
      <c r="C813" s="53"/>
      <c r="D813" s="73"/>
      <c r="E813" s="73"/>
      <c r="F813" s="73"/>
      <c r="G813" s="73"/>
      <c r="H813" s="73"/>
      <c r="I813" s="73"/>
      <c r="J813" s="73"/>
      <c r="K813" s="53"/>
      <c r="L813" s="53"/>
      <c r="M813" s="53"/>
      <c r="N813" s="53"/>
      <c r="O813" s="53"/>
      <c r="P813" s="53"/>
      <c r="Q813" s="53"/>
    </row>
    <row r="814" spans="3:17" ht="15.75" customHeight="1">
      <c r="C814" s="53"/>
      <c r="D814" s="73"/>
      <c r="E814" s="73"/>
      <c r="F814" s="73"/>
      <c r="G814" s="73"/>
      <c r="H814" s="73"/>
      <c r="I814" s="73"/>
      <c r="J814" s="73"/>
      <c r="K814" s="53"/>
      <c r="L814" s="53"/>
      <c r="M814" s="53"/>
      <c r="N814" s="53"/>
      <c r="O814" s="53"/>
      <c r="P814" s="53"/>
      <c r="Q814" s="53"/>
    </row>
    <row r="815" spans="3:17" ht="15.75" customHeight="1">
      <c r="C815" s="53"/>
      <c r="D815" s="73"/>
      <c r="E815" s="73"/>
      <c r="F815" s="73"/>
      <c r="G815" s="73"/>
      <c r="H815" s="73"/>
      <c r="I815" s="73"/>
      <c r="J815" s="73"/>
      <c r="K815" s="53"/>
      <c r="L815" s="53"/>
      <c r="M815" s="53"/>
      <c r="N815" s="53"/>
      <c r="O815" s="53"/>
      <c r="P815" s="53"/>
      <c r="Q815" s="53"/>
    </row>
    <row r="816" spans="3:17" ht="15.75" customHeight="1">
      <c r="C816" s="53"/>
      <c r="D816" s="73"/>
      <c r="E816" s="73"/>
      <c r="F816" s="73"/>
      <c r="G816" s="73"/>
      <c r="H816" s="73"/>
      <c r="I816" s="73"/>
      <c r="J816" s="73"/>
      <c r="K816" s="53"/>
      <c r="L816" s="53"/>
      <c r="M816" s="53"/>
      <c r="N816" s="53"/>
      <c r="O816" s="53"/>
      <c r="P816" s="53"/>
      <c r="Q816" s="53"/>
    </row>
    <row r="817" spans="3:17" ht="15.75" customHeight="1">
      <c r="C817" s="53"/>
      <c r="D817" s="73"/>
      <c r="E817" s="73"/>
      <c r="F817" s="73"/>
      <c r="G817" s="73"/>
      <c r="H817" s="73"/>
      <c r="I817" s="73"/>
      <c r="J817" s="73"/>
      <c r="K817" s="53"/>
      <c r="L817" s="53"/>
      <c r="M817" s="53"/>
      <c r="N817" s="53"/>
      <c r="O817" s="53"/>
      <c r="P817" s="53"/>
      <c r="Q817" s="53"/>
    </row>
    <row r="818" spans="3:17" ht="15.75" customHeight="1">
      <c r="C818" s="53"/>
      <c r="D818" s="73"/>
      <c r="E818" s="73"/>
      <c r="F818" s="73"/>
      <c r="G818" s="73"/>
      <c r="H818" s="73"/>
      <c r="I818" s="73"/>
      <c r="J818" s="73"/>
      <c r="K818" s="53"/>
      <c r="L818" s="53"/>
      <c r="M818" s="53"/>
      <c r="N818" s="53"/>
      <c r="O818" s="53"/>
      <c r="P818" s="53"/>
      <c r="Q818" s="53"/>
    </row>
    <row r="819" spans="3:17" ht="15.75" customHeight="1">
      <c r="C819" s="53"/>
      <c r="D819" s="73"/>
      <c r="E819" s="73"/>
      <c r="F819" s="73"/>
      <c r="G819" s="73"/>
      <c r="H819" s="73"/>
      <c r="I819" s="73"/>
      <c r="J819" s="73"/>
      <c r="K819" s="53"/>
      <c r="L819" s="53"/>
      <c r="M819" s="53"/>
      <c r="N819" s="53"/>
      <c r="O819" s="53"/>
      <c r="P819" s="53"/>
      <c r="Q819" s="53"/>
    </row>
    <row r="820" spans="3:17" ht="15.75" customHeight="1">
      <c r="C820" s="53"/>
      <c r="D820" s="73"/>
      <c r="E820" s="73"/>
      <c r="F820" s="73"/>
      <c r="G820" s="73"/>
      <c r="H820" s="73"/>
      <c r="I820" s="73"/>
      <c r="J820" s="73"/>
      <c r="K820" s="53"/>
      <c r="L820" s="53"/>
      <c r="M820" s="53"/>
      <c r="N820" s="53"/>
      <c r="O820" s="53"/>
      <c r="P820" s="53"/>
      <c r="Q820" s="53"/>
    </row>
    <row r="821" spans="3:17" ht="15.75" customHeight="1">
      <c r="C821" s="53"/>
      <c r="D821" s="73"/>
      <c r="E821" s="73"/>
      <c r="F821" s="73"/>
      <c r="G821" s="73"/>
      <c r="H821" s="73"/>
      <c r="I821" s="73"/>
      <c r="J821" s="73"/>
      <c r="K821" s="53"/>
      <c r="L821" s="53"/>
      <c r="M821" s="53"/>
      <c r="N821" s="53"/>
      <c r="O821" s="53"/>
      <c r="P821" s="53"/>
      <c r="Q821" s="53"/>
    </row>
    <row r="822" spans="3:17" ht="15.75" customHeight="1">
      <c r="C822" s="53"/>
      <c r="D822" s="73"/>
      <c r="E822" s="73"/>
      <c r="F822" s="73"/>
      <c r="G822" s="73"/>
      <c r="H822" s="73"/>
      <c r="I822" s="73"/>
      <c r="J822" s="73"/>
      <c r="K822" s="53"/>
      <c r="L822" s="53"/>
      <c r="M822" s="53"/>
      <c r="N822" s="53"/>
      <c r="O822" s="53"/>
      <c r="P822" s="53"/>
      <c r="Q822" s="53"/>
    </row>
    <row r="823" spans="3:17" ht="15.75" customHeight="1">
      <c r="C823" s="53"/>
      <c r="D823" s="73"/>
      <c r="E823" s="73"/>
      <c r="F823" s="73"/>
      <c r="G823" s="73"/>
      <c r="H823" s="73"/>
      <c r="I823" s="73"/>
      <c r="J823" s="73"/>
      <c r="K823" s="53"/>
      <c r="L823" s="53"/>
      <c r="M823" s="53"/>
      <c r="N823" s="53"/>
      <c r="O823" s="53"/>
      <c r="P823" s="53"/>
      <c r="Q823" s="53"/>
    </row>
    <row r="824" spans="3:17" ht="15.75" customHeight="1">
      <c r="C824" s="53"/>
      <c r="D824" s="73"/>
      <c r="E824" s="73"/>
      <c r="F824" s="73"/>
      <c r="G824" s="73"/>
      <c r="H824" s="73"/>
      <c r="I824" s="73"/>
      <c r="J824" s="73"/>
      <c r="K824" s="53"/>
      <c r="L824" s="53"/>
      <c r="M824" s="53"/>
      <c r="N824" s="53"/>
      <c r="O824" s="53"/>
      <c r="P824" s="53"/>
      <c r="Q824" s="53"/>
    </row>
    <row r="825" spans="3:17" ht="15.75" customHeight="1">
      <c r="C825" s="53"/>
      <c r="D825" s="73"/>
      <c r="E825" s="73"/>
      <c r="F825" s="73"/>
      <c r="G825" s="73"/>
      <c r="H825" s="73"/>
      <c r="I825" s="73"/>
      <c r="J825" s="73"/>
      <c r="K825" s="53"/>
      <c r="L825" s="53"/>
      <c r="M825" s="53"/>
      <c r="N825" s="53"/>
      <c r="O825" s="53"/>
      <c r="P825" s="53"/>
      <c r="Q825" s="53"/>
    </row>
    <row r="826" spans="3:17" ht="15.75" customHeight="1">
      <c r="C826" s="53"/>
      <c r="D826" s="73"/>
      <c r="E826" s="73"/>
      <c r="F826" s="73"/>
      <c r="G826" s="73"/>
      <c r="H826" s="73"/>
      <c r="I826" s="73"/>
      <c r="J826" s="73"/>
      <c r="K826" s="53"/>
      <c r="L826" s="53"/>
      <c r="M826" s="53"/>
      <c r="N826" s="53"/>
      <c r="O826" s="53"/>
      <c r="P826" s="53"/>
      <c r="Q826" s="53"/>
    </row>
    <row r="827" spans="3:17" ht="15.75" customHeight="1">
      <c r="C827" s="53"/>
      <c r="D827" s="73"/>
      <c r="E827" s="73"/>
      <c r="F827" s="73"/>
      <c r="G827" s="73"/>
      <c r="H827" s="73"/>
      <c r="I827" s="73"/>
      <c r="J827" s="73"/>
      <c r="K827" s="53"/>
      <c r="L827" s="53"/>
      <c r="M827" s="53"/>
      <c r="N827" s="53"/>
      <c r="O827" s="53"/>
      <c r="P827" s="53"/>
      <c r="Q827" s="53"/>
    </row>
    <row r="828" spans="3:17" ht="15.75" customHeight="1">
      <c r="C828" s="53"/>
      <c r="D828" s="73"/>
      <c r="E828" s="73"/>
      <c r="F828" s="73"/>
      <c r="G828" s="73"/>
      <c r="H828" s="73"/>
      <c r="I828" s="73"/>
      <c r="J828" s="73"/>
      <c r="K828" s="53"/>
      <c r="L828" s="53"/>
      <c r="M828" s="53"/>
      <c r="N828" s="53"/>
      <c r="O828" s="53"/>
      <c r="P828" s="53"/>
      <c r="Q828" s="53"/>
    </row>
    <row r="829" spans="3:17" ht="15.75" customHeight="1">
      <c r="C829" s="53"/>
      <c r="D829" s="73"/>
      <c r="E829" s="73"/>
      <c r="F829" s="73"/>
      <c r="G829" s="73"/>
      <c r="H829" s="73"/>
      <c r="I829" s="73"/>
      <c r="J829" s="73"/>
      <c r="K829" s="53"/>
      <c r="L829" s="53"/>
      <c r="M829" s="53"/>
      <c r="N829" s="53"/>
      <c r="O829" s="53"/>
      <c r="P829" s="53"/>
      <c r="Q829" s="53"/>
    </row>
    <row r="830" spans="3:17" ht="15.75" customHeight="1">
      <c r="C830" s="53"/>
      <c r="D830" s="73"/>
      <c r="E830" s="73"/>
      <c r="F830" s="73"/>
      <c r="G830" s="73"/>
      <c r="H830" s="73"/>
      <c r="I830" s="73"/>
      <c r="J830" s="73"/>
      <c r="K830" s="53"/>
      <c r="L830" s="53"/>
      <c r="M830" s="53"/>
      <c r="N830" s="53"/>
      <c r="O830" s="53"/>
      <c r="P830" s="53"/>
      <c r="Q830" s="53"/>
    </row>
    <row r="831" spans="3:17" ht="15.75" customHeight="1">
      <c r="C831" s="53"/>
      <c r="D831" s="73"/>
      <c r="E831" s="73"/>
      <c r="F831" s="73"/>
      <c r="G831" s="73"/>
      <c r="H831" s="73"/>
      <c r="I831" s="73"/>
      <c r="J831" s="73"/>
      <c r="K831" s="53"/>
      <c r="L831" s="53"/>
      <c r="M831" s="53"/>
      <c r="N831" s="53"/>
      <c r="O831" s="53"/>
      <c r="P831" s="53"/>
      <c r="Q831" s="53"/>
    </row>
    <row r="832" spans="3:17" ht="15.75" customHeight="1">
      <c r="C832" s="53"/>
      <c r="D832" s="73"/>
      <c r="E832" s="73"/>
      <c r="F832" s="73"/>
      <c r="G832" s="73"/>
      <c r="H832" s="73"/>
      <c r="I832" s="73"/>
      <c r="J832" s="73"/>
      <c r="K832" s="53"/>
      <c r="L832" s="53"/>
      <c r="M832" s="53"/>
      <c r="N832" s="53"/>
      <c r="O832" s="53"/>
      <c r="P832" s="53"/>
      <c r="Q832" s="53"/>
    </row>
    <row r="833" spans="3:17" ht="15.75" customHeight="1">
      <c r="C833" s="53"/>
      <c r="D833" s="73"/>
      <c r="E833" s="73"/>
      <c r="F833" s="73"/>
      <c r="G833" s="73"/>
      <c r="H833" s="73"/>
      <c r="I833" s="73"/>
      <c r="J833" s="73"/>
      <c r="K833" s="53"/>
      <c r="L833" s="53"/>
      <c r="M833" s="53"/>
      <c r="N833" s="53"/>
      <c r="O833" s="53"/>
      <c r="P833" s="53"/>
      <c r="Q833" s="53"/>
    </row>
    <row r="834" spans="3:17" ht="15.75" customHeight="1">
      <c r="C834" s="53"/>
      <c r="D834" s="73"/>
      <c r="E834" s="73"/>
      <c r="F834" s="73"/>
      <c r="G834" s="73"/>
      <c r="H834" s="73"/>
      <c r="I834" s="73"/>
      <c r="J834" s="73"/>
      <c r="K834" s="53"/>
      <c r="L834" s="53"/>
      <c r="M834" s="53"/>
      <c r="N834" s="53"/>
      <c r="O834" s="53"/>
      <c r="P834" s="53"/>
      <c r="Q834" s="53"/>
    </row>
    <row r="835" spans="3:17" ht="15.75" customHeight="1">
      <c r="C835" s="53"/>
      <c r="D835" s="73"/>
      <c r="E835" s="73"/>
      <c r="F835" s="73"/>
      <c r="G835" s="73"/>
      <c r="H835" s="73"/>
      <c r="I835" s="73"/>
      <c r="J835" s="73"/>
      <c r="K835" s="53"/>
      <c r="L835" s="53"/>
      <c r="M835" s="53"/>
      <c r="N835" s="53"/>
      <c r="O835" s="53"/>
      <c r="P835" s="53"/>
      <c r="Q835" s="53"/>
    </row>
    <row r="836" spans="3:17" ht="15.75" customHeight="1">
      <c r="C836" s="53"/>
      <c r="D836" s="73"/>
      <c r="E836" s="73"/>
      <c r="F836" s="73"/>
      <c r="G836" s="73"/>
      <c r="H836" s="73"/>
      <c r="I836" s="73"/>
      <c r="J836" s="73"/>
      <c r="K836" s="53"/>
      <c r="L836" s="53"/>
      <c r="M836" s="53"/>
      <c r="N836" s="53"/>
      <c r="O836" s="53"/>
      <c r="P836" s="53"/>
      <c r="Q836" s="53"/>
    </row>
    <row r="837" spans="3:17" ht="15.75" customHeight="1">
      <c r="C837" s="53"/>
      <c r="D837" s="73"/>
      <c r="E837" s="73"/>
      <c r="F837" s="73"/>
      <c r="G837" s="73"/>
      <c r="H837" s="73"/>
      <c r="I837" s="73"/>
      <c r="J837" s="73"/>
      <c r="K837" s="53"/>
      <c r="L837" s="53"/>
      <c r="M837" s="53"/>
      <c r="N837" s="53"/>
      <c r="O837" s="53"/>
      <c r="P837" s="53"/>
      <c r="Q837" s="53"/>
    </row>
    <row r="838" spans="3:17" ht="15.75" customHeight="1">
      <c r="C838" s="53"/>
      <c r="D838" s="73"/>
      <c r="E838" s="73"/>
      <c r="F838" s="73"/>
      <c r="G838" s="73"/>
      <c r="H838" s="73"/>
      <c r="I838" s="73"/>
      <c r="J838" s="73"/>
      <c r="K838" s="53"/>
      <c r="L838" s="53"/>
      <c r="M838" s="53"/>
      <c r="N838" s="53"/>
      <c r="O838" s="53"/>
      <c r="P838" s="53"/>
      <c r="Q838" s="53"/>
    </row>
    <row r="839" spans="3:17" ht="15.75" customHeight="1">
      <c r="C839" s="53"/>
      <c r="D839" s="73"/>
      <c r="E839" s="73"/>
      <c r="F839" s="73"/>
      <c r="G839" s="73"/>
      <c r="H839" s="73"/>
      <c r="I839" s="73"/>
      <c r="J839" s="73"/>
      <c r="K839" s="53"/>
      <c r="L839" s="53"/>
      <c r="M839" s="53"/>
      <c r="N839" s="53"/>
      <c r="O839" s="53"/>
      <c r="P839" s="53"/>
      <c r="Q839" s="53"/>
    </row>
    <row r="840" spans="3:17" ht="15.75" customHeight="1">
      <c r="C840" s="53"/>
      <c r="D840" s="73"/>
      <c r="E840" s="73"/>
      <c r="F840" s="73"/>
      <c r="G840" s="73"/>
      <c r="H840" s="73"/>
      <c r="I840" s="73"/>
      <c r="J840" s="73"/>
      <c r="K840" s="53"/>
      <c r="L840" s="53"/>
      <c r="M840" s="53"/>
      <c r="N840" s="53"/>
      <c r="O840" s="53"/>
      <c r="P840" s="53"/>
      <c r="Q840" s="53"/>
    </row>
    <row r="841" spans="3:17" ht="15.75" customHeight="1">
      <c r="C841" s="53"/>
      <c r="D841" s="73"/>
      <c r="E841" s="73"/>
      <c r="F841" s="73"/>
      <c r="G841" s="73"/>
      <c r="H841" s="73"/>
      <c r="I841" s="73"/>
      <c r="J841" s="73"/>
      <c r="K841" s="53"/>
      <c r="L841" s="53"/>
      <c r="M841" s="53"/>
      <c r="N841" s="53"/>
      <c r="O841" s="53"/>
      <c r="P841" s="53"/>
      <c r="Q841" s="53"/>
    </row>
    <row r="842" spans="3:17" ht="15.75" customHeight="1">
      <c r="C842" s="53"/>
      <c r="D842" s="73"/>
      <c r="E842" s="73"/>
      <c r="F842" s="73"/>
      <c r="G842" s="73"/>
      <c r="H842" s="73"/>
      <c r="I842" s="73"/>
      <c r="J842" s="73"/>
      <c r="K842" s="53"/>
      <c r="L842" s="53"/>
      <c r="M842" s="53"/>
      <c r="N842" s="53"/>
      <c r="O842" s="53"/>
      <c r="P842" s="53"/>
      <c r="Q842" s="53"/>
    </row>
    <row r="843" spans="3:17" ht="15.75" customHeight="1">
      <c r="C843" s="53"/>
      <c r="D843" s="73"/>
      <c r="E843" s="73"/>
      <c r="F843" s="73"/>
      <c r="G843" s="73"/>
      <c r="H843" s="73"/>
      <c r="I843" s="73"/>
      <c r="J843" s="73"/>
      <c r="K843" s="53"/>
      <c r="L843" s="53"/>
      <c r="M843" s="53"/>
      <c r="N843" s="53"/>
      <c r="O843" s="53"/>
      <c r="P843" s="53"/>
      <c r="Q843" s="53"/>
    </row>
    <row r="844" spans="3:17" ht="15.75" customHeight="1">
      <c r="C844" s="53"/>
      <c r="D844" s="73"/>
      <c r="E844" s="73"/>
      <c r="F844" s="73"/>
      <c r="G844" s="73"/>
      <c r="H844" s="73"/>
      <c r="I844" s="73"/>
      <c r="J844" s="73"/>
      <c r="K844" s="53"/>
      <c r="L844" s="53"/>
      <c r="M844" s="53"/>
      <c r="N844" s="53"/>
      <c r="O844" s="53"/>
      <c r="P844" s="53"/>
      <c r="Q844" s="53"/>
    </row>
    <row r="845" spans="3:17" ht="15.75" customHeight="1">
      <c r="C845" s="53"/>
      <c r="D845" s="73"/>
      <c r="E845" s="73"/>
      <c r="F845" s="73"/>
      <c r="G845" s="73"/>
      <c r="H845" s="73"/>
      <c r="I845" s="73"/>
      <c r="J845" s="73"/>
      <c r="K845" s="53"/>
      <c r="L845" s="53"/>
      <c r="M845" s="53"/>
      <c r="N845" s="53"/>
      <c r="O845" s="53"/>
      <c r="P845" s="53"/>
      <c r="Q845" s="53"/>
    </row>
    <row r="846" spans="3:17" ht="15.75" customHeight="1">
      <c r="C846" s="53"/>
      <c r="D846" s="73"/>
      <c r="E846" s="73"/>
      <c r="F846" s="73"/>
      <c r="G846" s="73"/>
      <c r="H846" s="73"/>
      <c r="I846" s="73"/>
      <c r="J846" s="73"/>
      <c r="K846" s="53"/>
      <c r="L846" s="53"/>
      <c r="M846" s="53"/>
      <c r="N846" s="53"/>
      <c r="O846" s="53"/>
      <c r="P846" s="53"/>
      <c r="Q846" s="53"/>
    </row>
    <row r="847" spans="3:17" ht="15.75" customHeight="1">
      <c r="C847" s="53"/>
      <c r="D847" s="73"/>
      <c r="E847" s="73"/>
      <c r="F847" s="73"/>
      <c r="G847" s="73"/>
      <c r="H847" s="73"/>
      <c r="I847" s="73"/>
      <c r="J847" s="73"/>
      <c r="K847" s="53"/>
      <c r="L847" s="53"/>
      <c r="M847" s="53"/>
      <c r="N847" s="53"/>
      <c r="O847" s="53"/>
      <c r="P847" s="53"/>
      <c r="Q847" s="53"/>
    </row>
    <row r="848" spans="3:17" ht="15.75" customHeight="1">
      <c r="C848" s="53"/>
      <c r="D848" s="73"/>
      <c r="E848" s="73"/>
      <c r="F848" s="73"/>
      <c r="G848" s="73"/>
      <c r="H848" s="73"/>
      <c r="I848" s="73"/>
      <c r="J848" s="73"/>
      <c r="K848" s="53"/>
      <c r="L848" s="53"/>
      <c r="M848" s="53"/>
      <c r="N848" s="53"/>
      <c r="O848" s="53"/>
      <c r="P848" s="53"/>
      <c r="Q848" s="53"/>
    </row>
    <row r="849" spans="3:17" ht="15.75" customHeight="1">
      <c r="C849" s="53"/>
      <c r="D849" s="73"/>
      <c r="E849" s="73"/>
      <c r="F849" s="73"/>
      <c r="G849" s="73"/>
      <c r="H849" s="73"/>
      <c r="I849" s="73"/>
      <c r="J849" s="73"/>
      <c r="K849" s="53"/>
      <c r="L849" s="53"/>
      <c r="M849" s="53"/>
      <c r="N849" s="53"/>
      <c r="O849" s="53"/>
      <c r="P849" s="53"/>
      <c r="Q849" s="53"/>
    </row>
    <row r="850" spans="3:17" ht="15.75" customHeight="1">
      <c r="C850" s="53"/>
      <c r="D850" s="73"/>
      <c r="E850" s="73"/>
      <c r="F850" s="73"/>
      <c r="G850" s="73"/>
      <c r="H850" s="73"/>
      <c r="I850" s="73"/>
      <c r="J850" s="73"/>
      <c r="K850" s="53"/>
      <c r="L850" s="53"/>
      <c r="M850" s="53"/>
      <c r="N850" s="53"/>
      <c r="O850" s="53"/>
      <c r="P850" s="53"/>
      <c r="Q850" s="53"/>
    </row>
    <row r="851" spans="3:17" ht="15.75" customHeight="1">
      <c r="C851" s="53"/>
      <c r="D851" s="73"/>
      <c r="E851" s="73"/>
      <c r="F851" s="73"/>
      <c r="G851" s="73"/>
      <c r="H851" s="73"/>
      <c r="I851" s="73"/>
      <c r="J851" s="73"/>
      <c r="K851" s="53"/>
      <c r="L851" s="53"/>
      <c r="M851" s="53"/>
      <c r="N851" s="53"/>
      <c r="O851" s="53"/>
      <c r="P851" s="53"/>
      <c r="Q851" s="53"/>
    </row>
    <row r="852" spans="3:17" ht="15.75" customHeight="1">
      <c r="C852" s="53"/>
      <c r="D852" s="73"/>
      <c r="E852" s="73"/>
      <c r="F852" s="73"/>
      <c r="G852" s="73"/>
      <c r="H852" s="73"/>
      <c r="I852" s="73"/>
      <c r="J852" s="73"/>
      <c r="K852" s="53"/>
      <c r="L852" s="53"/>
      <c r="M852" s="53"/>
      <c r="N852" s="53"/>
      <c r="O852" s="53"/>
      <c r="P852" s="53"/>
      <c r="Q852" s="53"/>
    </row>
    <row r="853" spans="3:17" ht="15.75" customHeight="1">
      <c r="C853" s="53"/>
      <c r="D853" s="73"/>
      <c r="E853" s="73"/>
      <c r="F853" s="73"/>
      <c r="G853" s="73"/>
      <c r="H853" s="73"/>
      <c r="I853" s="73"/>
      <c r="J853" s="73"/>
      <c r="K853" s="53"/>
      <c r="L853" s="53"/>
      <c r="M853" s="53"/>
      <c r="N853" s="53"/>
      <c r="O853" s="53"/>
      <c r="P853" s="53"/>
      <c r="Q853" s="53"/>
    </row>
    <row r="854" spans="3:17" ht="15.75" customHeight="1">
      <c r="C854" s="53"/>
      <c r="D854" s="73"/>
      <c r="E854" s="73"/>
      <c r="F854" s="73"/>
      <c r="G854" s="73"/>
      <c r="H854" s="73"/>
      <c r="I854" s="73"/>
      <c r="J854" s="73"/>
      <c r="K854" s="53"/>
      <c r="L854" s="53"/>
      <c r="M854" s="53"/>
      <c r="N854" s="53"/>
      <c r="O854" s="53"/>
      <c r="P854" s="53"/>
      <c r="Q854" s="53"/>
    </row>
    <row r="855" spans="3:17" ht="15.75" customHeight="1">
      <c r="C855" s="53"/>
      <c r="D855" s="73"/>
      <c r="E855" s="73"/>
      <c r="F855" s="73"/>
      <c r="G855" s="73"/>
      <c r="H855" s="73"/>
      <c r="I855" s="73"/>
      <c r="J855" s="73"/>
      <c r="K855" s="53"/>
      <c r="L855" s="53"/>
      <c r="M855" s="53"/>
      <c r="N855" s="53"/>
      <c r="O855" s="53"/>
      <c r="P855" s="53"/>
      <c r="Q855" s="53"/>
    </row>
    <row r="856" spans="3:17" ht="15.75" customHeight="1">
      <c r="C856" s="53"/>
      <c r="D856" s="73"/>
      <c r="E856" s="73"/>
      <c r="F856" s="73"/>
      <c r="G856" s="73"/>
      <c r="H856" s="73"/>
      <c r="I856" s="73"/>
      <c r="J856" s="73"/>
      <c r="K856" s="53"/>
      <c r="L856" s="53"/>
      <c r="M856" s="53"/>
      <c r="N856" s="53"/>
      <c r="O856" s="53"/>
      <c r="P856" s="53"/>
      <c r="Q856" s="53"/>
    </row>
    <row r="857" spans="3:17" ht="15.75" customHeight="1">
      <c r="C857" s="53"/>
      <c r="D857" s="73"/>
      <c r="E857" s="73"/>
      <c r="F857" s="73"/>
      <c r="G857" s="73"/>
      <c r="H857" s="73"/>
      <c r="I857" s="73"/>
      <c r="J857" s="73"/>
      <c r="K857" s="53"/>
      <c r="L857" s="53"/>
      <c r="M857" s="53"/>
      <c r="N857" s="53"/>
      <c r="O857" s="53"/>
      <c r="P857" s="53"/>
      <c r="Q857" s="53"/>
    </row>
    <row r="858" spans="3:17" ht="15.75" customHeight="1">
      <c r="C858" s="53"/>
      <c r="D858" s="73"/>
      <c r="E858" s="73"/>
      <c r="F858" s="73"/>
      <c r="G858" s="73"/>
      <c r="H858" s="73"/>
      <c r="I858" s="73"/>
      <c r="J858" s="73"/>
      <c r="K858" s="53"/>
      <c r="L858" s="53"/>
      <c r="M858" s="53"/>
      <c r="N858" s="53"/>
      <c r="O858" s="53"/>
      <c r="P858" s="53"/>
      <c r="Q858" s="53"/>
    </row>
    <row r="859" spans="3:17" ht="15.75" customHeight="1">
      <c r="C859" s="53"/>
      <c r="D859" s="73"/>
      <c r="E859" s="73"/>
      <c r="F859" s="73"/>
      <c r="G859" s="73"/>
      <c r="H859" s="73"/>
      <c r="I859" s="73"/>
      <c r="J859" s="73"/>
      <c r="K859" s="53"/>
      <c r="L859" s="53"/>
      <c r="M859" s="53"/>
      <c r="N859" s="53"/>
      <c r="O859" s="53"/>
      <c r="P859" s="53"/>
      <c r="Q859" s="53"/>
    </row>
    <row r="860" spans="3:17" ht="15.75" customHeight="1">
      <c r="C860" s="53"/>
      <c r="D860" s="73"/>
      <c r="E860" s="73"/>
      <c r="F860" s="73"/>
      <c r="G860" s="73"/>
      <c r="H860" s="73"/>
      <c r="I860" s="73"/>
      <c r="J860" s="73"/>
      <c r="K860" s="53"/>
      <c r="L860" s="53"/>
      <c r="M860" s="53"/>
      <c r="N860" s="53"/>
      <c r="O860" s="53"/>
      <c r="P860" s="53"/>
      <c r="Q860" s="53"/>
    </row>
    <row r="861" spans="3:17" ht="15.75" customHeight="1">
      <c r="C861" s="53"/>
      <c r="D861" s="73"/>
      <c r="E861" s="73"/>
      <c r="F861" s="73"/>
      <c r="G861" s="73"/>
      <c r="H861" s="73"/>
      <c r="I861" s="73"/>
      <c r="J861" s="73"/>
      <c r="K861" s="53"/>
      <c r="L861" s="53"/>
      <c r="M861" s="53"/>
      <c r="N861" s="53"/>
      <c r="O861" s="53"/>
      <c r="P861" s="53"/>
      <c r="Q861" s="53"/>
    </row>
    <row r="862" spans="3:17" ht="15.75" customHeight="1">
      <c r="C862" s="53"/>
      <c r="D862" s="73"/>
      <c r="E862" s="73"/>
      <c r="F862" s="73"/>
      <c r="G862" s="73"/>
      <c r="H862" s="73"/>
      <c r="I862" s="73"/>
      <c r="J862" s="73"/>
      <c r="K862" s="53"/>
      <c r="L862" s="53"/>
      <c r="M862" s="53"/>
      <c r="N862" s="53"/>
      <c r="O862" s="53"/>
      <c r="P862" s="53"/>
      <c r="Q862" s="53"/>
    </row>
    <row r="863" spans="3:17" ht="15.75" customHeight="1">
      <c r="C863" s="53"/>
      <c r="D863" s="73"/>
      <c r="E863" s="73"/>
      <c r="F863" s="73"/>
      <c r="G863" s="73"/>
      <c r="H863" s="73"/>
      <c r="I863" s="73"/>
      <c r="J863" s="73"/>
      <c r="K863" s="53"/>
      <c r="L863" s="53"/>
      <c r="M863" s="53"/>
      <c r="N863" s="53"/>
      <c r="O863" s="53"/>
      <c r="P863" s="53"/>
      <c r="Q863" s="53"/>
    </row>
    <row r="864" spans="3:17" ht="15.75" customHeight="1">
      <c r="C864" s="53"/>
      <c r="D864" s="73"/>
      <c r="E864" s="73"/>
      <c r="F864" s="73"/>
      <c r="G864" s="73"/>
      <c r="H864" s="73"/>
      <c r="I864" s="73"/>
      <c r="J864" s="73"/>
      <c r="K864" s="53"/>
      <c r="L864" s="53"/>
      <c r="M864" s="53"/>
      <c r="N864" s="53"/>
      <c r="O864" s="53"/>
      <c r="P864" s="53"/>
      <c r="Q864" s="53"/>
    </row>
    <row r="865" spans="3:17" ht="15.75" customHeight="1">
      <c r="C865" s="53"/>
      <c r="D865" s="73"/>
      <c r="E865" s="73"/>
      <c r="F865" s="73"/>
      <c r="G865" s="73"/>
      <c r="H865" s="73"/>
      <c r="I865" s="73"/>
      <c r="J865" s="73"/>
      <c r="K865" s="53"/>
      <c r="L865" s="53"/>
      <c r="M865" s="53"/>
      <c r="N865" s="53"/>
      <c r="O865" s="53"/>
      <c r="P865" s="53"/>
      <c r="Q865" s="53"/>
    </row>
    <row r="866" spans="3:17" ht="15.75" customHeight="1">
      <c r="C866" s="53"/>
      <c r="D866" s="73"/>
      <c r="E866" s="73"/>
      <c r="F866" s="73"/>
      <c r="G866" s="73"/>
      <c r="H866" s="73"/>
      <c r="I866" s="73"/>
      <c r="J866" s="73"/>
      <c r="K866" s="53"/>
      <c r="L866" s="53"/>
      <c r="M866" s="53"/>
      <c r="N866" s="53"/>
      <c r="O866" s="53"/>
      <c r="P866" s="53"/>
      <c r="Q866" s="53"/>
    </row>
    <row r="867" spans="3:17" ht="15.75" customHeight="1">
      <c r="C867" s="53"/>
      <c r="D867" s="73"/>
      <c r="E867" s="73"/>
      <c r="F867" s="73"/>
      <c r="G867" s="73"/>
      <c r="H867" s="73"/>
      <c r="I867" s="73"/>
      <c r="J867" s="73"/>
      <c r="K867" s="53"/>
      <c r="L867" s="53"/>
      <c r="M867" s="53"/>
      <c r="N867" s="53"/>
      <c r="O867" s="53"/>
      <c r="P867" s="53"/>
      <c r="Q867" s="53"/>
    </row>
    <row r="868" spans="3:17" ht="15.75" customHeight="1">
      <c r="C868" s="53"/>
      <c r="D868" s="73"/>
      <c r="E868" s="73"/>
      <c r="F868" s="73"/>
      <c r="G868" s="73"/>
      <c r="H868" s="73"/>
      <c r="I868" s="73"/>
      <c r="J868" s="73"/>
      <c r="K868" s="53"/>
      <c r="L868" s="53"/>
      <c r="M868" s="53"/>
      <c r="N868" s="53"/>
      <c r="O868" s="53"/>
      <c r="P868" s="53"/>
      <c r="Q868" s="53"/>
    </row>
    <row r="869" spans="3:17" ht="15.75" customHeight="1">
      <c r="C869" s="53"/>
      <c r="D869" s="73"/>
      <c r="E869" s="73"/>
      <c r="F869" s="73"/>
      <c r="G869" s="73"/>
      <c r="H869" s="73"/>
      <c r="I869" s="73"/>
      <c r="J869" s="73"/>
      <c r="K869" s="53"/>
      <c r="L869" s="53"/>
      <c r="M869" s="53"/>
      <c r="N869" s="53"/>
      <c r="O869" s="53"/>
      <c r="P869" s="53"/>
      <c r="Q869" s="53"/>
    </row>
    <row r="870" spans="3:17" ht="15.75" customHeight="1">
      <c r="C870" s="53"/>
      <c r="D870" s="73"/>
      <c r="E870" s="73"/>
      <c r="F870" s="73"/>
      <c r="G870" s="73"/>
      <c r="H870" s="73"/>
      <c r="I870" s="73"/>
      <c r="J870" s="73"/>
      <c r="K870" s="53"/>
      <c r="L870" s="53"/>
      <c r="M870" s="53"/>
      <c r="N870" s="53"/>
      <c r="O870" s="53"/>
      <c r="P870" s="53"/>
      <c r="Q870" s="53"/>
    </row>
    <row r="871" spans="3:17" ht="15.75" customHeight="1">
      <c r="C871" s="53"/>
      <c r="D871" s="73"/>
      <c r="E871" s="73"/>
      <c r="F871" s="73"/>
      <c r="G871" s="73"/>
      <c r="H871" s="73"/>
      <c r="I871" s="73"/>
      <c r="J871" s="73"/>
      <c r="K871" s="53"/>
      <c r="L871" s="53"/>
      <c r="M871" s="53"/>
      <c r="N871" s="53"/>
      <c r="O871" s="53"/>
      <c r="P871" s="53"/>
      <c r="Q871" s="53"/>
    </row>
    <row r="872" spans="3:17" ht="15.75" customHeight="1">
      <c r="C872" s="53"/>
      <c r="D872" s="73"/>
      <c r="E872" s="73"/>
      <c r="F872" s="73"/>
      <c r="G872" s="73"/>
      <c r="H872" s="73"/>
      <c r="I872" s="73"/>
      <c r="J872" s="73"/>
      <c r="K872" s="53"/>
      <c r="L872" s="53"/>
      <c r="M872" s="53"/>
      <c r="N872" s="53"/>
      <c r="O872" s="53"/>
      <c r="P872" s="53"/>
      <c r="Q872" s="53"/>
    </row>
    <row r="873" spans="3:17" ht="15.75" customHeight="1">
      <c r="C873" s="53"/>
      <c r="D873" s="73"/>
      <c r="E873" s="73"/>
      <c r="F873" s="73"/>
      <c r="G873" s="73"/>
      <c r="H873" s="73"/>
      <c r="I873" s="73"/>
      <c r="J873" s="73"/>
      <c r="K873" s="53"/>
      <c r="L873" s="53"/>
      <c r="M873" s="53"/>
      <c r="N873" s="53"/>
      <c r="O873" s="53"/>
      <c r="P873" s="53"/>
      <c r="Q873" s="53"/>
    </row>
    <row r="874" spans="3:17" ht="15.75" customHeight="1">
      <c r="C874" s="53"/>
      <c r="D874" s="73"/>
      <c r="E874" s="73"/>
      <c r="F874" s="73"/>
      <c r="G874" s="73"/>
      <c r="H874" s="73"/>
      <c r="I874" s="73"/>
      <c r="J874" s="73"/>
      <c r="K874" s="53"/>
      <c r="L874" s="53"/>
      <c r="M874" s="53"/>
      <c r="N874" s="53"/>
      <c r="O874" s="53"/>
      <c r="P874" s="53"/>
      <c r="Q874" s="53"/>
    </row>
    <row r="875" spans="3:17" ht="15.75" customHeight="1">
      <c r="C875" s="53"/>
      <c r="D875" s="73"/>
      <c r="E875" s="73"/>
      <c r="F875" s="73"/>
      <c r="G875" s="73"/>
      <c r="H875" s="73"/>
      <c r="I875" s="73"/>
      <c r="J875" s="73"/>
      <c r="K875" s="53"/>
      <c r="L875" s="53"/>
      <c r="M875" s="53"/>
      <c r="N875" s="53"/>
      <c r="O875" s="53"/>
      <c r="P875" s="53"/>
      <c r="Q875" s="53"/>
    </row>
    <row r="876" spans="3:17" ht="15.75" customHeight="1">
      <c r="C876" s="53"/>
      <c r="D876" s="73"/>
      <c r="E876" s="73"/>
      <c r="F876" s="73"/>
      <c r="G876" s="73"/>
      <c r="H876" s="73"/>
      <c r="I876" s="73"/>
      <c r="J876" s="73"/>
      <c r="K876" s="53"/>
      <c r="L876" s="53"/>
      <c r="M876" s="53"/>
      <c r="N876" s="53"/>
      <c r="O876" s="53"/>
      <c r="P876" s="53"/>
      <c r="Q876" s="53"/>
    </row>
    <row r="877" spans="3:17" ht="15.75" customHeight="1">
      <c r="C877" s="53"/>
      <c r="D877" s="73"/>
      <c r="E877" s="73"/>
      <c r="F877" s="73"/>
      <c r="G877" s="73"/>
      <c r="H877" s="73"/>
      <c r="I877" s="73"/>
      <c r="J877" s="73"/>
      <c r="K877" s="53"/>
      <c r="L877" s="53"/>
      <c r="M877" s="53"/>
      <c r="N877" s="53"/>
      <c r="O877" s="53"/>
      <c r="P877" s="53"/>
      <c r="Q877" s="53"/>
    </row>
    <row r="878" spans="3:17" ht="15.75" customHeight="1">
      <c r="C878" s="53"/>
      <c r="D878" s="73"/>
      <c r="E878" s="73"/>
      <c r="F878" s="73"/>
      <c r="G878" s="73"/>
      <c r="H878" s="73"/>
      <c r="I878" s="73"/>
      <c r="J878" s="73"/>
      <c r="K878" s="53"/>
      <c r="L878" s="53"/>
      <c r="M878" s="53"/>
      <c r="N878" s="53"/>
      <c r="O878" s="53"/>
      <c r="P878" s="53"/>
      <c r="Q878" s="53"/>
    </row>
    <row r="879" spans="3:17" ht="15.75" customHeight="1">
      <c r="C879" s="53"/>
      <c r="D879" s="73"/>
      <c r="E879" s="73"/>
      <c r="F879" s="73"/>
      <c r="G879" s="73"/>
      <c r="H879" s="73"/>
      <c r="I879" s="73"/>
      <c r="J879" s="73"/>
      <c r="K879" s="53"/>
      <c r="L879" s="53"/>
      <c r="M879" s="53"/>
      <c r="N879" s="53"/>
      <c r="O879" s="53"/>
      <c r="P879" s="53"/>
      <c r="Q879" s="53"/>
    </row>
    <row r="880" spans="3:17" ht="15.75" customHeight="1">
      <c r="C880" s="53"/>
      <c r="D880" s="73"/>
      <c r="E880" s="73"/>
      <c r="F880" s="73"/>
      <c r="G880" s="73"/>
      <c r="H880" s="73"/>
      <c r="I880" s="73"/>
      <c r="J880" s="73"/>
      <c r="K880" s="53"/>
      <c r="L880" s="53"/>
      <c r="M880" s="53"/>
      <c r="N880" s="53"/>
      <c r="O880" s="53"/>
      <c r="P880" s="53"/>
      <c r="Q880" s="53"/>
    </row>
    <row r="881" spans="3:17" ht="15.75" customHeight="1">
      <c r="C881" s="53"/>
      <c r="D881" s="73"/>
      <c r="E881" s="73"/>
      <c r="F881" s="73"/>
      <c r="G881" s="73"/>
      <c r="H881" s="73"/>
      <c r="I881" s="73"/>
      <c r="J881" s="73"/>
      <c r="K881" s="53"/>
      <c r="L881" s="53"/>
      <c r="M881" s="53"/>
      <c r="N881" s="53"/>
      <c r="O881" s="53"/>
      <c r="P881" s="53"/>
      <c r="Q881" s="53"/>
    </row>
    <row r="882" spans="3:17" ht="15.75" customHeight="1">
      <c r="C882" s="53"/>
      <c r="D882" s="73"/>
      <c r="E882" s="73"/>
      <c r="F882" s="73"/>
      <c r="G882" s="73"/>
      <c r="H882" s="73"/>
      <c r="I882" s="73"/>
      <c r="J882" s="73"/>
      <c r="K882" s="53"/>
      <c r="L882" s="53"/>
      <c r="M882" s="53"/>
      <c r="N882" s="53"/>
      <c r="O882" s="53"/>
      <c r="P882" s="53"/>
      <c r="Q882" s="53"/>
    </row>
    <row r="883" spans="3:17" ht="15.75" customHeight="1">
      <c r="C883" s="53"/>
      <c r="D883" s="73"/>
      <c r="E883" s="73"/>
      <c r="F883" s="73"/>
      <c r="G883" s="73"/>
      <c r="H883" s="73"/>
      <c r="I883" s="73"/>
      <c r="J883" s="73"/>
      <c r="K883" s="53"/>
      <c r="L883" s="53"/>
      <c r="M883" s="53"/>
      <c r="N883" s="53"/>
      <c r="O883" s="53"/>
      <c r="P883" s="53"/>
      <c r="Q883" s="53"/>
    </row>
    <row r="884" spans="3:17" ht="15.75" customHeight="1">
      <c r="C884" s="53"/>
      <c r="D884" s="73"/>
      <c r="E884" s="73"/>
      <c r="F884" s="73"/>
      <c r="G884" s="73"/>
      <c r="H884" s="73"/>
      <c r="I884" s="73"/>
      <c r="J884" s="73"/>
      <c r="K884" s="53"/>
      <c r="L884" s="53"/>
      <c r="M884" s="53"/>
      <c r="N884" s="53"/>
      <c r="O884" s="53"/>
      <c r="P884" s="53"/>
      <c r="Q884" s="53"/>
    </row>
    <row r="885" spans="3:17" ht="15.75" customHeight="1">
      <c r="C885" s="53"/>
      <c r="D885" s="73"/>
      <c r="E885" s="73"/>
      <c r="F885" s="73"/>
      <c r="G885" s="73"/>
      <c r="H885" s="73"/>
      <c r="I885" s="73"/>
      <c r="J885" s="73"/>
      <c r="K885" s="53"/>
      <c r="L885" s="53"/>
      <c r="M885" s="53"/>
      <c r="N885" s="53"/>
      <c r="O885" s="53"/>
      <c r="P885" s="53"/>
      <c r="Q885" s="53"/>
    </row>
    <row r="886" spans="3:17" ht="15.75" customHeight="1">
      <c r="C886" s="53"/>
      <c r="D886" s="73"/>
      <c r="E886" s="73"/>
      <c r="F886" s="73"/>
      <c r="G886" s="73"/>
      <c r="H886" s="73"/>
      <c r="I886" s="73"/>
      <c r="J886" s="73"/>
      <c r="K886" s="53"/>
      <c r="L886" s="53"/>
      <c r="M886" s="53"/>
      <c r="N886" s="53"/>
      <c r="O886" s="53"/>
      <c r="P886" s="53"/>
      <c r="Q886" s="53"/>
    </row>
    <row r="887" spans="3:17" ht="15.75" customHeight="1">
      <c r="C887" s="53"/>
      <c r="D887" s="73"/>
      <c r="E887" s="73"/>
      <c r="F887" s="73"/>
      <c r="G887" s="73"/>
      <c r="H887" s="73"/>
      <c r="I887" s="73"/>
      <c r="J887" s="73"/>
      <c r="K887" s="53"/>
      <c r="L887" s="53"/>
      <c r="M887" s="53"/>
      <c r="N887" s="53"/>
      <c r="O887" s="53"/>
      <c r="P887" s="53"/>
      <c r="Q887" s="53"/>
    </row>
    <row r="888" spans="3:17" ht="15.75" customHeight="1">
      <c r="C888" s="53"/>
      <c r="D888" s="73"/>
      <c r="E888" s="73"/>
      <c r="F888" s="73"/>
      <c r="G888" s="73"/>
      <c r="H888" s="73"/>
      <c r="I888" s="73"/>
      <c r="J888" s="73"/>
      <c r="K888" s="53"/>
      <c r="L888" s="53"/>
      <c r="M888" s="53"/>
      <c r="N888" s="53"/>
      <c r="O888" s="53"/>
      <c r="P888" s="53"/>
      <c r="Q888" s="53"/>
    </row>
    <row r="889" spans="3:17" ht="15.75" customHeight="1">
      <c r="C889" s="53"/>
      <c r="D889" s="73"/>
      <c r="E889" s="73"/>
      <c r="F889" s="73"/>
      <c r="G889" s="73"/>
      <c r="H889" s="73"/>
      <c r="I889" s="73"/>
      <c r="J889" s="73"/>
      <c r="K889" s="53"/>
      <c r="L889" s="53"/>
      <c r="M889" s="53"/>
      <c r="N889" s="53"/>
      <c r="O889" s="53"/>
      <c r="P889" s="53"/>
      <c r="Q889" s="53"/>
    </row>
    <row r="890" spans="3:17" ht="15.75" customHeight="1">
      <c r="C890" s="53"/>
      <c r="D890" s="73"/>
      <c r="E890" s="73"/>
      <c r="F890" s="73"/>
      <c r="G890" s="73"/>
      <c r="H890" s="73"/>
      <c r="I890" s="73"/>
      <c r="J890" s="73"/>
      <c r="K890" s="53"/>
      <c r="L890" s="53"/>
      <c r="M890" s="53"/>
      <c r="N890" s="53"/>
      <c r="O890" s="53"/>
      <c r="P890" s="53"/>
      <c r="Q890" s="53"/>
    </row>
    <row r="891" spans="3:17" ht="15.75" customHeight="1">
      <c r="C891" s="53"/>
      <c r="D891" s="73"/>
      <c r="E891" s="73"/>
      <c r="F891" s="73"/>
      <c r="G891" s="73"/>
      <c r="H891" s="73"/>
      <c r="I891" s="73"/>
      <c r="J891" s="73"/>
      <c r="K891" s="53"/>
      <c r="L891" s="53"/>
      <c r="M891" s="53"/>
      <c r="N891" s="53"/>
      <c r="O891" s="53"/>
      <c r="P891" s="53"/>
      <c r="Q891" s="53"/>
    </row>
    <row r="892" spans="3:17" ht="15.75" customHeight="1">
      <c r="C892" s="53"/>
      <c r="D892" s="73"/>
      <c r="E892" s="73"/>
      <c r="F892" s="73"/>
      <c r="G892" s="73"/>
      <c r="H892" s="73"/>
      <c r="I892" s="73"/>
      <c r="J892" s="73"/>
      <c r="K892" s="53"/>
      <c r="L892" s="53"/>
      <c r="M892" s="53"/>
      <c r="N892" s="53"/>
      <c r="O892" s="53"/>
      <c r="P892" s="53"/>
      <c r="Q892" s="53"/>
    </row>
    <row r="893" spans="3:17" ht="15.75" customHeight="1">
      <c r="C893" s="53"/>
      <c r="D893" s="73"/>
      <c r="E893" s="73"/>
      <c r="F893" s="73"/>
      <c r="G893" s="73"/>
      <c r="H893" s="73"/>
      <c r="I893" s="73"/>
      <c r="J893" s="73"/>
      <c r="K893" s="53"/>
      <c r="L893" s="53"/>
      <c r="M893" s="53"/>
      <c r="N893" s="53"/>
      <c r="O893" s="53"/>
      <c r="P893" s="53"/>
      <c r="Q893" s="53"/>
    </row>
    <row r="894" spans="3:17" ht="15.75" customHeight="1">
      <c r="C894" s="53"/>
      <c r="D894" s="73"/>
      <c r="E894" s="73"/>
      <c r="F894" s="73"/>
      <c r="G894" s="73"/>
      <c r="H894" s="73"/>
      <c r="I894" s="73"/>
      <c r="J894" s="73"/>
      <c r="K894" s="53"/>
      <c r="L894" s="53"/>
      <c r="M894" s="53"/>
      <c r="N894" s="53"/>
      <c r="O894" s="53"/>
      <c r="P894" s="53"/>
      <c r="Q894" s="53"/>
    </row>
    <row r="895" spans="3:17" ht="15.75" customHeight="1">
      <c r="C895" s="53"/>
      <c r="D895" s="73"/>
      <c r="E895" s="73"/>
      <c r="F895" s="73"/>
      <c r="G895" s="73"/>
      <c r="H895" s="73"/>
      <c r="I895" s="73"/>
      <c r="J895" s="73"/>
      <c r="K895" s="53"/>
      <c r="L895" s="53"/>
      <c r="M895" s="53"/>
      <c r="N895" s="53"/>
      <c r="O895" s="53"/>
      <c r="P895" s="53"/>
      <c r="Q895" s="53"/>
    </row>
    <row r="896" spans="3:17" ht="15.75" customHeight="1">
      <c r="C896" s="53"/>
      <c r="D896" s="73"/>
      <c r="E896" s="73"/>
      <c r="F896" s="73"/>
      <c r="G896" s="73"/>
      <c r="H896" s="73"/>
      <c r="I896" s="73"/>
      <c r="J896" s="73"/>
      <c r="K896" s="53"/>
      <c r="L896" s="53"/>
      <c r="M896" s="53"/>
      <c r="N896" s="53"/>
      <c r="O896" s="53"/>
      <c r="P896" s="53"/>
      <c r="Q896" s="53"/>
    </row>
    <row r="897" spans="3:17" ht="15.75" customHeight="1">
      <c r="C897" s="53"/>
      <c r="D897" s="73"/>
      <c r="E897" s="73"/>
      <c r="F897" s="73"/>
      <c r="G897" s="73"/>
      <c r="H897" s="73"/>
      <c r="I897" s="73"/>
      <c r="J897" s="73"/>
      <c r="K897" s="53"/>
      <c r="L897" s="53"/>
      <c r="M897" s="53"/>
      <c r="N897" s="53"/>
      <c r="O897" s="53"/>
      <c r="P897" s="53"/>
      <c r="Q897" s="53"/>
    </row>
    <row r="898" spans="3:17" ht="15.75" customHeight="1">
      <c r="C898" s="53"/>
      <c r="D898" s="73"/>
      <c r="E898" s="73"/>
      <c r="F898" s="73"/>
      <c r="G898" s="73"/>
      <c r="H898" s="73"/>
      <c r="I898" s="73"/>
      <c r="J898" s="73"/>
      <c r="K898" s="53"/>
      <c r="L898" s="53"/>
      <c r="M898" s="53"/>
      <c r="N898" s="53"/>
      <c r="O898" s="53"/>
      <c r="P898" s="53"/>
      <c r="Q898" s="53"/>
    </row>
    <row r="899" spans="3:17" ht="15.75" customHeight="1">
      <c r="C899" s="53"/>
      <c r="D899" s="73"/>
      <c r="E899" s="73"/>
      <c r="F899" s="73"/>
      <c r="G899" s="73"/>
      <c r="H899" s="73"/>
      <c r="I899" s="73"/>
      <c r="J899" s="73"/>
      <c r="K899" s="53"/>
      <c r="L899" s="53"/>
      <c r="M899" s="53"/>
      <c r="N899" s="53"/>
      <c r="O899" s="53"/>
      <c r="P899" s="53"/>
      <c r="Q899" s="53"/>
    </row>
    <row r="900" spans="3:17" ht="15.75" customHeight="1">
      <c r="C900" s="53"/>
      <c r="D900" s="73"/>
      <c r="E900" s="73"/>
      <c r="F900" s="73"/>
      <c r="G900" s="73"/>
      <c r="H900" s="73"/>
      <c r="I900" s="73"/>
      <c r="J900" s="73"/>
      <c r="K900" s="53"/>
      <c r="L900" s="53"/>
      <c r="M900" s="53"/>
      <c r="N900" s="53"/>
      <c r="O900" s="53"/>
      <c r="P900" s="53"/>
      <c r="Q900" s="53"/>
    </row>
    <row r="901" spans="3:17" ht="15.75" customHeight="1">
      <c r="C901" s="53"/>
      <c r="D901" s="73"/>
      <c r="E901" s="73"/>
      <c r="F901" s="73"/>
      <c r="G901" s="73"/>
      <c r="H901" s="73"/>
      <c r="I901" s="73"/>
      <c r="J901" s="73"/>
      <c r="K901" s="53"/>
      <c r="L901" s="53"/>
      <c r="M901" s="53"/>
      <c r="N901" s="53"/>
      <c r="O901" s="53"/>
      <c r="P901" s="53"/>
      <c r="Q901" s="53"/>
    </row>
    <row r="902" spans="3:17" ht="15.75" customHeight="1">
      <c r="C902" s="53"/>
      <c r="D902" s="73"/>
      <c r="E902" s="73"/>
      <c r="F902" s="73"/>
      <c r="G902" s="73"/>
      <c r="H902" s="73"/>
      <c r="I902" s="73"/>
      <c r="J902" s="73"/>
      <c r="K902" s="53"/>
      <c r="L902" s="53"/>
      <c r="M902" s="53"/>
      <c r="N902" s="53"/>
      <c r="O902" s="53"/>
      <c r="P902" s="53"/>
      <c r="Q902" s="53"/>
    </row>
    <row r="903" spans="3:17" ht="15.75" customHeight="1">
      <c r="C903" s="53"/>
      <c r="D903" s="73"/>
      <c r="E903" s="73"/>
      <c r="F903" s="73"/>
      <c r="G903" s="73"/>
      <c r="H903" s="73"/>
      <c r="I903" s="73"/>
      <c r="J903" s="73"/>
      <c r="K903" s="53"/>
      <c r="L903" s="53"/>
      <c r="M903" s="53"/>
      <c r="N903" s="53"/>
      <c r="O903" s="53"/>
      <c r="P903" s="53"/>
      <c r="Q903" s="53"/>
    </row>
    <row r="904" spans="3:17" ht="15.75" customHeight="1">
      <c r="C904" s="53"/>
      <c r="D904" s="73"/>
      <c r="E904" s="73"/>
      <c r="F904" s="73"/>
      <c r="G904" s="73"/>
      <c r="H904" s="73"/>
      <c r="I904" s="73"/>
      <c r="J904" s="73"/>
      <c r="K904" s="53"/>
      <c r="L904" s="53"/>
      <c r="M904" s="53"/>
      <c r="N904" s="53"/>
      <c r="O904" s="53"/>
      <c r="P904" s="53"/>
      <c r="Q904" s="53"/>
    </row>
    <row r="905" spans="3:17" ht="15.75" customHeight="1">
      <c r="C905" s="53"/>
      <c r="D905" s="73"/>
      <c r="E905" s="73"/>
      <c r="F905" s="73"/>
      <c r="G905" s="73"/>
      <c r="H905" s="73"/>
      <c r="I905" s="73"/>
      <c r="J905" s="73"/>
      <c r="K905" s="53"/>
      <c r="L905" s="53"/>
      <c r="M905" s="53"/>
      <c r="N905" s="53"/>
      <c r="O905" s="53"/>
      <c r="P905" s="53"/>
      <c r="Q905" s="53"/>
    </row>
    <row r="906" spans="3:17" ht="15.75" customHeight="1">
      <c r="C906" s="53"/>
      <c r="D906" s="73"/>
      <c r="E906" s="73"/>
      <c r="F906" s="73"/>
      <c r="G906" s="73"/>
      <c r="H906" s="73"/>
      <c r="I906" s="73"/>
      <c r="J906" s="73"/>
      <c r="K906" s="53"/>
      <c r="L906" s="53"/>
      <c r="M906" s="53"/>
      <c r="N906" s="53"/>
      <c r="O906" s="53"/>
      <c r="P906" s="53"/>
      <c r="Q906" s="53"/>
    </row>
    <row r="907" spans="3:17" ht="15.75" customHeight="1">
      <c r="C907" s="53"/>
      <c r="D907" s="73"/>
      <c r="E907" s="73"/>
      <c r="F907" s="73"/>
      <c r="G907" s="73"/>
      <c r="H907" s="73"/>
      <c r="I907" s="73"/>
      <c r="J907" s="73"/>
      <c r="K907" s="53"/>
      <c r="L907" s="53"/>
      <c r="M907" s="53"/>
      <c r="N907" s="53"/>
      <c r="O907" s="53"/>
      <c r="P907" s="53"/>
      <c r="Q907" s="53"/>
    </row>
    <row r="908" spans="3:17" ht="15.75" customHeight="1">
      <c r="C908" s="53"/>
      <c r="D908" s="73"/>
      <c r="E908" s="73"/>
      <c r="F908" s="73"/>
      <c r="G908" s="73"/>
      <c r="H908" s="73"/>
      <c r="I908" s="73"/>
      <c r="J908" s="73"/>
      <c r="K908" s="53"/>
      <c r="L908" s="53"/>
      <c r="M908" s="53"/>
      <c r="N908" s="53"/>
      <c r="O908" s="53"/>
      <c r="P908" s="53"/>
      <c r="Q908" s="53"/>
    </row>
    <row r="909" spans="3:17" ht="15.75" customHeight="1">
      <c r="C909" s="53"/>
      <c r="D909" s="73"/>
      <c r="E909" s="73"/>
      <c r="F909" s="73"/>
      <c r="G909" s="73"/>
      <c r="H909" s="73"/>
      <c r="I909" s="73"/>
      <c r="J909" s="73"/>
      <c r="K909" s="53"/>
      <c r="L909" s="53"/>
      <c r="M909" s="53"/>
      <c r="N909" s="53"/>
      <c r="O909" s="53"/>
      <c r="P909" s="53"/>
      <c r="Q909" s="53"/>
    </row>
    <row r="910" spans="3:17" ht="15.75" customHeight="1">
      <c r="C910" s="53"/>
      <c r="D910" s="73"/>
      <c r="E910" s="73"/>
      <c r="F910" s="73"/>
      <c r="G910" s="73"/>
      <c r="H910" s="73"/>
      <c r="I910" s="73"/>
      <c r="J910" s="73"/>
      <c r="K910" s="53"/>
      <c r="L910" s="53"/>
      <c r="M910" s="53"/>
      <c r="N910" s="53"/>
      <c r="O910" s="53"/>
      <c r="P910" s="53"/>
      <c r="Q910" s="53"/>
    </row>
    <row r="911" spans="3:17" ht="15.75" customHeight="1">
      <c r="C911" s="53"/>
      <c r="D911" s="73"/>
      <c r="E911" s="73"/>
      <c r="F911" s="73"/>
      <c r="G911" s="73"/>
      <c r="H911" s="73"/>
      <c r="I911" s="73"/>
      <c r="J911" s="73"/>
      <c r="K911" s="53"/>
      <c r="L911" s="53"/>
      <c r="M911" s="53"/>
      <c r="N911" s="53"/>
      <c r="O911" s="53"/>
      <c r="P911" s="53"/>
      <c r="Q911" s="53"/>
    </row>
    <row r="912" spans="3:17" ht="15.75" customHeight="1">
      <c r="C912" s="53"/>
      <c r="D912" s="73"/>
      <c r="E912" s="73"/>
      <c r="F912" s="73"/>
      <c r="G912" s="73"/>
      <c r="H912" s="73"/>
      <c r="I912" s="73"/>
      <c r="J912" s="73"/>
      <c r="K912" s="53"/>
      <c r="L912" s="53"/>
      <c r="M912" s="53"/>
      <c r="N912" s="53"/>
      <c r="O912" s="53"/>
      <c r="P912" s="53"/>
      <c r="Q912" s="53"/>
    </row>
    <row r="913" spans="3:17" ht="15.75" customHeight="1">
      <c r="C913" s="53"/>
      <c r="D913" s="73"/>
      <c r="E913" s="73"/>
      <c r="F913" s="73"/>
      <c r="G913" s="73"/>
      <c r="H913" s="73"/>
      <c r="I913" s="73"/>
      <c r="J913" s="73"/>
      <c r="K913" s="53"/>
      <c r="L913" s="53"/>
      <c r="M913" s="53"/>
      <c r="N913" s="53"/>
      <c r="O913" s="53"/>
      <c r="P913" s="53"/>
      <c r="Q913" s="53"/>
    </row>
    <row r="914" spans="3:17" ht="15.75" customHeight="1">
      <c r="C914" s="53"/>
      <c r="D914" s="73"/>
      <c r="E914" s="73"/>
      <c r="F914" s="73"/>
      <c r="G914" s="73"/>
      <c r="H914" s="73"/>
      <c r="I914" s="73"/>
      <c r="J914" s="73"/>
      <c r="K914" s="53"/>
      <c r="L914" s="53"/>
      <c r="M914" s="53"/>
      <c r="N914" s="53"/>
      <c r="O914" s="53"/>
      <c r="P914" s="53"/>
      <c r="Q914" s="53"/>
    </row>
    <row r="915" spans="3:17" ht="15.75" customHeight="1">
      <c r="C915" s="53"/>
      <c r="D915" s="73"/>
      <c r="E915" s="73"/>
      <c r="F915" s="73"/>
      <c r="G915" s="73"/>
      <c r="H915" s="73"/>
      <c r="I915" s="73"/>
      <c r="J915" s="73"/>
      <c r="K915" s="53"/>
      <c r="L915" s="53"/>
      <c r="M915" s="53"/>
      <c r="N915" s="53"/>
      <c r="O915" s="53"/>
      <c r="P915" s="53"/>
      <c r="Q915" s="53"/>
    </row>
    <row r="916" spans="3:17" ht="15.75" customHeight="1">
      <c r="C916" s="53"/>
      <c r="D916" s="73"/>
      <c r="E916" s="73"/>
      <c r="F916" s="73"/>
      <c r="G916" s="73"/>
      <c r="H916" s="73"/>
      <c r="I916" s="73"/>
      <c r="J916" s="73"/>
      <c r="K916" s="53"/>
      <c r="L916" s="53"/>
      <c r="M916" s="53"/>
      <c r="N916" s="53"/>
      <c r="O916" s="53"/>
      <c r="P916" s="53"/>
      <c r="Q916" s="53"/>
    </row>
    <row r="917" spans="3:17" ht="15.75" customHeight="1">
      <c r="C917" s="53"/>
      <c r="D917" s="73"/>
      <c r="E917" s="73"/>
      <c r="F917" s="73"/>
      <c r="G917" s="73"/>
      <c r="H917" s="73"/>
      <c r="I917" s="73"/>
      <c r="J917" s="73"/>
      <c r="K917" s="53"/>
      <c r="L917" s="53"/>
      <c r="M917" s="53"/>
      <c r="N917" s="53"/>
      <c r="O917" s="53"/>
      <c r="P917" s="53"/>
      <c r="Q917" s="53"/>
    </row>
    <row r="918" spans="3:17" ht="15.75" customHeight="1">
      <c r="C918" s="53"/>
      <c r="D918" s="73"/>
      <c r="E918" s="73"/>
      <c r="F918" s="73"/>
      <c r="G918" s="73"/>
      <c r="H918" s="73"/>
      <c r="I918" s="73"/>
      <c r="J918" s="73"/>
      <c r="K918" s="53"/>
      <c r="L918" s="53"/>
      <c r="M918" s="53"/>
      <c r="N918" s="53"/>
      <c r="O918" s="53"/>
      <c r="P918" s="53"/>
      <c r="Q918" s="53"/>
    </row>
    <row r="919" spans="3:17" ht="15.75" customHeight="1">
      <c r="C919" s="53"/>
      <c r="D919" s="73"/>
      <c r="E919" s="73"/>
      <c r="F919" s="73"/>
      <c r="G919" s="73"/>
      <c r="H919" s="73"/>
      <c r="I919" s="73"/>
      <c r="J919" s="73"/>
      <c r="K919" s="53"/>
      <c r="L919" s="53"/>
      <c r="M919" s="53"/>
      <c r="N919" s="53"/>
      <c r="O919" s="53"/>
      <c r="P919" s="53"/>
      <c r="Q919" s="53"/>
    </row>
    <row r="920" spans="3:17" ht="15.75" customHeight="1">
      <c r="C920" s="53"/>
      <c r="D920" s="73"/>
      <c r="E920" s="73"/>
      <c r="F920" s="73"/>
      <c r="G920" s="73"/>
      <c r="H920" s="73"/>
      <c r="I920" s="73"/>
      <c r="J920" s="73"/>
      <c r="K920" s="53"/>
      <c r="L920" s="53"/>
      <c r="M920" s="53"/>
      <c r="N920" s="53"/>
      <c r="O920" s="53"/>
      <c r="P920" s="53"/>
      <c r="Q920" s="53"/>
    </row>
    <row r="921" spans="3:17" ht="15.75" customHeight="1">
      <c r="C921" s="53"/>
      <c r="D921" s="73"/>
      <c r="E921" s="73"/>
      <c r="F921" s="73"/>
      <c r="G921" s="73"/>
      <c r="H921" s="73"/>
      <c r="I921" s="73"/>
      <c r="J921" s="73"/>
      <c r="K921" s="53"/>
      <c r="L921" s="53"/>
      <c r="M921" s="53"/>
      <c r="N921" s="53"/>
      <c r="O921" s="53"/>
      <c r="P921" s="53"/>
      <c r="Q921" s="53"/>
    </row>
    <row r="922" spans="3:17" ht="15.75" customHeight="1">
      <c r="C922" s="53"/>
      <c r="D922" s="73"/>
      <c r="E922" s="73"/>
      <c r="F922" s="73"/>
      <c r="G922" s="73"/>
      <c r="H922" s="73"/>
      <c r="I922" s="73"/>
      <c r="J922" s="73"/>
      <c r="K922" s="53"/>
      <c r="L922" s="53"/>
      <c r="M922" s="53"/>
      <c r="N922" s="53"/>
      <c r="O922" s="53"/>
      <c r="P922" s="53"/>
      <c r="Q922" s="53"/>
    </row>
    <row r="923" spans="3:17" ht="15.75" customHeight="1">
      <c r="C923" s="53"/>
      <c r="D923" s="73"/>
      <c r="E923" s="73"/>
      <c r="F923" s="73"/>
      <c r="G923" s="73"/>
      <c r="H923" s="73"/>
      <c r="I923" s="73"/>
      <c r="J923" s="73"/>
      <c r="K923" s="53"/>
      <c r="L923" s="53"/>
      <c r="M923" s="53"/>
      <c r="N923" s="53"/>
      <c r="O923" s="53"/>
      <c r="P923" s="53"/>
      <c r="Q923" s="53"/>
    </row>
    <row r="924" spans="3:17" ht="15.75" customHeight="1">
      <c r="C924" s="53"/>
      <c r="D924" s="73"/>
      <c r="E924" s="73"/>
      <c r="F924" s="73"/>
      <c r="G924" s="73"/>
      <c r="H924" s="73"/>
      <c r="I924" s="73"/>
      <c r="J924" s="73"/>
      <c r="K924" s="53"/>
      <c r="L924" s="53"/>
      <c r="M924" s="53"/>
      <c r="N924" s="53"/>
      <c r="O924" s="53"/>
      <c r="P924" s="53"/>
      <c r="Q924" s="53"/>
    </row>
    <row r="925" spans="3:17" ht="15.75" customHeight="1">
      <c r="C925" s="53"/>
      <c r="D925" s="73"/>
      <c r="E925" s="73"/>
      <c r="F925" s="73"/>
      <c r="G925" s="73"/>
      <c r="H925" s="73"/>
      <c r="I925" s="73"/>
      <c r="J925" s="73"/>
      <c r="K925" s="53"/>
      <c r="L925" s="53"/>
      <c r="M925" s="53"/>
      <c r="N925" s="53"/>
      <c r="O925" s="53"/>
      <c r="P925" s="53"/>
      <c r="Q925" s="53"/>
    </row>
    <row r="926" spans="3:17" ht="15.75" customHeight="1">
      <c r="C926" s="53"/>
      <c r="D926" s="73"/>
      <c r="E926" s="73"/>
      <c r="F926" s="73"/>
      <c r="G926" s="73"/>
      <c r="H926" s="73"/>
      <c r="I926" s="73"/>
      <c r="J926" s="73"/>
      <c r="K926" s="53"/>
      <c r="L926" s="53"/>
      <c r="M926" s="53"/>
      <c r="N926" s="53"/>
      <c r="O926" s="53"/>
      <c r="P926" s="53"/>
      <c r="Q926" s="53"/>
    </row>
    <row r="927" spans="3:17" ht="15.75" customHeight="1">
      <c r="C927" s="53"/>
      <c r="D927" s="73"/>
      <c r="E927" s="73"/>
      <c r="F927" s="73"/>
      <c r="G927" s="73"/>
      <c r="H927" s="73"/>
      <c r="I927" s="73"/>
      <c r="J927" s="73"/>
      <c r="K927" s="53"/>
      <c r="L927" s="53"/>
      <c r="M927" s="53"/>
      <c r="N927" s="53"/>
      <c r="O927" s="53"/>
      <c r="P927" s="53"/>
      <c r="Q927" s="53"/>
    </row>
    <row r="928" spans="3:17" ht="15.75" customHeight="1">
      <c r="C928" s="53"/>
      <c r="D928" s="73"/>
      <c r="E928" s="73"/>
      <c r="F928" s="73"/>
      <c r="G928" s="73"/>
      <c r="H928" s="73"/>
      <c r="I928" s="73"/>
      <c r="J928" s="73"/>
      <c r="K928" s="53"/>
      <c r="L928" s="53"/>
      <c r="M928" s="53"/>
      <c r="N928" s="53"/>
      <c r="O928" s="53"/>
      <c r="P928" s="53"/>
      <c r="Q928" s="53"/>
    </row>
    <row r="929" spans="3:17" ht="15.75" customHeight="1">
      <c r="C929" s="53"/>
      <c r="D929" s="73"/>
      <c r="E929" s="73"/>
      <c r="F929" s="73"/>
      <c r="G929" s="73"/>
      <c r="H929" s="73"/>
      <c r="I929" s="73"/>
      <c r="J929" s="73"/>
      <c r="K929" s="53"/>
      <c r="L929" s="53"/>
      <c r="M929" s="53"/>
      <c r="N929" s="53"/>
      <c r="O929" s="53"/>
      <c r="P929" s="53"/>
      <c r="Q929" s="53"/>
    </row>
    <row r="930" spans="3:17" ht="15.75" customHeight="1">
      <c r="C930" s="53"/>
      <c r="D930" s="73"/>
      <c r="E930" s="73"/>
      <c r="F930" s="73"/>
      <c r="G930" s="73"/>
      <c r="H930" s="73"/>
      <c r="I930" s="73"/>
      <c r="J930" s="73"/>
      <c r="K930" s="53"/>
      <c r="L930" s="53"/>
      <c r="M930" s="53"/>
      <c r="N930" s="53"/>
      <c r="O930" s="53"/>
      <c r="P930" s="53"/>
      <c r="Q930" s="53"/>
    </row>
    <row r="931" spans="3:17" ht="15.75" customHeight="1">
      <c r="C931" s="53"/>
      <c r="D931" s="73"/>
      <c r="E931" s="73"/>
      <c r="F931" s="73"/>
      <c r="G931" s="73"/>
      <c r="H931" s="73"/>
      <c r="I931" s="73"/>
      <c r="J931" s="73"/>
      <c r="K931" s="53"/>
      <c r="L931" s="53"/>
      <c r="M931" s="53"/>
      <c r="N931" s="53"/>
      <c r="O931" s="53"/>
      <c r="P931" s="53"/>
      <c r="Q931" s="53"/>
    </row>
    <row r="932" spans="3:17" ht="15.75" customHeight="1">
      <c r="C932" s="53"/>
      <c r="D932" s="73"/>
      <c r="E932" s="73"/>
      <c r="F932" s="73"/>
      <c r="G932" s="73"/>
      <c r="H932" s="73"/>
      <c r="I932" s="73"/>
      <c r="J932" s="73"/>
      <c r="K932" s="53"/>
      <c r="L932" s="53"/>
      <c r="M932" s="53"/>
      <c r="N932" s="53"/>
      <c r="O932" s="53"/>
      <c r="P932" s="53"/>
      <c r="Q932" s="53"/>
    </row>
    <row r="933" spans="3:17" ht="15.75" customHeight="1">
      <c r="C933" s="53"/>
      <c r="D933" s="73"/>
      <c r="E933" s="73"/>
      <c r="F933" s="73"/>
      <c r="G933" s="73"/>
      <c r="H933" s="73"/>
      <c r="I933" s="73"/>
      <c r="J933" s="73"/>
      <c r="K933" s="53"/>
      <c r="L933" s="53"/>
      <c r="M933" s="53"/>
      <c r="N933" s="53"/>
      <c r="O933" s="53"/>
      <c r="P933" s="53"/>
      <c r="Q933" s="53"/>
    </row>
    <row r="934" spans="3:17" ht="15.75" customHeight="1">
      <c r="C934" s="53"/>
      <c r="D934" s="73"/>
      <c r="E934" s="73"/>
      <c r="F934" s="73"/>
      <c r="G934" s="73"/>
      <c r="H934" s="73"/>
      <c r="I934" s="73"/>
      <c r="J934" s="73"/>
      <c r="K934" s="53"/>
      <c r="L934" s="53"/>
      <c r="M934" s="53"/>
      <c r="N934" s="53"/>
      <c r="O934" s="53"/>
      <c r="P934" s="53"/>
      <c r="Q934" s="53"/>
    </row>
    <row r="935" spans="3:17" ht="15.75" customHeight="1">
      <c r="C935" s="53"/>
      <c r="D935" s="73"/>
      <c r="E935" s="73"/>
      <c r="F935" s="73"/>
      <c r="G935" s="73"/>
      <c r="H935" s="73"/>
      <c r="I935" s="73"/>
      <c r="J935" s="73"/>
      <c r="K935" s="53"/>
      <c r="L935" s="53"/>
      <c r="M935" s="53"/>
      <c r="N935" s="53"/>
      <c r="O935" s="53"/>
      <c r="P935" s="53"/>
      <c r="Q935" s="53"/>
    </row>
    <row r="936" spans="3:17" ht="15.75" customHeight="1">
      <c r="C936" s="53"/>
      <c r="D936" s="73"/>
      <c r="E936" s="73"/>
      <c r="F936" s="73"/>
      <c r="G936" s="73"/>
      <c r="H936" s="73"/>
      <c r="I936" s="73"/>
      <c r="J936" s="73"/>
      <c r="K936" s="53"/>
      <c r="L936" s="53"/>
      <c r="M936" s="53"/>
      <c r="N936" s="53"/>
      <c r="O936" s="53"/>
      <c r="P936" s="53"/>
      <c r="Q936" s="53"/>
    </row>
    <row r="937" spans="3:17" ht="15.75" customHeight="1">
      <c r="C937" s="53"/>
      <c r="D937" s="73"/>
      <c r="E937" s="73"/>
      <c r="F937" s="73"/>
      <c r="G937" s="73"/>
      <c r="H937" s="73"/>
      <c r="I937" s="73"/>
      <c r="J937" s="73"/>
      <c r="K937" s="53"/>
      <c r="L937" s="53"/>
      <c r="M937" s="53"/>
      <c r="N937" s="53"/>
      <c r="O937" s="53"/>
      <c r="P937" s="53"/>
      <c r="Q937" s="53"/>
    </row>
    <row r="938" spans="3:17" ht="15.75" customHeight="1">
      <c r="C938" s="53"/>
      <c r="D938" s="73"/>
      <c r="E938" s="73"/>
      <c r="F938" s="73"/>
      <c r="G938" s="73"/>
      <c r="H938" s="73"/>
      <c r="I938" s="73"/>
      <c r="J938" s="73"/>
      <c r="K938" s="53"/>
      <c r="L938" s="53"/>
      <c r="M938" s="53"/>
      <c r="N938" s="53"/>
      <c r="O938" s="53"/>
      <c r="P938" s="53"/>
      <c r="Q938" s="53"/>
    </row>
    <row r="939" spans="3:17" ht="15.75" customHeight="1">
      <c r="C939" s="53"/>
      <c r="D939" s="73"/>
      <c r="E939" s="73"/>
      <c r="F939" s="73"/>
      <c r="G939" s="73"/>
      <c r="H939" s="73"/>
      <c r="I939" s="73"/>
      <c r="J939" s="73"/>
      <c r="K939" s="53"/>
      <c r="L939" s="53"/>
      <c r="M939" s="53"/>
      <c r="N939" s="53"/>
      <c r="O939" s="53"/>
      <c r="P939" s="53"/>
      <c r="Q939" s="53"/>
    </row>
    <row r="940" spans="3:17" ht="15.75" customHeight="1">
      <c r="C940" s="53"/>
      <c r="D940" s="73"/>
      <c r="E940" s="73"/>
      <c r="F940" s="73"/>
      <c r="G940" s="73"/>
      <c r="H940" s="73"/>
      <c r="I940" s="73"/>
      <c r="J940" s="73"/>
      <c r="K940" s="53"/>
      <c r="L940" s="53"/>
      <c r="M940" s="53"/>
      <c r="N940" s="53"/>
      <c r="O940" s="53"/>
      <c r="P940" s="53"/>
      <c r="Q940" s="53"/>
    </row>
    <row r="941" spans="3:17" ht="15.75" customHeight="1">
      <c r="C941" s="53"/>
      <c r="D941" s="73"/>
      <c r="E941" s="73"/>
      <c r="F941" s="73"/>
      <c r="G941" s="73"/>
      <c r="H941" s="73"/>
      <c r="I941" s="73"/>
      <c r="J941" s="73"/>
      <c r="K941" s="53"/>
      <c r="L941" s="53"/>
      <c r="M941" s="53"/>
      <c r="N941" s="53"/>
      <c r="O941" s="53"/>
      <c r="P941" s="53"/>
      <c r="Q941" s="53"/>
    </row>
    <row r="942" spans="3:17" ht="15.75" customHeight="1">
      <c r="C942" s="53"/>
      <c r="D942" s="73"/>
      <c r="E942" s="73"/>
      <c r="F942" s="73"/>
      <c r="G942" s="73"/>
      <c r="H942" s="73"/>
      <c r="I942" s="73"/>
      <c r="J942" s="73"/>
      <c r="K942" s="53"/>
      <c r="L942" s="53"/>
      <c r="M942" s="53"/>
      <c r="N942" s="53"/>
      <c r="O942" s="53"/>
      <c r="P942" s="53"/>
      <c r="Q942" s="53"/>
    </row>
    <row r="943" spans="3:17" ht="15.75" customHeight="1">
      <c r="C943" s="53"/>
      <c r="D943" s="73"/>
      <c r="E943" s="73"/>
      <c r="F943" s="73"/>
      <c r="G943" s="73"/>
      <c r="H943" s="73"/>
      <c r="I943" s="73"/>
      <c r="J943" s="73"/>
      <c r="K943" s="53"/>
      <c r="L943" s="53"/>
      <c r="M943" s="53"/>
      <c r="N943" s="53"/>
      <c r="O943" s="53"/>
      <c r="P943" s="53"/>
      <c r="Q943" s="53"/>
    </row>
    <row r="944" spans="3:17" ht="15.75" customHeight="1">
      <c r="C944" s="53"/>
      <c r="D944" s="73"/>
      <c r="E944" s="73"/>
      <c r="F944" s="73"/>
      <c r="G944" s="73"/>
      <c r="H944" s="73"/>
      <c r="I944" s="73"/>
      <c r="J944" s="73"/>
      <c r="K944" s="53"/>
      <c r="L944" s="53"/>
      <c r="M944" s="53"/>
      <c r="N944" s="53"/>
      <c r="O944" s="53"/>
      <c r="P944" s="53"/>
      <c r="Q944" s="53"/>
    </row>
    <row r="945" spans="3:17" ht="15.75" customHeight="1">
      <c r="C945" s="53"/>
      <c r="D945" s="73"/>
      <c r="E945" s="73"/>
      <c r="F945" s="73"/>
      <c r="G945" s="73"/>
      <c r="H945" s="73"/>
      <c r="I945" s="73"/>
      <c r="J945" s="73"/>
      <c r="K945" s="53"/>
      <c r="L945" s="53"/>
      <c r="M945" s="53"/>
      <c r="N945" s="53"/>
      <c r="O945" s="53"/>
      <c r="P945" s="53"/>
      <c r="Q945" s="53"/>
    </row>
    <row r="946" spans="3:17" ht="15.75" customHeight="1">
      <c r="C946" s="53"/>
      <c r="D946" s="73"/>
      <c r="E946" s="73"/>
      <c r="F946" s="73"/>
      <c r="G946" s="73"/>
      <c r="H946" s="73"/>
      <c r="I946" s="73"/>
      <c r="J946" s="73"/>
      <c r="K946" s="53"/>
      <c r="L946" s="53"/>
      <c r="M946" s="53"/>
      <c r="N946" s="53"/>
      <c r="O946" s="53"/>
      <c r="P946" s="53"/>
      <c r="Q946" s="53"/>
    </row>
    <row r="947" spans="3:17" ht="15.75" customHeight="1">
      <c r="C947" s="53"/>
      <c r="D947" s="73"/>
      <c r="E947" s="73"/>
      <c r="F947" s="73"/>
      <c r="G947" s="73"/>
      <c r="H947" s="73"/>
      <c r="I947" s="73"/>
      <c r="J947" s="73"/>
      <c r="K947" s="53"/>
      <c r="L947" s="53"/>
      <c r="M947" s="53"/>
      <c r="N947" s="53"/>
      <c r="O947" s="53"/>
      <c r="P947" s="53"/>
      <c r="Q947" s="53"/>
    </row>
    <row r="948" spans="3:17" ht="15.75" customHeight="1">
      <c r="C948" s="53"/>
      <c r="D948" s="73"/>
      <c r="E948" s="73"/>
      <c r="F948" s="73"/>
      <c r="G948" s="73"/>
      <c r="H948" s="73"/>
      <c r="I948" s="73"/>
      <c r="J948" s="73"/>
      <c r="K948" s="53"/>
      <c r="L948" s="53"/>
      <c r="M948" s="53"/>
      <c r="N948" s="53"/>
      <c r="O948" s="53"/>
      <c r="P948" s="53"/>
      <c r="Q948" s="53"/>
    </row>
    <row r="949" spans="3:17" ht="15.75" customHeight="1">
      <c r="C949" s="53"/>
      <c r="D949" s="73"/>
      <c r="E949" s="73"/>
      <c r="F949" s="73"/>
      <c r="G949" s="73"/>
      <c r="H949" s="73"/>
      <c r="I949" s="73"/>
      <c r="J949" s="73"/>
      <c r="K949" s="53"/>
      <c r="L949" s="53"/>
      <c r="M949" s="53"/>
      <c r="N949" s="53"/>
      <c r="O949" s="53"/>
      <c r="P949" s="53"/>
      <c r="Q949" s="53"/>
    </row>
    <row r="950" spans="3:17" ht="15.75" customHeight="1">
      <c r="C950" s="53"/>
      <c r="D950" s="73"/>
      <c r="E950" s="73"/>
      <c r="F950" s="73"/>
      <c r="G950" s="73"/>
      <c r="H950" s="73"/>
      <c r="I950" s="73"/>
      <c r="J950" s="73"/>
      <c r="K950" s="53"/>
      <c r="L950" s="53"/>
      <c r="M950" s="53"/>
      <c r="N950" s="53"/>
      <c r="O950" s="53"/>
      <c r="P950" s="53"/>
      <c r="Q950" s="53"/>
    </row>
    <row r="951" spans="3:17" ht="15.75" customHeight="1">
      <c r="C951" s="53"/>
      <c r="D951" s="73"/>
      <c r="E951" s="73"/>
      <c r="F951" s="73"/>
      <c r="G951" s="73"/>
      <c r="H951" s="73"/>
      <c r="I951" s="73"/>
      <c r="J951" s="73"/>
      <c r="K951" s="53"/>
      <c r="L951" s="53"/>
      <c r="M951" s="53"/>
      <c r="N951" s="53"/>
      <c r="O951" s="53"/>
      <c r="P951" s="53"/>
      <c r="Q951" s="53"/>
    </row>
    <row r="952" spans="3:17" ht="15.75" customHeight="1">
      <c r="C952" s="53"/>
      <c r="D952" s="73"/>
      <c r="E952" s="73"/>
      <c r="F952" s="73"/>
      <c r="G952" s="73"/>
      <c r="H952" s="73"/>
      <c r="I952" s="73"/>
      <c r="J952" s="73"/>
      <c r="K952" s="53"/>
      <c r="L952" s="53"/>
      <c r="M952" s="53"/>
      <c r="N952" s="53"/>
      <c r="O952" s="53"/>
      <c r="P952" s="53"/>
      <c r="Q952" s="53"/>
    </row>
    <row r="953" spans="3:17" ht="15.75" customHeight="1">
      <c r="C953" s="53"/>
      <c r="D953" s="73"/>
      <c r="E953" s="73"/>
      <c r="F953" s="73"/>
      <c r="G953" s="73"/>
      <c r="H953" s="73"/>
      <c r="I953" s="73"/>
      <c r="J953" s="73"/>
      <c r="K953" s="53"/>
      <c r="L953" s="53"/>
      <c r="M953" s="53"/>
      <c r="N953" s="53"/>
      <c r="O953" s="53"/>
      <c r="P953" s="53"/>
      <c r="Q953" s="53"/>
    </row>
    <row r="954" spans="3:17" ht="15.75" customHeight="1">
      <c r="C954" s="53"/>
      <c r="D954" s="73"/>
      <c r="E954" s="73"/>
      <c r="F954" s="73"/>
      <c r="G954" s="73"/>
      <c r="H954" s="73"/>
      <c r="I954" s="73"/>
      <c r="J954" s="73"/>
      <c r="K954" s="53"/>
      <c r="L954" s="53"/>
      <c r="M954" s="53"/>
      <c r="N954" s="53"/>
      <c r="O954" s="53"/>
      <c r="P954" s="53"/>
      <c r="Q954" s="53"/>
    </row>
    <row r="955" spans="3:17" ht="15.75" customHeight="1">
      <c r="C955" s="53"/>
      <c r="D955" s="73"/>
      <c r="E955" s="73"/>
      <c r="F955" s="73"/>
      <c r="G955" s="73"/>
      <c r="H955" s="73"/>
      <c r="I955" s="73"/>
      <c r="J955" s="73"/>
      <c r="K955" s="53"/>
      <c r="L955" s="53"/>
      <c r="M955" s="53"/>
      <c r="N955" s="53"/>
      <c r="O955" s="53"/>
      <c r="P955" s="53"/>
      <c r="Q955" s="53"/>
    </row>
    <row r="956" spans="3:17" ht="15.75" customHeight="1">
      <c r="C956" s="53"/>
      <c r="D956" s="73"/>
      <c r="E956" s="73"/>
      <c r="F956" s="73"/>
      <c r="G956" s="73"/>
      <c r="H956" s="73"/>
      <c r="I956" s="73"/>
      <c r="J956" s="73"/>
      <c r="K956" s="53"/>
      <c r="L956" s="53"/>
      <c r="M956" s="53"/>
      <c r="N956" s="53"/>
      <c r="O956" s="53"/>
      <c r="P956" s="53"/>
      <c r="Q956" s="53"/>
    </row>
    <row r="957" spans="3:17" ht="15.75" customHeight="1">
      <c r="C957" s="53"/>
      <c r="D957" s="73"/>
      <c r="E957" s="73"/>
      <c r="F957" s="73"/>
      <c r="G957" s="73"/>
      <c r="H957" s="73"/>
      <c r="I957" s="73"/>
      <c r="J957" s="73"/>
      <c r="K957" s="53"/>
      <c r="L957" s="53"/>
      <c r="M957" s="53"/>
      <c r="N957" s="53"/>
      <c r="O957" s="53"/>
      <c r="P957" s="53"/>
      <c r="Q957" s="53"/>
    </row>
    <row r="958" spans="3:17" ht="15.75" customHeight="1">
      <c r="C958" s="53"/>
      <c r="D958" s="73"/>
      <c r="E958" s="73"/>
      <c r="F958" s="73"/>
      <c r="G958" s="73"/>
      <c r="H958" s="73"/>
      <c r="I958" s="73"/>
      <c r="J958" s="73"/>
      <c r="K958" s="53"/>
      <c r="L958" s="53"/>
      <c r="M958" s="53"/>
      <c r="N958" s="53"/>
      <c r="O958" s="53"/>
      <c r="P958" s="53"/>
      <c r="Q958" s="53"/>
    </row>
    <row r="959" spans="3:17" ht="15.75" customHeight="1">
      <c r="C959" s="53"/>
      <c r="D959" s="73"/>
      <c r="E959" s="73"/>
      <c r="F959" s="73"/>
      <c r="G959" s="73"/>
      <c r="H959" s="73"/>
      <c r="I959" s="73"/>
      <c r="J959" s="73"/>
      <c r="K959" s="53"/>
      <c r="L959" s="53"/>
      <c r="M959" s="53"/>
      <c r="N959" s="53"/>
      <c r="O959" s="53"/>
      <c r="P959" s="53"/>
      <c r="Q959" s="53"/>
    </row>
    <row r="960" spans="3:17" ht="15.75" customHeight="1">
      <c r="C960" s="53"/>
      <c r="D960" s="73"/>
      <c r="E960" s="73"/>
      <c r="F960" s="73"/>
      <c r="G960" s="73"/>
      <c r="H960" s="73"/>
      <c r="I960" s="73"/>
      <c r="J960" s="73"/>
      <c r="K960" s="53"/>
      <c r="L960" s="53"/>
      <c r="M960" s="53"/>
      <c r="N960" s="53"/>
      <c r="O960" s="53"/>
      <c r="P960" s="53"/>
      <c r="Q960" s="53"/>
    </row>
    <row r="961" spans="3:17" ht="15.75" customHeight="1">
      <c r="C961" s="53"/>
      <c r="D961" s="73"/>
      <c r="E961" s="73"/>
      <c r="F961" s="73"/>
      <c r="G961" s="73"/>
      <c r="H961" s="73"/>
      <c r="I961" s="73"/>
      <c r="J961" s="73"/>
      <c r="K961" s="53"/>
      <c r="L961" s="53"/>
      <c r="M961" s="53"/>
      <c r="N961" s="53"/>
      <c r="O961" s="53"/>
      <c r="P961" s="53"/>
      <c r="Q961" s="53"/>
    </row>
    <row r="962" spans="3:17" ht="15.75" customHeight="1">
      <c r="C962" s="53"/>
      <c r="D962" s="73"/>
      <c r="E962" s="73"/>
      <c r="F962" s="73"/>
      <c r="G962" s="73"/>
      <c r="H962" s="73"/>
      <c r="I962" s="73"/>
      <c r="J962" s="73"/>
      <c r="K962" s="53"/>
      <c r="L962" s="53"/>
      <c r="M962" s="53"/>
      <c r="N962" s="53"/>
      <c r="O962" s="53"/>
      <c r="P962" s="53"/>
      <c r="Q962" s="53"/>
    </row>
    <row r="963" spans="3:17" ht="15.75" customHeight="1">
      <c r="C963" s="53"/>
      <c r="D963" s="73"/>
      <c r="E963" s="73"/>
      <c r="F963" s="73"/>
      <c r="G963" s="73"/>
      <c r="H963" s="73"/>
      <c r="I963" s="73"/>
      <c r="J963" s="73"/>
      <c r="K963" s="53"/>
      <c r="L963" s="53"/>
      <c r="M963" s="53"/>
      <c r="N963" s="53"/>
      <c r="O963" s="53"/>
      <c r="P963" s="53"/>
      <c r="Q963" s="53"/>
    </row>
    <row r="964" spans="3:17" ht="15.75" customHeight="1">
      <c r="C964" s="53"/>
      <c r="D964" s="73"/>
      <c r="E964" s="73"/>
      <c r="F964" s="73"/>
      <c r="G964" s="73"/>
      <c r="H964" s="73"/>
      <c r="I964" s="73"/>
      <c r="J964" s="73"/>
      <c r="K964" s="53"/>
      <c r="L964" s="53"/>
      <c r="M964" s="53"/>
      <c r="N964" s="53"/>
      <c r="O964" s="53"/>
      <c r="P964" s="53"/>
      <c r="Q964" s="53"/>
    </row>
    <row r="965" spans="3:17" ht="15.75" customHeight="1">
      <c r="C965" s="53"/>
      <c r="D965" s="73"/>
      <c r="E965" s="73"/>
      <c r="F965" s="73"/>
      <c r="G965" s="73"/>
      <c r="H965" s="73"/>
      <c r="I965" s="73"/>
      <c r="J965" s="73"/>
      <c r="K965" s="53"/>
      <c r="L965" s="53"/>
      <c r="M965" s="53"/>
      <c r="N965" s="53"/>
      <c r="O965" s="53"/>
      <c r="P965" s="53"/>
      <c r="Q965" s="53"/>
    </row>
    <row r="966" spans="3:17" ht="15.75" customHeight="1">
      <c r="C966" s="53"/>
      <c r="D966" s="73"/>
      <c r="E966" s="73"/>
      <c r="F966" s="73"/>
      <c r="G966" s="73"/>
      <c r="H966" s="73"/>
      <c r="I966" s="73"/>
      <c r="J966" s="73"/>
      <c r="K966" s="53"/>
      <c r="L966" s="53"/>
      <c r="M966" s="53"/>
      <c r="N966" s="53"/>
      <c r="O966" s="53"/>
      <c r="P966" s="53"/>
      <c r="Q966" s="53"/>
    </row>
    <row r="967" spans="3:17" ht="15.75" customHeight="1">
      <c r="C967" s="53"/>
      <c r="D967" s="73"/>
      <c r="E967" s="73"/>
      <c r="F967" s="73"/>
      <c r="G967" s="73"/>
      <c r="H967" s="73"/>
      <c r="I967" s="73"/>
      <c r="J967" s="73"/>
      <c r="K967" s="53"/>
      <c r="L967" s="53"/>
      <c r="M967" s="53"/>
      <c r="N967" s="53"/>
      <c r="O967" s="53"/>
      <c r="P967" s="53"/>
      <c r="Q967" s="53"/>
    </row>
    <row r="968" spans="3:17" ht="15.75" customHeight="1">
      <c r="C968" s="53"/>
      <c r="D968" s="73"/>
      <c r="E968" s="73"/>
      <c r="F968" s="73"/>
      <c r="G968" s="73"/>
      <c r="H968" s="73"/>
      <c r="I968" s="73"/>
      <c r="J968" s="73"/>
      <c r="K968" s="53"/>
      <c r="L968" s="53"/>
      <c r="M968" s="53"/>
      <c r="N968" s="53"/>
      <c r="O968" s="53"/>
      <c r="P968" s="53"/>
      <c r="Q968" s="53"/>
    </row>
    <row r="969" spans="3:17" ht="15.75" customHeight="1">
      <c r="C969" s="53"/>
      <c r="D969" s="73"/>
      <c r="E969" s="73"/>
      <c r="F969" s="73"/>
      <c r="G969" s="73"/>
      <c r="H969" s="73"/>
      <c r="I969" s="73"/>
      <c r="J969" s="73"/>
      <c r="K969" s="53"/>
      <c r="L969" s="53"/>
      <c r="M969" s="53"/>
      <c r="N969" s="53"/>
      <c r="O969" s="53"/>
      <c r="P969" s="53"/>
      <c r="Q969" s="53"/>
    </row>
    <row r="970" spans="3:17" ht="15.75" customHeight="1">
      <c r="C970" s="53"/>
      <c r="D970" s="73"/>
      <c r="E970" s="73"/>
      <c r="F970" s="73"/>
      <c r="G970" s="73"/>
      <c r="H970" s="73"/>
      <c r="I970" s="73"/>
      <c r="J970" s="73"/>
      <c r="K970" s="53"/>
      <c r="L970" s="53"/>
      <c r="M970" s="53"/>
      <c r="N970" s="53"/>
      <c r="O970" s="53"/>
      <c r="P970" s="53"/>
      <c r="Q970" s="53"/>
    </row>
    <row r="971" spans="3:17" ht="15.75" customHeight="1">
      <c r="C971" s="53"/>
      <c r="D971" s="73"/>
      <c r="E971" s="73"/>
      <c r="F971" s="73"/>
      <c r="G971" s="73"/>
      <c r="H971" s="73"/>
      <c r="I971" s="73"/>
      <c r="J971" s="73"/>
      <c r="K971" s="53"/>
      <c r="L971" s="53"/>
      <c r="M971" s="53"/>
      <c r="N971" s="53"/>
      <c r="O971" s="53"/>
      <c r="P971" s="53"/>
      <c r="Q971" s="53"/>
    </row>
    <row r="972" spans="3:17" ht="15.75" customHeight="1">
      <c r="C972" s="53"/>
      <c r="D972" s="73"/>
      <c r="E972" s="73"/>
      <c r="F972" s="73"/>
      <c r="G972" s="73"/>
      <c r="H972" s="73"/>
      <c r="I972" s="73"/>
      <c r="J972" s="73"/>
      <c r="K972" s="53"/>
      <c r="L972" s="53"/>
      <c r="M972" s="53"/>
      <c r="N972" s="53"/>
      <c r="O972" s="53"/>
      <c r="P972" s="53"/>
      <c r="Q972" s="53"/>
    </row>
    <row r="973" spans="3:17" ht="15.75" customHeight="1">
      <c r="C973" s="53"/>
      <c r="D973" s="73"/>
      <c r="E973" s="73"/>
      <c r="F973" s="73"/>
      <c r="G973" s="73"/>
      <c r="H973" s="73"/>
      <c r="I973" s="73"/>
      <c r="J973" s="73"/>
      <c r="K973" s="53"/>
      <c r="L973" s="53"/>
      <c r="M973" s="53"/>
      <c r="N973" s="53"/>
      <c r="O973" s="53"/>
      <c r="P973" s="53"/>
      <c r="Q973" s="53"/>
    </row>
    <row r="974" spans="3:17" ht="15.75" customHeight="1">
      <c r="C974" s="53"/>
      <c r="D974" s="73"/>
      <c r="E974" s="73"/>
      <c r="F974" s="73"/>
      <c r="G974" s="73"/>
      <c r="H974" s="73"/>
      <c r="I974" s="73"/>
      <c r="J974" s="73"/>
      <c r="K974" s="53"/>
      <c r="L974" s="53"/>
      <c r="M974" s="53"/>
      <c r="N974" s="53"/>
      <c r="O974" s="53"/>
      <c r="P974" s="53"/>
      <c r="Q974" s="53"/>
    </row>
    <row r="975" spans="3:17" ht="15.75" customHeight="1">
      <c r="C975" s="53"/>
      <c r="D975" s="73"/>
      <c r="E975" s="73"/>
      <c r="F975" s="73"/>
      <c r="G975" s="73"/>
      <c r="H975" s="73"/>
      <c r="I975" s="73"/>
      <c r="J975" s="73"/>
      <c r="K975" s="53"/>
      <c r="L975" s="53"/>
      <c r="M975" s="53"/>
      <c r="N975" s="53"/>
      <c r="O975" s="53"/>
      <c r="P975" s="53"/>
      <c r="Q975" s="53"/>
    </row>
    <row r="976" spans="3:17" ht="15.75" customHeight="1">
      <c r="C976" s="53"/>
      <c r="D976" s="73"/>
      <c r="E976" s="73"/>
      <c r="F976" s="73"/>
      <c r="G976" s="73"/>
      <c r="H976" s="73"/>
      <c r="I976" s="73"/>
      <c r="J976" s="73"/>
      <c r="K976" s="53"/>
      <c r="L976" s="53"/>
      <c r="M976" s="53"/>
      <c r="N976" s="53"/>
      <c r="O976" s="53"/>
      <c r="P976" s="53"/>
      <c r="Q976" s="53"/>
    </row>
    <row r="977" spans="3:17" ht="15.75" customHeight="1">
      <c r="C977" s="53"/>
      <c r="D977" s="73"/>
      <c r="E977" s="73"/>
      <c r="F977" s="73"/>
      <c r="G977" s="73"/>
      <c r="H977" s="73"/>
      <c r="I977" s="73"/>
      <c r="J977" s="73"/>
      <c r="K977" s="53"/>
      <c r="L977" s="53"/>
      <c r="M977" s="53"/>
      <c r="N977" s="53"/>
      <c r="O977" s="53"/>
      <c r="P977" s="53"/>
      <c r="Q977" s="53"/>
    </row>
    <row r="978" spans="3:17" ht="15.75" customHeight="1">
      <c r="C978" s="53"/>
      <c r="D978" s="73"/>
      <c r="E978" s="73"/>
      <c r="F978" s="73"/>
      <c r="G978" s="73"/>
      <c r="H978" s="73"/>
      <c r="I978" s="73"/>
      <c r="J978" s="73"/>
      <c r="K978" s="53"/>
      <c r="L978" s="53"/>
      <c r="M978" s="53"/>
      <c r="N978" s="53"/>
      <c r="O978" s="53"/>
      <c r="P978" s="53"/>
      <c r="Q978" s="53"/>
    </row>
    <row r="979" spans="3:17" ht="15.75" customHeight="1">
      <c r="C979" s="53"/>
      <c r="D979" s="73"/>
      <c r="E979" s="73"/>
      <c r="F979" s="73"/>
      <c r="G979" s="73"/>
      <c r="H979" s="73"/>
      <c r="I979" s="73"/>
      <c r="J979" s="73"/>
      <c r="K979" s="53"/>
      <c r="L979" s="53"/>
      <c r="M979" s="53"/>
      <c r="N979" s="53"/>
      <c r="O979" s="53"/>
      <c r="P979" s="53"/>
      <c r="Q979" s="53"/>
    </row>
    <row r="980" spans="3:17" ht="15.75" customHeight="1">
      <c r="C980" s="53"/>
      <c r="D980" s="73"/>
      <c r="E980" s="73"/>
      <c r="F980" s="73"/>
      <c r="G980" s="73"/>
      <c r="H980" s="73"/>
      <c r="I980" s="73"/>
      <c r="J980" s="73"/>
      <c r="K980" s="53"/>
      <c r="L980" s="53"/>
      <c r="M980" s="53"/>
      <c r="N980" s="53"/>
      <c r="O980" s="53"/>
      <c r="P980" s="53"/>
      <c r="Q980" s="53"/>
    </row>
    <row r="981" spans="3:17" ht="15.75" customHeight="1">
      <c r="C981" s="53"/>
      <c r="D981" s="73"/>
      <c r="E981" s="73"/>
      <c r="F981" s="73"/>
      <c r="G981" s="73"/>
      <c r="H981" s="73"/>
      <c r="I981" s="73"/>
      <c r="J981" s="73"/>
      <c r="K981" s="53"/>
      <c r="L981" s="53"/>
      <c r="M981" s="53"/>
      <c r="N981" s="53"/>
      <c r="O981" s="53"/>
      <c r="P981" s="53"/>
      <c r="Q981" s="53"/>
    </row>
    <row r="982" spans="3:17" ht="15.75" customHeight="1">
      <c r="C982" s="53"/>
      <c r="D982" s="73"/>
      <c r="E982" s="73"/>
      <c r="F982" s="73"/>
      <c r="G982" s="73"/>
      <c r="H982" s="73"/>
      <c r="I982" s="73"/>
      <c r="J982" s="73"/>
      <c r="K982" s="53"/>
      <c r="L982" s="53"/>
      <c r="M982" s="53"/>
      <c r="N982" s="53"/>
      <c r="O982" s="53"/>
      <c r="P982" s="53"/>
      <c r="Q982" s="53"/>
    </row>
    <row r="983" spans="3:17" ht="15.75" customHeight="1">
      <c r="C983" s="53"/>
      <c r="D983" s="73"/>
      <c r="E983" s="73"/>
      <c r="F983" s="73"/>
      <c r="G983" s="73"/>
      <c r="H983" s="73"/>
      <c r="I983" s="73"/>
      <c r="J983" s="73"/>
      <c r="K983" s="53"/>
      <c r="L983" s="53"/>
      <c r="M983" s="53"/>
      <c r="N983" s="53"/>
      <c r="O983" s="53"/>
      <c r="P983" s="53"/>
      <c r="Q983" s="53"/>
    </row>
    <row r="984" spans="3:17" ht="15.75" customHeight="1">
      <c r="C984" s="53"/>
      <c r="D984" s="73"/>
      <c r="E984" s="73"/>
      <c r="F984" s="73"/>
      <c r="G984" s="73"/>
      <c r="H984" s="73"/>
      <c r="I984" s="73"/>
      <c r="J984" s="73"/>
      <c r="K984" s="53"/>
      <c r="L984" s="53"/>
      <c r="M984" s="53"/>
      <c r="N984" s="53"/>
      <c r="O984" s="53"/>
      <c r="P984" s="53"/>
      <c r="Q984" s="53"/>
    </row>
    <row r="985" spans="3:17" ht="15.75" customHeight="1">
      <c r="C985" s="53"/>
      <c r="D985" s="73"/>
      <c r="E985" s="73"/>
      <c r="F985" s="73"/>
      <c r="G985" s="73"/>
      <c r="H985" s="73"/>
      <c r="I985" s="73"/>
      <c r="J985" s="73"/>
      <c r="K985" s="53"/>
      <c r="L985" s="53"/>
      <c r="M985" s="53"/>
      <c r="N985" s="53"/>
      <c r="O985" s="53"/>
      <c r="P985" s="53"/>
      <c r="Q985" s="53"/>
    </row>
    <row r="986" spans="3:17" ht="15.75" customHeight="1">
      <c r="C986" s="53"/>
      <c r="D986" s="73"/>
      <c r="E986" s="73"/>
      <c r="F986" s="73"/>
      <c r="G986" s="73"/>
      <c r="H986" s="73"/>
      <c r="I986" s="73"/>
      <c r="J986" s="73"/>
      <c r="K986" s="53"/>
      <c r="L986" s="53"/>
      <c r="M986" s="53"/>
      <c r="N986" s="53"/>
      <c r="O986" s="53"/>
      <c r="P986" s="53"/>
      <c r="Q986" s="53"/>
    </row>
    <row r="987" spans="3:17" ht="15.75" customHeight="1">
      <c r="C987" s="53"/>
      <c r="D987" s="73"/>
      <c r="E987" s="73"/>
      <c r="F987" s="73"/>
      <c r="G987" s="73"/>
      <c r="H987" s="73"/>
      <c r="I987" s="73"/>
      <c r="J987" s="73"/>
      <c r="K987" s="53"/>
      <c r="L987" s="53"/>
      <c r="M987" s="53"/>
      <c r="N987" s="53"/>
      <c r="O987" s="53"/>
      <c r="P987" s="53"/>
      <c r="Q987" s="53"/>
    </row>
    <row r="988" spans="3:17" ht="15.75" customHeight="1">
      <c r="C988" s="53"/>
      <c r="D988" s="73"/>
      <c r="E988" s="73"/>
      <c r="F988" s="73"/>
      <c r="G988" s="73"/>
      <c r="H988" s="73"/>
      <c r="I988" s="73"/>
      <c r="J988" s="73"/>
      <c r="K988" s="53"/>
      <c r="L988" s="53"/>
      <c r="M988" s="53"/>
      <c r="N988" s="53"/>
      <c r="O988" s="53"/>
      <c r="P988" s="53"/>
      <c r="Q988" s="53"/>
    </row>
    <row r="989" spans="3:17" ht="15.75" customHeight="1">
      <c r="C989" s="53"/>
      <c r="D989" s="73"/>
      <c r="E989" s="73"/>
      <c r="F989" s="73"/>
      <c r="G989" s="73"/>
      <c r="H989" s="73"/>
      <c r="I989" s="73"/>
      <c r="J989" s="73"/>
      <c r="K989" s="53"/>
      <c r="L989" s="53"/>
      <c r="M989" s="53"/>
      <c r="N989" s="53"/>
      <c r="O989" s="53"/>
      <c r="P989" s="53"/>
      <c r="Q989" s="53"/>
    </row>
    <row r="990" spans="3:17" ht="15.75" customHeight="1">
      <c r="C990" s="53"/>
      <c r="D990" s="73"/>
      <c r="E990" s="73"/>
      <c r="F990" s="73"/>
      <c r="G990" s="73"/>
      <c r="H990" s="73"/>
      <c r="I990" s="73"/>
      <c r="J990" s="73"/>
      <c r="K990" s="53"/>
      <c r="L990" s="53"/>
      <c r="M990" s="53"/>
      <c r="N990" s="53"/>
      <c r="O990" s="53"/>
      <c r="P990" s="53"/>
      <c r="Q990" s="53"/>
    </row>
    <row r="991" spans="3:17" ht="15.75" customHeight="1">
      <c r="C991" s="53"/>
      <c r="D991" s="73"/>
      <c r="E991" s="73"/>
      <c r="F991" s="73"/>
      <c r="G991" s="73"/>
      <c r="H991" s="73"/>
      <c r="I991" s="73"/>
      <c r="J991" s="73"/>
      <c r="K991" s="53"/>
      <c r="L991" s="53"/>
      <c r="M991" s="53"/>
      <c r="N991" s="53"/>
      <c r="O991" s="53"/>
      <c r="P991" s="53"/>
      <c r="Q991" s="53"/>
    </row>
    <row r="992" spans="3:17" ht="15.75" customHeight="1">
      <c r="C992" s="53"/>
      <c r="D992" s="73"/>
      <c r="E992" s="73"/>
      <c r="F992" s="73"/>
      <c r="G992" s="73"/>
      <c r="H992" s="73"/>
      <c r="I992" s="73"/>
      <c r="J992" s="73"/>
      <c r="K992" s="53"/>
      <c r="L992" s="53"/>
      <c r="M992" s="53"/>
      <c r="N992" s="53"/>
      <c r="O992" s="53"/>
      <c r="P992" s="53"/>
      <c r="Q992" s="53"/>
    </row>
    <row r="993" spans="3:17" ht="15.75" customHeight="1">
      <c r="C993" s="53"/>
      <c r="D993" s="73"/>
      <c r="E993" s="73"/>
      <c r="F993" s="73"/>
      <c r="G993" s="73"/>
      <c r="H993" s="73"/>
      <c r="I993" s="73"/>
      <c r="J993" s="73"/>
      <c r="K993" s="53"/>
      <c r="L993" s="53"/>
      <c r="M993" s="53"/>
      <c r="N993" s="53"/>
      <c r="O993" s="53"/>
      <c r="P993" s="53"/>
      <c r="Q993" s="53"/>
    </row>
    <row r="994" spans="3:17" ht="15.75" customHeight="1">
      <c r="C994" s="53"/>
      <c r="D994" s="73"/>
      <c r="E994" s="73"/>
      <c r="F994" s="73"/>
      <c r="G994" s="73"/>
      <c r="H994" s="73"/>
      <c r="I994" s="73"/>
      <c r="J994" s="73"/>
      <c r="K994" s="53"/>
      <c r="L994" s="53"/>
      <c r="M994" s="53"/>
      <c r="N994" s="53"/>
      <c r="O994" s="53"/>
      <c r="P994" s="53"/>
      <c r="Q994" s="53"/>
    </row>
    <row r="995" spans="3:17" ht="15.75" customHeight="1">
      <c r="C995" s="53"/>
      <c r="D995" s="73"/>
      <c r="E995" s="73"/>
      <c r="F995" s="73"/>
      <c r="G995" s="73"/>
      <c r="H995" s="73"/>
      <c r="I995" s="73"/>
      <c r="J995" s="73"/>
      <c r="K995" s="53"/>
      <c r="L995" s="53"/>
      <c r="M995" s="53"/>
      <c r="N995" s="53"/>
      <c r="O995" s="53"/>
      <c r="P995" s="53"/>
      <c r="Q995" s="53"/>
    </row>
    <row r="996" spans="3:17" ht="15.75" customHeight="1">
      <c r="C996" s="53"/>
      <c r="D996" s="73"/>
      <c r="E996" s="73"/>
      <c r="F996" s="73"/>
      <c r="G996" s="73"/>
      <c r="H996" s="73"/>
      <c r="I996" s="73"/>
      <c r="J996" s="73"/>
      <c r="K996" s="53"/>
      <c r="L996" s="53"/>
      <c r="M996" s="53"/>
      <c r="N996" s="53"/>
      <c r="O996" s="53"/>
      <c r="P996" s="53"/>
      <c r="Q996" s="53"/>
    </row>
    <row r="997" spans="3:17" ht="15.75" customHeight="1">
      <c r="C997" s="53"/>
      <c r="D997" s="73"/>
      <c r="E997" s="73"/>
      <c r="F997" s="73"/>
      <c r="G997" s="73"/>
      <c r="H997" s="73"/>
      <c r="I997" s="73"/>
      <c r="J997" s="73"/>
      <c r="K997" s="53"/>
      <c r="L997" s="53"/>
      <c r="M997" s="53"/>
      <c r="N997" s="53"/>
      <c r="O997" s="53"/>
      <c r="P997" s="53"/>
      <c r="Q997" s="53"/>
    </row>
    <row r="998" spans="3:17" ht="15.75" customHeight="1">
      <c r="C998" s="53"/>
      <c r="D998" s="73"/>
      <c r="E998" s="73"/>
      <c r="F998" s="73"/>
      <c r="G998" s="73"/>
      <c r="H998" s="73"/>
      <c r="I998" s="73"/>
      <c r="J998" s="73"/>
      <c r="K998" s="53"/>
      <c r="L998" s="53"/>
      <c r="M998" s="53"/>
      <c r="N998" s="53"/>
      <c r="O998" s="53"/>
      <c r="P998" s="53"/>
      <c r="Q998" s="53"/>
    </row>
    <row r="999" spans="3:17" ht="15.75" customHeight="1">
      <c r="C999" s="53"/>
      <c r="D999" s="73"/>
      <c r="E999" s="73"/>
      <c r="F999" s="73"/>
      <c r="G999" s="73"/>
      <c r="H999" s="73"/>
      <c r="I999" s="73"/>
      <c r="J999" s="73"/>
      <c r="K999" s="53"/>
      <c r="L999" s="53"/>
      <c r="M999" s="53"/>
      <c r="N999" s="53"/>
      <c r="O999" s="53"/>
      <c r="P999" s="53"/>
      <c r="Q999" s="53"/>
    </row>
    <row r="1000" spans="3:17" ht="15.75" customHeight="1">
      <c r="C1000" s="53"/>
      <c r="D1000" s="73"/>
      <c r="E1000" s="73"/>
      <c r="F1000" s="73"/>
      <c r="G1000" s="73"/>
      <c r="H1000" s="73"/>
      <c r="I1000" s="73"/>
      <c r="J1000" s="73"/>
      <c r="K1000" s="53"/>
      <c r="L1000" s="53"/>
      <c r="M1000" s="53"/>
      <c r="N1000" s="53"/>
      <c r="O1000" s="53"/>
      <c r="P1000" s="53"/>
      <c r="Q1000" s="53"/>
    </row>
  </sheetData>
  <mergeCells count="14">
    <mergeCell ref="A1:I1"/>
    <mergeCell ref="A2:I2"/>
    <mergeCell ref="A3:I3"/>
    <mergeCell ref="A4:B4"/>
    <mergeCell ref="D4:E4"/>
    <mergeCell ref="F4:G4"/>
    <mergeCell ref="H4:I4"/>
    <mergeCell ref="A5:C5"/>
    <mergeCell ref="D5:J5"/>
    <mergeCell ref="K5:Q5"/>
    <mergeCell ref="R5:X5"/>
    <mergeCell ref="A6:A7"/>
    <mergeCell ref="B6:B7"/>
    <mergeCell ref="C6:C7"/>
  </mergeCells>
  <printOptions horizontalCentered="1"/>
  <pageMargins left="0.70866141732283505" right="0.70866141732283505" top="0.74803149606299202" bottom="0.74803149606299202" header="0" footer="0"/>
  <pageSetup paperSize="9" orientation="landscape"/>
  <rowBreaks count="2" manualBreakCount="2">
    <brk id="32" man="1"/>
    <brk id="6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6" topLeftCell="A151" activePane="bottomLeft" state="frozen"/>
      <selection pane="bottomLeft" activeCell="B8" sqref="B8"/>
    </sheetView>
  </sheetViews>
  <sheetFormatPr defaultColWidth="14.44140625" defaultRowHeight="15" customHeight="1"/>
  <cols>
    <col min="1" max="1" width="9.44140625" customWidth="1"/>
    <col min="2" max="2" width="20.44140625" customWidth="1"/>
    <col min="3" max="3" width="46.5546875" customWidth="1"/>
    <col min="4" max="10" width="8.6640625" customWidth="1"/>
    <col min="11" max="26" width="9.109375" customWidth="1"/>
  </cols>
  <sheetData>
    <row r="1" spans="1:26" ht="15.75" customHeight="1">
      <c r="A1" s="368" t="str">
        <f>'CO-PO Mapping'!A1:N1</f>
        <v xml:space="preserve">Robotics </v>
      </c>
      <c r="B1" s="356"/>
      <c r="C1" s="356"/>
      <c r="D1" s="356"/>
      <c r="E1" s="356"/>
      <c r="F1" s="356"/>
      <c r="G1" s="356"/>
      <c r="H1" s="356"/>
      <c r="I1" s="356"/>
      <c r="J1" s="356"/>
      <c r="K1" s="16"/>
      <c r="L1" s="16"/>
      <c r="M1" s="16"/>
      <c r="N1" s="16"/>
      <c r="O1" s="16"/>
      <c r="P1" s="16"/>
      <c r="Q1" s="16"/>
      <c r="R1" s="16"/>
      <c r="S1" s="16"/>
      <c r="T1" s="16"/>
      <c r="U1" s="16"/>
      <c r="V1" s="16"/>
      <c r="W1" s="16"/>
      <c r="X1" s="16"/>
      <c r="Y1" s="16"/>
      <c r="Z1" s="16"/>
    </row>
    <row r="2" spans="1:26" ht="15.75" customHeight="1">
      <c r="A2" s="75">
        <f>'CO-PO Mapping'!A2</f>
        <v>3110002</v>
      </c>
      <c r="B2" s="383" t="str">
        <f>'CO-PO Mapping'!B2</f>
        <v>English</v>
      </c>
      <c r="C2" s="342"/>
      <c r="D2" s="342"/>
      <c r="E2" s="342"/>
      <c r="F2" s="342"/>
      <c r="G2" s="342"/>
      <c r="H2" s="342"/>
      <c r="I2" s="342"/>
      <c r="J2" s="340"/>
      <c r="K2" s="76"/>
      <c r="L2" s="76"/>
      <c r="M2" s="76"/>
      <c r="N2" s="76"/>
      <c r="O2" s="76"/>
      <c r="P2" s="76"/>
      <c r="Q2" s="76"/>
      <c r="R2" s="76"/>
      <c r="S2" s="76"/>
      <c r="T2" s="76"/>
      <c r="U2" s="76"/>
      <c r="V2" s="76"/>
      <c r="W2" s="76"/>
      <c r="X2" s="76"/>
      <c r="Y2" s="76"/>
      <c r="Z2" s="76"/>
    </row>
    <row r="3" spans="1:26" ht="15.75" customHeight="1">
      <c r="A3" s="383" t="s">
        <v>80</v>
      </c>
      <c r="B3" s="342"/>
      <c r="C3" s="342"/>
      <c r="D3" s="342"/>
      <c r="E3" s="342"/>
      <c r="F3" s="342"/>
      <c r="G3" s="342"/>
      <c r="H3" s="342"/>
      <c r="I3" s="342"/>
      <c r="J3" s="340"/>
      <c r="K3" s="76"/>
      <c r="L3" s="76"/>
      <c r="M3" s="76"/>
      <c r="N3" s="76"/>
      <c r="O3" s="76"/>
      <c r="P3" s="76"/>
      <c r="Q3" s="76"/>
      <c r="R3" s="76"/>
      <c r="S3" s="76"/>
      <c r="T3" s="76"/>
      <c r="U3" s="76"/>
      <c r="V3" s="76"/>
      <c r="W3" s="76"/>
      <c r="X3" s="76"/>
      <c r="Y3" s="76"/>
      <c r="Z3" s="76"/>
    </row>
    <row r="4" spans="1:26" ht="15.75" customHeight="1">
      <c r="A4" s="382" t="s">
        <v>40</v>
      </c>
      <c r="B4" s="382" t="s">
        <v>67</v>
      </c>
      <c r="C4" s="382" t="s">
        <v>81</v>
      </c>
      <c r="D4" s="382" t="s">
        <v>29</v>
      </c>
      <c r="E4" s="382" t="s">
        <v>30</v>
      </c>
      <c r="F4" s="382" t="s">
        <v>32</v>
      </c>
      <c r="G4" s="382" t="s">
        <v>35</v>
      </c>
      <c r="H4" s="382" t="s">
        <v>36</v>
      </c>
      <c r="I4" s="382" t="s">
        <v>82</v>
      </c>
      <c r="J4" s="382" t="s">
        <v>83</v>
      </c>
      <c r="K4" s="77"/>
      <c r="L4" s="77"/>
      <c r="M4" s="77"/>
      <c r="N4" s="77"/>
      <c r="O4" s="77"/>
      <c r="P4" s="77"/>
      <c r="Q4" s="77"/>
      <c r="R4" s="77"/>
      <c r="S4" s="77"/>
      <c r="T4" s="77"/>
      <c r="U4" s="77"/>
      <c r="V4" s="77"/>
      <c r="W4" s="77"/>
      <c r="X4" s="77"/>
      <c r="Y4" s="77"/>
      <c r="Z4" s="77"/>
    </row>
    <row r="5" spans="1:26" ht="15.75" customHeight="1">
      <c r="A5" s="346"/>
      <c r="B5" s="346"/>
      <c r="C5" s="346"/>
      <c r="D5" s="346"/>
      <c r="E5" s="346"/>
      <c r="F5" s="346"/>
      <c r="G5" s="346"/>
      <c r="H5" s="346"/>
      <c r="I5" s="346"/>
      <c r="J5" s="346"/>
      <c r="K5" s="77"/>
      <c r="L5" s="77"/>
      <c r="M5" s="77"/>
      <c r="N5" s="77"/>
      <c r="O5" s="77"/>
      <c r="P5" s="77"/>
      <c r="Q5" s="77"/>
      <c r="R5" s="77"/>
      <c r="S5" s="77"/>
      <c r="T5" s="77"/>
      <c r="U5" s="77"/>
      <c r="V5" s="77"/>
      <c r="W5" s="77"/>
      <c r="X5" s="77"/>
      <c r="Y5" s="77"/>
      <c r="Z5" s="77"/>
    </row>
    <row r="6" spans="1:26" ht="15.75" customHeight="1">
      <c r="A6" s="15"/>
      <c r="B6" s="15"/>
      <c r="C6" s="78" t="s">
        <v>84</v>
      </c>
      <c r="D6" s="79" t="str">
        <f>IF('CO-PO Mapping'!F17="","",IF('M Component'!K7=0,"",'M Component'!K7))</f>
        <v/>
      </c>
      <c r="E6" s="79" t="str">
        <f>IF('CO-PO Mapping'!F17="","",IF('M Component'!L7=0,"",'M Component'!L7))</f>
        <v/>
      </c>
      <c r="F6" s="79" t="str">
        <f>IF('CO-PO Mapping'!F17="","",IF('M Component'!M7=0,"",'M Component'!M7))</f>
        <v/>
      </c>
      <c r="G6" s="79" t="str">
        <f>IF('CO-PO Mapping'!F17="","",IF('M Component'!N7=0,"",'M Component'!N7))</f>
        <v/>
      </c>
      <c r="H6" s="79" t="str">
        <f>IF('CO-PO Mapping'!F17="","",IF('M Component'!O7=0,"",'M Component'!O7))</f>
        <v/>
      </c>
      <c r="I6" s="79" t="str">
        <f>IF('CO-PO Mapping'!F17="","",IF('M Component'!P7=0,"",'M Component'!P7))</f>
        <v/>
      </c>
      <c r="J6" s="79">
        <f t="shared" ref="J6:J206" si="0">SUM(D6:I6)</f>
        <v>0</v>
      </c>
      <c r="K6" s="76"/>
      <c r="L6" s="76"/>
      <c r="M6" s="76"/>
      <c r="N6" s="76"/>
      <c r="O6" s="76"/>
      <c r="P6" s="76"/>
      <c r="Q6" s="76"/>
      <c r="R6" s="76"/>
      <c r="S6" s="76"/>
      <c r="T6" s="76"/>
      <c r="U6" s="76"/>
      <c r="V6" s="76"/>
      <c r="W6" s="76"/>
      <c r="X6" s="76"/>
      <c r="Y6" s="76"/>
      <c r="Z6" s="76"/>
    </row>
    <row r="7" spans="1:26" ht="15.75" customHeight="1">
      <c r="A7" s="80">
        <f>'Students Details'!A7</f>
        <v>1</v>
      </c>
      <c r="B7" s="81" t="str">
        <f>IF('Students Details'!B7="","",'Students Details'!B7)</f>
        <v/>
      </c>
      <c r="C7" s="82" t="str">
        <f>IF('Students Details'!C7="","",'Students Details'!C7)</f>
        <v/>
      </c>
      <c r="D7" s="83" t="str">
        <f>IF('M Component'!K8=0,"",'M Component'!K8)</f>
        <v/>
      </c>
      <c r="E7" s="83" t="str">
        <f>IF('M Component'!L8=0,"",'M Component'!L8)</f>
        <v/>
      </c>
      <c r="F7" s="83" t="str">
        <f>IF('M Component'!M8=0,"",'M Component'!M8)</f>
        <v/>
      </c>
      <c r="G7" s="83" t="str">
        <f>IF('M Component'!N8=0,"",'M Component'!N8)</f>
        <v/>
      </c>
      <c r="H7" s="83" t="str">
        <f>IF('M Component'!O8=0,"",'M Component'!O8)</f>
        <v/>
      </c>
      <c r="I7" s="83" t="str">
        <f>IF('M Component'!P8=0,"",'M Component'!P8)</f>
        <v/>
      </c>
      <c r="J7" s="84">
        <f t="shared" si="0"/>
        <v>0</v>
      </c>
      <c r="K7" s="16"/>
      <c r="L7" s="16"/>
      <c r="M7" s="16"/>
      <c r="N7" s="16"/>
      <c r="O7" s="16"/>
      <c r="P7" s="16"/>
      <c r="Q7" s="16"/>
      <c r="R7" s="16"/>
      <c r="S7" s="16"/>
      <c r="T7" s="16"/>
      <c r="U7" s="16"/>
      <c r="V7" s="16"/>
      <c r="W7" s="16"/>
      <c r="X7" s="16"/>
      <c r="Y7" s="16"/>
      <c r="Z7" s="16"/>
    </row>
    <row r="8" spans="1:26" ht="15.75" customHeight="1">
      <c r="A8" s="80">
        <f>'Students Details'!A8</f>
        <v>2</v>
      </c>
      <c r="B8" s="81" t="str">
        <f>IF('Students Details'!B8="","",'Students Details'!B8)</f>
        <v/>
      </c>
      <c r="C8" s="82" t="str">
        <f>IF('Students Details'!C8="","",'Students Details'!C8)</f>
        <v/>
      </c>
      <c r="D8" s="83" t="str">
        <f>IF('M Component'!K9=0,"",'M Component'!K9)</f>
        <v/>
      </c>
      <c r="E8" s="83" t="str">
        <f>IF('M Component'!L9=0,"",'M Component'!L9)</f>
        <v/>
      </c>
      <c r="F8" s="83" t="str">
        <f>IF('M Component'!M9=0,"",'M Component'!M9)</f>
        <v/>
      </c>
      <c r="G8" s="83" t="str">
        <f>IF('M Component'!N9=0,"",'M Component'!N9)</f>
        <v/>
      </c>
      <c r="H8" s="83" t="str">
        <f>IF('M Component'!O9=0,"",'M Component'!O9)</f>
        <v/>
      </c>
      <c r="I8" s="83" t="str">
        <f>IF('M Component'!P9=0,"",'M Component'!P9)</f>
        <v/>
      </c>
      <c r="J8" s="84">
        <f t="shared" si="0"/>
        <v>0</v>
      </c>
      <c r="K8" s="16"/>
      <c r="L8" s="16"/>
      <c r="M8" s="16"/>
      <c r="N8" s="16"/>
      <c r="O8" s="16"/>
      <c r="P8" s="16"/>
      <c r="Q8" s="16"/>
      <c r="R8" s="16"/>
      <c r="S8" s="16"/>
      <c r="T8" s="16"/>
      <c r="U8" s="16"/>
      <c r="V8" s="16"/>
      <c r="W8" s="16"/>
      <c r="X8" s="16"/>
      <c r="Y8" s="16"/>
      <c r="Z8" s="16"/>
    </row>
    <row r="9" spans="1:26" ht="15.75" customHeight="1">
      <c r="A9" s="80">
        <f>'Students Details'!A9</f>
        <v>3</v>
      </c>
      <c r="B9" s="81" t="str">
        <f>IF('Students Details'!B9="","",'Students Details'!B9)</f>
        <v/>
      </c>
      <c r="C9" s="82" t="str">
        <f>IF('Students Details'!C9="","",'Students Details'!C9)</f>
        <v/>
      </c>
      <c r="D9" s="83" t="str">
        <f>IF('M Component'!K10=0,"",'M Component'!K10)</f>
        <v/>
      </c>
      <c r="E9" s="83" t="str">
        <f>IF('M Component'!L10=0,"",'M Component'!L10)</f>
        <v/>
      </c>
      <c r="F9" s="83" t="str">
        <f>IF('M Component'!M10=0,"",'M Component'!M10)</f>
        <v/>
      </c>
      <c r="G9" s="83" t="str">
        <f>IF('M Component'!N10=0,"",'M Component'!N10)</f>
        <v/>
      </c>
      <c r="H9" s="83" t="str">
        <f>IF('M Component'!O10=0,"",'M Component'!O10)</f>
        <v/>
      </c>
      <c r="I9" s="83" t="str">
        <f>IF('M Component'!P10=0,"",'M Component'!P10)</f>
        <v/>
      </c>
      <c r="J9" s="84">
        <f t="shared" si="0"/>
        <v>0</v>
      </c>
      <c r="K9" s="16"/>
      <c r="L9" s="16"/>
      <c r="M9" s="16"/>
      <c r="N9" s="16"/>
      <c r="O9" s="16"/>
      <c r="P9" s="16"/>
      <c r="Q9" s="16"/>
      <c r="R9" s="16"/>
      <c r="S9" s="16"/>
      <c r="T9" s="16"/>
      <c r="U9" s="16"/>
      <c r="V9" s="16"/>
      <c r="W9" s="16"/>
      <c r="X9" s="16"/>
      <c r="Y9" s="16"/>
      <c r="Z9" s="16"/>
    </row>
    <row r="10" spans="1:26" ht="15.75" customHeight="1">
      <c r="A10" s="80">
        <f>'Students Details'!A10</f>
        <v>4</v>
      </c>
      <c r="B10" s="81" t="str">
        <f>IF('Students Details'!B10="","",'Students Details'!B10)</f>
        <v/>
      </c>
      <c r="C10" s="82" t="str">
        <f>IF('Students Details'!C10="","",'Students Details'!C10)</f>
        <v/>
      </c>
      <c r="D10" s="83" t="str">
        <f>IF('M Component'!K11=0,"",'M Component'!K11)</f>
        <v/>
      </c>
      <c r="E10" s="83" t="str">
        <f>IF('M Component'!L11=0,"",'M Component'!L11)</f>
        <v/>
      </c>
      <c r="F10" s="83" t="str">
        <f>IF('M Component'!M11=0,"",'M Component'!M11)</f>
        <v/>
      </c>
      <c r="G10" s="83" t="str">
        <f>IF('M Component'!N11=0,"",'M Component'!N11)</f>
        <v/>
      </c>
      <c r="H10" s="83" t="str">
        <f>IF('M Component'!O11=0,"",'M Component'!O11)</f>
        <v/>
      </c>
      <c r="I10" s="83" t="str">
        <f>IF('M Component'!P11=0,"",'M Component'!P11)</f>
        <v/>
      </c>
      <c r="J10" s="84">
        <f t="shared" si="0"/>
        <v>0</v>
      </c>
      <c r="K10" s="16"/>
      <c r="L10" s="16"/>
      <c r="M10" s="16"/>
      <c r="N10" s="16"/>
      <c r="O10" s="16"/>
      <c r="P10" s="16"/>
      <c r="Q10" s="16"/>
      <c r="R10" s="16"/>
      <c r="S10" s="16"/>
      <c r="T10" s="16"/>
      <c r="U10" s="16"/>
      <c r="V10" s="16"/>
      <c r="W10" s="16"/>
      <c r="X10" s="16"/>
      <c r="Y10" s="16"/>
      <c r="Z10" s="16"/>
    </row>
    <row r="11" spans="1:26" ht="15.75" customHeight="1">
      <c r="A11" s="80">
        <f>'Students Details'!A11</f>
        <v>5</v>
      </c>
      <c r="B11" s="81" t="str">
        <f>IF('Students Details'!B11="","",'Students Details'!B11)</f>
        <v/>
      </c>
      <c r="C11" s="82" t="str">
        <f>IF('Students Details'!C11="","",'Students Details'!C11)</f>
        <v/>
      </c>
      <c r="D11" s="83" t="str">
        <f>IF('M Component'!K12=0,"",'M Component'!K12)</f>
        <v/>
      </c>
      <c r="E11" s="83" t="str">
        <f>IF('M Component'!L12=0,"",'M Component'!L12)</f>
        <v/>
      </c>
      <c r="F11" s="83" t="str">
        <f>IF('M Component'!M12=0,"",'M Component'!M12)</f>
        <v/>
      </c>
      <c r="G11" s="83" t="str">
        <f>IF('M Component'!N12=0,"",'M Component'!N12)</f>
        <v/>
      </c>
      <c r="H11" s="83" t="str">
        <f>IF('M Component'!O12=0,"",'M Component'!O12)</f>
        <v/>
      </c>
      <c r="I11" s="83" t="str">
        <f>IF('M Component'!P12=0,"",'M Component'!P12)</f>
        <v/>
      </c>
      <c r="J11" s="84">
        <f t="shared" si="0"/>
        <v>0</v>
      </c>
      <c r="K11" s="16"/>
      <c r="L11" s="16"/>
      <c r="M11" s="16"/>
      <c r="N11" s="16"/>
      <c r="O11" s="16"/>
      <c r="P11" s="16"/>
      <c r="Q11" s="16"/>
      <c r="R11" s="16"/>
      <c r="S11" s="16"/>
      <c r="T11" s="16"/>
      <c r="U11" s="16"/>
      <c r="V11" s="16"/>
      <c r="W11" s="16"/>
      <c r="X11" s="16"/>
      <c r="Y11" s="16"/>
      <c r="Z11" s="16"/>
    </row>
    <row r="12" spans="1:26" ht="15.75" customHeight="1">
      <c r="A12" s="80">
        <f>'Students Details'!A12</f>
        <v>6</v>
      </c>
      <c r="B12" s="81" t="str">
        <f>IF('Students Details'!B12="","",'Students Details'!B12)</f>
        <v/>
      </c>
      <c r="C12" s="82" t="str">
        <f>IF('Students Details'!C12="","",'Students Details'!C12)</f>
        <v/>
      </c>
      <c r="D12" s="83" t="str">
        <f>IF('M Component'!K13=0,"",'M Component'!K13)</f>
        <v/>
      </c>
      <c r="E12" s="83" t="str">
        <f>IF('M Component'!L13=0,"",'M Component'!L13)</f>
        <v/>
      </c>
      <c r="F12" s="83" t="str">
        <f>IF('M Component'!M13=0,"",'M Component'!M13)</f>
        <v/>
      </c>
      <c r="G12" s="83" t="str">
        <f>IF('M Component'!N13=0,"",'M Component'!N13)</f>
        <v/>
      </c>
      <c r="H12" s="83" t="str">
        <f>IF('M Component'!O13=0,"",'M Component'!O13)</f>
        <v/>
      </c>
      <c r="I12" s="83" t="str">
        <f>IF('M Component'!P13=0,"",'M Component'!P13)</f>
        <v/>
      </c>
      <c r="J12" s="84">
        <f t="shared" si="0"/>
        <v>0</v>
      </c>
      <c r="K12" s="16"/>
      <c r="L12" s="16"/>
      <c r="M12" s="16"/>
      <c r="N12" s="16"/>
      <c r="O12" s="16"/>
      <c r="P12" s="16"/>
      <c r="Q12" s="16"/>
      <c r="R12" s="16"/>
      <c r="S12" s="16"/>
      <c r="T12" s="16"/>
      <c r="U12" s="16"/>
      <c r="V12" s="16"/>
      <c r="W12" s="16"/>
      <c r="X12" s="16"/>
      <c r="Y12" s="16"/>
      <c r="Z12" s="16"/>
    </row>
    <row r="13" spans="1:26" ht="15.75" customHeight="1">
      <c r="A13" s="80">
        <f>'Students Details'!A13</f>
        <v>7</v>
      </c>
      <c r="B13" s="81" t="str">
        <f>IF('Students Details'!B13="","",'Students Details'!B13)</f>
        <v/>
      </c>
      <c r="C13" s="82" t="str">
        <f>IF('Students Details'!C13="","",'Students Details'!C13)</f>
        <v/>
      </c>
      <c r="D13" s="83" t="str">
        <f>IF('M Component'!K14=0,"",'M Component'!K14)</f>
        <v/>
      </c>
      <c r="E13" s="83" t="str">
        <f>IF('M Component'!L14=0,"",'M Component'!L14)</f>
        <v/>
      </c>
      <c r="F13" s="83" t="str">
        <f>IF('M Component'!M14=0,"",'M Component'!M14)</f>
        <v/>
      </c>
      <c r="G13" s="83" t="str">
        <f>IF('M Component'!N14=0,"",'M Component'!N14)</f>
        <v/>
      </c>
      <c r="H13" s="83" t="str">
        <f>IF('M Component'!O14=0,"",'M Component'!O14)</f>
        <v/>
      </c>
      <c r="I13" s="83" t="str">
        <f>IF('M Component'!P14=0,"",'M Component'!P14)</f>
        <v/>
      </c>
      <c r="J13" s="84">
        <f t="shared" si="0"/>
        <v>0</v>
      </c>
      <c r="K13" s="16"/>
      <c r="L13" s="16"/>
      <c r="M13" s="16"/>
      <c r="N13" s="16"/>
      <c r="O13" s="16"/>
      <c r="P13" s="16"/>
      <c r="Q13" s="16"/>
      <c r="R13" s="16"/>
      <c r="S13" s="16"/>
      <c r="T13" s="16"/>
      <c r="U13" s="16"/>
      <c r="V13" s="16"/>
      <c r="W13" s="16"/>
      <c r="X13" s="16"/>
      <c r="Y13" s="16"/>
      <c r="Z13" s="16"/>
    </row>
    <row r="14" spans="1:26" ht="15.75" customHeight="1">
      <c r="A14" s="80">
        <f>'Students Details'!A14</f>
        <v>8</v>
      </c>
      <c r="B14" s="81" t="str">
        <f>IF('Students Details'!B14="","",'Students Details'!B14)</f>
        <v/>
      </c>
      <c r="C14" s="82" t="str">
        <f>IF('Students Details'!C14="","",'Students Details'!C14)</f>
        <v/>
      </c>
      <c r="D14" s="83" t="str">
        <f>IF('M Component'!K15=0,"",'M Component'!K15)</f>
        <v/>
      </c>
      <c r="E14" s="83" t="str">
        <f>IF('M Component'!L15=0,"",'M Component'!L15)</f>
        <v/>
      </c>
      <c r="F14" s="83" t="str">
        <f>IF('M Component'!M15=0,"",'M Component'!M15)</f>
        <v/>
      </c>
      <c r="G14" s="83" t="str">
        <f>IF('M Component'!N15=0,"",'M Component'!N15)</f>
        <v/>
      </c>
      <c r="H14" s="83" t="str">
        <f>IF('M Component'!O15=0,"",'M Component'!O15)</f>
        <v/>
      </c>
      <c r="I14" s="83" t="str">
        <f>IF('M Component'!P15=0,"",'M Component'!P15)</f>
        <v/>
      </c>
      <c r="J14" s="84">
        <f t="shared" si="0"/>
        <v>0</v>
      </c>
      <c r="K14" s="16"/>
      <c r="L14" s="16"/>
      <c r="M14" s="16"/>
      <c r="N14" s="16"/>
      <c r="O14" s="16"/>
      <c r="P14" s="16"/>
      <c r="Q14" s="16"/>
      <c r="R14" s="16"/>
      <c r="S14" s="16"/>
      <c r="T14" s="16"/>
      <c r="U14" s="16"/>
      <c r="V14" s="16"/>
      <c r="W14" s="16"/>
      <c r="X14" s="16"/>
      <c r="Y14" s="16"/>
      <c r="Z14" s="16"/>
    </row>
    <row r="15" spans="1:26" ht="15.75" customHeight="1">
      <c r="A15" s="80">
        <f>'Students Details'!A15</f>
        <v>9</v>
      </c>
      <c r="B15" s="81" t="str">
        <f>IF('Students Details'!B15="","",'Students Details'!B15)</f>
        <v/>
      </c>
      <c r="C15" s="82" t="str">
        <f>IF('Students Details'!C15="","",'Students Details'!C15)</f>
        <v/>
      </c>
      <c r="D15" s="83" t="str">
        <f>IF('M Component'!K16=0,"",'M Component'!K16)</f>
        <v/>
      </c>
      <c r="E15" s="83" t="str">
        <f>IF('M Component'!L16=0,"",'M Component'!L16)</f>
        <v/>
      </c>
      <c r="F15" s="83" t="str">
        <f>IF('M Component'!M16=0,"",'M Component'!M16)</f>
        <v/>
      </c>
      <c r="G15" s="83" t="str">
        <f>IF('M Component'!N16=0,"",'M Component'!N16)</f>
        <v/>
      </c>
      <c r="H15" s="83" t="str">
        <f>IF('M Component'!O16=0,"",'M Component'!O16)</f>
        <v/>
      </c>
      <c r="I15" s="83" t="str">
        <f>IF('M Component'!P16=0,"",'M Component'!P16)</f>
        <v/>
      </c>
      <c r="J15" s="84">
        <f t="shared" si="0"/>
        <v>0</v>
      </c>
      <c r="K15" s="16"/>
      <c r="L15" s="16"/>
      <c r="M15" s="16"/>
      <c r="N15" s="16"/>
      <c r="O15" s="16"/>
      <c r="P15" s="16"/>
      <c r="Q15" s="16"/>
      <c r="R15" s="16"/>
      <c r="S15" s="16"/>
      <c r="T15" s="16"/>
      <c r="U15" s="16"/>
      <c r="V15" s="16"/>
      <c r="W15" s="16"/>
      <c r="X15" s="16"/>
      <c r="Y15" s="16"/>
      <c r="Z15" s="16"/>
    </row>
    <row r="16" spans="1:26" ht="15.75" customHeight="1">
      <c r="A16" s="80">
        <f>'Students Details'!A16</f>
        <v>10</v>
      </c>
      <c r="B16" s="81" t="str">
        <f>IF('Students Details'!B16="","",'Students Details'!B16)</f>
        <v/>
      </c>
      <c r="C16" s="82" t="str">
        <f>IF('Students Details'!C16="","",'Students Details'!C16)</f>
        <v/>
      </c>
      <c r="D16" s="83" t="str">
        <f>IF('M Component'!K17=0,"",'M Component'!K17)</f>
        <v/>
      </c>
      <c r="E16" s="83" t="str">
        <f>IF('M Component'!L17=0,"",'M Component'!L17)</f>
        <v/>
      </c>
      <c r="F16" s="83" t="str">
        <f>IF('M Component'!M17=0,"",'M Component'!M17)</f>
        <v/>
      </c>
      <c r="G16" s="83" t="str">
        <f>IF('M Component'!N17=0,"",'M Component'!N17)</f>
        <v/>
      </c>
      <c r="H16" s="83" t="str">
        <f>IF('M Component'!O17=0,"",'M Component'!O17)</f>
        <v/>
      </c>
      <c r="I16" s="83" t="str">
        <f>IF('M Component'!P17=0,"",'M Component'!P17)</f>
        <v/>
      </c>
      <c r="J16" s="84">
        <f t="shared" si="0"/>
        <v>0</v>
      </c>
      <c r="K16" s="16"/>
      <c r="L16" s="16"/>
      <c r="M16" s="37"/>
      <c r="N16" s="16"/>
      <c r="O16" s="16"/>
      <c r="P16" s="16"/>
      <c r="Q16" s="16"/>
      <c r="R16" s="16"/>
      <c r="S16" s="16"/>
      <c r="T16" s="16"/>
      <c r="U16" s="16"/>
      <c r="V16" s="16"/>
      <c r="W16" s="16"/>
      <c r="X16" s="16"/>
      <c r="Y16" s="16"/>
      <c r="Z16" s="16"/>
    </row>
    <row r="17" spans="1:26" ht="15.75" customHeight="1">
      <c r="A17" s="80">
        <f>'Students Details'!A17</f>
        <v>11</v>
      </c>
      <c r="B17" s="81" t="str">
        <f>IF('Students Details'!B17="","",'Students Details'!B17)</f>
        <v/>
      </c>
      <c r="C17" s="82" t="str">
        <f>IF('Students Details'!C17="","",'Students Details'!C17)</f>
        <v/>
      </c>
      <c r="D17" s="83" t="str">
        <f>IF('M Component'!K18=0,"",'M Component'!K18)</f>
        <v/>
      </c>
      <c r="E17" s="83" t="str">
        <f>IF('M Component'!L18=0,"",'M Component'!L18)</f>
        <v/>
      </c>
      <c r="F17" s="83" t="str">
        <f>IF('M Component'!M18=0,"",'M Component'!M18)</f>
        <v/>
      </c>
      <c r="G17" s="83" t="str">
        <f>IF('M Component'!N18=0,"",'M Component'!N18)</f>
        <v/>
      </c>
      <c r="H17" s="83" t="str">
        <f>IF('M Component'!O18=0,"",'M Component'!O18)</f>
        <v/>
      </c>
      <c r="I17" s="83" t="str">
        <f>IF('M Component'!P18=0,"",'M Component'!P18)</f>
        <v/>
      </c>
      <c r="J17" s="84">
        <f t="shared" si="0"/>
        <v>0</v>
      </c>
      <c r="K17" s="16"/>
      <c r="L17" s="16"/>
      <c r="M17" s="16"/>
      <c r="N17" s="16"/>
      <c r="O17" s="16"/>
      <c r="P17" s="16"/>
      <c r="Q17" s="16"/>
      <c r="R17" s="16"/>
      <c r="S17" s="16"/>
      <c r="T17" s="16"/>
      <c r="U17" s="16"/>
      <c r="V17" s="16"/>
      <c r="W17" s="16"/>
      <c r="X17" s="16"/>
      <c r="Y17" s="16"/>
      <c r="Z17" s="16"/>
    </row>
    <row r="18" spans="1:26" ht="15.75" customHeight="1">
      <c r="A18" s="80">
        <f>'Students Details'!A18</f>
        <v>12</v>
      </c>
      <c r="B18" s="81" t="str">
        <f>IF('Students Details'!B18="","",'Students Details'!B18)</f>
        <v/>
      </c>
      <c r="C18" s="82" t="str">
        <f>IF('Students Details'!C18="","",'Students Details'!C18)</f>
        <v/>
      </c>
      <c r="D18" s="83" t="str">
        <f>IF('M Component'!K19=0,"",'M Component'!K19)</f>
        <v/>
      </c>
      <c r="E18" s="83" t="str">
        <f>IF('M Component'!L19=0,"",'M Component'!L19)</f>
        <v/>
      </c>
      <c r="F18" s="83" t="str">
        <f>IF('M Component'!M19=0,"",'M Component'!M19)</f>
        <v/>
      </c>
      <c r="G18" s="83" t="str">
        <f>IF('M Component'!N19=0,"",'M Component'!N19)</f>
        <v/>
      </c>
      <c r="H18" s="83" t="str">
        <f>IF('M Component'!O19=0,"",'M Component'!O19)</f>
        <v/>
      </c>
      <c r="I18" s="83" t="str">
        <f>IF('M Component'!P19=0,"",'M Component'!P19)</f>
        <v/>
      </c>
      <c r="J18" s="84">
        <f t="shared" si="0"/>
        <v>0</v>
      </c>
      <c r="K18" s="16"/>
      <c r="L18" s="16"/>
      <c r="M18" s="16"/>
      <c r="N18" s="16"/>
      <c r="O18" s="16"/>
      <c r="P18" s="16"/>
      <c r="Q18" s="16"/>
      <c r="R18" s="16"/>
      <c r="S18" s="16"/>
      <c r="T18" s="16"/>
      <c r="U18" s="16"/>
      <c r="V18" s="16"/>
      <c r="W18" s="16"/>
      <c r="X18" s="16"/>
      <c r="Y18" s="16"/>
      <c r="Z18" s="16"/>
    </row>
    <row r="19" spans="1:26" ht="15.75" customHeight="1">
      <c r="A19" s="80">
        <f>'Students Details'!A19</f>
        <v>13</v>
      </c>
      <c r="B19" s="81" t="str">
        <f>IF('Students Details'!B19="","",'Students Details'!B19)</f>
        <v/>
      </c>
      <c r="C19" s="82" t="str">
        <f>IF('Students Details'!C19="","",'Students Details'!C19)</f>
        <v/>
      </c>
      <c r="D19" s="83" t="str">
        <f>IF('M Component'!K20=0,"",'M Component'!K20)</f>
        <v/>
      </c>
      <c r="E19" s="83" t="str">
        <f>IF('M Component'!L20=0,"",'M Component'!L20)</f>
        <v/>
      </c>
      <c r="F19" s="83" t="str">
        <f>IF('M Component'!M20=0,"",'M Component'!M20)</f>
        <v/>
      </c>
      <c r="G19" s="83" t="str">
        <f>IF('M Component'!N20=0,"",'M Component'!N20)</f>
        <v/>
      </c>
      <c r="H19" s="83" t="str">
        <f>IF('M Component'!O20=0,"",'M Component'!O20)</f>
        <v/>
      </c>
      <c r="I19" s="83" t="str">
        <f>IF('M Component'!P20=0,"",'M Component'!P20)</f>
        <v/>
      </c>
      <c r="J19" s="84">
        <f t="shared" si="0"/>
        <v>0</v>
      </c>
      <c r="K19" s="16"/>
      <c r="L19" s="16"/>
      <c r="M19" s="16"/>
      <c r="N19" s="16"/>
      <c r="O19" s="16"/>
      <c r="P19" s="16"/>
      <c r="Q19" s="16"/>
      <c r="R19" s="16"/>
      <c r="S19" s="16"/>
      <c r="T19" s="16"/>
      <c r="U19" s="16"/>
      <c r="V19" s="16"/>
      <c r="W19" s="16"/>
      <c r="X19" s="16"/>
      <c r="Y19" s="16"/>
      <c r="Z19" s="16"/>
    </row>
    <row r="20" spans="1:26" ht="15.75" customHeight="1">
      <c r="A20" s="80">
        <f>'Students Details'!A20</f>
        <v>14</v>
      </c>
      <c r="B20" s="81" t="str">
        <f>IF('Students Details'!B20="","",'Students Details'!B20)</f>
        <v/>
      </c>
      <c r="C20" s="82" t="str">
        <f>IF('Students Details'!C20="","",'Students Details'!C20)</f>
        <v/>
      </c>
      <c r="D20" s="83" t="str">
        <f>IF('M Component'!K21=0,"",'M Component'!K21)</f>
        <v/>
      </c>
      <c r="E20" s="83" t="str">
        <f>IF('M Component'!L21=0,"",'M Component'!L21)</f>
        <v/>
      </c>
      <c r="F20" s="83" t="str">
        <f>IF('M Component'!M21=0,"",'M Component'!M21)</f>
        <v/>
      </c>
      <c r="G20" s="83" t="str">
        <f>IF('M Component'!N21=0,"",'M Component'!N21)</f>
        <v/>
      </c>
      <c r="H20" s="83" t="str">
        <f>IF('M Component'!O21=0,"",'M Component'!O21)</f>
        <v/>
      </c>
      <c r="I20" s="83" t="str">
        <f>IF('M Component'!P21=0,"",'M Component'!P21)</f>
        <v/>
      </c>
      <c r="J20" s="84">
        <f t="shared" si="0"/>
        <v>0</v>
      </c>
      <c r="K20" s="16"/>
      <c r="L20" s="16"/>
      <c r="M20" s="16"/>
      <c r="N20" s="16"/>
      <c r="O20" s="16"/>
      <c r="P20" s="16"/>
      <c r="Q20" s="16"/>
      <c r="R20" s="16"/>
      <c r="S20" s="16"/>
      <c r="T20" s="16"/>
      <c r="U20" s="16"/>
      <c r="V20" s="16"/>
      <c r="W20" s="16"/>
      <c r="X20" s="16"/>
      <c r="Y20" s="16"/>
      <c r="Z20" s="16"/>
    </row>
    <row r="21" spans="1:26" ht="15.75" customHeight="1">
      <c r="A21" s="80">
        <f>'Students Details'!A21</f>
        <v>15</v>
      </c>
      <c r="B21" s="81" t="str">
        <f>IF('Students Details'!B21="","",'Students Details'!B21)</f>
        <v/>
      </c>
      <c r="C21" s="82" t="str">
        <f>IF('Students Details'!C21="","",'Students Details'!C21)</f>
        <v/>
      </c>
      <c r="D21" s="83" t="str">
        <f>IF('M Component'!K22=0,"",'M Component'!K22)</f>
        <v/>
      </c>
      <c r="E21" s="83" t="str">
        <f>IF('M Component'!L22=0,"",'M Component'!L22)</f>
        <v/>
      </c>
      <c r="F21" s="83" t="str">
        <f>IF('M Component'!M22=0,"",'M Component'!M22)</f>
        <v/>
      </c>
      <c r="G21" s="83" t="str">
        <f>IF('M Component'!N22=0,"",'M Component'!N22)</f>
        <v/>
      </c>
      <c r="H21" s="83" t="str">
        <f>IF('M Component'!O22=0,"",'M Component'!O22)</f>
        <v/>
      </c>
      <c r="I21" s="83" t="str">
        <f>IF('M Component'!P22=0,"",'M Component'!P22)</f>
        <v/>
      </c>
      <c r="J21" s="84">
        <f t="shared" si="0"/>
        <v>0</v>
      </c>
      <c r="K21" s="16"/>
      <c r="L21" s="16"/>
      <c r="M21" s="16"/>
      <c r="N21" s="16"/>
      <c r="O21" s="16"/>
      <c r="P21" s="16"/>
      <c r="Q21" s="16"/>
      <c r="R21" s="16"/>
      <c r="S21" s="16"/>
      <c r="T21" s="16"/>
      <c r="U21" s="16"/>
      <c r="V21" s="16"/>
      <c r="W21" s="16"/>
      <c r="X21" s="16"/>
      <c r="Y21" s="16"/>
      <c r="Z21" s="16"/>
    </row>
    <row r="22" spans="1:26" ht="15.75" customHeight="1">
      <c r="A22" s="80">
        <f>'Students Details'!A22</f>
        <v>16</v>
      </c>
      <c r="B22" s="81" t="str">
        <f>IF('Students Details'!B22="","",'Students Details'!B22)</f>
        <v/>
      </c>
      <c r="C22" s="82" t="str">
        <f>IF('Students Details'!C22="","",'Students Details'!C22)</f>
        <v/>
      </c>
      <c r="D22" s="83" t="str">
        <f>IF('M Component'!K23=0,"",'M Component'!K23)</f>
        <v/>
      </c>
      <c r="E22" s="83" t="str">
        <f>IF('M Component'!L23=0,"",'M Component'!L23)</f>
        <v/>
      </c>
      <c r="F22" s="83" t="str">
        <f>IF('M Component'!M23=0,"",'M Component'!M23)</f>
        <v/>
      </c>
      <c r="G22" s="83" t="str">
        <f>IF('M Component'!N23=0,"",'M Component'!N23)</f>
        <v/>
      </c>
      <c r="H22" s="83" t="str">
        <f>IF('M Component'!O23=0,"",'M Component'!O23)</f>
        <v/>
      </c>
      <c r="I22" s="83" t="str">
        <f>IF('M Component'!P23=0,"",'M Component'!P23)</f>
        <v/>
      </c>
      <c r="J22" s="84">
        <f t="shared" si="0"/>
        <v>0</v>
      </c>
      <c r="K22" s="16"/>
      <c r="L22" s="16"/>
      <c r="M22" s="16"/>
      <c r="N22" s="16"/>
      <c r="O22" s="16"/>
      <c r="P22" s="16"/>
      <c r="Q22" s="16"/>
      <c r="R22" s="16"/>
      <c r="S22" s="16"/>
      <c r="T22" s="16"/>
      <c r="U22" s="16"/>
      <c r="V22" s="16"/>
      <c r="W22" s="16"/>
      <c r="X22" s="16"/>
      <c r="Y22" s="16"/>
      <c r="Z22" s="16"/>
    </row>
    <row r="23" spans="1:26" ht="15.75" customHeight="1">
      <c r="A23" s="80">
        <f>'Students Details'!A23</f>
        <v>17</v>
      </c>
      <c r="B23" s="81" t="str">
        <f>IF('Students Details'!B23="","",'Students Details'!B23)</f>
        <v/>
      </c>
      <c r="C23" s="82" t="str">
        <f>IF('Students Details'!C23="","",'Students Details'!C23)</f>
        <v/>
      </c>
      <c r="D23" s="83" t="str">
        <f>IF('M Component'!K24=0,"",'M Component'!K24)</f>
        <v/>
      </c>
      <c r="E23" s="83" t="str">
        <f>IF('M Component'!L24=0,"",'M Component'!L24)</f>
        <v/>
      </c>
      <c r="F23" s="83" t="str">
        <f>IF('M Component'!M24=0,"",'M Component'!M24)</f>
        <v/>
      </c>
      <c r="G23" s="83" t="str">
        <f>IF('M Component'!N24=0,"",'M Component'!N24)</f>
        <v/>
      </c>
      <c r="H23" s="83" t="str">
        <f>IF('M Component'!O24=0,"",'M Component'!O24)</f>
        <v/>
      </c>
      <c r="I23" s="83" t="str">
        <f>IF('M Component'!P24=0,"",'M Component'!P24)</f>
        <v/>
      </c>
      <c r="J23" s="84">
        <f t="shared" si="0"/>
        <v>0</v>
      </c>
      <c r="K23" s="16"/>
      <c r="L23" s="16"/>
      <c r="M23" s="16"/>
      <c r="N23" s="16"/>
      <c r="O23" s="16"/>
      <c r="P23" s="16"/>
      <c r="Q23" s="16"/>
      <c r="R23" s="16"/>
      <c r="S23" s="16"/>
      <c r="T23" s="16"/>
      <c r="U23" s="16"/>
      <c r="V23" s="16"/>
      <c r="W23" s="16"/>
      <c r="X23" s="16"/>
      <c r="Y23" s="16"/>
      <c r="Z23" s="16"/>
    </row>
    <row r="24" spans="1:26" ht="15.75" customHeight="1">
      <c r="A24" s="80">
        <f>'Students Details'!A24</f>
        <v>18</v>
      </c>
      <c r="B24" s="81" t="str">
        <f>IF('Students Details'!B24="","",'Students Details'!B24)</f>
        <v/>
      </c>
      <c r="C24" s="82" t="str">
        <f>IF('Students Details'!C24="","",'Students Details'!C24)</f>
        <v/>
      </c>
      <c r="D24" s="83" t="str">
        <f>IF('M Component'!K25=0,"",'M Component'!K25)</f>
        <v/>
      </c>
      <c r="E24" s="83" t="str">
        <f>IF('M Component'!L25=0,"",'M Component'!L25)</f>
        <v/>
      </c>
      <c r="F24" s="83" t="str">
        <f>IF('M Component'!M25=0,"",'M Component'!M25)</f>
        <v/>
      </c>
      <c r="G24" s="83" t="str">
        <f>IF('M Component'!N25=0,"",'M Component'!N25)</f>
        <v/>
      </c>
      <c r="H24" s="83" t="str">
        <f>IF('M Component'!O25=0,"",'M Component'!O25)</f>
        <v/>
      </c>
      <c r="I24" s="83" t="str">
        <f>IF('M Component'!P25=0,"",'M Component'!P25)</f>
        <v/>
      </c>
      <c r="J24" s="84">
        <f t="shared" si="0"/>
        <v>0</v>
      </c>
      <c r="K24" s="16"/>
      <c r="L24" s="16"/>
      <c r="M24" s="16"/>
      <c r="N24" s="16"/>
      <c r="O24" s="16"/>
      <c r="P24" s="16"/>
      <c r="Q24" s="16"/>
      <c r="R24" s="16"/>
      <c r="S24" s="16"/>
      <c r="T24" s="16"/>
      <c r="U24" s="16"/>
      <c r="V24" s="16"/>
      <c r="W24" s="16"/>
      <c r="X24" s="16"/>
      <c r="Y24" s="16"/>
      <c r="Z24" s="16"/>
    </row>
    <row r="25" spans="1:26" ht="15.75" customHeight="1">
      <c r="A25" s="80">
        <f>'Students Details'!A25</f>
        <v>19</v>
      </c>
      <c r="B25" s="81" t="str">
        <f>IF('Students Details'!B25="","",'Students Details'!B25)</f>
        <v/>
      </c>
      <c r="C25" s="82" t="str">
        <f>IF('Students Details'!C25="","",'Students Details'!C25)</f>
        <v/>
      </c>
      <c r="D25" s="83" t="str">
        <f>IF('M Component'!K26=0,"",'M Component'!K26)</f>
        <v/>
      </c>
      <c r="E25" s="83" t="str">
        <f>IF('M Component'!L26=0,"",'M Component'!L26)</f>
        <v/>
      </c>
      <c r="F25" s="83" t="str">
        <f>IF('M Component'!M26=0,"",'M Component'!M26)</f>
        <v/>
      </c>
      <c r="G25" s="83" t="str">
        <f>IF('M Component'!N26=0,"",'M Component'!N26)</f>
        <v/>
      </c>
      <c r="H25" s="83" t="str">
        <f>IF('M Component'!O26=0,"",'M Component'!O26)</f>
        <v/>
      </c>
      <c r="I25" s="83" t="str">
        <f>IF('M Component'!P26=0,"",'M Component'!P26)</f>
        <v/>
      </c>
      <c r="J25" s="84">
        <f t="shared" si="0"/>
        <v>0</v>
      </c>
      <c r="K25" s="16"/>
      <c r="L25" s="16"/>
      <c r="M25" s="16"/>
      <c r="N25" s="16"/>
      <c r="O25" s="16"/>
      <c r="P25" s="16"/>
      <c r="Q25" s="16"/>
      <c r="R25" s="16"/>
      <c r="S25" s="16"/>
      <c r="T25" s="16"/>
      <c r="U25" s="16"/>
      <c r="V25" s="16"/>
      <c r="W25" s="16"/>
      <c r="X25" s="16"/>
      <c r="Y25" s="16"/>
      <c r="Z25" s="16"/>
    </row>
    <row r="26" spans="1:26" ht="15.75" customHeight="1">
      <c r="A26" s="80">
        <f>'Students Details'!A26</f>
        <v>20</v>
      </c>
      <c r="B26" s="81" t="str">
        <f>IF('Students Details'!B26="","",'Students Details'!B26)</f>
        <v/>
      </c>
      <c r="C26" s="82" t="str">
        <f>IF('Students Details'!C26="","",'Students Details'!C26)</f>
        <v/>
      </c>
      <c r="D26" s="83" t="str">
        <f>IF('M Component'!K27=0,"",'M Component'!K27)</f>
        <v/>
      </c>
      <c r="E26" s="83" t="str">
        <f>IF('M Component'!L27=0,"",'M Component'!L27)</f>
        <v/>
      </c>
      <c r="F26" s="83" t="str">
        <f>IF('M Component'!M27=0,"",'M Component'!M27)</f>
        <v/>
      </c>
      <c r="G26" s="83" t="str">
        <f>IF('M Component'!N27=0,"",'M Component'!N27)</f>
        <v/>
      </c>
      <c r="H26" s="83" t="str">
        <f>IF('M Component'!O27=0,"",'M Component'!O27)</f>
        <v/>
      </c>
      <c r="I26" s="83" t="str">
        <f>IF('M Component'!P27=0,"",'M Component'!P27)</f>
        <v/>
      </c>
      <c r="J26" s="84">
        <f t="shared" si="0"/>
        <v>0</v>
      </c>
      <c r="K26" s="16"/>
      <c r="L26" s="16"/>
      <c r="M26" s="16"/>
      <c r="N26" s="16"/>
      <c r="O26" s="16"/>
      <c r="P26" s="16"/>
      <c r="Q26" s="16"/>
      <c r="R26" s="16"/>
      <c r="S26" s="16"/>
      <c r="T26" s="16"/>
      <c r="U26" s="16"/>
      <c r="V26" s="16"/>
      <c r="W26" s="16"/>
      <c r="X26" s="16"/>
      <c r="Y26" s="16"/>
      <c r="Z26" s="16"/>
    </row>
    <row r="27" spans="1:26" ht="15.75" customHeight="1">
      <c r="A27" s="80">
        <f>'Students Details'!A27</f>
        <v>21</v>
      </c>
      <c r="B27" s="81" t="str">
        <f>IF('Students Details'!B27="","",'Students Details'!B27)</f>
        <v/>
      </c>
      <c r="C27" s="82" t="str">
        <f>IF('Students Details'!C27="","",'Students Details'!C27)</f>
        <v/>
      </c>
      <c r="D27" s="83" t="str">
        <f>IF('M Component'!K28=0,"",'M Component'!K28)</f>
        <v/>
      </c>
      <c r="E27" s="83" t="str">
        <f>IF('M Component'!L28=0,"",'M Component'!L28)</f>
        <v/>
      </c>
      <c r="F27" s="83" t="str">
        <f>IF('M Component'!M28=0,"",'M Component'!M28)</f>
        <v/>
      </c>
      <c r="G27" s="83" t="str">
        <f>IF('M Component'!N28=0,"",'M Component'!N28)</f>
        <v/>
      </c>
      <c r="H27" s="83" t="str">
        <f>IF('M Component'!O28=0,"",'M Component'!O28)</f>
        <v/>
      </c>
      <c r="I27" s="83" t="str">
        <f>IF('M Component'!P28=0,"",'M Component'!P28)</f>
        <v/>
      </c>
      <c r="J27" s="84">
        <f t="shared" si="0"/>
        <v>0</v>
      </c>
      <c r="K27" s="16"/>
      <c r="L27" s="16"/>
      <c r="M27" s="16"/>
      <c r="N27" s="16"/>
      <c r="O27" s="16"/>
      <c r="P27" s="16"/>
      <c r="Q27" s="16"/>
      <c r="R27" s="16"/>
      <c r="S27" s="16"/>
      <c r="T27" s="16"/>
      <c r="U27" s="16"/>
      <c r="V27" s="16"/>
      <c r="W27" s="16"/>
      <c r="X27" s="16"/>
      <c r="Y27" s="16"/>
      <c r="Z27" s="16"/>
    </row>
    <row r="28" spans="1:26" ht="15.75" customHeight="1">
      <c r="A28" s="80">
        <f>'Students Details'!A28</f>
        <v>22</v>
      </c>
      <c r="B28" s="81" t="str">
        <f>IF('Students Details'!B28="","",'Students Details'!B28)</f>
        <v/>
      </c>
      <c r="C28" s="82" t="str">
        <f>IF('Students Details'!C28="","",'Students Details'!C28)</f>
        <v/>
      </c>
      <c r="D28" s="83" t="str">
        <f>IF('M Component'!K29=0,"",'M Component'!K29)</f>
        <v/>
      </c>
      <c r="E28" s="83" t="str">
        <f>IF('M Component'!L29=0,"",'M Component'!L29)</f>
        <v/>
      </c>
      <c r="F28" s="83" t="str">
        <f>IF('M Component'!M29=0,"",'M Component'!M29)</f>
        <v/>
      </c>
      <c r="G28" s="83" t="str">
        <f>IF('M Component'!N29=0,"",'M Component'!N29)</f>
        <v/>
      </c>
      <c r="H28" s="83" t="str">
        <f>IF('M Component'!O29=0,"",'M Component'!O29)</f>
        <v/>
      </c>
      <c r="I28" s="83" t="str">
        <f>IF('M Component'!P29=0,"",'M Component'!P29)</f>
        <v/>
      </c>
      <c r="J28" s="84">
        <f t="shared" si="0"/>
        <v>0</v>
      </c>
      <c r="K28" s="16"/>
      <c r="L28" s="16"/>
      <c r="M28" s="16"/>
      <c r="N28" s="16"/>
      <c r="O28" s="16"/>
      <c r="P28" s="16"/>
      <c r="Q28" s="16"/>
      <c r="R28" s="16"/>
      <c r="S28" s="16"/>
      <c r="T28" s="16"/>
      <c r="U28" s="16"/>
      <c r="V28" s="16"/>
      <c r="W28" s="16"/>
      <c r="X28" s="16"/>
      <c r="Y28" s="16"/>
      <c r="Z28" s="16"/>
    </row>
    <row r="29" spans="1:26" ht="15.75" customHeight="1">
      <c r="A29" s="80">
        <f>'Students Details'!A29</f>
        <v>23</v>
      </c>
      <c r="B29" s="81" t="str">
        <f>IF('Students Details'!B29="","",'Students Details'!B29)</f>
        <v/>
      </c>
      <c r="C29" s="82" t="str">
        <f>IF('Students Details'!C29="","",'Students Details'!C29)</f>
        <v/>
      </c>
      <c r="D29" s="83" t="str">
        <f>IF('M Component'!K30=0,"",'M Component'!K30)</f>
        <v/>
      </c>
      <c r="E29" s="83" t="str">
        <f>IF('M Component'!L30=0,"",'M Component'!L30)</f>
        <v/>
      </c>
      <c r="F29" s="83" t="str">
        <f>IF('M Component'!M30=0,"",'M Component'!M30)</f>
        <v/>
      </c>
      <c r="G29" s="83" t="str">
        <f>IF('M Component'!N30=0,"",'M Component'!N30)</f>
        <v/>
      </c>
      <c r="H29" s="83" t="str">
        <f>IF('M Component'!O30=0,"",'M Component'!O30)</f>
        <v/>
      </c>
      <c r="I29" s="83" t="str">
        <f>IF('M Component'!P30=0,"",'M Component'!P30)</f>
        <v/>
      </c>
      <c r="J29" s="84">
        <f t="shared" si="0"/>
        <v>0</v>
      </c>
      <c r="K29" s="16"/>
      <c r="L29" s="16"/>
      <c r="M29" s="16"/>
      <c r="N29" s="16"/>
      <c r="O29" s="16"/>
      <c r="P29" s="16"/>
      <c r="Q29" s="16"/>
      <c r="R29" s="16"/>
      <c r="S29" s="16"/>
      <c r="T29" s="16"/>
      <c r="U29" s="16"/>
      <c r="V29" s="16"/>
      <c r="W29" s="16"/>
      <c r="X29" s="16"/>
      <c r="Y29" s="16"/>
      <c r="Z29" s="16"/>
    </row>
    <row r="30" spans="1:26" ht="15.75" customHeight="1">
      <c r="A30" s="80">
        <f>'Students Details'!A30</f>
        <v>24</v>
      </c>
      <c r="B30" s="81" t="str">
        <f>IF('Students Details'!B30="","",'Students Details'!B30)</f>
        <v/>
      </c>
      <c r="C30" s="82" t="str">
        <f>IF('Students Details'!C30="","",'Students Details'!C30)</f>
        <v/>
      </c>
      <c r="D30" s="83" t="str">
        <f>IF('M Component'!K31=0,"",'M Component'!K31)</f>
        <v/>
      </c>
      <c r="E30" s="83" t="str">
        <f>IF('M Component'!L31=0,"",'M Component'!L31)</f>
        <v/>
      </c>
      <c r="F30" s="83" t="str">
        <f>IF('M Component'!M31=0,"",'M Component'!M31)</f>
        <v/>
      </c>
      <c r="G30" s="83" t="str">
        <f>IF('M Component'!N31=0,"",'M Component'!N31)</f>
        <v/>
      </c>
      <c r="H30" s="83" t="str">
        <f>IF('M Component'!O31=0,"",'M Component'!O31)</f>
        <v/>
      </c>
      <c r="I30" s="83" t="str">
        <f>IF('M Component'!P31=0,"",'M Component'!P31)</f>
        <v/>
      </c>
      <c r="J30" s="84">
        <f t="shared" si="0"/>
        <v>0</v>
      </c>
      <c r="K30" s="16"/>
      <c r="L30" s="16"/>
      <c r="M30" s="16"/>
      <c r="N30" s="16"/>
      <c r="O30" s="16"/>
      <c r="P30" s="16"/>
      <c r="Q30" s="16"/>
      <c r="R30" s="16"/>
      <c r="S30" s="16"/>
      <c r="T30" s="16"/>
      <c r="U30" s="16"/>
      <c r="V30" s="16"/>
      <c r="W30" s="16"/>
      <c r="X30" s="16"/>
      <c r="Y30" s="16"/>
      <c r="Z30" s="16"/>
    </row>
    <row r="31" spans="1:26" ht="15.75" customHeight="1">
      <c r="A31" s="80">
        <f>'Students Details'!A31</f>
        <v>25</v>
      </c>
      <c r="B31" s="81" t="str">
        <f>IF('Students Details'!B31="","",'Students Details'!B31)</f>
        <v/>
      </c>
      <c r="C31" s="82" t="str">
        <f>IF('Students Details'!C31="","",'Students Details'!C31)</f>
        <v/>
      </c>
      <c r="D31" s="83" t="str">
        <f>IF('M Component'!K32=0,"",'M Component'!K32)</f>
        <v/>
      </c>
      <c r="E31" s="83" t="str">
        <f>IF('M Component'!L32=0,"",'M Component'!L32)</f>
        <v/>
      </c>
      <c r="F31" s="83" t="str">
        <f>IF('M Component'!M32=0,"",'M Component'!M32)</f>
        <v/>
      </c>
      <c r="G31" s="83" t="str">
        <f>IF('M Component'!N32=0,"",'M Component'!N32)</f>
        <v/>
      </c>
      <c r="H31" s="83" t="str">
        <f>IF('M Component'!O32=0,"",'M Component'!O32)</f>
        <v/>
      </c>
      <c r="I31" s="83" t="str">
        <f>IF('M Component'!P32=0,"",'M Component'!P32)</f>
        <v/>
      </c>
      <c r="J31" s="84">
        <f t="shared" si="0"/>
        <v>0</v>
      </c>
      <c r="K31" s="16"/>
      <c r="L31" s="16"/>
      <c r="M31" s="16"/>
      <c r="N31" s="16"/>
      <c r="O31" s="16"/>
      <c r="P31" s="16"/>
      <c r="Q31" s="16"/>
      <c r="R31" s="16"/>
      <c r="S31" s="16"/>
      <c r="T31" s="16"/>
      <c r="U31" s="16"/>
      <c r="V31" s="16"/>
      <c r="W31" s="16"/>
      <c r="X31" s="16"/>
      <c r="Y31" s="16"/>
      <c r="Z31" s="16"/>
    </row>
    <row r="32" spans="1:26" ht="15.75" customHeight="1">
      <c r="A32" s="80">
        <f>'Students Details'!A32</f>
        <v>26</v>
      </c>
      <c r="B32" s="81" t="str">
        <f>IF('Students Details'!B32="","",'Students Details'!B32)</f>
        <v/>
      </c>
      <c r="C32" s="82" t="str">
        <f>IF('Students Details'!C32="","",'Students Details'!C32)</f>
        <v/>
      </c>
      <c r="D32" s="83" t="str">
        <f>IF('M Component'!K33=0,"",'M Component'!K33)</f>
        <v/>
      </c>
      <c r="E32" s="83" t="str">
        <f>IF('M Component'!L33=0,"",'M Component'!L33)</f>
        <v/>
      </c>
      <c r="F32" s="83" t="str">
        <f>IF('M Component'!M33=0,"",'M Component'!M33)</f>
        <v/>
      </c>
      <c r="G32" s="83" t="str">
        <f>IF('M Component'!N33=0,"",'M Component'!N33)</f>
        <v/>
      </c>
      <c r="H32" s="83" t="str">
        <f>IF('M Component'!O33=0,"",'M Component'!O33)</f>
        <v/>
      </c>
      <c r="I32" s="83" t="str">
        <f>IF('M Component'!P33=0,"",'M Component'!P33)</f>
        <v/>
      </c>
      <c r="J32" s="84">
        <f t="shared" si="0"/>
        <v>0</v>
      </c>
      <c r="K32" s="16"/>
      <c r="L32" s="16"/>
      <c r="M32" s="16"/>
      <c r="N32" s="16"/>
      <c r="O32" s="16"/>
      <c r="P32" s="16"/>
      <c r="Q32" s="16"/>
      <c r="R32" s="16"/>
      <c r="S32" s="16"/>
      <c r="T32" s="16"/>
      <c r="U32" s="16"/>
      <c r="V32" s="16"/>
      <c r="W32" s="16"/>
      <c r="X32" s="16"/>
      <c r="Y32" s="16"/>
      <c r="Z32" s="16"/>
    </row>
    <row r="33" spans="1:26" ht="15.75" customHeight="1">
      <c r="A33" s="80">
        <f>'Students Details'!A33</f>
        <v>27</v>
      </c>
      <c r="B33" s="81" t="str">
        <f>IF('Students Details'!B33="","",'Students Details'!B33)</f>
        <v/>
      </c>
      <c r="C33" s="82" t="str">
        <f>IF('Students Details'!C33="","",'Students Details'!C33)</f>
        <v/>
      </c>
      <c r="D33" s="83" t="str">
        <f>IF('M Component'!K34=0,"",'M Component'!K34)</f>
        <v/>
      </c>
      <c r="E33" s="83" t="str">
        <f>IF('M Component'!L34=0,"",'M Component'!L34)</f>
        <v/>
      </c>
      <c r="F33" s="83" t="str">
        <f>IF('M Component'!M34=0,"",'M Component'!M34)</f>
        <v/>
      </c>
      <c r="G33" s="83" t="str">
        <f>IF('M Component'!N34=0,"",'M Component'!N34)</f>
        <v/>
      </c>
      <c r="H33" s="83" t="str">
        <f>IF('M Component'!O34=0,"",'M Component'!O34)</f>
        <v/>
      </c>
      <c r="I33" s="83" t="str">
        <f>IF('M Component'!P34=0,"",'M Component'!P34)</f>
        <v/>
      </c>
      <c r="J33" s="84">
        <f t="shared" si="0"/>
        <v>0</v>
      </c>
      <c r="K33" s="16"/>
      <c r="L33" s="16"/>
      <c r="M33" s="16"/>
      <c r="N33" s="16"/>
      <c r="O33" s="16"/>
      <c r="P33" s="16"/>
      <c r="Q33" s="16"/>
      <c r="R33" s="16"/>
      <c r="S33" s="16"/>
      <c r="T33" s="16"/>
      <c r="U33" s="16"/>
      <c r="V33" s="16"/>
      <c r="W33" s="16"/>
      <c r="X33" s="16"/>
      <c r="Y33" s="16"/>
      <c r="Z33" s="16"/>
    </row>
    <row r="34" spans="1:26" ht="15.75" customHeight="1">
      <c r="A34" s="80">
        <f>'Students Details'!A34</f>
        <v>28</v>
      </c>
      <c r="B34" s="81" t="str">
        <f>IF('Students Details'!B34="","",'Students Details'!B34)</f>
        <v/>
      </c>
      <c r="C34" s="82" t="str">
        <f>IF('Students Details'!C34="","",'Students Details'!C34)</f>
        <v/>
      </c>
      <c r="D34" s="83" t="str">
        <f>IF('M Component'!K35=0,"",'M Component'!K35)</f>
        <v/>
      </c>
      <c r="E34" s="83" t="str">
        <f>IF('M Component'!L35=0,"",'M Component'!L35)</f>
        <v/>
      </c>
      <c r="F34" s="83" t="str">
        <f>IF('M Component'!M35=0,"",'M Component'!M35)</f>
        <v/>
      </c>
      <c r="G34" s="83" t="str">
        <f>IF('M Component'!N35=0,"",'M Component'!N35)</f>
        <v/>
      </c>
      <c r="H34" s="83" t="str">
        <f>IF('M Component'!O35=0,"",'M Component'!O35)</f>
        <v/>
      </c>
      <c r="I34" s="83" t="str">
        <f>IF('M Component'!P35=0,"",'M Component'!P35)</f>
        <v/>
      </c>
      <c r="J34" s="84">
        <f t="shared" si="0"/>
        <v>0</v>
      </c>
      <c r="K34" s="16"/>
      <c r="L34" s="16"/>
      <c r="M34" s="16"/>
      <c r="N34" s="16"/>
      <c r="O34" s="16"/>
      <c r="P34" s="16"/>
      <c r="Q34" s="16"/>
      <c r="R34" s="16"/>
      <c r="S34" s="16"/>
      <c r="T34" s="16"/>
      <c r="U34" s="16"/>
      <c r="V34" s="16"/>
      <c r="W34" s="16"/>
      <c r="X34" s="16"/>
      <c r="Y34" s="16"/>
      <c r="Z34" s="16"/>
    </row>
    <row r="35" spans="1:26" ht="15.75" customHeight="1">
      <c r="A35" s="80">
        <f>'Students Details'!A35</f>
        <v>29</v>
      </c>
      <c r="B35" s="81" t="str">
        <f>IF('Students Details'!B35="","",'Students Details'!B35)</f>
        <v/>
      </c>
      <c r="C35" s="82" t="str">
        <f>IF('Students Details'!C35="","",'Students Details'!C35)</f>
        <v/>
      </c>
      <c r="D35" s="83" t="str">
        <f>IF('M Component'!K36=0,"",'M Component'!K36)</f>
        <v/>
      </c>
      <c r="E35" s="83" t="str">
        <f>IF('M Component'!L36=0,"",'M Component'!L36)</f>
        <v/>
      </c>
      <c r="F35" s="83" t="str">
        <f>IF('M Component'!M36=0,"",'M Component'!M36)</f>
        <v/>
      </c>
      <c r="G35" s="83" t="str">
        <f>IF('M Component'!N36=0,"",'M Component'!N36)</f>
        <v/>
      </c>
      <c r="H35" s="83" t="str">
        <f>IF('M Component'!O36=0,"",'M Component'!O36)</f>
        <v/>
      </c>
      <c r="I35" s="83" t="str">
        <f>IF('M Component'!P36=0,"",'M Component'!P36)</f>
        <v/>
      </c>
      <c r="J35" s="84">
        <f t="shared" si="0"/>
        <v>0</v>
      </c>
      <c r="K35" s="16"/>
      <c r="L35" s="16"/>
      <c r="M35" s="16"/>
      <c r="N35" s="16"/>
      <c r="O35" s="16"/>
      <c r="P35" s="16"/>
      <c r="Q35" s="16"/>
      <c r="R35" s="16"/>
      <c r="S35" s="16"/>
      <c r="T35" s="16"/>
      <c r="U35" s="16"/>
      <c r="V35" s="16"/>
      <c r="W35" s="16"/>
      <c r="X35" s="16"/>
      <c r="Y35" s="16"/>
      <c r="Z35" s="16"/>
    </row>
    <row r="36" spans="1:26" ht="15.75" customHeight="1">
      <c r="A36" s="80">
        <f>'Students Details'!A36</f>
        <v>30</v>
      </c>
      <c r="B36" s="81" t="str">
        <f>IF('Students Details'!B36="","",'Students Details'!B36)</f>
        <v/>
      </c>
      <c r="C36" s="82" t="str">
        <f>IF('Students Details'!C36="","",'Students Details'!C36)</f>
        <v/>
      </c>
      <c r="D36" s="83" t="str">
        <f>IF('M Component'!K37=0,"",'M Component'!K37)</f>
        <v/>
      </c>
      <c r="E36" s="83" t="str">
        <f>IF('M Component'!L37=0,"",'M Component'!L37)</f>
        <v/>
      </c>
      <c r="F36" s="83" t="str">
        <f>IF('M Component'!M37=0,"",'M Component'!M37)</f>
        <v/>
      </c>
      <c r="G36" s="83" t="str">
        <f>IF('M Component'!N37=0,"",'M Component'!N37)</f>
        <v/>
      </c>
      <c r="H36" s="83" t="str">
        <f>IF('M Component'!O37=0,"",'M Component'!O37)</f>
        <v/>
      </c>
      <c r="I36" s="83" t="str">
        <f>IF('M Component'!P37=0,"",'M Component'!P37)</f>
        <v/>
      </c>
      <c r="J36" s="84">
        <f t="shared" si="0"/>
        <v>0</v>
      </c>
      <c r="K36" s="16"/>
      <c r="L36" s="16"/>
      <c r="M36" s="16"/>
      <c r="N36" s="16"/>
      <c r="O36" s="16"/>
      <c r="P36" s="16"/>
      <c r="Q36" s="16"/>
      <c r="R36" s="16"/>
      <c r="S36" s="16"/>
      <c r="T36" s="16"/>
      <c r="U36" s="16"/>
      <c r="V36" s="16"/>
      <c r="W36" s="16"/>
      <c r="X36" s="16"/>
      <c r="Y36" s="16"/>
      <c r="Z36" s="16"/>
    </row>
    <row r="37" spans="1:26" ht="15.75" customHeight="1">
      <c r="A37" s="80">
        <f>'Students Details'!A37</f>
        <v>31</v>
      </c>
      <c r="B37" s="81" t="str">
        <f>IF('Students Details'!B37="","",'Students Details'!B37)</f>
        <v/>
      </c>
      <c r="C37" s="82" t="str">
        <f>IF('Students Details'!C37="","",'Students Details'!C37)</f>
        <v/>
      </c>
      <c r="D37" s="83" t="str">
        <f>IF('M Component'!K38=0,"",'M Component'!K38)</f>
        <v/>
      </c>
      <c r="E37" s="83" t="str">
        <f>IF('M Component'!L38=0,"",'M Component'!L38)</f>
        <v/>
      </c>
      <c r="F37" s="83" t="str">
        <f>IF('M Component'!M38=0,"",'M Component'!M38)</f>
        <v/>
      </c>
      <c r="G37" s="83" t="str">
        <f>IF('M Component'!N38=0,"",'M Component'!N38)</f>
        <v/>
      </c>
      <c r="H37" s="83" t="str">
        <f>IF('M Component'!O38=0,"",'M Component'!O38)</f>
        <v/>
      </c>
      <c r="I37" s="83" t="str">
        <f>IF('M Component'!P38=0,"",'M Component'!P38)</f>
        <v/>
      </c>
      <c r="J37" s="84">
        <f t="shared" si="0"/>
        <v>0</v>
      </c>
      <c r="K37" s="16"/>
      <c r="L37" s="16"/>
      <c r="M37" s="16"/>
      <c r="N37" s="16"/>
      <c r="O37" s="16"/>
      <c r="P37" s="16"/>
      <c r="Q37" s="16"/>
      <c r="R37" s="16"/>
      <c r="S37" s="16"/>
      <c r="T37" s="16"/>
      <c r="U37" s="16"/>
      <c r="V37" s="16"/>
      <c r="W37" s="16"/>
      <c r="X37" s="16"/>
      <c r="Y37" s="16"/>
      <c r="Z37" s="16"/>
    </row>
    <row r="38" spans="1:26" ht="15.75" customHeight="1">
      <c r="A38" s="80">
        <f>'Students Details'!A38</f>
        <v>32</v>
      </c>
      <c r="B38" s="81" t="str">
        <f>IF('Students Details'!B38="","",'Students Details'!B38)</f>
        <v/>
      </c>
      <c r="C38" s="82" t="str">
        <f>IF('Students Details'!C38="","",'Students Details'!C38)</f>
        <v/>
      </c>
      <c r="D38" s="83" t="str">
        <f>IF('M Component'!K39=0,"",'M Component'!K39)</f>
        <v/>
      </c>
      <c r="E38" s="83" t="str">
        <f>IF('M Component'!L39=0,"",'M Component'!L39)</f>
        <v/>
      </c>
      <c r="F38" s="83" t="str">
        <f>IF('M Component'!M39=0,"",'M Component'!M39)</f>
        <v/>
      </c>
      <c r="G38" s="83" t="str">
        <f>IF('M Component'!N39=0,"",'M Component'!N39)</f>
        <v/>
      </c>
      <c r="H38" s="83" t="str">
        <f>IF('M Component'!O39=0,"",'M Component'!O39)</f>
        <v/>
      </c>
      <c r="I38" s="83" t="str">
        <f>IF('M Component'!P39=0,"",'M Component'!P39)</f>
        <v/>
      </c>
      <c r="J38" s="84">
        <f t="shared" si="0"/>
        <v>0</v>
      </c>
      <c r="K38" s="16"/>
      <c r="L38" s="16"/>
      <c r="M38" s="16"/>
      <c r="N38" s="16"/>
      <c r="O38" s="16"/>
      <c r="P38" s="16"/>
      <c r="Q38" s="16"/>
      <c r="R38" s="16"/>
      <c r="S38" s="16"/>
      <c r="T38" s="16"/>
      <c r="U38" s="16"/>
      <c r="V38" s="16"/>
      <c r="W38" s="16"/>
      <c r="X38" s="16"/>
      <c r="Y38" s="16"/>
      <c r="Z38" s="16"/>
    </row>
    <row r="39" spans="1:26" ht="15.75" customHeight="1">
      <c r="A39" s="80">
        <f>'Students Details'!A39</f>
        <v>33</v>
      </c>
      <c r="B39" s="81" t="str">
        <f>IF('Students Details'!B39="","",'Students Details'!B39)</f>
        <v/>
      </c>
      <c r="C39" s="82" t="str">
        <f>IF('Students Details'!C39="","",'Students Details'!C39)</f>
        <v/>
      </c>
      <c r="D39" s="83" t="str">
        <f>IF('M Component'!K40=0,"",'M Component'!K40)</f>
        <v/>
      </c>
      <c r="E39" s="83" t="str">
        <f>IF('M Component'!L40=0,"",'M Component'!L40)</f>
        <v/>
      </c>
      <c r="F39" s="83" t="str">
        <f>IF('M Component'!M40=0,"",'M Component'!M40)</f>
        <v/>
      </c>
      <c r="G39" s="83" t="str">
        <f>IF('M Component'!N40=0,"",'M Component'!N40)</f>
        <v/>
      </c>
      <c r="H39" s="83" t="str">
        <f>IF('M Component'!O40=0,"",'M Component'!O40)</f>
        <v/>
      </c>
      <c r="I39" s="83" t="str">
        <f>IF('M Component'!P40=0,"",'M Component'!P40)</f>
        <v/>
      </c>
      <c r="J39" s="84">
        <f t="shared" si="0"/>
        <v>0</v>
      </c>
      <c r="K39" s="16"/>
      <c r="L39" s="16"/>
      <c r="M39" s="16"/>
      <c r="N39" s="16"/>
      <c r="O39" s="16"/>
      <c r="P39" s="16"/>
      <c r="Q39" s="16"/>
      <c r="R39" s="16"/>
      <c r="S39" s="16"/>
      <c r="T39" s="16"/>
      <c r="U39" s="16"/>
      <c r="V39" s="16"/>
      <c r="W39" s="16"/>
      <c r="X39" s="16"/>
      <c r="Y39" s="16"/>
      <c r="Z39" s="16"/>
    </row>
    <row r="40" spans="1:26" ht="15.75" customHeight="1">
      <c r="A40" s="80">
        <f>'Students Details'!A40</f>
        <v>34</v>
      </c>
      <c r="B40" s="81" t="str">
        <f>IF('Students Details'!B40="","",'Students Details'!B40)</f>
        <v/>
      </c>
      <c r="C40" s="82" t="str">
        <f>IF('Students Details'!C40="","",'Students Details'!C40)</f>
        <v/>
      </c>
      <c r="D40" s="83" t="str">
        <f>IF('M Component'!K41=0,"",'M Component'!K41)</f>
        <v/>
      </c>
      <c r="E40" s="83" t="str">
        <f>IF('M Component'!L41=0,"",'M Component'!L41)</f>
        <v/>
      </c>
      <c r="F40" s="83" t="str">
        <f>IF('M Component'!M41=0,"",'M Component'!M41)</f>
        <v/>
      </c>
      <c r="G40" s="83" t="str">
        <f>IF('M Component'!N41=0,"",'M Component'!N41)</f>
        <v/>
      </c>
      <c r="H40" s="83" t="str">
        <f>IF('M Component'!O41=0,"",'M Component'!O41)</f>
        <v/>
      </c>
      <c r="I40" s="83" t="str">
        <f>IF('M Component'!P41=0,"",'M Component'!P41)</f>
        <v/>
      </c>
      <c r="J40" s="84">
        <f t="shared" si="0"/>
        <v>0</v>
      </c>
      <c r="K40" s="16"/>
      <c r="L40" s="16"/>
      <c r="M40" s="16"/>
      <c r="N40" s="16"/>
      <c r="O40" s="16"/>
      <c r="P40" s="16"/>
      <c r="Q40" s="16"/>
      <c r="R40" s="16"/>
      <c r="S40" s="16"/>
      <c r="T40" s="16"/>
      <c r="U40" s="16"/>
      <c r="V40" s="16"/>
      <c r="W40" s="16"/>
      <c r="X40" s="16"/>
      <c r="Y40" s="16"/>
      <c r="Z40" s="16"/>
    </row>
    <row r="41" spans="1:26" ht="15.75" customHeight="1">
      <c r="A41" s="80">
        <f>'Students Details'!A41</f>
        <v>35</v>
      </c>
      <c r="B41" s="81" t="str">
        <f>IF('Students Details'!B41="","",'Students Details'!B41)</f>
        <v/>
      </c>
      <c r="C41" s="82" t="str">
        <f>IF('Students Details'!C41="","",'Students Details'!C41)</f>
        <v/>
      </c>
      <c r="D41" s="83" t="str">
        <f>IF('M Component'!K42=0,"",'M Component'!K42)</f>
        <v/>
      </c>
      <c r="E41" s="83" t="str">
        <f>IF('M Component'!L42=0,"",'M Component'!L42)</f>
        <v/>
      </c>
      <c r="F41" s="83" t="str">
        <f>IF('M Component'!M42=0,"",'M Component'!M42)</f>
        <v/>
      </c>
      <c r="G41" s="83" t="str">
        <f>IF('M Component'!N42=0,"",'M Component'!N42)</f>
        <v/>
      </c>
      <c r="H41" s="83" t="str">
        <f>IF('M Component'!O42=0,"",'M Component'!O42)</f>
        <v/>
      </c>
      <c r="I41" s="83" t="str">
        <f>IF('M Component'!P42=0,"",'M Component'!P42)</f>
        <v/>
      </c>
      <c r="J41" s="84">
        <f t="shared" si="0"/>
        <v>0</v>
      </c>
      <c r="K41" s="16"/>
      <c r="L41" s="16"/>
      <c r="M41" s="16"/>
      <c r="N41" s="16"/>
      <c r="O41" s="16"/>
      <c r="P41" s="16"/>
      <c r="Q41" s="16"/>
      <c r="R41" s="16"/>
      <c r="S41" s="16"/>
      <c r="T41" s="16"/>
      <c r="U41" s="16"/>
      <c r="V41" s="16"/>
      <c r="W41" s="16"/>
      <c r="X41" s="16"/>
      <c r="Y41" s="16"/>
      <c r="Z41" s="16"/>
    </row>
    <row r="42" spans="1:26" ht="15.75" customHeight="1">
      <c r="A42" s="80">
        <f>'Students Details'!A42</f>
        <v>36</v>
      </c>
      <c r="B42" s="81" t="str">
        <f>IF('Students Details'!B42="","",'Students Details'!B42)</f>
        <v/>
      </c>
      <c r="C42" s="82" t="str">
        <f>IF('Students Details'!C42="","",'Students Details'!C42)</f>
        <v/>
      </c>
      <c r="D42" s="83" t="str">
        <f>IF('M Component'!K43=0,"",'M Component'!K43)</f>
        <v/>
      </c>
      <c r="E42" s="83" t="str">
        <f>IF('M Component'!L43=0,"",'M Component'!L43)</f>
        <v/>
      </c>
      <c r="F42" s="83" t="str">
        <f>IF('M Component'!M43=0,"",'M Component'!M43)</f>
        <v/>
      </c>
      <c r="G42" s="83" t="str">
        <f>IF('M Component'!N43=0,"",'M Component'!N43)</f>
        <v/>
      </c>
      <c r="H42" s="83" t="str">
        <f>IF('M Component'!O43=0,"",'M Component'!O43)</f>
        <v/>
      </c>
      <c r="I42" s="83" t="str">
        <f>IF('M Component'!P43=0,"",'M Component'!P43)</f>
        <v/>
      </c>
      <c r="J42" s="84">
        <f t="shared" si="0"/>
        <v>0</v>
      </c>
      <c r="K42" s="16"/>
      <c r="L42" s="16"/>
      <c r="M42" s="16"/>
      <c r="N42" s="16"/>
      <c r="O42" s="16"/>
      <c r="P42" s="16"/>
      <c r="Q42" s="16"/>
      <c r="R42" s="16"/>
      <c r="S42" s="16"/>
      <c r="T42" s="16"/>
      <c r="U42" s="16"/>
      <c r="V42" s="16"/>
      <c r="W42" s="16"/>
      <c r="X42" s="16"/>
      <c r="Y42" s="16"/>
      <c r="Z42" s="16"/>
    </row>
    <row r="43" spans="1:26" ht="15.75" customHeight="1">
      <c r="A43" s="80">
        <f>'Students Details'!A43</f>
        <v>37</v>
      </c>
      <c r="B43" s="81" t="str">
        <f>IF('Students Details'!B43="","",'Students Details'!B43)</f>
        <v/>
      </c>
      <c r="C43" s="82" t="str">
        <f>IF('Students Details'!C43="","",'Students Details'!C43)</f>
        <v/>
      </c>
      <c r="D43" s="83" t="str">
        <f>IF('M Component'!K44=0,"",'M Component'!K44)</f>
        <v/>
      </c>
      <c r="E43" s="83" t="str">
        <f>IF('M Component'!L44=0,"",'M Component'!L44)</f>
        <v/>
      </c>
      <c r="F43" s="83" t="str">
        <f>IF('M Component'!M44=0,"",'M Component'!M44)</f>
        <v/>
      </c>
      <c r="G43" s="83" t="str">
        <f>IF('M Component'!N44=0,"",'M Component'!N44)</f>
        <v/>
      </c>
      <c r="H43" s="83" t="str">
        <f>IF('M Component'!O44=0,"",'M Component'!O44)</f>
        <v/>
      </c>
      <c r="I43" s="83" t="str">
        <f>IF('M Component'!P44=0,"",'M Component'!P44)</f>
        <v/>
      </c>
      <c r="J43" s="84">
        <f t="shared" si="0"/>
        <v>0</v>
      </c>
      <c r="K43" s="16"/>
      <c r="L43" s="16"/>
      <c r="M43" s="16"/>
      <c r="N43" s="16"/>
      <c r="O43" s="16"/>
      <c r="P43" s="16"/>
      <c r="Q43" s="16"/>
      <c r="R43" s="16"/>
      <c r="S43" s="16"/>
      <c r="T43" s="16"/>
      <c r="U43" s="16"/>
      <c r="V43" s="16"/>
      <c r="W43" s="16"/>
      <c r="X43" s="16"/>
      <c r="Y43" s="16"/>
      <c r="Z43" s="16"/>
    </row>
    <row r="44" spans="1:26" ht="15.75" customHeight="1">
      <c r="A44" s="80">
        <f>'Students Details'!A44</f>
        <v>38</v>
      </c>
      <c r="B44" s="81" t="str">
        <f>IF('Students Details'!B44="","",'Students Details'!B44)</f>
        <v/>
      </c>
      <c r="C44" s="82" t="str">
        <f>IF('Students Details'!C44="","",'Students Details'!C44)</f>
        <v/>
      </c>
      <c r="D44" s="83" t="str">
        <f>IF('M Component'!K45=0,"",'M Component'!K45)</f>
        <v/>
      </c>
      <c r="E44" s="83" t="str">
        <f>IF('M Component'!L45=0,"",'M Component'!L45)</f>
        <v/>
      </c>
      <c r="F44" s="83" t="str">
        <f>IF('M Component'!M45=0,"",'M Component'!M45)</f>
        <v/>
      </c>
      <c r="G44" s="83" t="str">
        <f>IF('M Component'!N45=0,"",'M Component'!N45)</f>
        <v/>
      </c>
      <c r="H44" s="83" t="str">
        <f>IF('M Component'!O45=0,"",'M Component'!O45)</f>
        <v/>
      </c>
      <c r="I44" s="83" t="str">
        <f>IF('M Component'!P45=0,"",'M Component'!P45)</f>
        <v/>
      </c>
      <c r="J44" s="84">
        <f t="shared" si="0"/>
        <v>0</v>
      </c>
      <c r="K44" s="16"/>
      <c r="L44" s="16"/>
      <c r="M44" s="16"/>
      <c r="N44" s="16"/>
      <c r="O44" s="16"/>
      <c r="P44" s="16"/>
      <c r="Q44" s="16"/>
      <c r="R44" s="16"/>
      <c r="S44" s="16"/>
      <c r="T44" s="16"/>
      <c r="U44" s="16"/>
      <c r="V44" s="16"/>
      <c r="W44" s="16"/>
      <c r="X44" s="16"/>
      <c r="Y44" s="16"/>
      <c r="Z44" s="16"/>
    </row>
    <row r="45" spans="1:26" ht="15.75" customHeight="1">
      <c r="A45" s="80">
        <f>'Students Details'!A45</f>
        <v>39</v>
      </c>
      <c r="B45" s="81" t="str">
        <f>IF('Students Details'!B45="","",'Students Details'!B45)</f>
        <v/>
      </c>
      <c r="C45" s="82" t="str">
        <f>IF('Students Details'!C45="","",'Students Details'!C45)</f>
        <v/>
      </c>
      <c r="D45" s="83" t="str">
        <f>IF('M Component'!K46=0,"",'M Component'!K46)</f>
        <v/>
      </c>
      <c r="E45" s="83" t="str">
        <f>IF('M Component'!L46=0,"",'M Component'!L46)</f>
        <v/>
      </c>
      <c r="F45" s="83" t="str">
        <f>IF('M Component'!M46=0,"",'M Component'!M46)</f>
        <v/>
      </c>
      <c r="G45" s="83" t="str">
        <f>IF('M Component'!N46=0,"",'M Component'!N46)</f>
        <v/>
      </c>
      <c r="H45" s="83" t="str">
        <f>IF('M Component'!O46=0,"",'M Component'!O46)</f>
        <v/>
      </c>
      <c r="I45" s="83" t="str">
        <f>IF('M Component'!P46=0,"",'M Component'!P46)</f>
        <v/>
      </c>
      <c r="J45" s="84">
        <f t="shared" si="0"/>
        <v>0</v>
      </c>
      <c r="K45" s="16"/>
      <c r="L45" s="16"/>
      <c r="M45" s="16"/>
      <c r="N45" s="16"/>
      <c r="O45" s="16"/>
      <c r="P45" s="16"/>
      <c r="Q45" s="16"/>
      <c r="R45" s="16"/>
      <c r="S45" s="16"/>
      <c r="T45" s="16"/>
      <c r="U45" s="16"/>
      <c r="V45" s="16"/>
      <c r="W45" s="16"/>
      <c r="X45" s="16"/>
      <c r="Y45" s="16"/>
      <c r="Z45" s="16"/>
    </row>
    <row r="46" spans="1:26" ht="15.75" customHeight="1">
      <c r="A46" s="80">
        <f>'Students Details'!A46</f>
        <v>40</v>
      </c>
      <c r="B46" s="81" t="str">
        <f>IF('Students Details'!B46="","",'Students Details'!B46)</f>
        <v/>
      </c>
      <c r="C46" s="82" t="str">
        <f>IF('Students Details'!C46="","",'Students Details'!C46)</f>
        <v/>
      </c>
      <c r="D46" s="83" t="str">
        <f>IF('M Component'!K47=0,"",'M Component'!K47)</f>
        <v/>
      </c>
      <c r="E46" s="83" t="str">
        <f>IF('M Component'!L47=0,"",'M Component'!L47)</f>
        <v/>
      </c>
      <c r="F46" s="83" t="str">
        <f>IF('M Component'!M47=0,"",'M Component'!M47)</f>
        <v/>
      </c>
      <c r="G46" s="83" t="str">
        <f>IF('M Component'!N47=0,"",'M Component'!N47)</f>
        <v/>
      </c>
      <c r="H46" s="83" t="str">
        <f>IF('M Component'!O47=0,"",'M Component'!O47)</f>
        <v/>
      </c>
      <c r="I46" s="83" t="str">
        <f>IF('M Component'!P47=0,"",'M Component'!P47)</f>
        <v/>
      </c>
      <c r="J46" s="84">
        <f t="shared" si="0"/>
        <v>0</v>
      </c>
      <c r="K46" s="16"/>
      <c r="L46" s="16"/>
      <c r="M46" s="16"/>
      <c r="N46" s="16"/>
      <c r="O46" s="16"/>
      <c r="P46" s="16"/>
      <c r="Q46" s="16"/>
      <c r="R46" s="16"/>
      <c r="S46" s="16"/>
      <c r="T46" s="16"/>
      <c r="U46" s="16"/>
      <c r="V46" s="16"/>
      <c r="W46" s="16"/>
      <c r="X46" s="16"/>
      <c r="Y46" s="16"/>
      <c r="Z46" s="16"/>
    </row>
    <row r="47" spans="1:26" ht="15.75" customHeight="1">
      <c r="A47" s="80">
        <f>'Students Details'!A47</f>
        <v>41</v>
      </c>
      <c r="B47" s="81" t="str">
        <f>IF('Students Details'!B47="","",'Students Details'!B47)</f>
        <v/>
      </c>
      <c r="C47" s="82" t="str">
        <f>IF('Students Details'!C47="","",'Students Details'!C47)</f>
        <v/>
      </c>
      <c r="D47" s="83" t="str">
        <f>IF('M Component'!K48=0,"",'M Component'!K48)</f>
        <v/>
      </c>
      <c r="E47" s="83" t="str">
        <f>IF('M Component'!L48=0,"",'M Component'!L48)</f>
        <v/>
      </c>
      <c r="F47" s="83" t="str">
        <f>IF('M Component'!M48=0,"",'M Component'!M48)</f>
        <v/>
      </c>
      <c r="G47" s="83" t="str">
        <f>IF('M Component'!N48=0,"",'M Component'!N48)</f>
        <v/>
      </c>
      <c r="H47" s="83" t="str">
        <f>IF('M Component'!O48=0,"",'M Component'!O48)</f>
        <v/>
      </c>
      <c r="I47" s="83" t="str">
        <f>IF('M Component'!P48=0,"",'M Component'!P48)</f>
        <v/>
      </c>
      <c r="J47" s="84">
        <f t="shared" si="0"/>
        <v>0</v>
      </c>
      <c r="K47" s="16"/>
      <c r="L47" s="16"/>
      <c r="M47" s="16"/>
      <c r="N47" s="16"/>
      <c r="O47" s="16"/>
      <c r="P47" s="16"/>
      <c r="Q47" s="16"/>
      <c r="R47" s="16"/>
      <c r="S47" s="16"/>
      <c r="T47" s="16"/>
      <c r="U47" s="16"/>
      <c r="V47" s="16"/>
      <c r="W47" s="16"/>
      <c r="X47" s="16"/>
      <c r="Y47" s="16"/>
      <c r="Z47" s="16"/>
    </row>
    <row r="48" spans="1:26" ht="15.75" customHeight="1">
      <c r="A48" s="80">
        <f>'Students Details'!A48</f>
        <v>42</v>
      </c>
      <c r="B48" s="81" t="str">
        <f>IF('Students Details'!B48="","",'Students Details'!B48)</f>
        <v/>
      </c>
      <c r="C48" s="82" t="str">
        <f>IF('Students Details'!C48="","",'Students Details'!C48)</f>
        <v/>
      </c>
      <c r="D48" s="83" t="str">
        <f>IF('M Component'!K49=0,"",'M Component'!K49)</f>
        <v/>
      </c>
      <c r="E48" s="83" t="str">
        <f>IF('M Component'!L49=0,"",'M Component'!L49)</f>
        <v/>
      </c>
      <c r="F48" s="83" t="str">
        <f>IF('M Component'!M49=0,"",'M Component'!M49)</f>
        <v/>
      </c>
      <c r="G48" s="83" t="str">
        <f>IF('M Component'!N49=0,"",'M Component'!N49)</f>
        <v/>
      </c>
      <c r="H48" s="83" t="str">
        <f>IF('M Component'!O49=0,"",'M Component'!O49)</f>
        <v/>
      </c>
      <c r="I48" s="83" t="str">
        <f>IF('M Component'!P49=0,"",'M Component'!P49)</f>
        <v/>
      </c>
      <c r="J48" s="84">
        <f t="shared" si="0"/>
        <v>0</v>
      </c>
      <c r="K48" s="16"/>
      <c r="L48" s="16"/>
      <c r="M48" s="16"/>
      <c r="N48" s="16"/>
      <c r="O48" s="16"/>
      <c r="P48" s="16"/>
      <c r="Q48" s="16"/>
      <c r="R48" s="16"/>
      <c r="S48" s="16"/>
      <c r="T48" s="16"/>
      <c r="U48" s="16"/>
      <c r="V48" s="16"/>
      <c r="W48" s="16"/>
      <c r="X48" s="16"/>
      <c r="Y48" s="16"/>
      <c r="Z48" s="16"/>
    </row>
    <row r="49" spans="1:26" ht="15.75" customHeight="1">
      <c r="A49" s="80">
        <f>'Students Details'!A49</f>
        <v>43</v>
      </c>
      <c r="B49" s="81" t="str">
        <f>IF('Students Details'!B49="","",'Students Details'!B49)</f>
        <v/>
      </c>
      <c r="C49" s="82" t="str">
        <f>IF('Students Details'!C49="","",'Students Details'!C49)</f>
        <v/>
      </c>
      <c r="D49" s="83" t="str">
        <f>IF('M Component'!K50=0,"",'M Component'!K50)</f>
        <v/>
      </c>
      <c r="E49" s="83" t="str">
        <f>IF('M Component'!L50=0,"",'M Component'!L50)</f>
        <v/>
      </c>
      <c r="F49" s="83" t="str">
        <f>IF('M Component'!M50=0,"",'M Component'!M50)</f>
        <v/>
      </c>
      <c r="G49" s="83" t="str">
        <f>IF('M Component'!N50=0,"",'M Component'!N50)</f>
        <v/>
      </c>
      <c r="H49" s="83" t="str">
        <f>IF('M Component'!O50=0,"",'M Component'!O50)</f>
        <v/>
      </c>
      <c r="I49" s="83" t="str">
        <f>IF('M Component'!P50=0,"",'M Component'!P50)</f>
        <v/>
      </c>
      <c r="J49" s="84">
        <f t="shared" si="0"/>
        <v>0</v>
      </c>
      <c r="K49" s="16"/>
      <c r="L49" s="16"/>
      <c r="M49" s="16"/>
      <c r="N49" s="16"/>
      <c r="O49" s="16"/>
      <c r="P49" s="16"/>
      <c r="Q49" s="16"/>
      <c r="R49" s="16"/>
      <c r="S49" s="16"/>
      <c r="T49" s="16"/>
      <c r="U49" s="16"/>
      <c r="V49" s="16"/>
      <c r="W49" s="16"/>
      <c r="X49" s="16"/>
      <c r="Y49" s="16"/>
      <c r="Z49" s="16"/>
    </row>
    <row r="50" spans="1:26" ht="15.75" customHeight="1">
      <c r="A50" s="80">
        <f>'Students Details'!A50</f>
        <v>44</v>
      </c>
      <c r="B50" s="81" t="str">
        <f>IF('Students Details'!B50="","",'Students Details'!B50)</f>
        <v/>
      </c>
      <c r="C50" s="82" t="str">
        <f>IF('Students Details'!C50="","",'Students Details'!C50)</f>
        <v/>
      </c>
      <c r="D50" s="83" t="str">
        <f>IF('M Component'!K51=0,"",'M Component'!K51)</f>
        <v/>
      </c>
      <c r="E50" s="83" t="str">
        <f>IF('M Component'!L51=0,"",'M Component'!L51)</f>
        <v/>
      </c>
      <c r="F50" s="83" t="str">
        <f>IF('M Component'!M51=0,"",'M Component'!M51)</f>
        <v/>
      </c>
      <c r="G50" s="83" t="str">
        <f>IF('M Component'!N51=0,"",'M Component'!N51)</f>
        <v/>
      </c>
      <c r="H50" s="83" t="str">
        <f>IF('M Component'!O51=0,"",'M Component'!O51)</f>
        <v/>
      </c>
      <c r="I50" s="83" t="str">
        <f>IF('M Component'!P51=0,"",'M Component'!P51)</f>
        <v/>
      </c>
      <c r="J50" s="84">
        <f t="shared" si="0"/>
        <v>0</v>
      </c>
      <c r="K50" s="16"/>
      <c r="L50" s="16"/>
      <c r="M50" s="16"/>
      <c r="N50" s="16"/>
      <c r="O50" s="16"/>
      <c r="P50" s="16"/>
      <c r="Q50" s="16"/>
      <c r="R50" s="16"/>
      <c r="S50" s="16"/>
      <c r="T50" s="16"/>
      <c r="U50" s="16"/>
      <c r="V50" s="16"/>
      <c r="W50" s="16"/>
      <c r="X50" s="16"/>
      <c r="Y50" s="16"/>
      <c r="Z50" s="16"/>
    </row>
    <row r="51" spans="1:26" ht="15.75" customHeight="1">
      <c r="A51" s="80">
        <f>'Students Details'!A51</f>
        <v>45</v>
      </c>
      <c r="B51" s="81" t="str">
        <f>IF('Students Details'!B51="","",'Students Details'!B51)</f>
        <v/>
      </c>
      <c r="C51" s="82" t="str">
        <f>IF('Students Details'!C51="","",'Students Details'!C51)</f>
        <v/>
      </c>
      <c r="D51" s="83" t="str">
        <f>IF('M Component'!K52=0,"",'M Component'!K52)</f>
        <v/>
      </c>
      <c r="E51" s="83" t="str">
        <f>IF('M Component'!L52=0,"",'M Component'!L52)</f>
        <v/>
      </c>
      <c r="F51" s="83" t="str">
        <f>IF('M Component'!M52=0,"",'M Component'!M52)</f>
        <v/>
      </c>
      <c r="G51" s="83" t="str">
        <f>IF('M Component'!N52=0,"",'M Component'!N52)</f>
        <v/>
      </c>
      <c r="H51" s="83" t="str">
        <f>IF('M Component'!O52=0,"",'M Component'!O52)</f>
        <v/>
      </c>
      <c r="I51" s="83" t="str">
        <f>IF('M Component'!P52=0,"",'M Component'!P52)</f>
        <v/>
      </c>
      <c r="J51" s="84">
        <f t="shared" si="0"/>
        <v>0</v>
      </c>
      <c r="K51" s="16"/>
      <c r="L51" s="16"/>
      <c r="M51" s="16"/>
      <c r="N51" s="16"/>
      <c r="O51" s="16"/>
      <c r="P51" s="16"/>
      <c r="Q51" s="16"/>
      <c r="R51" s="16"/>
      <c r="S51" s="16"/>
      <c r="T51" s="16"/>
      <c r="U51" s="16"/>
      <c r="V51" s="16"/>
      <c r="W51" s="16"/>
      <c r="X51" s="16"/>
      <c r="Y51" s="16"/>
      <c r="Z51" s="16"/>
    </row>
    <row r="52" spans="1:26" ht="15.75" customHeight="1">
      <c r="A52" s="80">
        <f>'Students Details'!A52</f>
        <v>46</v>
      </c>
      <c r="B52" s="81" t="str">
        <f>IF('Students Details'!B52="","",'Students Details'!B52)</f>
        <v/>
      </c>
      <c r="C52" s="82" t="str">
        <f>IF('Students Details'!C52="","",'Students Details'!C52)</f>
        <v/>
      </c>
      <c r="D52" s="83" t="str">
        <f>IF('M Component'!K53=0,"",'M Component'!K53)</f>
        <v/>
      </c>
      <c r="E52" s="83" t="str">
        <f>IF('M Component'!L53=0,"",'M Component'!L53)</f>
        <v/>
      </c>
      <c r="F52" s="83" t="str">
        <f>IF('M Component'!M53=0,"",'M Component'!M53)</f>
        <v/>
      </c>
      <c r="G52" s="83" t="str">
        <f>IF('M Component'!N53=0,"",'M Component'!N53)</f>
        <v/>
      </c>
      <c r="H52" s="83" t="str">
        <f>IF('M Component'!O53=0,"",'M Component'!O53)</f>
        <v/>
      </c>
      <c r="I52" s="83" t="str">
        <f>IF('M Component'!P53=0,"",'M Component'!P53)</f>
        <v/>
      </c>
      <c r="J52" s="84">
        <f t="shared" si="0"/>
        <v>0</v>
      </c>
      <c r="K52" s="16"/>
      <c r="L52" s="16"/>
      <c r="M52" s="16"/>
      <c r="N52" s="16"/>
      <c r="O52" s="16"/>
      <c r="P52" s="16"/>
      <c r="Q52" s="16"/>
      <c r="R52" s="16"/>
      <c r="S52" s="16"/>
      <c r="T52" s="16"/>
      <c r="U52" s="16"/>
      <c r="V52" s="16"/>
      <c r="W52" s="16"/>
      <c r="X52" s="16"/>
      <c r="Y52" s="16"/>
      <c r="Z52" s="16"/>
    </row>
    <row r="53" spans="1:26" ht="15.75" customHeight="1">
      <c r="A53" s="80">
        <f>'Students Details'!A53</f>
        <v>47</v>
      </c>
      <c r="B53" s="81" t="str">
        <f>IF('Students Details'!B53="","",'Students Details'!B53)</f>
        <v/>
      </c>
      <c r="C53" s="82" t="str">
        <f>IF('Students Details'!C53="","",'Students Details'!C53)</f>
        <v/>
      </c>
      <c r="D53" s="83" t="str">
        <f>IF('M Component'!K54=0,"",'M Component'!K54)</f>
        <v/>
      </c>
      <c r="E53" s="83" t="str">
        <f>IF('M Component'!L54=0,"",'M Component'!L54)</f>
        <v/>
      </c>
      <c r="F53" s="83" t="str">
        <f>IF('M Component'!M54=0,"",'M Component'!M54)</f>
        <v/>
      </c>
      <c r="G53" s="83" t="str">
        <f>IF('M Component'!N54=0,"",'M Component'!N54)</f>
        <v/>
      </c>
      <c r="H53" s="83" t="str">
        <f>IF('M Component'!O54=0,"",'M Component'!O54)</f>
        <v/>
      </c>
      <c r="I53" s="83" t="str">
        <f>IF('M Component'!P54=0,"",'M Component'!P54)</f>
        <v/>
      </c>
      <c r="J53" s="84">
        <f t="shared" si="0"/>
        <v>0</v>
      </c>
      <c r="K53" s="16"/>
      <c r="L53" s="16"/>
      <c r="M53" s="16"/>
      <c r="N53" s="16"/>
      <c r="O53" s="16"/>
      <c r="P53" s="16"/>
      <c r="Q53" s="16"/>
      <c r="R53" s="16"/>
      <c r="S53" s="16"/>
      <c r="T53" s="16"/>
      <c r="U53" s="16"/>
      <c r="V53" s="16"/>
      <c r="W53" s="16"/>
      <c r="X53" s="16"/>
      <c r="Y53" s="16"/>
      <c r="Z53" s="16"/>
    </row>
    <row r="54" spans="1:26" ht="15.75" customHeight="1">
      <c r="A54" s="80">
        <f>'Students Details'!A54</f>
        <v>48</v>
      </c>
      <c r="B54" s="81" t="str">
        <f>IF('Students Details'!B54="","",'Students Details'!B54)</f>
        <v/>
      </c>
      <c r="C54" s="82" t="str">
        <f>IF('Students Details'!C54="","",'Students Details'!C54)</f>
        <v/>
      </c>
      <c r="D54" s="83" t="str">
        <f>IF('M Component'!K55=0,"",'M Component'!K55)</f>
        <v/>
      </c>
      <c r="E54" s="83" t="str">
        <f>IF('M Component'!L55=0,"",'M Component'!L55)</f>
        <v/>
      </c>
      <c r="F54" s="83" t="str">
        <f>IF('M Component'!M55=0,"",'M Component'!M55)</f>
        <v/>
      </c>
      <c r="G54" s="83" t="str">
        <f>IF('M Component'!N55=0,"",'M Component'!N55)</f>
        <v/>
      </c>
      <c r="H54" s="83" t="str">
        <f>IF('M Component'!O55=0,"",'M Component'!O55)</f>
        <v/>
      </c>
      <c r="I54" s="83" t="str">
        <f>IF('M Component'!P55=0,"",'M Component'!P55)</f>
        <v/>
      </c>
      <c r="J54" s="84">
        <f t="shared" si="0"/>
        <v>0</v>
      </c>
      <c r="K54" s="16"/>
      <c r="L54" s="16"/>
      <c r="M54" s="16"/>
      <c r="N54" s="16"/>
      <c r="O54" s="16"/>
      <c r="P54" s="16"/>
      <c r="Q54" s="16"/>
      <c r="R54" s="16"/>
      <c r="S54" s="16"/>
      <c r="T54" s="16"/>
      <c r="U54" s="16"/>
      <c r="V54" s="16"/>
      <c r="W54" s="16"/>
      <c r="X54" s="16"/>
      <c r="Y54" s="16"/>
      <c r="Z54" s="16"/>
    </row>
    <row r="55" spans="1:26" ht="15.75" customHeight="1">
      <c r="A55" s="80">
        <f>'Students Details'!A55</f>
        <v>49</v>
      </c>
      <c r="B55" s="81" t="str">
        <f>IF('Students Details'!B55="","",'Students Details'!B55)</f>
        <v/>
      </c>
      <c r="C55" s="82" t="str">
        <f>IF('Students Details'!C55="","",'Students Details'!C55)</f>
        <v/>
      </c>
      <c r="D55" s="83" t="str">
        <f>IF('M Component'!K56=0,"",'M Component'!K56)</f>
        <v/>
      </c>
      <c r="E55" s="83" t="str">
        <f>IF('M Component'!L56=0,"",'M Component'!L56)</f>
        <v/>
      </c>
      <c r="F55" s="83" t="str">
        <f>IF('M Component'!M56=0,"",'M Component'!M56)</f>
        <v/>
      </c>
      <c r="G55" s="83" t="str">
        <f>IF('M Component'!N56=0,"",'M Component'!N56)</f>
        <v/>
      </c>
      <c r="H55" s="83" t="str">
        <f>IF('M Component'!O56=0,"",'M Component'!O56)</f>
        <v/>
      </c>
      <c r="I55" s="83" t="str">
        <f>IF('M Component'!P56=0,"",'M Component'!P56)</f>
        <v/>
      </c>
      <c r="J55" s="84">
        <f t="shared" si="0"/>
        <v>0</v>
      </c>
      <c r="K55" s="16"/>
      <c r="L55" s="16"/>
      <c r="M55" s="16"/>
      <c r="N55" s="16"/>
      <c r="O55" s="16"/>
      <c r="P55" s="16"/>
      <c r="Q55" s="16"/>
      <c r="R55" s="16"/>
      <c r="S55" s="16"/>
      <c r="T55" s="16"/>
      <c r="U55" s="16"/>
      <c r="V55" s="16"/>
      <c r="W55" s="16"/>
      <c r="X55" s="16"/>
      <c r="Y55" s="16"/>
      <c r="Z55" s="16"/>
    </row>
    <row r="56" spans="1:26" ht="15.75" customHeight="1">
      <c r="A56" s="80">
        <f>'Students Details'!A56</f>
        <v>50</v>
      </c>
      <c r="B56" s="81" t="str">
        <f>IF('Students Details'!B56="","",'Students Details'!B56)</f>
        <v/>
      </c>
      <c r="C56" s="82" t="str">
        <f>IF('Students Details'!C56="","",'Students Details'!C56)</f>
        <v/>
      </c>
      <c r="D56" s="83" t="str">
        <f>IF('M Component'!K57=0,"",'M Component'!K57)</f>
        <v/>
      </c>
      <c r="E56" s="83" t="str">
        <f>IF('M Component'!L57=0,"",'M Component'!L57)</f>
        <v/>
      </c>
      <c r="F56" s="83" t="str">
        <f>IF('M Component'!M57=0,"",'M Component'!M57)</f>
        <v/>
      </c>
      <c r="G56" s="83" t="str">
        <f>IF('M Component'!N57=0,"",'M Component'!N57)</f>
        <v/>
      </c>
      <c r="H56" s="83" t="str">
        <f>IF('M Component'!O57=0,"",'M Component'!O57)</f>
        <v/>
      </c>
      <c r="I56" s="83" t="str">
        <f>IF('M Component'!P57=0,"",'M Component'!P57)</f>
        <v/>
      </c>
      <c r="J56" s="84">
        <f t="shared" si="0"/>
        <v>0</v>
      </c>
      <c r="K56" s="16"/>
      <c r="L56" s="16"/>
      <c r="M56" s="16"/>
      <c r="N56" s="16"/>
      <c r="O56" s="16"/>
      <c r="P56" s="16"/>
      <c r="Q56" s="16"/>
      <c r="R56" s="16"/>
      <c r="S56" s="16"/>
      <c r="T56" s="16"/>
      <c r="U56" s="16"/>
      <c r="V56" s="16"/>
      <c r="W56" s="16"/>
      <c r="X56" s="16"/>
      <c r="Y56" s="16"/>
      <c r="Z56" s="16"/>
    </row>
    <row r="57" spans="1:26" ht="15.75" customHeight="1">
      <c r="A57" s="80">
        <f>'Students Details'!A57</f>
        <v>51</v>
      </c>
      <c r="B57" s="81" t="str">
        <f>IF('Students Details'!B57="","",'Students Details'!B57)</f>
        <v/>
      </c>
      <c r="C57" s="82" t="str">
        <f>IF('Students Details'!C57="","",'Students Details'!C57)</f>
        <v/>
      </c>
      <c r="D57" s="83" t="str">
        <f>IF('M Component'!K58=0,"",'M Component'!K58)</f>
        <v/>
      </c>
      <c r="E57" s="83" t="str">
        <f>IF('M Component'!L58=0,"",'M Component'!L58)</f>
        <v/>
      </c>
      <c r="F57" s="83" t="str">
        <f>IF('M Component'!M58=0,"",'M Component'!M58)</f>
        <v/>
      </c>
      <c r="G57" s="83" t="str">
        <f>IF('M Component'!N58=0,"",'M Component'!N58)</f>
        <v/>
      </c>
      <c r="H57" s="83" t="str">
        <f>IF('M Component'!O58=0,"",'M Component'!O58)</f>
        <v/>
      </c>
      <c r="I57" s="83" t="str">
        <f>IF('M Component'!P58=0,"",'M Component'!P58)</f>
        <v/>
      </c>
      <c r="J57" s="84">
        <f t="shared" si="0"/>
        <v>0</v>
      </c>
      <c r="K57" s="16"/>
      <c r="L57" s="16"/>
      <c r="M57" s="16"/>
      <c r="N57" s="16"/>
      <c r="O57" s="16"/>
      <c r="P57" s="16"/>
      <c r="Q57" s="16"/>
      <c r="R57" s="16"/>
      <c r="S57" s="16"/>
      <c r="T57" s="16"/>
      <c r="U57" s="16"/>
      <c r="V57" s="16"/>
      <c r="W57" s="16"/>
      <c r="X57" s="16"/>
      <c r="Y57" s="16"/>
      <c r="Z57" s="16"/>
    </row>
    <row r="58" spans="1:26" ht="15.75" customHeight="1">
      <c r="A58" s="80">
        <f>'Students Details'!A58</f>
        <v>52</v>
      </c>
      <c r="B58" s="81" t="str">
        <f>IF('Students Details'!B58="","",'Students Details'!B58)</f>
        <v/>
      </c>
      <c r="C58" s="82" t="str">
        <f>IF('Students Details'!C58="","",'Students Details'!C58)</f>
        <v/>
      </c>
      <c r="D58" s="83" t="str">
        <f>IF('M Component'!K59=0,"",'M Component'!K59)</f>
        <v/>
      </c>
      <c r="E58" s="83" t="str">
        <f>IF('M Component'!L59=0,"",'M Component'!L59)</f>
        <v/>
      </c>
      <c r="F58" s="83" t="str">
        <f>IF('M Component'!M59=0,"",'M Component'!M59)</f>
        <v/>
      </c>
      <c r="G58" s="83" t="str">
        <f>IF('M Component'!N59=0,"",'M Component'!N59)</f>
        <v/>
      </c>
      <c r="H58" s="83" t="str">
        <f>IF('M Component'!O59=0,"",'M Component'!O59)</f>
        <v/>
      </c>
      <c r="I58" s="83" t="str">
        <f>IF('M Component'!P59=0,"",'M Component'!P59)</f>
        <v/>
      </c>
      <c r="J58" s="84">
        <f t="shared" si="0"/>
        <v>0</v>
      </c>
      <c r="K58" s="16"/>
      <c r="L58" s="16"/>
      <c r="M58" s="16"/>
      <c r="N58" s="16"/>
      <c r="O58" s="16"/>
      <c r="P58" s="16"/>
      <c r="Q58" s="16"/>
      <c r="R58" s="16"/>
      <c r="S58" s="16"/>
      <c r="T58" s="16"/>
      <c r="U58" s="16"/>
      <c r="V58" s="16"/>
      <c r="W58" s="16"/>
      <c r="X58" s="16"/>
      <c r="Y58" s="16"/>
      <c r="Z58" s="16"/>
    </row>
    <row r="59" spans="1:26" ht="15.75" customHeight="1">
      <c r="A59" s="80">
        <f>'Students Details'!A59</f>
        <v>53</v>
      </c>
      <c r="B59" s="81" t="str">
        <f>IF('Students Details'!B59="","",'Students Details'!B59)</f>
        <v/>
      </c>
      <c r="C59" s="82" t="str">
        <f>IF('Students Details'!C59="","",'Students Details'!C59)</f>
        <v/>
      </c>
      <c r="D59" s="83" t="str">
        <f>IF('M Component'!K60=0,"",'M Component'!K60)</f>
        <v/>
      </c>
      <c r="E59" s="83" t="str">
        <f>IF('M Component'!L60=0,"",'M Component'!L60)</f>
        <v/>
      </c>
      <c r="F59" s="83" t="str">
        <f>IF('M Component'!M60=0,"",'M Component'!M60)</f>
        <v/>
      </c>
      <c r="G59" s="83" t="str">
        <f>IF('M Component'!N60=0,"",'M Component'!N60)</f>
        <v/>
      </c>
      <c r="H59" s="83" t="str">
        <f>IF('M Component'!O60=0,"",'M Component'!O60)</f>
        <v/>
      </c>
      <c r="I59" s="83" t="str">
        <f>IF('M Component'!P60=0,"",'M Component'!P60)</f>
        <v/>
      </c>
      <c r="J59" s="84">
        <f t="shared" si="0"/>
        <v>0</v>
      </c>
      <c r="K59" s="16"/>
      <c r="L59" s="16"/>
      <c r="M59" s="16"/>
      <c r="N59" s="16"/>
      <c r="O59" s="16"/>
      <c r="P59" s="16"/>
      <c r="Q59" s="16"/>
      <c r="R59" s="16"/>
      <c r="S59" s="16"/>
      <c r="T59" s="16"/>
      <c r="U59" s="16"/>
      <c r="V59" s="16"/>
      <c r="W59" s="16"/>
      <c r="X59" s="16"/>
      <c r="Y59" s="16"/>
      <c r="Z59" s="16"/>
    </row>
    <row r="60" spans="1:26" ht="15.75" customHeight="1">
      <c r="A60" s="80">
        <f>'Students Details'!A60</f>
        <v>54</v>
      </c>
      <c r="B60" s="81" t="str">
        <f>IF('Students Details'!B60="","",'Students Details'!B60)</f>
        <v/>
      </c>
      <c r="C60" s="82" t="str">
        <f>IF('Students Details'!C60="","",'Students Details'!C60)</f>
        <v/>
      </c>
      <c r="D60" s="83" t="str">
        <f>IF('M Component'!K61=0,"",'M Component'!K61)</f>
        <v/>
      </c>
      <c r="E60" s="83" t="str">
        <f>IF('M Component'!L61=0,"",'M Component'!L61)</f>
        <v/>
      </c>
      <c r="F60" s="83" t="str">
        <f>IF('M Component'!M61=0,"",'M Component'!M61)</f>
        <v/>
      </c>
      <c r="G60" s="83" t="str">
        <f>IF('M Component'!N61=0,"",'M Component'!N61)</f>
        <v/>
      </c>
      <c r="H60" s="83" t="str">
        <f>IF('M Component'!O61=0,"",'M Component'!O61)</f>
        <v/>
      </c>
      <c r="I60" s="83" t="str">
        <f>IF('M Component'!P61=0,"",'M Component'!P61)</f>
        <v/>
      </c>
      <c r="J60" s="84">
        <f t="shared" si="0"/>
        <v>0</v>
      </c>
      <c r="K60" s="16"/>
      <c r="L60" s="16"/>
      <c r="M60" s="16"/>
      <c r="N60" s="16"/>
      <c r="O60" s="16"/>
      <c r="P60" s="16"/>
      <c r="Q60" s="16"/>
      <c r="R60" s="16"/>
      <c r="S60" s="16"/>
      <c r="T60" s="16"/>
      <c r="U60" s="16"/>
      <c r="V60" s="16"/>
      <c r="W60" s="16"/>
      <c r="X60" s="16"/>
      <c r="Y60" s="16"/>
      <c r="Z60" s="16"/>
    </row>
    <row r="61" spans="1:26" ht="15.75" customHeight="1">
      <c r="A61" s="80">
        <f>'Students Details'!A61</f>
        <v>55</v>
      </c>
      <c r="B61" s="81" t="str">
        <f>IF('Students Details'!B61="","",'Students Details'!B61)</f>
        <v/>
      </c>
      <c r="C61" s="82" t="str">
        <f>IF('Students Details'!C61="","",'Students Details'!C61)</f>
        <v/>
      </c>
      <c r="D61" s="83" t="str">
        <f>IF('M Component'!K62=0,"",'M Component'!K62)</f>
        <v/>
      </c>
      <c r="E61" s="83" t="str">
        <f>IF('M Component'!L62=0,"",'M Component'!L62)</f>
        <v/>
      </c>
      <c r="F61" s="83" t="str">
        <f>IF('M Component'!M62=0,"",'M Component'!M62)</f>
        <v/>
      </c>
      <c r="G61" s="83" t="str">
        <f>IF('M Component'!N62=0,"",'M Component'!N62)</f>
        <v/>
      </c>
      <c r="H61" s="83" t="str">
        <f>IF('M Component'!O62=0,"",'M Component'!O62)</f>
        <v/>
      </c>
      <c r="I61" s="83" t="str">
        <f>IF('M Component'!P62=0,"",'M Component'!P62)</f>
        <v/>
      </c>
      <c r="J61" s="84">
        <f t="shared" si="0"/>
        <v>0</v>
      </c>
      <c r="K61" s="16"/>
      <c r="L61" s="16"/>
      <c r="M61" s="16"/>
      <c r="N61" s="16"/>
      <c r="O61" s="16"/>
      <c r="P61" s="16"/>
      <c r="Q61" s="16"/>
      <c r="R61" s="16"/>
      <c r="S61" s="16"/>
      <c r="T61" s="16"/>
      <c r="U61" s="16"/>
      <c r="V61" s="16"/>
      <c r="W61" s="16"/>
      <c r="X61" s="16"/>
      <c r="Y61" s="16"/>
      <c r="Z61" s="16"/>
    </row>
    <row r="62" spans="1:26" ht="15.75" customHeight="1">
      <c r="A62" s="80">
        <f>'Students Details'!A62</f>
        <v>56</v>
      </c>
      <c r="B62" s="81" t="str">
        <f>IF('Students Details'!B62="","",'Students Details'!B62)</f>
        <v/>
      </c>
      <c r="C62" s="82" t="str">
        <f>IF('Students Details'!C62="","",'Students Details'!C62)</f>
        <v/>
      </c>
      <c r="D62" s="83" t="str">
        <f>IF('M Component'!K63=0,"",'M Component'!K63)</f>
        <v/>
      </c>
      <c r="E62" s="83" t="str">
        <f>IF('M Component'!L63=0,"",'M Component'!L63)</f>
        <v/>
      </c>
      <c r="F62" s="83" t="str">
        <f>IF('M Component'!M63=0,"",'M Component'!M63)</f>
        <v/>
      </c>
      <c r="G62" s="83" t="str">
        <f>IF('M Component'!N63=0,"",'M Component'!N63)</f>
        <v/>
      </c>
      <c r="H62" s="83" t="str">
        <f>IF('M Component'!O63=0,"",'M Component'!O63)</f>
        <v/>
      </c>
      <c r="I62" s="83" t="str">
        <f>IF('M Component'!P63=0,"",'M Component'!P63)</f>
        <v/>
      </c>
      <c r="J62" s="84">
        <f t="shared" si="0"/>
        <v>0</v>
      </c>
      <c r="K62" s="16"/>
      <c r="L62" s="16"/>
      <c r="M62" s="16"/>
      <c r="N62" s="16"/>
      <c r="O62" s="16"/>
      <c r="P62" s="16"/>
      <c r="Q62" s="16"/>
      <c r="R62" s="16"/>
      <c r="S62" s="16"/>
      <c r="T62" s="16"/>
      <c r="U62" s="16"/>
      <c r="V62" s="16"/>
      <c r="W62" s="16"/>
      <c r="X62" s="16"/>
      <c r="Y62" s="16"/>
      <c r="Z62" s="16"/>
    </row>
    <row r="63" spans="1:26" ht="15.75" customHeight="1">
      <c r="A63" s="80">
        <f>'Students Details'!A63</f>
        <v>57</v>
      </c>
      <c r="B63" s="81" t="str">
        <f>IF('Students Details'!B63="","",'Students Details'!B63)</f>
        <v/>
      </c>
      <c r="C63" s="82" t="str">
        <f>IF('Students Details'!C63="","",'Students Details'!C63)</f>
        <v/>
      </c>
      <c r="D63" s="83" t="str">
        <f>IF('M Component'!K64=0,"",'M Component'!K64)</f>
        <v/>
      </c>
      <c r="E63" s="83" t="str">
        <f>IF('M Component'!L64=0,"",'M Component'!L64)</f>
        <v/>
      </c>
      <c r="F63" s="83" t="str">
        <f>IF('M Component'!M64=0,"",'M Component'!M64)</f>
        <v/>
      </c>
      <c r="G63" s="83" t="str">
        <f>IF('M Component'!N64=0,"",'M Component'!N64)</f>
        <v/>
      </c>
      <c r="H63" s="83" t="str">
        <f>IF('M Component'!O64=0,"",'M Component'!O64)</f>
        <v/>
      </c>
      <c r="I63" s="83" t="str">
        <f>IF('M Component'!P64=0,"",'M Component'!P64)</f>
        <v/>
      </c>
      <c r="J63" s="84">
        <f t="shared" si="0"/>
        <v>0</v>
      </c>
      <c r="K63" s="16"/>
      <c r="L63" s="16"/>
      <c r="M63" s="16"/>
      <c r="N63" s="16"/>
      <c r="O63" s="16"/>
      <c r="P63" s="16"/>
      <c r="Q63" s="16"/>
      <c r="R63" s="16"/>
      <c r="S63" s="16"/>
      <c r="T63" s="16"/>
      <c r="U63" s="16"/>
      <c r="V63" s="16"/>
      <c r="W63" s="16"/>
      <c r="X63" s="16"/>
      <c r="Y63" s="16"/>
      <c r="Z63" s="16"/>
    </row>
    <row r="64" spans="1:26" ht="15.75" customHeight="1">
      <c r="A64" s="80">
        <f>'Students Details'!A64</f>
        <v>58</v>
      </c>
      <c r="B64" s="81" t="str">
        <f>IF('Students Details'!B64="","",'Students Details'!B64)</f>
        <v/>
      </c>
      <c r="C64" s="82" t="str">
        <f>IF('Students Details'!C64="","",'Students Details'!C64)</f>
        <v/>
      </c>
      <c r="D64" s="83" t="str">
        <f>IF('M Component'!K65=0,"",'M Component'!K65)</f>
        <v/>
      </c>
      <c r="E64" s="83" t="str">
        <f>IF('M Component'!L65=0,"",'M Component'!L65)</f>
        <v/>
      </c>
      <c r="F64" s="83" t="str">
        <f>IF('M Component'!M65=0,"",'M Component'!M65)</f>
        <v/>
      </c>
      <c r="G64" s="83" t="str">
        <f>IF('M Component'!N65=0,"",'M Component'!N65)</f>
        <v/>
      </c>
      <c r="H64" s="83" t="str">
        <f>IF('M Component'!O65=0,"",'M Component'!O65)</f>
        <v/>
      </c>
      <c r="I64" s="83" t="str">
        <f>IF('M Component'!P65=0,"",'M Component'!P65)</f>
        <v/>
      </c>
      <c r="J64" s="84">
        <f t="shared" si="0"/>
        <v>0</v>
      </c>
      <c r="K64" s="16"/>
      <c r="L64" s="16"/>
      <c r="M64" s="16"/>
      <c r="N64" s="16"/>
      <c r="O64" s="16"/>
      <c r="P64" s="16"/>
      <c r="Q64" s="16"/>
      <c r="R64" s="16"/>
      <c r="S64" s="16"/>
      <c r="T64" s="16"/>
      <c r="U64" s="16"/>
      <c r="V64" s="16"/>
      <c r="W64" s="16"/>
      <c r="X64" s="16"/>
      <c r="Y64" s="16"/>
      <c r="Z64" s="16"/>
    </row>
    <row r="65" spans="1:26" ht="15.75" customHeight="1">
      <c r="A65" s="80">
        <f>'Students Details'!A65</f>
        <v>59</v>
      </c>
      <c r="B65" s="81" t="str">
        <f>IF('Students Details'!B65="","",'Students Details'!B65)</f>
        <v/>
      </c>
      <c r="C65" s="82" t="str">
        <f>IF('Students Details'!C65="","",'Students Details'!C65)</f>
        <v/>
      </c>
      <c r="D65" s="83" t="str">
        <f>IF('M Component'!K66=0,"",'M Component'!K66)</f>
        <v/>
      </c>
      <c r="E65" s="83" t="str">
        <f>IF('M Component'!L66=0,"",'M Component'!L66)</f>
        <v/>
      </c>
      <c r="F65" s="83" t="str">
        <f>IF('M Component'!M66=0,"",'M Component'!M66)</f>
        <v/>
      </c>
      <c r="G65" s="83" t="str">
        <f>IF('M Component'!N66=0,"",'M Component'!N66)</f>
        <v/>
      </c>
      <c r="H65" s="83" t="str">
        <f>IF('M Component'!O66=0,"",'M Component'!O66)</f>
        <v/>
      </c>
      <c r="I65" s="83" t="str">
        <f>IF('M Component'!P66=0,"",'M Component'!P66)</f>
        <v/>
      </c>
      <c r="J65" s="84">
        <f t="shared" si="0"/>
        <v>0</v>
      </c>
      <c r="K65" s="16"/>
      <c r="L65" s="16"/>
      <c r="M65" s="16"/>
      <c r="N65" s="16"/>
      <c r="O65" s="16"/>
      <c r="P65" s="16"/>
      <c r="Q65" s="16"/>
      <c r="R65" s="16"/>
      <c r="S65" s="16"/>
      <c r="T65" s="16"/>
      <c r="U65" s="16"/>
      <c r="V65" s="16"/>
      <c r="W65" s="16"/>
      <c r="X65" s="16"/>
      <c r="Y65" s="16"/>
      <c r="Z65" s="16"/>
    </row>
    <row r="66" spans="1:26" ht="15.75" customHeight="1">
      <c r="A66" s="80">
        <f>'Students Details'!A66</f>
        <v>60</v>
      </c>
      <c r="B66" s="81" t="str">
        <f>IF('Students Details'!B66="","",'Students Details'!B66)</f>
        <v/>
      </c>
      <c r="C66" s="82" t="str">
        <f>IF('Students Details'!C66="","",'Students Details'!C66)</f>
        <v/>
      </c>
      <c r="D66" s="83" t="str">
        <f>IF('M Component'!K67=0,"",'M Component'!K67)</f>
        <v/>
      </c>
      <c r="E66" s="83" t="str">
        <f>IF('M Component'!L67=0,"",'M Component'!L67)</f>
        <v/>
      </c>
      <c r="F66" s="83" t="str">
        <f>IF('M Component'!M67=0,"",'M Component'!M67)</f>
        <v/>
      </c>
      <c r="G66" s="83" t="str">
        <f>IF('M Component'!N67=0,"",'M Component'!N67)</f>
        <v/>
      </c>
      <c r="H66" s="83" t="str">
        <f>IF('M Component'!O67=0,"",'M Component'!O67)</f>
        <v/>
      </c>
      <c r="I66" s="83" t="str">
        <f>IF('M Component'!P67=0,"",'M Component'!P67)</f>
        <v/>
      </c>
      <c r="J66" s="84">
        <f t="shared" si="0"/>
        <v>0</v>
      </c>
      <c r="K66" s="16"/>
      <c r="L66" s="16"/>
      <c r="M66" s="16"/>
      <c r="N66" s="16"/>
      <c r="O66" s="16"/>
      <c r="P66" s="16"/>
      <c r="Q66" s="16"/>
      <c r="R66" s="16"/>
      <c r="S66" s="16"/>
      <c r="T66" s="16"/>
      <c r="U66" s="16"/>
      <c r="V66" s="16"/>
      <c r="W66" s="16"/>
      <c r="X66" s="16"/>
      <c r="Y66" s="16"/>
      <c r="Z66" s="16"/>
    </row>
    <row r="67" spans="1:26" ht="15.75" customHeight="1">
      <c r="A67" s="80">
        <f>'Students Details'!A67</f>
        <v>61</v>
      </c>
      <c r="B67" s="81" t="str">
        <f>IF('Students Details'!B67="","",'Students Details'!B67)</f>
        <v/>
      </c>
      <c r="C67" s="82" t="str">
        <f>IF('Students Details'!C67="","",'Students Details'!C67)</f>
        <v/>
      </c>
      <c r="D67" s="83" t="str">
        <f>IF('M Component'!K68=0,"",'M Component'!K68)</f>
        <v/>
      </c>
      <c r="E67" s="83" t="str">
        <f>IF('M Component'!L68=0,"",'M Component'!L68)</f>
        <v/>
      </c>
      <c r="F67" s="83" t="str">
        <f>IF('M Component'!M68=0,"",'M Component'!M68)</f>
        <v/>
      </c>
      <c r="G67" s="83" t="str">
        <f>IF('M Component'!N68=0,"",'M Component'!N68)</f>
        <v/>
      </c>
      <c r="H67" s="83" t="str">
        <f>IF('M Component'!O68=0,"",'M Component'!O68)</f>
        <v/>
      </c>
      <c r="I67" s="83" t="str">
        <f>IF('M Component'!P68=0,"",'M Component'!P68)</f>
        <v/>
      </c>
      <c r="J67" s="84">
        <f t="shared" si="0"/>
        <v>0</v>
      </c>
      <c r="K67" s="16"/>
      <c r="L67" s="16"/>
      <c r="M67" s="16"/>
      <c r="N67" s="16"/>
      <c r="O67" s="16"/>
      <c r="P67" s="16"/>
      <c r="Q67" s="16"/>
      <c r="R67" s="16"/>
      <c r="S67" s="16"/>
      <c r="T67" s="16"/>
      <c r="U67" s="16"/>
      <c r="V67" s="16"/>
      <c r="W67" s="16"/>
      <c r="X67" s="16"/>
      <c r="Y67" s="16"/>
      <c r="Z67" s="16"/>
    </row>
    <row r="68" spans="1:26" ht="15" customHeight="1">
      <c r="A68" s="80">
        <f>'Students Details'!A68</f>
        <v>62</v>
      </c>
      <c r="B68" s="81" t="str">
        <f>IF('Students Details'!B68="","",'Students Details'!B68)</f>
        <v/>
      </c>
      <c r="C68" s="82" t="str">
        <f>IF('Students Details'!C68="","",'Students Details'!C68)</f>
        <v/>
      </c>
      <c r="D68" s="83" t="str">
        <f>IF('M Component'!K69=0,"",'M Component'!K69)</f>
        <v/>
      </c>
      <c r="E68" s="83" t="str">
        <f>IF('M Component'!L69=0,"",'M Component'!L69)</f>
        <v/>
      </c>
      <c r="F68" s="83" t="str">
        <f>IF('M Component'!M69=0,"",'M Component'!M69)</f>
        <v/>
      </c>
      <c r="G68" s="83" t="str">
        <f>IF('M Component'!N69=0,"",'M Component'!N69)</f>
        <v/>
      </c>
      <c r="H68" s="83" t="str">
        <f>IF('M Component'!O69=0,"",'M Component'!O69)</f>
        <v/>
      </c>
      <c r="I68" s="83" t="str">
        <f>IF('M Component'!P69=0,"",'M Component'!P69)</f>
        <v/>
      </c>
      <c r="J68" s="84">
        <f t="shared" si="0"/>
        <v>0</v>
      </c>
      <c r="K68" s="16"/>
      <c r="L68" s="16"/>
      <c r="M68" s="16"/>
      <c r="N68" s="16"/>
      <c r="O68" s="16"/>
      <c r="P68" s="16"/>
      <c r="Q68" s="16"/>
      <c r="R68" s="16"/>
      <c r="S68" s="16"/>
      <c r="T68" s="16"/>
      <c r="U68" s="16"/>
      <c r="V68" s="16"/>
      <c r="W68" s="16"/>
      <c r="X68" s="16"/>
      <c r="Y68" s="16"/>
      <c r="Z68" s="16"/>
    </row>
    <row r="69" spans="1:26" ht="15.75" customHeight="1">
      <c r="A69" s="80">
        <f>'Students Details'!A69</f>
        <v>63</v>
      </c>
      <c r="B69" s="81" t="str">
        <f>IF('Students Details'!B69="","",'Students Details'!B69)</f>
        <v/>
      </c>
      <c r="C69" s="82" t="str">
        <f>IF('Students Details'!C69="","",'Students Details'!C69)</f>
        <v/>
      </c>
      <c r="D69" s="83" t="str">
        <f>IF('M Component'!K70=0,"",'M Component'!K70)</f>
        <v/>
      </c>
      <c r="E69" s="83" t="str">
        <f>IF('M Component'!L70=0,"",'M Component'!L70)</f>
        <v/>
      </c>
      <c r="F69" s="83" t="str">
        <f>IF('M Component'!M70=0,"",'M Component'!M70)</f>
        <v/>
      </c>
      <c r="G69" s="83" t="str">
        <f>IF('M Component'!N70=0,"",'M Component'!N70)</f>
        <v/>
      </c>
      <c r="H69" s="83" t="str">
        <f>IF('M Component'!O70=0,"",'M Component'!O70)</f>
        <v/>
      </c>
      <c r="I69" s="83" t="str">
        <f>IF('M Component'!P70=0,"",'M Component'!P70)</f>
        <v/>
      </c>
      <c r="J69" s="84">
        <f t="shared" si="0"/>
        <v>0</v>
      </c>
      <c r="K69" s="16"/>
      <c r="L69" s="16"/>
      <c r="M69" s="16"/>
      <c r="N69" s="16"/>
      <c r="O69" s="16"/>
      <c r="P69" s="16"/>
      <c r="Q69" s="16"/>
      <c r="R69" s="16"/>
      <c r="S69" s="16"/>
      <c r="T69" s="16"/>
      <c r="U69" s="16"/>
      <c r="V69" s="16"/>
      <c r="W69" s="16"/>
      <c r="X69" s="16"/>
      <c r="Y69" s="16"/>
      <c r="Z69" s="16"/>
    </row>
    <row r="70" spans="1:26" ht="15.75" customHeight="1">
      <c r="A70" s="80">
        <f>'Students Details'!A70</f>
        <v>64</v>
      </c>
      <c r="B70" s="81" t="str">
        <f>IF('Students Details'!B70="","",'Students Details'!B70)</f>
        <v/>
      </c>
      <c r="C70" s="82" t="str">
        <f>IF('Students Details'!C70="","",'Students Details'!C70)</f>
        <v/>
      </c>
      <c r="D70" s="83" t="str">
        <f>IF('M Component'!K71=0,"",'M Component'!K71)</f>
        <v/>
      </c>
      <c r="E70" s="83" t="str">
        <f>IF('M Component'!L71=0,"",'M Component'!L71)</f>
        <v/>
      </c>
      <c r="F70" s="83" t="str">
        <f>IF('M Component'!M71=0,"",'M Component'!M71)</f>
        <v/>
      </c>
      <c r="G70" s="83" t="str">
        <f>IF('M Component'!N71=0,"",'M Component'!N71)</f>
        <v/>
      </c>
      <c r="H70" s="83" t="str">
        <f>IF('M Component'!O71=0,"",'M Component'!O71)</f>
        <v/>
      </c>
      <c r="I70" s="83" t="str">
        <f>IF('M Component'!P71=0,"",'M Component'!P71)</f>
        <v/>
      </c>
      <c r="J70" s="84">
        <f t="shared" si="0"/>
        <v>0</v>
      </c>
      <c r="K70" s="16"/>
      <c r="L70" s="16"/>
      <c r="M70" s="16"/>
      <c r="N70" s="16"/>
      <c r="O70" s="16"/>
      <c r="P70" s="16"/>
      <c r="Q70" s="16"/>
      <c r="R70" s="16"/>
      <c r="S70" s="16"/>
      <c r="T70" s="16"/>
      <c r="U70" s="16"/>
      <c r="V70" s="16"/>
      <c r="W70" s="16"/>
      <c r="X70" s="16"/>
      <c r="Y70" s="16"/>
      <c r="Z70" s="16"/>
    </row>
    <row r="71" spans="1:26" ht="15.75" customHeight="1">
      <c r="A71" s="80">
        <f>'Students Details'!A71</f>
        <v>65</v>
      </c>
      <c r="B71" s="81" t="str">
        <f>IF('Students Details'!B71="","",'Students Details'!B71)</f>
        <v/>
      </c>
      <c r="C71" s="82" t="str">
        <f>IF('Students Details'!C71="","",'Students Details'!C71)</f>
        <v/>
      </c>
      <c r="D71" s="83" t="str">
        <f>IF('M Component'!K72=0,"",'M Component'!K72)</f>
        <v/>
      </c>
      <c r="E71" s="83" t="str">
        <f>IF('M Component'!L72=0,"",'M Component'!L72)</f>
        <v/>
      </c>
      <c r="F71" s="83" t="str">
        <f>IF('M Component'!M72=0,"",'M Component'!M72)</f>
        <v/>
      </c>
      <c r="G71" s="83" t="str">
        <f>IF('M Component'!N72=0,"",'M Component'!N72)</f>
        <v/>
      </c>
      <c r="H71" s="83" t="str">
        <f>IF('M Component'!O72=0,"",'M Component'!O72)</f>
        <v/>
      </c>
      <c r="I71" s="83" t="str">
        <f>IF('M Component'!P72=0,"",'M Component'!P72)</f>
        <v/>
      </c>
      <c r="J71" s="84">
        <f t="shared" si="0"/>
        <v>0</v>
      </c>
      <c r="K71" s="16"/>
      <c r="L71" s="16"/>
      <c r="M71" s="16"/>
      <c r="N71" s="16"/>
      <c r="O71" s="16"/>
      <c r="P71" s="16"/>
      <c r="Q71" s="16"/>
      <c r="R71" s="16"/>
      <c r="S71" s="16"/>
      <c r="T71" s="16"/>
      <c r="U71" s="16"/>
      <c r="V71" s="16"/>
      <c r="W71" s="16"/>
      <c r="X71" s="16"/>
      <c r="Y71" s="16"/>
      <c r="Z71" s="16"/>
    </row>
    <row r="72" spans="1:26" ht="15.75" customHeight="1">
      <c r="A72" s="80">
        <f>'Students Details'!A72</f>
        <v>66</v>
      </c>
      <c r="B72" s="81" t="str">
        <f>IF('Students Details'!B72="","",'Students Details'!B72)</f>
        <v/>
      </c>
      <c r="C72" s="82" t="str">
        <f>IF('Students Details'!C72="","",'Students Details'!C72)</f>
        <v/>
      </c>
      <c r="D72" s="83" t="str">
        <f>IF('M Component'!K73=0,"",'M Component'!K73)</f>
        <v/>
      </c>
      <c r="E72" s="83" t="str">
        <f>IF('M Component'!L73=0,"",'M Component'!L73)</f>
        <v/>
      </c>
      <c r="F72" s="83" t="str">
        <f>IF('M Component'!M73=0,"",'M Component'!M73)</f>
        <v/>
      </c>
      <c r="G72" s="83" t="str">
        <f>IF('M Component'!N73=0,"",'M Component'!N73)</f>
        <v/>
      </c>
      <c r="H72" s="83" t="str">
        <f>IF('M Component'!O73=0,"",'M Component'!O73)</f>
        <v/>
      </c>
      <c r="I72" s="83" t="str">
        <f>IF('M Component'!P73=0,"",'M Component'!P73)</f>
        <v/>
      </c>
      <c r="J72" s="84">
        <f t="shared" si="0"/>
        <v>0</v>
      </c>
      <c r="K72" s="16"/>
      <c r="L72" s="16"/>
      <c r="M72" s="16"/>
      <c r="N72" s="16"/>
      <c r="O72" s="16"/>
      <c r="P72" s="16"/>
      <c r="Q72" s="16"/>
      <c r="R72" s="16"/>
      <c r="S72" s="16"/>
      <c r="T72" s="16"/>
      <c r="U72" s="16"/>
      <c r="V72" s="16"/>
      <c r="W72" s="16"/>
      <c r="X72" s="16"/>
      <c r="Y72" s="16"/>
      <c r="Z72" s="16"/>
    </row>
    <row r="73" spans="1:26" ht="15.75" customHeight="1">
      <c r="A73" s="80">
        <f>'Students Details'!A73</f>
        <v>67</v>
      </c>
      <c r="B73" s="81" t="str">
        <f>IF('Students Details'!B73="","",'Students Details'!B73)</f>
        <v/>
      </c>
      <c r="C73" s="82" t="str">
        <f>IF('Students Details'!C73="","",'Students Details'!C73)</f>
        <v/>
      </c>
      <c r="D73" s="83" t="str">
        <f>IF('M Component'!K74=0,"",'M Component'!K74)</f>
        <v/>
      </c>
      <c r="E73" s="83" t="str">
        <f>IF('M Component'!L74=0,"",'M Component'!L74)</f>
        <v/>
      </c>
      <c r="F73" s="83" t="str">
        <f>IF('M Component'!M74=0,"",'M Component'!M74)</f>
        <v/>
      </c>
      <c r="G73" s="83" t="str">
        <f>IF('M Component'!N74=0,"",'M Component'!N74)</f>
        <v/>
      </c>
      <c r="H73" s="83" t="str">
        <f>IF('M Component'!O74=0,"",'M Component'!O74)</f>
        <v/>
      </c>
      <c r="I73" s="83" t="str">
        <f>IF('M Component'!P74=0,"",'M Component'!P74)</f>
        <v/>
      </c>
      <c r="J73" s="84">
        <f t="shared" si="0"/>
        <v>0</v>
      </c>
      <c r="K73" s="16"/>
      <c r="L73" s="16"/>
      <c r="M73" s="16"/>
      <c r="N73" s="16"/>
      <c r="O73" s="16"/>
      <c r="P73" s="16"/>
      <c r="Q73" s="16"/>
      <c r="R73" s="16"/>
      <c r="S73" s="16"/>
      <c r="T73" s="16"/>
      <c r="U73" s="16"/>
      <c r="V73" s="16"/>
      <c r="W73" s="16"/>
      <c r="X73" s="16"/>
      <c r="Y73" s="16"/>
      <c r="Z73" s="16"/>
    </row>
    <row r="74" spans="1:26" ht="15.75" customHeight="1">
      <c r="A74" s="80">
        <f>'Students Details'!A74</f>
        <v>68</v>
      </c>
      <c r="B74" s="81" t="str">
        <f>IF('Students Details'!B74="","",'Students Details'!B74)</f>
        <v/>
      </c>
      <c r="C74" s="82" t="str">
        <f>IF('Students Details'!C74="","",'Students Details'!C74)</f>
        <v/>
      </c>
      <c r="D74" s="83" t="str">
        <f>IF('M Component'!K75=0,"",'M Component'!K75)</f>
        <v/>
      </c>
      <c r="E74" s="83" t="str">
        <f>IF('M Component'!L75=0,"",'M Component'!L75)</f>
        <v/>
      </c>
      <c r="F74" s="83" t="str">
        <f>IF('M Component'!M75=0,"",'M Component'!M75)</f>
        <v/>
      </c>
      <c r="G74" s="83" t="str">
        <f>IF('M Component'!N75=0,"",'M Component'!N75)</f>
        <v/>
      </c>
      <c r="H74" s="83" t="str">
        <f>IF('M Component'!O75=0,"",'M Component'!O75)</f>
        <v/>
      </c>
      <c r="I74" s="83" t="str">
        <f>IF('M Component'!P75=0,"",'M Component'!P75)</f>
        <v/>
      </c>
      <c r="J74" s="84">
        <f t="shared" si="0"/>
        <v>0</v>
      </c>
      <c r="K74" s="16"/>
      <c r="L74" s="16"/>
      <c r="M74" s="16"/>
      <c r="N74" s="16"/>
      <c r="O74" s="16"/>
      <c r="P74" s="16"/>
      <c r="Q74" s="16"/>
      <c r="R74" s="16"/>
      <c r="S74" s="16"/>
      <c r="T74" s="16"/>
      <c r="U74" s="16"/>
      <c r="V74" s="16"/>
      <c r="W74" s="16"/>
      <c r="X74" s="16"/>
      <c r="Y74" s="16"/>
      <c r="Z74" s="16"/>
    </row>
    <row r="75" spans="1:26" ht="15.75" customHeight="1">
      <c r="A75" s="80">
        <f>'Students Details'!A75</f>
        <v>69</v>
      </c>
      <c r="B75" s="81" t="str">
        <f>IF('Students Details'!B75="","",'Students Details'!B75)</f>
        <v/>
      </c>
      <c r="C75" s="82" t="str">
        <f>IF('Students Details'!C75="","",'Students Details'!C75)</f>
        <v/>
      </c>
      <c r="D75" s="83" t="str">
        <f>IF('M Component'!K76=0,"",'M Component'!K76)</f>
        <v/>
      </c>
      <c r="E75" s="83" t="str">
        <f>IF('M Component'!L76=0,"",'M Component'!L76)</f>
        <v/>
      </c>
      <c r="F75" s="83" t="str">
        <f>IF('M Component'!M76=0,"",'M Component'!M76)</f>
        <v/>
      </c>
      <c r="G75" s="83" t="str">
        <f>IF('M Component'!N76=0,"",'M Component'!N76)</f>
        <v/>
      </c>
      <c r="H75" s="83" t="str">
        <f>IF('M Component'!O76=0,"",'M Component'!O76)</f>
        <v/>
      </c>
      <c r="I75" s="83" t="str">
        <f>IF('M Component'!P76=0,"",'M Component'!P76)</f>
        <v/>
      </c>
      <c r="J75" s="84">
        <f t="shared" si="0"/>
        <v>0</v>
      </c>
      <c r="K75" s="16"/>
      <c r="L75" s="16"/>
      <c r="M75" s="16"/>
      <c r="N75" s="16"/>
      <c r="O75" s="16"/>
      <c r="P75" s="16"/>
      <c r="Q75" s="16"/>
      <c r="R75" s="16"/>
      <c r="S75" s="16"/>
      <c r="T75" s="16"/>
      <c r="U75" s="16"/>
      <c r="V75" s="16"/>
      <c r="W75" s="16"/>
      <c r="X75" s="16"/>
      <c r="Y75" s="16"/>
      <c r="Z75" s="16"/>
    </row>
    <row r="76" spans="1:26" ht="15.75" customHeight="1">
      <c r="A76" s="80">
        <f>'Students Details'!A76</f>
        <v>70</v>
      </c>
      <c r="B76" s="81" t="str">
        <f>IF('Students Details'!B76="","",'Students Details'!B76)</f>
        <v/>
      </c>
      <c r="C76" s="82" t="str">
        <f>IF('Students Details'!C76="","",'Students Details'!C76)</f>
        <v/>
      </c>
      <c r="D76" s="83" t="str">
        <f>IF('M Component'!K77=0,"",'M Component'!K77)</f>
        <v/>
      </c>
      <c r="E76" s="83" t="str">
        <f>IF('M Component'!L77=0,"",'M Component'!L77)</f>
        <v/>
      </c>
      <c r="F76" s="83" t="str">
        <f>IF('M Component'!M77=0,"",'M Component'!M77)</f>
        <v/>
      </c>
      <c r="G76" s="83" t="str">
        <f>IF('M Component'!N77=0,"",'M Component'!N77)</f>
        <v/>
      </c>
      <c r="H76" s="83" t="str">
        <f>IF('M Component'!O77=0,"",'M Component'!O77)</f>
        <v/>
      </c>
      <c r="I76" s="83" t="str">
        <f>IF('M Component'!P77=0,"",'M Component'!P77)</f>
        <v/>
      </c>
      <c r="J76" s="84">
        <f t="shared" si="0"/>
        <v>0</v>
      </c>
      <c r="K76" s="16"/>
      <c r="L76" s="16"/>
      <c r="M76" s="16"/>
      <c r="N76" s="16"/>
      <c r="O76" s="16"/>
      <c r="P76" s="16"/>
      <c r="Q76" s="16"/>
      <c r="R76" s="16"/>
      <c r="S76" s="16"/>
      <c r="T76" s="16"/>
      <c r="U76" s="16"/>
      <c r="V76" s="16"/>
      <c r="W76" s="16"/>
      <c r="X76" s="16"/>
      <c r="Y76" s="16"/>
      <c r="Z76" s="16"/>
    </row>
    <row r="77" spans="1:26" ht="15.75" customHeight="1">
      <c r="A77" s="80">
        <f>'Students Details'!A77</f>
        <v>71</v>
      </c>
      <c r="B77" s="81" t="str">
        <f>IF('Students Details'!B77="","",'Students Details'!B77)</f>
        <v/>
      </c>
      <c r="C77" s="82" t="str">
        <f>IF('Students Details'!C77="","",'Students Details'!C77)</f>
        <v/>
      </c>
      <c r="D77" s="83" t="str">
        <f>IF('M Component'!K78=0,"",'M Component'!K78)</f>
        <v/>
      </c>
      <c r="E77" s="83" t="str">
        <f>IF('M Component'!L78=0,"",'M Component'!L78)</f>
        <v/>
      </c>
      <c r="F77" s="83" t="str">
        <f>IF('M Component'!M78=0,"",'M Component'!M78)</f>
        <v/>
      </c>
      <c r="G77" s="83" t="str">
        <f>IF('M Component'!N78=0,"",'M Component'!N78)</f>
        <v/>
      </c>
      <c r="H77" s="83" t="str">
        <f>IF('M Component'!O78=0,"",'M Component'!O78)</f>
        <v/>
      </c>
      <c r="I77" s="83" t="str">
        <f>IF('M Component'!P78=0,"",'M Component'!P78)</f>
        <v/>
      </c>
      <c r="J77" s="84">
        <f t="shared" si="0"/>
        <v>0</v>
      </c>
      <c r="K77" s="16"/>
      <c r="L77" s="16"/>
      <c r="M77" s="16"/>
      <c r="N77" s="16"/>
      <c r="O77" s="16"/>
      <c r="P77" s="16"/>
      <c r="Q77" s="16"/>
      <c r="R77" s="16"/>
      <c r="S77" s="16"/>
      <c r="T77" s="16"/>
      <c r="U77" s="16"/>
      <c r="V77" s="16"/>
      <c r="W77" s="16"/>
      <c r="X77" s="16"/>
      <c r="Y77" s="16"/>
      <c r="Z77" s="16"/>
    </row>
    <row r="78" spans="1:26" ht="15.75" customHeight="1">
      <c r="A78" s="80">
        <f>'Students Details'!A78</f>
        <v>72</v>
      </c>
      <c r="B78" s="81" t="str">
        <f>IF('Students Details'!B78="","",'Students Details'!B78)</f>
        <v/>
      </c>
      <c r="C78" s="82" t="str">
        <f>IF('Students Details'!C78="","",'Students Details'!C78)</f>
        <v/>
      </c>
      <c r="D78" s="83" t="str">
        <f>IF('M Component'!K79=0,"",'M Component'!K79)</f>
        <v/>
      </c>
      <c r="E78" s="83" t="str">
        <f>IF('M Component'!L79=0,"",'M Component'!L79)</f>
        <v/>
      </c>
      <c r="F78" s="83" t="str">
        <f>IF('M Component'!M79=0,"",'M Component'!M79)</f>
        <v/>
      </c>
      <c r="G78" s="83" t="str">
        <f>IF('M Component'!N79=0,"",'M Component'!N79)</f>
        <v/>
      </c>
      <c r="H78" s="83" t="str">
        <f>IF('M Component'!O79=0,"",'M Component'!O79)</f>
        <v/>
      </c>
      <c r="I78" s="83" t="str">
        <f>IF('M Component'!P79=0,"",'M Component'!P79)</f>
        <v/>
      </c>
      <c r="J78" s="84">
        <f t="shared" si="0"/>
        <v>0</v>
      </c>
      <c r="K78" s="16"/>
      <c r="L78" s="16"/>
      <c r="M78" s="16"/>
      <c r="N78" s="16"/>
      <c r="O78" s="16"/>
      <c r="P78" s="16"/>
      <c r="Q78" s="16"/>
      <c r="R78" s="16"/>
      <c r="S78" s="16"/>
      <c r="T78" s="16"/>
      <c r="U78" s="16"/>
      <c r="V78" s="16"/>
      <c r="W78" s="16"/>
      <c r="X78" s="16"/>
      <c r="Y78" s="16"/>
      <c r="Z78" s="16"/>
    </row>
    <row r="79" spans="1:26" ht="15.75" customHeight="1">
      <c r="A79" s="80">
        <f>'Students Details'!A79</f>
        <v>73</v>
      </c>
      <c r="B79" s="81" t="str">
        <f>IF('Students Details'!B79="","",'Students Details'!B79)</f>
        <v/>
      </c>
      <c r="C79" s="82" t="str">
        <f>IF('Students Details'!C79="","",'Students Details'!C79)</f>
        <v/>
      </c>
      <c r="D79" s="83" t="str">
        <f>IF('M Component'!K80=0,"",'M Component'!K80)</f>
        <v/>
      </c>
      <c r="E79" s="83" t="str">
        <f>IF('M Component'!L80=0,"",'M Component'!L80)</f>
        <v/>
      </c>
      <c r="F79" s="83" t="str">
        <f>IF('M Component'!M80=0,"",'M Component'!M80)</f>
        <v/>
      </c>
      <c r="G79" s="83" t="str">
        <f>IF('M Component'!N80=0,"",'M Component'!N80)</f>
        <v/>
      </c>
      <c r="H79" s="83" t="str">
        <f>IF('M Component'!O80=0,"",'M Component'!O80)</f>
        <v/>
      </c>
      <c r="I79" s="83" t="str">
        <f>IF('M Component'!P80=0,"",'M Component'!P80)</f>
        <v/>
      </c>
      <c r="J79" s="84">
        <f t="shared" si="0"/>
        <v>0</v>
      </c>
      <c r="K79" s="16"/>
      <c r="L79" s="16"/>
      <c r="M79" s="16"/>
      <c r="N79" s="16"/>
      <c r="O79" s="16"/>
      <c r="P79" s="16"/>
      <c r="Q79" s="16"/>
      <c r="R79" s="16"/>
      <c r="S79" s="16"/>
      <c r="T79" s="16"/>
      <c r="U79" s="16"/>
      <c r="V79" s="16"/>
      <c r="W79" s="16"/>
      <c r="X79" s="16"/>
      <c r="Y79" s="16"/>
      <c r="Z79" s="16"/>
    </row>
    <row r="80" spans="1:26" ht="18" customHeight="1">
      <c r="A80" s="80">
        <f>'Students Details'!A80</f>
        <v>74</v>
      </c>
      <c r="B80" s="81" t="str">
        <f>IF('Students Details'!B80="","",'Students Details'!B80)</f>
        <v/>
      </c>
      <c r="C80" s="82" t="str">
        <f>IF('Students Details'!C80="","",'Students Details'!C80)</f>
        <v/>
      </c>
      <c r="D80" s="83" t="str">
        <f>IF('M Component'!K81=0,"",'M Component'!K81)</f>
        <v/>
      </c>
      <c r="E80" s="83" t="str">
        <f>IF('M Component'!L81=0,"",'M Component'!L81)</f>
        <v/>
      </c>
      <c r="F80" s="83" t="str">
        <f>IF('M Component'!M81=0,"",'M Component'!M81)</f>
        <v/>
      </c>
      <c r="G80" s="83" t="str">
        <f>IF('M Component'!N81=0,"",'M Component'!N81)</f>
        <v/>
      </c>
      <c r="H80" s="83" t="str">
        <f>IF('M Component'!O81=0,"",'M Component'!O81)</f>
        <v/>
      </c>
      <c r="I80" s="83" t="str">
        <f>IF('M Component'!P81=0,"",'M Component'!P81)</f>
        <v/>
      </c>
      <c r="J80" s="84">
        <f t="shared" si="0"/>
        <v>0</v>
      </c>
      <c r="K80" s="16"/>
      <c r="L80" s="16"/>
      <c r="M80" s="16"/>
      <c r="N80" s="16"/>
      <c r="O80" s="16"/>
      <c r="P80" s="16"/>
      <c r="Q80" s="16"/>
      <c r="R80" s="16"/>
      <c r="S80" s="16"/>
      <c r="T80" s="16"/>
      <c r="U80" s="16"/>
      <c r="V80" s="16"/>
      <c r="W80" s="16"/>
      <c r="X80" s="16"/>
      <c r="Y80" s="16"/>
      <c r="Z80" s="16"/>
    </row>
    <row r="81" spans="1:26" ht="15.75" customHeight="1">
      <c r="A81" s="80">
        <f>'Students Details'!A81</f>
        <v>75</v>
      </c>
      <c r="B81" s="81" t="str">
        <f>IF('Students Details'!B81="","",'Students Details'!B81)</f>
        <v/>
      </c>
      <c r="C81" s="82" t="str">
        <f>IF('Students Details'!C81="","",'Students Details'!C81)</f>
        <v/>
      </c>
      <c r="D81" s="83" t="str">
        <f>IF('M Component'!K82=0,"",'M Component'!K82)</f>
        <v/>
      </c>
      <c r="E81" s="83" t="str">
        <f>IF('M Component'!L82=0,"",'M Component'!L82)</f>
        <v/>
      </c>
      <c r="F81" s="83" t="str">
        <f>IF('M Component'!M82=0,"",'M Component'!M82)</f>
        <v/>
      </c>
      <c r="G81" s="83" t="str">
        <f>IF('M Component'!N82=0,"",'M Component'!N82)</f>
        <v/>
      </c>
      <c r="H81" s="83" t="str">
        <f>IF('M Component'!O82=0,"",'M Component'!O82)</f>
        <v/>
      </c>
      <c r="I81" s="83" t="str">
        <f>IF('M Component'!P82=0,"",'M Component'!P82)</f>
        <v/>
      </c>
      <c r="J81" s="84">
        <f t="shared" si="0"/>
        <v>0</v>
      </c>
      <c r="K81" s="16"/>
      <c r="L81" s="16"/>
      <c r="M81" s="16"/>
      <c r="N81" s="16"/>
      <c r="O81" s="16"/>
      <c r="P81" s="16"/>
      <c r="Q81" s="16"/>
      <c r="R81" s="16"/>
      <c r="S81" s="16"/>
      <c r="T81" s="16"/>
      <c r="U81" s="16"/>
      <c r="V81" s="16"/>
      <c r="W81" s="16"/>
      <c r="X81" s="16"/>
      <c r="Y81" s="16"/>
      <c r="Z81" s="16"/>
    </row>
    <row r="82" spans="1:26" ht="15.75" customHeight="1">
      <c r="A82" s="80">
        <f>'Students Details'!A82</f>
        <v>76</v>
      </c>
      <c r="B82" s="81" t="str">
        <f>IF('Students Details'!B82="","",'Students Details'!B82)</f>
        <v/>
      </c>
      <c r="C82" s="82" t="str">
        <f>IF('Students Details'!C82="","",'Students Details'!C82)</f>
        <v/>
      </c>
      <c r="D82" s="83" t="str">
        <f>IF('M Component'!K83=0,"",'M Component'!K83)</f>
        <v/>
      </c>
      <c r="E82" s="83" t="str">
        <f>IF('M Component'!L83=0,"",'M Component'!L83)</f>
        <v/>
      </c>
      <c r="F82" s="83" t="str">
        <f>IF('M Component'!M83=0,"",'M Component'!M83)</f>
        <v/>
      </c>
      <c r="G82" s="83" t="str">
        <f>IF('M Component'!N83=0,"",'M Component'!N83)</f>
        <v/>
      </c>
      <c r="H82" s="83" t="str">
        <f>IF('M Component'!O83=0,"",'M Component'!O83)</f>
        <v/>
      </c>
      <c r="I82" s="83" t="str">
        <f>IF('M Component'!P83=0,"",'M Component'!P83)</f>
        <v/>
      </c>
      <c r="J82" s="84">
        <f t="shared" si="0"/>
        <v>0</v>
      </c>
      <c r="K82" s="16"/>
      <c r="L82" s="16"/>
      <c r="M82" s="16"/>
      <c r="N82" s="16"/>
      <c r="O82" s="16"/>
      <c r="P82" s="16"/>
      <c r="Q82" s="16"/>
      <c r="R82" s="16"/>
      <c r="S82" s="16"/>
      <c r="T82" s="16"/>
      <c r="U82" s="16"/>
      <c r="V82" s="16"/>
      <c r="W82" s="16"/>
      <c r="X82" s="16"/>
      <c r="Y82" s="16"/>
      <c r="Z82" s="16"/>
    </row>
    <row r="83" spans="1:26" ht="15.75" customHeight="1">
      <c r="A83" s="80">
        <f>'Students Details'!A83</f>
        <v>77</v>
      </c>
      <c r="B83" s="81" t="str">
        <f>IF('Students Details'!B83="","",'Students Details'!B83)</f>
        <v/>
      </c>
      <c r="C83" s="82" t="str">
        <f>IF('Students Details'!C83="","",'Students Details'!C83)</f>
        <v/>
      </c>
      <c r="D83" s="83" t="str">
        <f>IF('M Component'!K84=0,"",'M Component'!K84)</f>
        <v/>
      </c>
      <c r="E83" s="83" t="str">
        <f>IF('M Component'!L84=0,"",'M Component'!L84)</f>
        <v/>
      </c>
      <c r="F83" s="83" t="str">
        <f>IF('M Component'!M84=0,"",'M Component'!M84)</f>
        <v/>
      </c>
      <c r="G83" s="83" t="str">
        <f>IF('M Component'!N84=0,"",'M Component'!N84)</f>
        <v/>
      </c>
      <c r="H83" s="83" t="str">
        <f>IF('M Component'!O84=0,"",'M Component'!O84)</f>
        <v/>
      </c>
      <c r="I83" s="83" t="str">
        <f>IF('M Component'!P84=0,"",'M Component'!P84)</f>
        <v/>
      </c>
      <c r="J83" s="84">
        <f t="shared" si="0"/>
        <v>0</v>
      </c>
      <c r="K83" s="16"/>
      <c r="L83" s="16"/>
      <c r="M83" s="16"/>
      <c r="N83" s="16"/>
      <c r="O83" s="16"/>
      <c r="P83" s="16"/>
      <c r="Q83" s="16"/>
      <c r="R83" s="16"/>
      <c r="S83" s="16"/>
      <c r="T83" s="16"/>
      <c r="U83" s="16"/>
      <c r="V83" s="16"/>
      <c r="W83" s="16"/>
      <c r="X83" s="16"/>
      <c r="Y83" s="16"/>
      <c r="Z83" s="16"/>
    </row>
    <row r="84" spans="1:26" ht="15.75" customHeight="1">
      <c r="A84" s="80">
        <f>'Students Details'!A84</f>
        <v>78</v>
      </c>
      <c r="B84" s="81" t="str">
        <f>IF('Students Details'!B84="","",'Students Details'!B84)</f>
        <v/>
      </c>
      <c r="C84" s="82" t="str">
        <f>IF('Students Details'!C84="","",'Students Details'!C84)</f>
        <v/>
      </c>
      <c r="D84" s="83" t="str">
        <f>IF('M Component'!K85=0,"",'M Component'!K85)</f>
        <v/>
      </c>
      <c r="E84" s="83" t="str">
        <f>IF('M Component'!L85=0,"",'M Component'!L85)</f>
        <v/>
      </c>
      <c r="F84" s="83" t="str">
        <f>IF('M Component'!M85=0,"",'M Component'!M85)</f>
        <v/>
      </c>
      <c r="G84" s="83" t="str">
        <f>IF('M Component'!N85=0,"",'M Component'!N85)</f>
        <v/>
      </c>
      <c r="H84" s="83" t="str">
        <f>IF('M Component'!O85=0,"",'M Component'!O85)</f>
        <v/>
      </c>
      <c r="I84" s="83" t="str">
        <f>IF('M Component'!P85=0,"",'M Component'!P85)</f>
        <v/>
      </c>
      <c r="J84" s="84">
        <f t="shared" si="0"/>
        <v>0</v>
      </c>
      <c r="K84" s="16"/>
      <c r="L84" s="16"/>
      <c r="M84" s="16"/>
      <c r="N84" s="16"/>
      <c r="O84" s="16"/>
      <c r="P84" s="16"/>
      <c r="Q84" s="16"/>
      <c r="R84" s="16"/>
      <c r="S84" s="16"/>
      <c r="T84" s="16"/>
      <c r="U84" s="16"/>
      <c r="V84" s="16"/>
      <c r="W84" s="16"/>
      <c r="X84" s="16"/>
      <c r="Y84" s="16"/>
      <c r="Z84" s="16"/>
    </row>
    <row r="85" spans="1:26" ht="15.75" customHeight="1">
      <c r="A85" s="80">
        <f>'Students Details'!A85</f>
        <v>79</v>
      </c>
      <c r="B85" s="81" t="str">
        <f>IF('Students Details'!B85="","",'Students Details'!B85)</f>
        <v/>
      </c>
      <c r="C85" s="82" t="str">
        <f>IF('Students Details'!C85="","",'Students Details'!C85)</f>
        <v/>
      </c>
      <c r="D85" s="83" t="str">
        <f>IF('M Component'!K86=0,"",'M Component'!K86)</f>
        <v/>
      </c>
      <c r="E85" s="83" t="str">
        <f>IF('M Component'!L86=0,"",'M Component'!L86)</f>
        <v/>
      </c>
      <c r="F85" s="83" t="str">
        <f>IF('M Component'!M86=0,"",'M Component'!M86)</f>
        <v/>
      </c>
      <c r="G85" s="83" t="str">
        <f>IF('M Component'!N86=0,"",'M Component'!N86)</f>
        <v/>
      </c>
      <c r="H85" s="83" t="str">
        <f>IF('M Component'!O86=0,"",'M Component'!O86)</f>
        <v/>
      </c>
      <c r="I85" s="83" t="str">
        <f>IF('M Component'!P86=0,"",'M Component'!P86)</f>
        <v/>
      </c>
      <c r="J85" s="84">
        <f t="shared" si="0"/>
        <v>0</v>
      </c>
      <c r="K85" s="16"/>
      <c r="L85" s="16"/>
      <c r="M85" s="16"/>
      <c r="N85" s="16"/>
      <c r="O85" s="16"/>
      <c r="P85" s="16"/>
      <c r="Q85" s="16"/>
      <c r="R85" s="16"/>
      <c r="S85" s="16"/>
      <c r="T85" s="16"/>
      <c r="U85" s="16"/>
      <c r="V85" s="16"/>
      <c r="W85" s="16"/>
      <c r="X85" s="16"/>
      <c r="Y85" s="16"/>
      <c r="Z85" s="16"/>
    </row>
    <row r="86" spans="1:26" ht="15.75" customHeight="1">
      <c r="A86" s="80">
        <f>'Students Details'!A86</f>
        <v>80</v>
      </c>
      <c r="B86" s="81" t="str">
        <f>IF('Students Details'!B86="","",'Students Details'!B86)</f>
        <v/>
      </c>
      <c r="C86" s="82" t="str">
        <f>IF('Students Details'!C86="","",'Students Details'!C86)</f>
        <v/>
      </c>
      <c r="D86" s="83" t="str">
        <f>IF('M Component'!K87=0,"",'M Component'!K87)</f>
        <v/>
      </c>
      <c r="E86" s="83" t="str">
        <f>IF('M Component'!L87=0,"",'M Component'!L87)</f>
        <v/>
      </c>
      <c r="F86" s="83" t="str">
        <f>IF('M Component'!M87=0,"",'M Component'!M87)</f>
        <v/>
      </c>
      <c r="G86" s="83" t="str">
        <f>IF('M Component'!N87=0,"",'M Component'!N87)</f>
        <v/>
      </c>
      <c r="H86" s="83" t="str">
        <f>IF('M Component'!O87=0,"",'M Component'!O87)</f>
        <v/>
      </c>
      <c r="I86" s="83" t="str">
        <f>IF('M Component'!P87=0,"",'M Component'!P87)</f>
        <v/>
      </c>
      <c r="J86" s="84">
        <f t="shared" si="0"/>
        <v>0</v>
      </c>
      <c r="K86" s="16"/>
      <c r="L86" s="16"/>
      <c r="M86" s="16"/>
      <c r="N86" s="16"/>
      <c r="O86" s="16"/>
      <c r="P86" s="16"/>
      <c r="Q86" s="16"/>
      <c r="R86" s="16"/>
      <c r="S86" s="16"/>
      <c r="T86" s="16"/>
      <c r="U86" s="16"/>
      <c r="V86" s="16"/>
      <c r="W86" s="16"/>
      <c r="X86" s="16"/>
      <c r="Y86" s="16"/>
      <c r="Z86" s="16"/>
    </row>
    <row r="87" spans="1:26" ht="15.75" customHeight="1">
      <c r="A87" s="80">
        <f>'Students Details'!A87</f>
        <v>81</v>
      </c>
      <c r="B87" s="81" t="str">
        <f>IF('Students Details'!B87="","",'Students Details'!B87)</f>
        <v/>
      </c>
      <c r="C87" s="82" t="str">
        <f>IF('Students Details'!C87="","",'Students Details'!C87)</f>
        <v/>
      </c>
      <c r="D87" s="83" t="str">
        <f>IF('M Component'!K88=0,"",'M Component'!K88)</f>
        <v/>
      </c>
      <c r="E87" s="83" t="str">
        <f>IF('M Component'!L88=0,"",'M Component'!L88)</f>
        <v/>
      </c>
      <c r="F87" s="83" t="str">
        <f>IF('M Component'!M88=0,"",'M Component'!M88)</f>
        <v/>
      </c>
      <c r="G87" s="83" t="str">
        <f>IF('M Component'!N88=0,"",'M Component'!N88)</f>
        <v/>
      </c>
      <c r="H87" s="83" t="str">
        <f>IF('M Component'!O88=0,"",'M Component'!O88)</f>
        <v/>
      </c>
      <c r="I87" s="83" t="str">
        <f>IF('M Component'!P88=0,"",'M Component'!P88)</f>
        <v/>
      </c>
      <c r="J87" s="84">
        <f t="shared" si="0"/>
        <v>0</v>
      </c>
      <c r="K87" s="16"/>
      <c r="L87" s="16"/>
      <c r="M87" s="16"/>
      <c r="N87" s="16"/>
      <c r="O87" s="16"/>
      <c r="P87" s="16"/>
      <c r="Q87" s="16"/>
      <c r="R87" s="16"/>
      <c r="S87" s="16"/>
      <c r="T87" s="16"/>
      <c r="U87" s="16"/>
      <c r="V87" s="16"/>
      <c r="W87" s="16"/>
      <c r="X87" s="16"/>
      <c r="Y87" s="16"/>
      <c r="Z87" s="16"/>
    </row>
    <row r="88" spans="1:26" ht="15.75" customHeight="1">
      <c r="A88" s="80">
        <f>'Students Details'!A88</f>
        <v>82</v>
      </c>
      <c r="B88" s="81" t="str">
        <f>IF('Students Details'!B88="","",'Students Details'!B88)</f>
        <v/>
      </c>
      <c r="C88" s="82" t="str">
        <f>IF('Students Details'!C88="","",'Students Details'!C88)</f>
        <v/>
      </c>
      <c r="D88" s="83" t="str">
        <f>IF('M Component'!K89=0,"",'M Component'!K89)</f>
        <v/>
      </c>
      <c r="E88" s="83" t="str">
        <f>IF('M Component'!L89=0,"",'M Component'!L89)</f>
        <v/>
      </c>
      <c r="F88" s="83" t="str">
        <f>IF('M Component'!M89=0,"",'M Component'!M89)</f>
        <v/>
      </c>
      <c r="G88" s="83" t="str">
        <f>IF('M Component'!N89=0,"",'M Component'!N89)</f>
        <v/>
      </c>
      <c r="H88" s="83" t="str">
        <f>IF('M Component'!O89=0,"",'M Component'!O89)</f>
        <v/>
      </c>
      <c r="I88" s="83" t="str">
        <f>IF('M Component'!P89=0,"",'M Component'!P89)</f>
        <v/>
      </c>
      <c r="J88" s="84">
        <f t="shared" si="0"/>
        <v>0</v>
      </c>
      <c r="K88" s="16"/>
      <c r="L88" s="16"/>
      <c r="M88" s="16"/>
      <c r="N88" s="16"/>
      <c r="O88" s="16"/>
      <c r="P88" s="16"/>
      <c r="Q88" s="16"/>
      <c r="R88" s="16"/>
      <c r="S88" s="16"/>
      <c r="T88" s="16"/>
      <c r="U88" s="16"/>
      <c r="V88" s="16"/>
      <c r="W88" s="16"/>
      <c r="X88" s="16"/>
      <c r="Y88" s="16"/>
      <c r="Z88" s="16"/>
    </row>
    <row r="89" spans="1:26" ht="15.75" customHeight="1">
      <c r="A89" s="80">
        <f>'Students Details'!A89</f>
        <v>83</v>
      </c>
      <c r="B89" s="81" t="str">
        <f>IF('Students Details'!B89="","",'Students Details'!B89)</f>
        <v/>
      </c>
      <c r="C89" s="82" t="str">
        <f>IF('Students Details'!C89="","",'Students Details'!C89)</f>
        <v/>
      </c>
      <c r="D89" s="83" t="str">
        <f>IF('M Component'!K90=0,"",'M Component'!K90)</f>
        <v/>
      </c>
      <c r="E89" s="83" t="str">
        <f>IF('M Component'!L90=0,"",'M Component'!L90)</f>
        <v/>
      </c>
      <c r="F89" s="83" t="str">
        <f>IF('M Component'!M90=0,"",'M Component'!M90)</f>
        <v/>
      </c>
      <c r="G89" s="83" t="str">
        <f>IF('M Component'!N90=0,"",'M Component'!N90)</f>
        <v/>
      </c>
      <c r="H89" s="83" t="str">
        <f>IF('M Component'!O90=0,"",'M Component'!O90)</f>
        <v/>
      </c>
      <c r="I89" s="83" t="str">
        <f>IF('M Component'!P90=0,"",'M Component'!P90)</f>
        <v/>
      </c>
      <c r="J89" s="84">
        <f t="shared" si="0"/>
        <v>0</v>
      </c>
      <c r="K89" s="16"/>
      <c r="L89" s="16"/>
      <c r="M89" s="16"/>
      <c r="N89" s="16"/>
      <c r="O89" s="16"/>
      <c r="P89" s="16"/>
      <c r="Q89" s="16"/>
      <c r="R89" s="16"/>
      <c r="S89" s="16"/>
      <c r="T89" s="16"/>
      <c r="U89" s="16"/>
      <c r="V89" s="16"/>
      <c r="W89" s="16"/>
      <c r="X89" s="16"/>
      <c r="Y89" s="16"/>
      <c r="Z89" s="16"/>
    </row>
    <row r="90" spans="1:26" ht="15.75" customHeight="1">
      <c r="A90" s="80">
        <f>'Students Details'!A90</f>
        <v>84</v>
      </c>
      <c r="B90" s="81" t="str">
        <f>IF('Students Details'!B90="","",'Students Details'!B90)</f>
        <v/>
      </c>
      <c r="C90" s="82" t="str">
        <f>IF('Students Details'!C90="","",'Students Details'!C90)</f>
        <v/>
      </c>
      <c r="D90" s="83" t="str">
        <f>IF('M Component'!K91=0,"",'M Component'!K91)</f>
        <v/>
      </c>
      <c r="E90" s="83" t="str">
        <f>IF('M Component'!L91=0,"",'M Component'!L91)</f>
        <v/>
      </c>
      <c r="F90" s="83" t="str">
        <f>IF('M Component'!M91=0,"",'M Component'!M91)</f>
        <v/>
      </c>
      <c r="G90" s="83" t="str">
        <f>IF('M Component'!N91=0,"",'M Component'!N91)</f>
        <v/>
      </c>
      <c r="H90" s="83" t="str">
        <f>IF('M Component'!O91=0,"",'M Component'!O91)</f>
        <v/>
      </c>
      <c r="I90" s="83" t="str">
        <f>IF('M Component'!P91=0,"",'M Component'!P91)</f>
        <v/>
      </c>
      <c r="J90" s="84">
        <f t="shared" si="0"/>
        <v>0</v>
      </c>
      <c r="K90" s="16"/>
      <c r="L90" s="16"/>
      <c r="M90" s="16"/>
      <c r="N90" s="16"/>
      <c r="O90" s="16"/>
      <c r="P90" s="16"/>
      <c r="Q90" s="16"/>
      <c r="R90" s="16"/>
      <c r="S90" s="16"/>
      <c r="T90" s="16"/>
      <c r="U90" s="16"/>
      <c r="V90" s="16"/>
      <c r="W90" s="16"/>
      <c r="X90" s="16"/>
      <c r="Y90" s="16"/>
      <c r="Z90" s="16"/>
    </row>
    <row r="91" spans="1:26" ht="15.75" customHeight="1">
      <c r="A91" s="80">
        <f>'Students Details'!A91</f>
        <v>85</v>
      </c>
      <c r="B91" s="81" t="str">
        <f>IF('Students Details'!B91="","",'Students Details'!B91)</f>
        <v/>
      </c>
      <c r="C91" s="82" t="str">
        <f>IF('Students Details'!C91="","",'Students Details'!C91)</f>
        <v/>
      </c>
      <c r="D91" s="83" t="str">
        <f>IF('M Component'!K92=0,"",'M Component'!K92)</f>
        <v/>
      </c>
      <c r="E91" s="83" t="str">
        <f>IF('M Component'!L92=0,"",'M Component'!L92)</f>
        <v/>
      </c>
      <c r="F91" s="83" t="str">
        <f>IF('M Component'!M92=0,"",'M Component'!M92)</f>
        <v/>
      </c>
      <c r="G91" s="83" t="str">
        <f>IF('M Component'!N92=0,"",'M Component'!N92)</f>
        <v/>
      </c>
      <c r="H91" s="83" t="str">
        <f>IF('M Component'!O92=0,"",'M Component'!O92)</f>
        <v/>
      </c>
      <c r="I91" s="83" t="str">
        <f>IF('M Component'!P92=0,"",'M Component'!P92)</f>
        <v/>
      </c>
      <c r="J91" s="84">
        <f t="shared" si="0"/>
        <v>0</v>
      </c>
      <c r="K91" s="16"/>
      <c r="L91" s="16"/>
      <c r="M91" s="16"/>
      <c r="N91" s="16"/>
      <c r="O91" s="16"/>
      <c r="P91" s="16"/>
      <c r="Q91" s="16"/>
      <c r="R91" s="16"/>
      <c r="S91" s="16"/>
      <c r="T91" s="16"/>
      <c r="U91" s="16"/>
      <c r="V91" s="16"/>
      <c r="W91" s="16"/>
      <c r="X91" s="16"/>
      <c r="Y91" s="16"/>
      <c r="Z91" s="16"/>
    </row>
    <row r="92" spans="1:26" ht="15.75" customHeight="1">
      <c r="A92" s="80">
        <f>'Students Details'!A92</f>
        <v>86</v>
      </c>
      <c r="B92" s="81" t="str">
        <f>IF('Students Details'!B92="","",'Students Details'!B92)</f>
        <v/>
      </c>
      <c r="C92" s="82" t="str">
        <f>IF('Students Details'!C92="","",'Students Details'!C92)</f>
        <v/>
      </c>
      <c r="D92" s="83" t="str">
        <f>IF('M Component'!K93=0,"",'M Component'!K93)</f>
        <v/>
      </c>
      <c r="E92" s="83" t="str">
        <f>IF('M Component'!L93=0,"",'M Component'!L93)</f>
        <v/>
      </c>
      <c r="F92" s="83" t="str">
        <f>IF('M Component'!M93=0,"",'M Component'!M93)</f>
        <v/>
      </c>
      <c r="G92" s="83" t="str">
        <f>IF('M Component'!N93=0,"",'M Component'!N93)</f>
        <v/>
      </c>
      <c r="H92" s="83" t="str">
        <f>IF('M Component'!O93=0,"",'M Component'!O93)</f>
        <v/>
      </c>
      <c r="I92" s="83" t="str">
        <f>IF('M Component'!P93=0,"",'M Component'!P93)</f>
        <v/>
      </c>
      <c r="J92" s="84">
        <f t="shared" si="0"/>
        <v>0</v>
      </c>
      <c r="K92" s="16"/>
      <c r="L92" s="16"/>
      <c r="M92" s="16"/>
      <c r="N92" s="16"/>
      <c r="O92" s="16"/>
      <c r="P92" s="16"/>
      <c r="Q92" s="16"/>
      <c r="R92" s="16"/>
      <c r="S92" s="16"/>
      <c r="T92" s="16"/>
      <c r="U92" s="16"/>
      <c r="V92" s="16"/>
      <c r="W92" s="16"/>
      <c r="X92" s="16"/>
      <c r="Y92" s="16"/>
      <c r="Z92" s="16"/>
    </row>
    <row r="93" spans="1:26" ht="15.75" customHeight="1">
      <c r="A93" s="80">
        <f>'Students Details'!A93</f>
        <v>87</v>
      </c>
      <c r="B93" s="81" t="str">
        <f>IF('Students Details'!B93="","",'Students Details'!B93)</f>
        <v/>
      </c>
      <c r="C93" s="82" t="str">
        <f>IF('Students Details'!C93="","",'Students Details'!C93)</f>
        <v/>
      </c>
      <c r="D93" s="83" t="str">
        <f>IF('M Component'!K94=0,"",'M Component'!K94)</f>
        <v/>
      </c>
      <c r="E93" s="83" t="str">
        <f>IF('M Component'!L94=0,"",'M Component'!L94)</f>
        <v/>
      </c>
      <c r="F93" s="83" t="str">
        <f>IF('M Component'!M94=0,"",'M Component'!M94)</f>
        <v/>
      </c>
      <c r="G93" s="83" t="str">
        <f>IF('M Component'!N94=0,"",'M Component'!N94)</f>
        <v/>
      </c>
      <c r="H93" s="83" t="str">
        <f>IF('M Component'!O94=0,"",'M Component'!O94)</f>
        <v/>
      </c>
      <c r="I93" s="83" t="str">
        <f>IF('M Component'!P94=0,"",'M Component'!P94)</f>
        <v/>
      </c>
      <c r="J93" s="84">
        <f t="shared" si="0"/>
        <v>0</v>
      </c>
      <c r="K93" s="16"/>
      <c r="L93" s="16"/>
      <c r="M93" s="16"/>
      <c r="N93" s="16"/>
      <c r="O93" s="16"/>
      <c r="P93" s="16"/>
      <c r="Q93" s="16"/>
      <c r="R93" s="16"/>
      <c r="S93" s="16"/>
      <c r="T93" s="16"/>
      <c r="U93" s="16"/>
      <c r="V93" s="16"/>
      <c r="W93" s="16"/>
      <c r="X93" s="16"/>
      <c r="Y93" s="16"/>
      <c r="Z93" s="16"/>
    </row>
    <row r="94" spans="1:26" ht="15.75" customHeight="1">
      <c r="A94" s="80">
        <f>'Students Details'!A94</f>
        <v>88</v>
      </c>
      <c r="B94" s="81" t="str">
        <f>IF('Students Details'!B94="","",'Students Details'!B94)</f>
        <v/>
      </c>
      <c r="C94" s="82" t="str">
        <f>IF('Students Details'!C94="","",'Students Details'!C94)</f>
        <v/>
      </c>
      <c r="D94" s="83" t="str">
        <f>IF('M Component'!K95=0,"",'M Component'!K95)</f>
        <v/>
      </c>
      <c r="E94" s="83" t="str">
        <f>IF('M Component'!L95=0,"",'M Component'!L95)</f>
        <v/>
      </c>
      <c r="F94" s="83" t="str">
        <f>IF('M Component'!M95=0,"",'M Component'!M95)</f>
        <v/>
      </c>
      <c r="G94" s="83" t="str">
        <f>IF('M Component'!N95=0,"",'M Component'!N95)</f>
        <v/>
      </c>
      <c r="H94" s="83" t="str">
        <f>IF('M Component'!O95=0,"",'M Component'!O95)</f>
        <v/>
      </c>
      <c r="I94" s="83" t="str">
        <f>IF('M Component'!P95=0,"",'M Component'!P95)</f>
        <v/>
      </c>
      <c r="J94" s="84">
        <f t="shared" si="0"/>
        <v>0</v>
      </c>
      <c r="K94" s="16"/>
      <c r="L94" s="16"/>
      <c r="M94" s="16"/>
      <c r="N94" s="16"/>
      <c r="O94" s="16"/>
      <c r="P94" s="16"/>
      <c r="Q94" s="16"/>
      <c r="R94" s="16"/>
      <c r="S94" s="16"/>
      <c r="T94" s="16"/>
      <c r="U94" s="16"/>
      <c r="V94" s="16"/>
      <c r="W94" s="16"/>
      <c r="X94" s="16"/>
      <c r="Y94" s="16"/>
      <c r="Z94" s="16"/>
    </row>
    <row r="95" spans="1:26" ht="15.75" customHeight="1">
      <c r="A95" s="80">
        <f>'Students Details'!A95</f>
        <v>89</v>
      </c>
      <c r="B95" s="81" t="str">
        <f>IF('Students Details'!B95="","",'Students Details'!B95)</f>
        <v/>
      </c>
      <c r="C95" s="82" t="str">
        <f>IF('Students Details'!C95="","",'Students Details'!C95)</f>
        <v/>
      </c>
      <c r="D95" s="83" t="str">
        <f>IF('M Component'!K96=0,"",'M Component'!K96)</f>
        <v/>
      </c>
      <c r="E95" s="83" t="str">
        <f>IF('M Component'!L96=0,"",'M Component'!L96)</f>
        <v/>
      </c>
      <c r="F95" s="83" t="str">
        <f>IF('M Component'!M96=0,"",'M Component'!M96)</f>
        <v/>
      </c>
      <c r="G95" s="83" t="str">
        <f>IF('M Component'!N96=0,"",'M Component'!N96)</f>
        <v/>
      </c>
      <c r="H95" s="83" t="str">
        <f>IF('M Component'!O96=0,"",'M Component'!O96)</f>
        <v/>
      </c>
      <c r="I95" s="83" t="str">
        <f>IF('M Component'!P96=0,"",'M Component'!P96)</f>
        <v/>
      </c>
      <c r="J95" s="84">
        <f t="shared" si="0"/>
        <v>0</v>
      </c>
      <c r="K95" s="16"/>
      <c r="L95" s="16"/>
      <c r="M95" s="16"/>
      <c r="N95" s="16"/>
      <c r="O95" s="16"/>
      <c r="P95" s="16"/>
      <c r="Q95" s="16"/>
      <c r="R95" s="16"/>
      <c r="S95" s="16"/>
      <c r="T95" s="16"/>
      <c r="U95" s="16"/>
      <c r="V95" s="16"/>
      <c r="W95" s="16"/>
      <c r="X95" s="16"/>
      <c r="Y95" s="16"/>
      <c r="Z95" s="16"/>
    </row>
    <row r="96" spans="1:26" ht="15.75" customHeight="1">
      <c r="A96" s="80">
        <f>'Students Details'!A96</f>
        <v>90</v>
      </c>
      <c r="B96" s="81" t="str">
        <f>IF('Students Details'!B96="","",'Students Details'!B96)</f>
        <v/>
      </c>
      <c r="C96" s="82" t="str">
        <f>IF('Students Details'!C96="","",'Students Details'!C96)</f>
        <v/>
      </c>
      <c r="D96" s="83" t="str">
        <f>IF('M Component'!K97=0,"",'M Component'!K97)</f>
        <v/>
      </c>
      <c r="E96" s="83" t="str">
        <f>IF('M Component'!L97=0,"",'M Component'!L97)</f>
        <v/>
      </c>
      <c r="F96" s="83" t="str">
        <f>IF('M Component'!M97=0,"",'M Component'!M97)</f>
        <v/>
      </c>
      <c r="G96" s="83" t="str">
        <f>IF('M Component'!N97=0,"",'M Component'!N97)</f>
        <v/>
      </c>
      <c r="H96" s="83" t="str">
        <f>IF('M Component'!O97=0,"",'M Component'!O97)</f>
        <v/>
      </c>
      <c r="I96" s="83" t="str">
        <f>IF('M Component'!P97=0,"",'M Component'!P97)</f>
        <v/>
      </c>
      <c r="J96" s="84">
        <f t="shared" si="0"/>
        <v>0</v>
      </c>
      <c r="K96" s="16"/>
      <c r="L96" s="16"/>
      <c r="M96" s="16"/>
      <c r="N96" s="16"/>
      <c r="O96" s="16"/>
      <c r="P96" s="16"/>
      <c r="Q96" s="16"/>
      <c r="R96" s="16"/>
      <c r="S96" s="16"/>
      <c r="T96" s="16"/>
      <c r="U96" s="16"/>
      <c r="V96" s="16"/>
      <c r="W96" s="16"/>
      <c r="X96" s="16"/>
      <c r="Y96" s="16"/>
      <c r="Z96" s="16"/>
    </row>
    <row r="97" spans="1:26" ht="15.75" customHeight="1">
      <c r="A97" s="80">
        <f>'Students Details'!A97</f>
        <v>91</v>
      </c>
      <c r="B97" s="81" t="str">
        <f>IF('Students Details'!B97="","",'Students Details'!B97)</f>
        <v/>
      </c>
      <c r="C97" s="82" t="str">
        <f>IF('Students Details'!C97="","",'Students Details'!C97)</f>
        <v/>
      </c>
      <c r="D97" s="83" t="str">
        <f>IF('M Component'!K98=0,"",'M Component'!K98)</f>
        <v/>
      </c>
      <c r="E97" s="83" t="str">
        <f>IF('M Component'!L98=0,"",'M Component'!L98)</f>
        <v/>
      </c>
      <c r="F97" s="83" t="str">
        <f>IF('M Component'!M98=0,"",'M Component'!M98)</f>
        <v/>
      </c>
      <c r="G97" s="83" t="str">
        <f>IF('M Component'!N98=0,"",'M Component'!N98)</f>
        <v/>
      </c>
      <c r="H97" s="83" t="str">
        <f>IF('M Component'!O98=0,"",'M Component'!O98)</f>
        <v/>
      </c>
      <c r="I97" s="83" t="str">
        <f>IF('M Component'!P98=0,"",'M Component'!P98)</f>
        <v/>
      </c>
      <c r="J97" s="84">
        <f t="shared" si="0"/>
        <v>0</v>
      </c>
      <c r="K97" s="16"/>
      <c r="L97" s="16"/>
      <c r="M97" s="16"/>
      <c r="N97" s="16"/>
      <c r="O97" s="16"/>
      <c r="P97" s="16"/>
      <c r="Q97" s="16"/>
      <c r="R97" s="16"/>
      <c r="S97" s="16"/>
      <c r="T97" s="16"/>
      <c r="U97" s="16"/>
      <c r="V97" s="16"/>
      <c r="W97" s="16"/>
      <c r="X97" s="16"/>
      <c r="Y97" s="16"/>
      <c r="Z97" s="16"/>
    </row>
    <row r="98" spans="1:26" ht="15.75" customHeight="1">
      <c r="A98" s="80">
        <f>'Students Details'!A98</f>
        <v>92</v>
      </c>
      <c r="B98" s="81" t="str">
        <f>IF('Students Details'!B98="","",'Students Details'!B98)</f>
        <v/>
      </c>
      <c r="C98" s="82" t="str">
        <f>IF('Students Details'!C98="","",'Students Details'!C98)</f>
        <v/>
      </c>
      <c r="D98" s="83" t="str">
        <f>IF('M Component'!K99=0,"",'M Component'!K99)</f>
        <v/>
      </c>
      <c r="E98" s="83" t="str">
        <f>IF('M Component'!L99=0,"",'M Component'!L99)</f>
        <v/>
      </c>
      <c r="F98" s="83" t="str">
        <f>IF('M Component'!M99=0,"",'M Component'!M99)</f>
        <v/>
      </c>
      <c r="G98" s="83" t="str">
        <f>IF('M Component'!N99=0,"",'M Component'!N99)</f>
        <v/>
      </c>
      <c r="H98" s="83" t="str">
        <f>IF('M Component'!O99=0,"",'M Component'!O99)</f>
        <v/>
      </c>
      <c r="I98" s="83" t="str">
        <f>IF('M Component'!P99=0,"",'M Component'!P99)</f>
        <v/>
      </c>
      <c r="J98" s="84">
        <f t="shared" si="0"/>
        <v>0</v>
      </c>
      <c r="K98" s="16"/>
      <c r="L98" s="16"/>
      <c r="M98" s="16"/>
      <c r="N98" s="16"/>
      <c r="O98" s="16"/>
      <c r="P98" s="16"/>
      <c r="Q98" s="16"/>
      <c r="R98" s="16"/>
      <c r="S98" s="16"/>
      <c r="T98" s="16"/>
      <c r="U98" s="16"/>
      <c r="V98" s="16"/>
      <c r="W98" s="16"/>
      <c r="X98" s="16"/>
      <c r="Y98" s="16"/>
      <c r="Z98" s="16"/>
    </row>
    <row r="99" spans="1:26" ht="15.75" customHeight="1">
      <c r="A99" s="80">
        <f>'Students Details'!A99</f>
        <v>93</v>
      </c>
      <c r="B99" s="81" t="str">
        <f>IF('Students Details'!B99="","",'Students Details'!B99)</f>
        <v/>
      </c>
      <c r="C99" s="82" t="str">
        <f>IF('Students Details'!C99="","",'Students Details'!C99)</f>
        <v/>
      </c>
      <c r="D99" s="83" t="str">
        <f>IF('M Component'!K100=0,"",'M Component'!K100)</f>
        <v/>
      </c>
      <c r="E99" s="83" t="str">
        <f>IF('M Component'!L100=0,"",'M Component'!L100)</f>
        <v/>
      </c>
      <c r="F99" s="83" t="str">
        <f>IF('M Component'!M100=0,"",'M Component'!M100)</f>
        <v/>
      </c>
      <c r="G99" s="83" t="str">
        <f>IF('M Component'!N100=0,"",'M Component'!N100)</f>
        <v/>
      </c>
      <c r="H99" s="83" t="str">
        <f>IF('M Component'!O100=0,"",'M Component'!O100)</f>
        <v/>
      </c>
      <c r="I99" s="83" t="str">
        <f>IF('M Component'!P100=0,"",'M Component'!P100)</f>
        <v/>
      </c>
      <c r="J99" s="84">
        <f t="shared" si="0"/>
        <v>0</v>
      </c>
      <c r="K99" s="16"/>
      <c r="L99" s="16"/>
      <c r="M99" s="16"/>
      <c r="N99" s="16"/>
      <c r="O99" s="16"/>
      <c r="P99" s="16"/>
      <c r="Q99" s="16"/>
      <c r="R99" s="16"/>
      <c r="S99" s="16"/>
      <c r="T99" s="16"/>
      <c r="U99" s="16"/>
      <c r="V99" s="16"/>
      <c r="W99" s="16"/>
      <c r="X99" s="16"/>
      <c r="Y99" s="16"/>
      <c r="Z99" s="16"/>
    </row>
    <row r="100" spans="1:26" ht="15.75" customHeight="1">
      <c r="A100" s="80">
        <f>'Students Details'!A100</f>
        <v>94</v>
      </c>
      <c r="B100" s="81" t="str">
        <f>IF('Students Details'!B100="","",'Students Details'!B100)</f>
        <v/>
      </c>
      <c r="C100" s="82" t="str">
        <f>IF('Students Details'!C100="","",'Students Details'!C100)</f>
        <v/>
      </c>
      <c r="D100" s="83" t="str">
        <f>IF('M Component'!K101=0,"",'M Component'!K101)</f>
        <v/>
      </c>
      <c r="E100" s="83" t="str">
        <f>IF('M Component'!L101=0,"",'M Component'!L101)</f>
        <v/>
      </c>
      <c r="F100" s="83" t="str">
        <f>IF('M Component'!M101=0,"",'M Component'!M101)</f>
        <v/>
      </c>
      <c r="G100" s="83" t="str">
        <f>IF('M Component'!N101=0,"",'M Component'!N101)</f>
        <v/>
      </c>
      <c r="H100" s="83" t="str">
        <f>IF('M Component'!O101=0,"",'M Component'!O101)</f>
        <v/>
      </c>
      <c r="I100" s="83" t="str">
        <f>IF('M Component'!P101=0,"",'M Component'!P101)</f>
        <v/>
      </c>
      <c r="J100" s="84">
        <f t="shared" si="0"/>
        <v>0</v>
      </c>
      <c r="K100" s="16"/>
      <c r="L100" s="16"/>
      <c r="M100" s="16"/>
      <c r="N100" s="16"/>
      <c r="O100" s="16"/>
      <c r="P100" s="16"/>
      <c r="Q100" s="16"/>
      <c r="R100" s="16"/>
      <c r="S100" s="16"/>
      <c r="T100" s="16"/>
      <c r="U100" s="16"/>
      <c r="V100" s="16"/>
      <c r="W100" s="16"/>
      <c r="X100" s="16"/>
      <c r="Y100" s="16"/>
      <c r="Z100" s="16"/>
    </row>
    <row r="101" spans="1:26" ht="15.75" customHeight="1">
      <c r="A101" s="80">
        <f>'Students Details'!A101</f>
        <v>95</v>
      </c>
      <c r="B101" s="81" t="str">
        <f>IF('Students Details'!B101="","",'Students Details'!B101)</f>
        <v/>
      </c>
      <c r="C101" s="82" t="str">
        <f>IF('Students Details'!C101="","",'Students Details'!C101)</f>
        <v/>
      </c>
      <c r="D101" s="83" t="str">
        <f>IF('M Component'!K102=0,"",'M Component'!K102)</f>
        <v/>
      </c>
      <c r="E101" s="83" t="str">
        <f>IF('M Component'!L102=0,"",'M Component'!L102)</f>
        <v/>
      </c>
      <c r="F101" s="83" t="str">
        <f>IF('M Component'!M102=0,"",'M Component'!M102)</f>
        <v/>
      </c>
      <c r="G101" s="83" t="str">
        <f>IF('M Component'!N102=0,"",'M Component'!N102)</f>
        <v/>
      </c>
      <c r="H101" s="83" t="str">
        <f>IF('M Component'!O102=0,"",'M Component'!O102)</f>
        <v/>
      </c>
      <c r="I101" s="83" t="str">
        <f>IF('M Component'!P102=0,"",'M Component'!P102)</f>
        <v/>
      </c>
      <c r="J101" s="84">
        <f t="shared" si="0"/>
        <v>0</v>
      </c>
      <c r="K101" s="16"/>
      <c r="L101" s="16"/>
      <c r="M101" s="16"/>
      <c r="N101" s="16"/>
      <c r="O101" s="16"/>
      <c r="P101" s="16"/>
      <c r="Q101" s="16"/>
      <c r="R101" s="16"/>
      <c r="S101" s="16"/>
      <c r="T101" s="16"/>
      <c r="U101" s="16"/>
      <c r="V101" s="16"/>
      <c r="W101" s="16"/>
      <c r="X101" s="16"/>
      <c r="Y101" s="16"/>
      <c r="Z101" s="16"/>
    </row>
    <row r="102" spans="1:26" ht="15.75" customHeight="1">
      <c r="A102" s="80">
        <f>'Students Details'!A102</f>
        <v>96</v>
      </c>
      <c r="B102" s="81" t="str">
        <f>IF('Students Details'!B102="","",'Students Details'!B102)</f>
        <v/>
      </c>
      <c r="C102" s="82" t="str">
        <f>IF('Students Details'!C102="","",'Students Details'!C102)</f>
        <v/>
      </c>
      <c r="D102" s="83" t="str">
        <f>IF('M Component'!K103=0,"",'M Component'!K103)</f>
        <v/>
      </c>
      <c r="E102" s="83" t="str">
        <f>IF('M Component'!L103=0,"",'M Component'!L103)</f>
        <v/>
      </c>
      <c r="F102" s="83" t="str">
        <f>IF('M Component'!M103=0,"",'M Component'!M103)</f>
        <v/>
      </c>
      <c r="G102" s="83" t="str">
        <f>IF('M Component'!N103=0,"",'M Component'!N103)</f>
        <v/>
      </c>
      <c r="H102" s="83" t="str">
        <f>IF('M Component'!O103=0,"",'M Component'!O103)</f>
        <v/>
      </c>
      <c r="I102" s="83" t="str">
        <f>IF('M Component'!P103=0,"",'M Component'!P103)</f>
        <v/>
      </c>
      <c r="J102" s="84">
        <f t="shared" si="0"/>
        <v>0</v>
      </c>
      <c r="K102" s="16"/>
      <c r="L102" s="16"/>
      <c r="M102" s="16"/>
      <c r="N102" s="16"/>
      <c r="O102" s="16"/>
      <c r="P102" s="16"/>
      <c r="Q102" s="16"/>
      <c r="R102" s="16"/>
      <c r="S102" s="16"/>
      <c r="T102" s="16"/>
      <c r="U102" s="16"/>
      <c r="V102" s="16"/>
      <c r="W102" s="16"/>
      <c r="X102" s="16"/>
      <c r="Y102" s="16"/>
      <c r="Z102" s="16"/>
    </row>
    <row r="103" spans="1:26" ht="15.75" customHeight="1">
      <c r="A103" s="80">
        <f>'Students Details'!A103</f>
        <v>97</v>
      </c>
      <c r="B103" s="81" t="str">
        <f>IF('Students Details'!B103="","",'Students Details'!B103)</f>
        <v/>
      </c>
      <c r="C103" s="82" t="str">
        <f>IF('Students Details'!C103="","",'Students Details'!C103)</f>
        <v/>
      </c>
      <c r="D103" s="83" t="str">
        <f>IF('M Component'!K104=0,"",'M Component'!K104)</f>
        <v/>
      </c>
      <c r="E103" s="83" t="str">
        <f>IF('M Component'!L104=0,"",'M Component'!L104)</f>
        <v/>
      </c>
      <c r="F103" s="83" t="str">
        <f>IF('M Component'!M104=0,"",'M Component'!M104)</f>
        <v/>
      </c>
      <c r="G103" s="83" t="str">
        <f>IF('M Component'!N104=0,"",'M Component'!N104)</f>
        <v/>
      </c>
      <c r="H103" s="83" t="str">
        <f>IF('M Component'!O104=0,"",'M Component'!O104)</f>
        <v/>
      </c>
      <c r="I103" s="83" t="str">
        <f>IF('M Component'!P104=0,"",'M Component'!P104)</f>
        <v/>
      </c>
      <c r="J103" s="84">
        <f t="shared" si="0"/>
        <v>0</v>
      </c>
      <c r="K103" s="16"/>
      <c r="L103" s="16"/>
      <c r="M103" s="16"/>
      <c r="N103" s="16"/>
      <c r="O103" s="16"/>
      <c r="P103" s="16"/>
      <c r="Q103" s="16"/>
      <c r="R103" s="16"/>
      <c r="S103" s="16"/>
      <c r="T103" s="16"/>
      <c r="U103" s="16"/>
      <c r="V103" s="16"/>
      <c r="W103" s="16"/>
      <c r="X103" s="16"/>
      <c r="Y103" s="16"/>
      <c r="Z103" s="16"/>
    </row>
    <row r="104" spans="1:26" ht="15.75" customHeight="1">
      <c r="A104" s="80">
        <f>'Students Details'!A104</f>
        <v>98</v>
      </c>
      <c r="B104" s="81" t="str">
        <f>IF('Students Details'!B104="","",'Students Details'!B104)</f>
        <v/>
      </c>
      <c r="C104" s="82" t="str">
        <f>IF('Students Details'!C104="","",'Students Details'!C104)</f>
        <v/>
      </c>
      <c r="D104" s="83" t="str">
        <f>IF('M Component'!K105=0,"",'M Component'!K105)</f>
        <v/>
      </c>
      <c r="E104" s="83" t="str">
        <f>IF('M Component'!L105=0,"",'M Component'!L105)</f>
        <v/>
      </c>
      <c r="F104" s="83" t="str">
        <f>IF('M Component'!M105=0,"",'M Component'!M105)</f>
        <v/>
      </c>
      <c r="G104" s="83" t="str">
        <f>IF('M Component'!N105=0,"",'M Component'!N105)</f>
        <v/>
      </c>
      <c r="H104" s="83" t="str">
        <f>IF('M Component'!O105=0,"",'M Component'!O105)</f>
        <v/>
      </c>
      <c r="I104" s="83" t="str">
        <f>IF('M Component'!P105=0,"",'M Component'!P105)</f>
        <v/>
      </c>
      <c r="J104" s="84">
        <f t="shared" si="0"/>
        <v>0</v>
      </c>
      <c r="K104" s="16"/>
      <c r="L104" s="16"/>
      <c r="M104" s="16"/>
      <c r="N104" s="16"/>
      <c r="O104" s="16"/>
      <c r="P104" s="16"/>
      <c r="Q104" s="16"/>
      <c r="R104" s="16"/>
      <c r="S104" s="16"/>
      <c r="T104" s="16"/>
      <c r="U104" s="16"/>
      <c r="V104" s="16"/>
      <c r="W104" s="16"/>
      <c r="X104" s="16"/>
      <c r="Y104" s="16"/>
      <c r="Z104" s="16"/>
    </row>
    <row r="105" spans="1:26" ht="15.75" customHeight="1">
      <c r="A105" s="80">
        <f>'Students Details'!A105</f>
        <v>99</v>
      </c>
      <c r="B105" s="81" t="str">
        <f>IF('Students Details'!B105="","",'Students Details'!B105)</f>
        <v/>
      </c>
      <c r="C105" s="82" t="str">
        <f>IF('Students Details'!C105="","",'Students Details'!C105)</f>
        <v/>
      </c>
      <c r="D105" s="83" t="str">
        <f>IF('M Component'!K106=0,"",'M Component'!K106)</f>
        <v/>
      </c>
      <c r="E105" s="83" t="str">
        <f>IF('M Component'!L106=0,"",'M Component'!L106)</f>
        <v/>
      </c>
      <c r="F105" s="83" t="str">
        <f>IF('M Component'!M106=0,"",'M Component'!M106)</f>
        <v/>
      </c>
      <c r="G105" s="83" t="str">
        <f>IF('M Component'!N106=0,"",'M Component'!N106)</f>
        <v/>
      </c>
      <c r="H105" s="83" t="str">
        <f>IF('M Component'!O106=0,"",'M Component'!O106)</f>
        <v/>
      </c>
      <c r="I105" s="83" t="str">
        <f>IF('M Component'!P106=0,"",'M Component'!P106)</f>
        <v/>
      </c>
      <c r="J105" s="84">
        <f t="shared" si="0"/>
        <v>0</v>
      </c>
      <c r="K105" s="16"/>
      <c r="L105" s="16"/>
      <c r="M105" s="16"/>
      <c r="N105" s="16"/>
      <c r="O105" s="16"/>
      <c r="P105" s="16"/>
      <c r="Q105" s="16"/>
      <c r="R105" s="16"/>
      <c r="S105" s="16"/>
      <c r="T105" s="16"/>
      <c r="U105" s="16"/>
      <c r="V105" s="16"/>
      <c r="W105" s="16"/>
      <c r="X105" s="16"/>
      <c r="Y105" s="16"/>
      <c r="Z105" s="16"/>
    </row>
    <row r="106" spans="1:26" ht="15.75" customHeight="1">
      <c r="A106" s="80">
        <f>'Students Details'!A106</f>
        <v>100</v>
      </c>
      <c r="B106" s="81" t="str">
        <f>IF('Students Details'!B106="","",'Students Details'!B106)</f>
        <v/>
      </c>
      <c r="C106" s="82" t="str">
        <f>IF('Students Details'!C106="","",'Students Details'!C106)</f>
        <v/>
      </c>
      <c r="D106" s="83" t="str">
        <f>IF('M Component'!K107=0,"",'M Component'!K107)</f>
        <v/>
      </c>
      <c r="E106" s="83" t="str">
        <f>IF('M Component'!L107=0,"",'M Component'!L107)</f>
        <v/>
      </c>
      <c r="F106" s="83" t="str">
        <f>IF('M Component'!M107=0,"",'M Component'!M107)</f>
        <v/>
      </c>
      <c r="G106" s="83" t="str">
        <f>IF('M Component'!N107=0,"",'M Component'!N107)</f>
        <v/>
      </c>
      <c r="H106" s="83" t="str">
        <f>IF('M Component'!O107=0,"",'M Component'!O107)</f>
        <v/>
      </c>
      <c r="I106" s="83" t="str">
        <f>IF('M Component'!P107=0,"",'M Component'!P107)</f>
        <v/>
      </c>
      <c r="J106" s="84">
        <f t="shared" si="0"/>
        <v>0</v>
      </c>
      <c r="K106" s="16"/>
      <c r="L106" s="16"/>
      <c r="M106" s="16"/>
      <c r="N106" s="16"/>
      <c r="O106" s="16"/>
      <c r="P106" s="16"/>
      <c r="Q106" s="16"/>
      <c r="R106" s="16"/>
      <c r="S106" s="16"/>
      <c r="T106" s="16"/>
      <c r="U106" s="16"/>
      <c r="V106" s="16"/>
      <c r="W106" s="16"/>
      <c r="X106" s="16"/>
      <c r="Y106" s="16"/>
      <c r="Z106" s="16"/>
    </row>
    <row r="107" spans="1:26" ht="15.75" customHeight="1">
      <c r="A107" s="80">
        <f>'Students Details'!A107</f>
        <v>101</v>
      </c>
      <c r="B107" s="81" t="str">
        <f>IF('Students Details'!B107="","",'Students Details'!B107)</f>
        <v/>
      </c>
      <c r="C107" s="82" t="str">
        <f>IF('Students Details'!C107="","",'Students Details'!C107)</f>
        <v/>
      </c>
      <c r="D107" s="83" t="str">
        <f>IF('M Component'!K108=0,"",'M Component'!K108)</f>
        <v/>
      </c>
      <c r="E107" s="83" t="str">
        <f>IF('M Component'!L108=0,"",'M Component'!L108)</f>
        <v/>
      </c>
      <c r="F107" s="83" t="str">
        <f>IF('M Component'!M108=0,"",'M Component'!M108)</f>
        <v/>
      </c>
      <c r="G107" s="83" t="str">
        <f>IF('M Component'!N108=0,"",'M Component'!N108)</f>
        <v/>
      </c>
      <c r="H107" s="83" t="str">
        <f>IF('M Component'!O108=0,"",'M Component'!O108)</f>
        <v/>
      </c>
      <c r="I107" s="83" t="str">
        <f>IF('M Component'!P108=0,"",'M Component'!P108)</f>
        <v/>
      </c>
      <c r="J107" s="84">
        <f t="shared" si="0"/>
        <v>0</v>
      </c>
      <c r="K107" s="16"/>
      <c r="L107" s="16"/>
      <c r="M107" s="16"/>
      <c r="N107" s="16"/>
      <c r="O107" s="16"/>
      <c r="P107" s="16"/>
      <c r="Q107" s="16"/>
      <c r="R107" s="16"/>
      <c r="S107" s="16"/>
      <c r="T107" s="16"/>
      <c r="U107" s="16"/>
      <c r="V107" s="16"/>
      <c r="W107" s="16"/>
      <c r="X107" s="16"/>
      <c r="Y107" s="16"/>
      <c r="Z107" s="16"/>
    </row>
    <row r="108" spans="1:26" ht="15.75" customHeight="1">
      <c r="A108" s="80">
        <f>'Students Details'!A108</f>
        <v>102</v>
      </c>
      <c r="B108" s="81" t="str">
        <f>IF('Students Details'!B108="","",'Students Details'!B108)</f>
        <v/>
      </c>
      <c r="C108" s="82" t="str">
        <f>IF('Students Details'!C108="","",'Students Details'!C108)</f>
        <v/>
      </c>
      <c r="D108" s="83" t="str">
        <f>IF('M Component'!K109=0,"",'M Component'!K109)</f>
        <v/>
      </c>
      <c r="E108" s="83" t="str">
        <f>IF('M Component'!L109=0,"",'M Component'!L109)</f>
        <v/>
      </c>
      <c r="F108" s="83" t="str">
        <f>IF('M Component'!M109=0,"",'M Component'!M109)</f>
        <v/>
      </c>
      <c r="G108" s="83" t="str">
        <f>IF('M Component'!N109=0,"",'M Component'!N109)</f>
        <v/>
      </c>
      <c r="H108" s="83" t="str">
        <f>IF('M Component'!O109=0,"",'M Component'!O109)</f>
        <v/>
      </c>
      <c r="I108" s="83" t="str">
        <f>IF('M Component'!P109=0,"",'M Component'!P109)</f>
        <v/>
      </c>
      <c r="J108" s="84">
        <f t="shared" si="0"/>
        <v>0</v>
      </c>
      <c r="K108" s="16"/>
      <c r="L108" s="16"/>
      <c r="M108" s="16"/>
      <c r="N108" s="16"/>
      <c r="O108" s="16"/>
      <c r="P108" s="16"/>
      <c r="Q108" s="16"/>
      <c r="R108" s="16"/>
      <c r="S108" s="16"/>
      <c r="T108" s="16"/>
      <c r="U108" s="16"/>
      <c r="V108" s="16"/>
      <c r="W108" s="16"/>
      <c r="X108" s="16"/>
      <c r="Y108" s="16"/>
      <c r="Z108" s="16"/>
    </row>
    <row r="109" spans="1:26" ht="15.75" customHeight="1">
      <c r="A109" s="80">
        <f>'Students Details'!A109</f>
        <v>103</v>
      </c>
      <c r="B109" s="81" t="str">
        <f>IF('Students Details'!B109="","",'Students Details'!B109)</f>
        <v/>
      </c>
      <c r="C109" s="82" t="str">
        <f>IF('Students Details'!C109="","",'Students Details'!C109)</f>
        <v/>
      </c>
      <c r="D109" s="83" t="str">
        <f>IF('M Component'!K110=0,"",'M Component'!K110)</f>
        <v/>
      </c>
      <c r="E109" s="83" t="str">
        <f>IF('M Component'!L110=0,"",'M Component'!L110)</f>
        <v/>
      </c>
      <c r="F109" s="83" t="str">
        <f>IF('M Component'!M110=0,"",'M Component'!M110)</f>
        <v/>
      </c>
      <c r="G109" s="83" t="str">
        <f>IF('M Component'!N110=0,"",'M Component'!N110)</f>
        <v/>
      </c>
      <c r="H109" s="83" t="str">
        <f>IF('M Component'!O110=0,"",'M Component'!O110)</f>
        <v/>
      </c>
      <c r="I109" s="83" t="str">
        <f>IF('M Component'!P110=0,"",'M Component'!P110)</f>
        <v/>
      </c>
      <c r="J109" s="84">
        <f t="shared" si="0"/>
        <v>0</v>
      </c>
      <c r="K109" s="16"/>
      <c r="L109" s="16"/>
      <c r="M109" s="16"/>
      <c r="N109" s="16"/>
      <c r="O109" s="16"/>
      <c r="P109" s="16"/>
      <c r="Q109" s="16"/>
      <c r="R109" s="16"/>
      <c r="S109" s="16"/>
      <c r="T109" s="16"/>
      <c r="U109" s="16"/>
      <c r="V109" s="16"/>
      <c r="W109" s="16"/>
      <c r="X109" s="16"/>
      <c r="Y109" s="16"/>
      <c r="Z109" s="16"/>
    </row>
    <row r="110" spans="1:26" ht="15.75" customHeight="1">
      <c r="A110" s="80">
        <f>'Students Details'!A110</f>
        <v>104</v>
      </c>
      <c r="B110" s="81" t="str">
        <f>IF('Students Details'!B110="","",'Students Details'!B110)</f>
        <v/>
      </c>
      <c r="C110" s="82" t="str">
        <f>IF('Students Details'!C110="","",'Students Details'!C110)</f>
        <v/>
      </c>
      <c r="D110" s="83" t="str">
        <f>IF('M Component'!K111=0,"",'M Component'!K111)</f>
        <v/>
      </c>
      <c r="E110" s="83" t="str">
        <f>IF('M Component'!L111=0,"",'M Component'!L111)</f>
        <v/>
      </c>
      <c r="F110" s="83" t="str">
        <f>IF('M Component'!M111=0,"",'M Component'!M111)</f>
        <v/>
      </c>
      <c r="G110" s="83" t="str">
        <f>IF('M Component'!N111=0,"",'M Component'!N111)</f>
        <v/>
      </c>
      <c r="H110" s="83" t="str">
        <f>IF('M Component'!O111=0,"",'M Component'!O111)</f>
        <v/>
      </c>
      <c r="I110" s="83" t="str">
        <f>IF('M Component'!P111=0,"",'M Component'!P111)</f>
        <v/>
      </c>
      <c r="J110" s="84">
        <f t="shared" si="0"/>
        <v>0</v>
      </c>
      <c r="K110" s="16"/>
      <c r="L110" s="16"/>
      <c r="M110" s="16"/>
      <c r="N110" s="16"/>
      <c r="O110" s="16"/>
      <c r="P110" s="16"/>
      <c r="Q110" s="16"/>
      <c r="R110" s="16"/>
      <c r="S110" s="16"/>
      <c r="T110" s="16"/>
      <c r="U110" s="16"/>
      <c r="V110" s="16"/>
      <c r="W110" s="16"/>
      <c r="X110" s="16"/>
      <c r="Y110" s="16"/>
      <c r="Z110" s="16"/>
    </row>
    <row r="111" spans="1:26" ht="15.75" customHeight="1">
      <c r="A111" s="80">
        <f>'Students Details'!A111</f>
        <v>105</v>
      </c>
      <c r="B111" s="81" t="str">
        <f>IF('Students Details'!B111="","",'Students Details'!B111)</f>
        <v/>
      </c>
      <c r="C111" s="82" t="str">
        <f>IF('Students Details'!C111="","",'Students Details'!C111)</f>
        <v/>
      </c>
      <c r="D111" s="83" t="str">
        <f>IF('M Component'!K112=0,"",'M Component'!K112)</f>
        <v/>
      </c>
      <c r="E111" s="83" t="str">
        <f>IF('M Component'!L112=0,"",'M Component'!L112)</f>
        <v/>
      </c>
      <c r="F111" s="83" t="str">
        <f>IF('M Component'!M112=0,"",'M Component'!M112)</f>
        <v/>
      </c>
      <c r="G111" s="83" t="str">
        <f>IF('M Component'!N112=0,"",'M Component'!N112)</f>
        <v/>
      </c>
      <c r="H111" s="83" t="str">
        <f>IF('M Component'!O112=0,"",'M Component'!O112)</f>
        <v/>
      </c>
      <c r="I111" s="83" t="str">
        <f>IF('M Component'!P112=0,"",'M Component'!P112)</f>
        <v/>
      </c>
      <c r="J111" s="84">
        <f t="shared" si="0"/>
        <v>0</v>
      </c>
      <c r="K111" s="16"/>
      <c r="L111" s="16"/>
      <c r="M111" s="16"/>
      <c r="N111" s="16"/>
      <c r="O111" s="16"/>
      <c r="P111" s="16"/>
      <c r="Q111" s="16"/>
      <c r="R111" s="16"/>
      <c r="S111" s="16"/>
      <c r="T111" s="16"/>
      <c r="U111" s="16"/>
      <c r="V111" s="16"/>
      <c r="W111" s="16"/>
      <c r="X111" s="16"/>
      <c r="Y111" s="16"/>
      <c r="Z111" s="16"/>
    </row>
    <row r="112" spans="1:26" ht="15.75" customHeight="1">
      <c r="A112" s="80">
        <f>'Students Details'!A112</f>
        <v>106</v>
      </c>
      <c r="B112" s="81" t="str">
        <f>IF('Students Details'!B112="","",'Students Details'!B112)</f>
        <v/>
      </c>
      <c r="C112" s="82" t="str">
        <f>IF('Students Details'!C112="","",'Students Details'!C112)</f>
        <v/>
      </c>
      <c r="D112" s="83" t="str">
        <f>IF('M Component'!K113=0,"",'M Component'!K113)</f>
        <v/>
      </c>
      <c r="E112" s="83" t="str">
        <f>IF('M Component'!L113=0,"",'M Component'!L113)</f>
        <v/>
      </c>
      <c r="F112" s="83" t="str">
        <f>IF('M Component'!M113=0,"",'M Component'!M113)</f>
        <v/>
      </c>
      <c r="G112" s="83" t="str">
        <f>IF('M Component'!N113=0,"",'M Component'!N113)</f>
        <v/>
      </c>
      <c r="H112" s="83" t="str">
        <f>IF('M Component'!O113=0,"",'M Component'!O113)</f>
        <v/>
      </c>
      <c r="I112" s="83" t="str">
        <f>IF('M Component'!P113=0,"",'M Component'!P113)</f>
        <v/>
      </c>
      <c r="J112" s="84">
        <f t="shared" si="0"/>
        <v>0</v>
      </c>
      <c r="K112" s="16"/>
      <c r="L112" s="16"/>
      <c r="M112" s="16"/>
      <c r="N112" s="16"/>
      <c r="O112" s="16"/>
      <c r="P112" s="16"/>
      <c r="Q112" s="16"/>
      <c r="R112" s="16"/>
      <c r="S112" s="16"/>
      <c r="T112" s="16"/>
      <c r="U112" s="16"/>
      <c r="V112" s="16"/>
      <c r="W112" s="16"/>
      <c r="X112" s="16"/>
      <c r="Y112" s="16"/>
      <c r="Z112" s="16"/>
    </row>
    <row r="113" spans="1:26" ht="15.75" customHeight="1">
      <c r="A113" s="80">
        <f>'Students Details'!A113</f>
        <v>107</v>
      </c>
      <c r="B113" s="81" t="str">
        <f>IF('Students Details'!B113="","",'Students Details'!B113)</f>
        <v/>
      </c>
      <c r="C113" s="82" t="str">
        <f>IF('Students Details'!C113="","",'Students Details'!C113)</f>
        <v/>
      </c>
      <c r="D113" s="83" t="str">
        <f>IF('M Component'!K114=0,"",'M Component'!K114)</f>
        <v/>
      </c>
      <c r="E113" s="83" t="str">
        <f>IF('M Component'!L114=0,"",'M Component'!L114)</f>
        <v/>
      </c>
      <c r="F113" s="83" t="str">
        <f>IF('M Component'!M114=0,"",'M Component'!M114)</f>
        <v/>
      </c>
      <c r="G113" s="83" t="str">
        <f>IF('M Component'!N114=0,"",'M Component'!N114)</f>
        <v/>
      </c>
      <c r="H113" s="83" t="str">
        <f>IF('M Component'!O114=0,"",'M Component'!O114)</f>
        <v/>
      </c>
      <c r="I113" s="83" t="str">
        <f>IF('M Component'!P114=0,"",'M Component'!P114)</f>
        <v/>
      </c>
      <c r="J113" s="84">
        <f t="shared" si="0"/>
        <v>0</v>
      </c>
      <c r="K113" s="16"/>
      <c r="L113" s="16"/>
      <c r="M113" s="16"/>
      <c r="N113" s="16"/>
      <c r="O113" s="16"/>
      <c r="P113" s="16"/>
      <c r="Q113" s="16"/>
      <c r="R113" s="16"/>
      <c r="S113" s="16"/>
      <c r="T113" s="16"/>
      <c r="U113" s="16"/>
      <c r="V113" s="16"/>
      <c r="W113" s="16"/>
      <c r="X113" s="16"/>
      <c r="Y113" s="16"/>
      <c r="Z113" s="16"/>
    </row>
    <row r="114" spans="1:26" ht="15.75" customHeight="1">
      <c r="A114" s="80">
        <f>'Students Details'!A114</f>
        <v>108</v>
      </c>
      <c r="B114" s="81" t="str">
        <f>IF('Students Details'!B114="","",'Students Details'!B114)</f>
        <v/>
      </c>
      <c r="C114" s="82" t="str">
        <f>IF('Students Details'!C114="","",'Students Details'!C114)</f>
        <v/>
      </c>
      <c r="D114" s="83" t="str">
        <f>IF('M Component'!K115=0,"",'M Component'!K115)</f>
        <v/>
      </c>
      <c r="E114" s="83" t="str">
        <f>IF('M Component'!L115=0,"",'M Component'!L115)</f>
        <v/>
      </c>
      <c r="F114" s="83" t="str">
        <f>IF('M Component'!M115=0,"",'M Component'!M115)</f>
        <v/>
      </c>
      <c r="G114" s="83" t="str">
        <f>IF('M Component'!N115=0,"",'M Component'!N115)</f>
        <v/>
      </c>
      <c r="H114" s="83" t="str">
        <f>IF('M Component'!O115=0,"",'M Component'!O115)</f>
        <v/>
      </c>
      <c r="I114" s="83" t="str">
        <f>IF('M Component'!P115=0,"",'M Component'!P115)</f>
        <v/>
      </c>
      <c r="J114" s="84">
        <f t="shared" si="0"/>
        <v>0</v>
      </c>
      <c r="K114" s="16"/>
      <c r="L114" s="16"/>
      <c r="M114" s="16"/>
      <c r="N114" s="16"/>
      <c r="O114" s="16"/>
      <c r="P114" s="16"/>
      <c r="Q114" s="16"/>
      <c r="R114" s="16"/>
      <c r="S114" s="16"/>
      <c r="T114" s="16"/>
      <c r="U114" s="16"/>
      <c r="V114" s="16"/>
      <c r="W114" s="16"/>
      <c r="X114" s="16"/>
      <c r="Y114" s="16"/>
      <c r="Z114" s="16"/>
    </row>
    <row r="115" spans="1:26" ht="15.75" customHeight="1">
      <c r="A115" s="80">
        <f>'Students Details'!A115</f>
        <v>109</v>
      </c>
      <c r="B115" s="81" t="str">
        <f>IF('Students Details'!B115="","",'Students Details'!B115)</f>
        <v/>
      </c>
      <c r="C115" s="82" t="str">
        <f>IF('Students Details'!C115="","",'Students Details'!C115)</f>
        <v/>
      </c>
      <c r="D115" s="83" t="str">
        <f>IF('M Component'!K116=0,"",'M Component'!K116)</f>
        <v/>
      </c>
      <c r="E115" s="83" t="str">
        <f>IF('M Component'!L116=0,"",'M Component'!L116)</f>
        <v/>
      </c>
      <c r="F115" s="83" t="str">
        <f>IF('M Component'!M116=0,"",'M Component'!M116)</f>
        <v/>
      </c>
      <c r="G115" s="83" t="str">
        <f>IF('M Component'!N116=0,"",'M Component'!N116)</f>
        <v/>
      </c>
      <c r="H115" s="83" t="str">
        <f>IF('M Component'!O116=0,"",'M Component'!O116)</f>
        <v/>
      </c>
      <c r="I115" s="83" t="str">
        <f>IF('M Component'!P116=0,"",'M Component'!P116)</f>
        <v/>
      </c>
      <c r="J115" s="84">
        <f t="shared" si="0"/>
        <v>0</v>
      </c>
      <c r="K115" s="16"/>
      <c r="L115" s="16"/>
      <c r="M115" s="16"/>
      <c r="N115" s="16"/>
      <c r="O115" s="16"/>
      <c r="P115" s="16"/>
      <c r="Q115" s="16"/>
      <c r="R115" s="16"/>
      <c r="S115" s="16"/>
      <c r="T115" s="16"/>
      <c r="U115" s="16"/>
      <c r="V115" s="16"/>
      <c r="W115" s="16"/>
      <c r="X115" s="16"/>
      <c r="Y115" s="16"/>
      <c r="Z115" s="16"/>
    </row>
    <row r="116" spans="1:26" ht="15.75" customHeight="1">
      <c r="A116" s="80">
        <f>'Students Details'!A116</f>
        <v>110</v>
      </c>
      <c r="B116" s="81" t="str">
        <f>IF('Students Details'!B116="","",'Students Details'!B116)</f>
        <v/>
      </c>
      <c r="C116" s="82" t="str">
        <f>IF('Students Details'!C116="","",'Students Details'!C116)</f>
        <v/>
      </c>
      <c r="D116" s="83" t="str">
        <f>IF('M Component'!K117=0,"",'M Component'!K117)</f>
        <v/>
      </c>
      <c r="E116" s="83" t="str">
        <f>IF('M Component'!L117=0,"",'M Component'!L117)</f>
        <v/>
      </c>
      <c r="F116" s="83" t="str">
        <f>IF('M Component'!M117=0,"",'M Component'!M117)</f>
        <v/>
      </c>
      <c r="G116" s="83" t="str">
        <f>IF('M Component'!N117=0,"",'M Component'!N117)</f>
        <v/>
      </c>
      <c r="H116" s="83" t="str">
        <f>IF('M Component'!O117=0,"",'M Component'!O117)</f>
        <v/>
      </c>
      <c r="I116" s="83" t="str">
        <f>IF('M Component'!P117=0,"",'M Component'!P117)</f>
        <v/>
      </c>
      <c r="J116" s="84">
        <f t="shared" si="0"/>
        <v>0</v>
      </c>
      <c r="K116" s="16"/>
      <c r="L116" s="16"/>
      <c r="M116" s="16"/>
      <c r="N116" s="16"/>
      <c r="O116" s="16"/>
      <c r="P116" s="16"/>
      <c r="Q116" s="16"/>
      <c r="R116" s="16"/>
      <c r="S116" s="16"/>
      <c r="T116" s="16"/>
      <c r="U116" s="16"/>
      <c r="V116" s="16"/>
      <c r="W116" s="16"/>
      <c r="X116" s="16"/>
      <c r="Y116" s="16"/>
      <c r="Z116" s="16"/>
    </row>
    <row r="117" spans="1:26" ht="15.75" customHeight="1">
      <c r="A117" s="80">
        <f>'Students Details'!A117</f>
        <v>111</v>
      </c>
      <c r="B117" s="81" t="str">
        <f>IF('Students Details'!B117="","",'Students Details'!B117)</f>
        <v/>
      </c>
      <c r="C117" s="82" t="str">
        <f>IF('Students Details'!C117="","",'Students Details'!C117)</f>
        <v/>
      </c>
      <c r="D117" s="83" t="str">
        <f>IF('M Component'!K118=0,"",'M Component'!K118)</f>
        <v/>
      </c>
      <c r="E117" s="83" t="str">
        <f>IF('M Component'!L118=0,"",'M Component'!L118)</f>
        <v/>
      </c>
      <c r="F117" s="83" t="str">
        <f>IF('M Component'!M118=0,"",'M Component'!M118)</f>
        <v/>
      </c>
      <c r="G117" s="83" t="str">
        <f>IF('M Component'!N118=0,"",'M Component'!N118)</f>
        <v/>
      </c>
      <c r="H117" s="83" t="str">
        <f>IF('M Component'!O118=0,"",'M Component'!O118)</f>
        <v/>
      </c>
      <c r="I117" s="83" t="str">
        <f>IF('M Component'!P118=0,"",'M Component'!P118)</f>
        <v/>
      </c>
      <c r="J117" s="84">
        <f t="shared" si="0"/>
        <v>0</v>
      </c>
      <c r="K117" s="16"/>
      <c r="L117" s="16"/>
      <c r="M117" s="16"/>
      <c r="N117" s="16"/>
      <c r="O117" s="16"/>
      <c r="P117" s="16"/>
      <c r="Q117" s="16"/>
      <c r="R117" s="16"/>
      <c r="S117" s="16"/>
      <c r="T117" s="16"/>
      <c r="U117" s="16"/>
      <c r="V117" s="16"/>
      <c r="W117" s="16"/>
      <c r="X117" s="16"/>
      <c r="Y117" s="16"/>
      <c r="Z117" s="16"/>
    </row>
    <row r="118" spans="1:26" ht="15.75" customHeight="1">
      <c r="A118" s="80">
        <f>'Students Details'!A118</f>
        <v>112</v>
      </c>
      <c r="B118" s="81" t="str">
        <f>IF('Students Details'!B118="","",'Students Details'!B118)</f>
        <v/>
      </c>
      <c r="C118" s="82" t="str">
        <f>IF('Students Details'!C118="","",'Students Details'!C118)</f>
        <v/>
      </c>
      <c r="D118" s="83" t="str">
        <f>IF('M Component'!K119=0,"",'M Component'!K119)</f>
        <v/>
      </c>
      <c r="E118" s="83" t="str">
        <f>IF('M Component'!L119=0,"",'M Component'!L119)</f>
        <v/>
      </c>
      <c r="F118" s="83" t="str">
        <f>IF('M Component'!M119=0,"",'M Component'!M119)</f>
        <v/>
      </c>
      <c r="G118" s="83" t="str">
        <f>IF('M Component'!N119=0,"",'M Component'!N119)</f>
        <v/>
      </c>
      <c r="H118" s="83" t="str">
        <f>IF('M Component'!O119=0,"",'M Component'!O119)</f>
        <v/>
      </c>
      <c r="I118" s="83" t="str">
        <f>IF('M Component'!P119=0,"",'M Component'!P119)</f>
        <v/>
      </c>
      <c r="J118" s="84">
        <f t="shared" si="0"/>
        <v>0</v>
      </c>
      <c r="K118" s="16"/>
      <c r="L118" s="16"/>
      <c r="M118" s="16"/>
      <c r="N118" s="16"/>
      <c r="O118" s="16"/>
      <c r="P118" s="16"/>
      <c r="Q118" s="16"/>
      <c r="R118" s="16"/>
      <c r="S118" s="16"/>
      <c r="T118" s="16"/>
      <c r="U118" s="16"/>
      <c r="V118" s="16"/>
      <c r="W118" s="16"/>
      <c r="X118" s="16"/>
      <c r="Y118" s="16"/>
      <c r="Z118" s="16"/>
    </row>
    <row r="119" spans="1:26" ht="15.75" customHeight="1">
      <c r="A119" s="80">
        <f>'Students Details'!A119</f>
        <v>113</v>
      </c>
      <c r="B119" s="81" t="str">
        <f>IF('Students Details'!B119="","",'Students Details'!B119)</f>
        <v/>
      </c>
      <c r="C119" s="82" t="str">
        <f>IF('Students Details'!C119="","",'Students Details'!C119)</f>
        <v/>
      </c>
      <c r="D119" s="83" t="str">
        <f>IF('M Component'!K120=0,"",'M Component'!K120)</f>
        <v/>
      </c>
      <c r="E119" s="83" t="str">
        <f>IF('M Component'!L120=0,"",'M Component'!L120)</f>
        <v/>
      </c>
      <c r="F119" s="83" t="str">
        <f>IF('M Component'!M120=0,"",'M Component'!M120)</f>
        <v/>
      </c>
      <c r="G119" s="83" t="str">
        <f>IF('M Component'!N120=0,"",'M Component'!N120)</f>
        <v/>
      </c>
      <c r="H119" s="83" t="str">
        <f>IF('M Component'!O120=0,"",'M Component'!O120)</f>
        <v/>
      </c>
      <c r="I119" s="83" t="str">
        <f>IF('M Component'!P120=0,"",'M Component'!P120)</f>
        <v/>
      </c>
      <c r="J119" s="84">
        <f t="shared" si="0"/>
        <v>0</v>
      </c>
      <c r="K119" s="16"/>
      <c r="L119" s="16"/>
      <c r="M119" s="16"/>
      <c r="N119" s="16"/>
      <c r="O119" s="16"/>
      <c r="P119" s="16"/>
      <c r="Q119" s="16"/>
      <c r="R119" s="16"/>
      <c r="S119" s="16"/>
      <c r="T119" s="16"/>
      <c r="U119" s="16"/>
      <c r="V119" s="16"/>
      <c r="W119" s="16"/>
      <c r="X119" s="16"/>
      <c r="Y119" s="16"/>
      <c r="Z119" s="16"/>
    </row>
    <row r="120" spans="1:26" ht="15.75" customHeight="1">
      <c r="A120" s="80">
        <f>'Students Details'!A120</f>
        <v>114</v>
      </c>
      <c r="B120" s="81" t="str">
        <f>IF('Students Details'!B120="","",'Students Details'!B120)</f>
        <v/>
      </c>
      <c r="C120" s="82" t="str">
        <f>IF('Students Details'!C120="","",'Students Details'!C120)</f>
        <v/>
      </c>
      <c r="D120" s="83" t="str">
        <f>IF('M Component'!K121=0,"",'M Component'!K121)</f>
        <v/>
      </c>
      <c r="E120" s="83" t="str">
        <f>IF('M Component'!L121=0,"",'M Component'!L121)</f>
        <v/>
      </c>
      <c r="F120" s="83" t="str">
        <f>IF('M Component'!M121=0,"",'M Component'!M121)</f>
        <v/>
      </c>
      <c r="G120" s="83" t="str">
        <f>IF('M Component'!N121=0,"",'M Component'!N121)</f>
        <v/>
      </c>
      <c r="H120" s="83" t="str">
        <f>IF('M Component'!O121=0,"",'M Component'!O121)</f>
        <v/>
      </c>
      <c r="I120" s="83" t="str">
        <f>IF('M Component'!P121=0,"",'M Component'!P121)</f>
        <v/>
      </c>
      <c r="J120" s="84">
        <f t="shared" si="0"/>
        <v>0</v>
      </c>
      <c r="K120" s="16"/>
      <c r="L120" s="16"/>
      <c r="M120" s="16"/>
      <c r="N120" s="16"/>
      <c r="O120" s="16"/>
      <c r="P120" s="16"/>
      <c r="Q120" s="16"/>
      <c r="R120" s="16"/>
      <c r="S120" s="16"/>
      <c r="T120" s="16"/>
      <c r="U120" s="16"/>
      <c r="V120" s="16"/>
      <c r="W120" s="16"/>
      <c r="X120" s="16"/>
      <c r="Y120" s="16"/>
      <c r="Z120" s="16"/>
    </row>
    <row r="121" spans="1:26" ht="15.75" customHeight="1">
      <c r="A121" s="80">
        <f>'Students Details'!A121</f>
        <v>115</v>
      </c>
      <c r="B121" s="81" t="str">
        <f>IF('Students Details'!B121="","",'Students Details'!B121)</f>
        <v/>
      </c>
      <c r="C121" s="82" t="str">
        <f>IF('Students Details'!C121="","",'Students Details'!C121)</f>
        <v/>
      </c>
      <c r="D121" s="83" t="str">
        <f>IF('M Component'!K122=0,"",'M Component'!K122)</f>
        <v/>
      </c>
      <c r="E121" s="83" t="str">
        <f>IF('M Component'!L122=0,"",'M Component'!L122)</f>
        <v/>
      </c>
      <c r="F121" s="83" t="str">
        <f>IF('M Component'!M122=0,"",'M Component'!M122)</f>
        <v/>
      </c>
      <c r="G121" s="83" t="str">
        <f>IF('M Component'!N122=0,"",'M Component'!N122)</f>
        <v/>
      </c>
      <c r="H121" s="83" t="str">
        <f>IF('M Component'!O122=0,"",'M Component'!O122)</f>
        <v/>
      </c>
      <c r="I121" s="83" t="str">
        <f>IF('M Component'!P122=0,"",'M Component'!P122)</f>
        <v/>
      </c>
      <c r="J121" s="84">
        <f t="shared" si="0"/>
        <v>0</v>
      </c>
      <c r="K121" s="16"/>
      <c r="L121" s="16"/>
      <c r="M121" s="16"/>
      <c r="N121" s="16"/>
      <c r="O121" s="16"/>
      <c r="P121" s="16"/>
      <c r="Q121" s="16"/>
      <c r="R121" s="16"/>
      <c r="S121" s="16"/>
      <c r="T121" s="16"/>
      <c r="U121" s="16"/>
      <c r="V121" s="16"/>
      <c r="W121" s="16"/>
      <c r="X121" s="16"/>
      <c r="Y121" s="16"/>
      <c r="Z121" s="16"/>
    </row>
    <row r="122" spans="1:26" ht="15.75" customHeight="1">
      <c r="A122" s="80">
        <f>'Students Details'!A122</f>
        <v>116</v>
      </c>
      <c r="B122" s="81" t="str">
        <f>IF('Students Details'!B122="","",'Students Details'!B122)</f>
        <v/>
      </c>
      <c r="C122" s="82" t="str">
        <f>IF('Students Details'!C122="","",'Students Details'!C122)</f>
        <v/>
      </c>
      <c r="D122" s="83" t="str">
        <f>IF('M Component'!K123=0,"",'M Component'!K123)</f>
        <v/>
      </c>
      <c r="E122" s="83" t="str">
        <f>IF('M Component'!L123=0,"",'M Component'!L123)</f>
        <v/>
      </c>
      <c r="F122" s="83" t="str">
        <f>IF('M Component'!M123=0,"",'M Component'!M123)</f>
        <v/>
      </c>
      <c r="G122" s="83" t="str">
        <f>IF('M Component'!N123=0,"",'M Component'!N123)</f>
        <v/>
      </c>
      <c r="H122" s="83" t="str">
        <f>IF('M Component'!O123=0,"",'M Component'!O123)</f>
        <v/>
      </c>
      <c r="I122" s="83" t="str">
        <f>IF('M Component'!P123=0,"",'M Component'!P123)</f>
        <v/>
      </c>
      <c r="J122" s="84">
        <f t="shared" si="0"/>
        <v>0</v>
      </c>
      <c r="K122" s="16"/>
      <c r="L122" s="16"/>
      <c r="M122" s="16"/>
      <c r="N122" s="16"/>
      <c r="O122" s="16"/>
      <c r="P122" s="16"/>
      <c r="Q122" s="16"/>
      <c r="R122" s="16"/>
      <c r="S122" s="16"/>
      <c r="T122" s="16"/>
      <c r="U122" s="16"/>
      <c r="V122" s="16"/>
      <c r="W122" s="16"/>
      <c r="X122" s="16"/>
      <c r="Y122" s="16"/>
      <c r="Z122" s="16"/>
    </row>
    <row r="123" spans="1:26" ht="15.75" customHeight="1">
      <c r="A123" s="80">
        <f>'Students Details'!A123</f>
        <v>117</v>
      </c>
      <c r="B123" s="81" t="str">
        <f>IF('Students Details'!B123="","",'Students Details'!B123)</f>
        <v/>
      </c>
      <c r="C123" s="82" t="str">
        <f>IF('Students Details'!C123="","",'Students Details'!C123)</f>
        <v/>
      </c>
      <c r="D123" s="83" t="str">
        <f>IF('M Component'!K124=0,"",'M Component'!K124)</f>
        <v/>
      </c>
      <c r="E123" s="83" t="str">
        <f>IF('M Component'!L124=0,"",'M Component'!L124)</f>
        <v/>
      </c>
      <c r="F123" s="83" t="str">
        <f>IF('M Component'!M124=0,"",'M Component'!M124)</f>
        <v/>
      </c>
      <c r="G123" s="83" t="str">
        <f>IF('M Component'!N124=0,"",'M Component'!N124)</f>
        <v/>
      </c>
      <c r="H123" s="83" t="str">
        <f>IF('M Component'!O124=0,"",'M Component'!O124)</f>
        <v/>
      </c>
      <c r="I123" s="83" t="str">
        <f>IF('M Component'!P124=0,"",'M Component'!P124)</f>
        <v/>
      </c>
      <c r="J123" s="84">
        <f t="shared" si="0"/>
        <v>0</v>
      </c>
      <c r="K123" s="16"/>
      <c r="L123" s="16"/>
      <c r="M123" s="16"/>
      <c r="N123" s="16"/>
      <c r="O123" s="16"/>
      <c r="P123" s="16"/>
      <c r="Q123" s="16"/>
      <c r="R123" s="16"/>
      <c r="S123" s="16"/>
      <c r="T123" s="16"/>
      <c r="U123" s="16"/>
      <c r="V123" s="16"/>
      <c r="W123" s="16"/>
      <c r="X123" s="16"/>
      <c r="Y123" s="16"/>
      <c r="Z123" s="16"/>
    </row>
    <row r="124" spans="1:26" ht="15.75" customHeight="1">
      <c r="A124" s="80">
        <f>'Students Details'!A124</f>
        <v>118</v>
      </c>
      <c r="B124" s="81" t="str">
        <f>IF('Students Details'!B124="","",'Students Details'!B124)</f>
        <v/>
      </c>
      <c r="C124" s="82" t="str">
        <f>IF('Students Details'!C124="","",'Students Details'!C124)</f>
        <v/>
      </c>
      <c r="D124" s="83" t="str">
        <f>IF('M Component'!K125=0,"",'M Component'!K125)</f>
        <v/>
      </c>
      <c r="E124" s="83" t="str">
        <f>IF('M Component'!L125=0,"",'M Component'!L125)</f>
        <v/>
      </c>
      <c r="F124" s="83" t="str">
        <f>IF('M Component'!M125=0,"",'M Component'!M125)</f>
        <v/>
      </c>
      <c r="G124" s="83" t="str">
        <f>IF('M Component'!N125=0,"",'M Component'!N125)</f>
        <v/>
      </c>
      <c r="H124" s="83" t="str">
        <f>IF('M Component'!O125=0,"",'M Component'!O125)</f>
        <v/>
      </c>
      <c r="I124" s="83" t="str">
        <f>IF('M Component'!P125=0,"",'M Component'!P125)</f>
        <v/>
      </c>
      <c r="J124" s="84">
        <f t="shared" si="0"/>
        <v>0</v>
      </c>
      <c r="K124" s="16"/>
      <c r="L124" s="16"/>
      <c r="M124" s="16"/>
      <c r="N124" s="16"/>
      <c r="O124" s="16"/>
      <c r="P124" s="16"/>
      <c r="Q124" s="16"/>
      <c r="R124" s="16"/>
      <c r="S124" s="16"/>
      <c r="T124" s="16"/>
      <c r="U124" s="16"/>
      <c r="V124" s="16"/>
      <c r="W124" s="16"/>
      <c r="X124" s="16"/>
      <c r="Y124" s="16"/>
      <c r="Z124" s="16"/>
    </row>
    <row r="125" spans="1:26" ht="15.75" customHeight="1">
      <c r="A125" s="80">
        <f>'Students Details'!A125</f>
        <v>119</v>
      </c>
      <c r="B125" s="81" t="str">
        <f>IF('Students Details'!B125="","",'Students Details'!B125)</f>
        <v/>
      </c>
      <c r="C125" s="82" t="str">
        <f>IF('Students Details'!C125="","",'Students Details'!C125)</f>
        <v/>
      </c>
      <c r="D125" s="83" t="str">
        <f>IF('M Component'!K126=0,"",'M Component'!K126)</f>
        <v/>
      </c>
      <c r="E125" s="83" t="str">
        <f>IF('M Component'!L126=0,"",'M Component'!L126)</f>
        <v/>
      </c>
      <c r="F125" s="83" t="str">
        <f>IF('M Component'!M126=0,"",'M Component'!M126)</f>
        <v/>
      </c>
      <c r="G125" s="83" t="str">
        <f>IF('M Component'!N126=0,"",'M Component'!N126)</f>
        <v/>
      </c>
      <c r="H125" s="83" t="str">
        <f>IF('M Component'!O126=0,"",'M Component'!O126)</f>
        <v/>
      </c>
      <c r="I125" s="83" t="str">
        <f>IF('M Component'!P126=0,"",'M Component'!P126)</f>
        <v/>
      </c>
      <c r="J125" s="84">
        <f t="shared" si="0"/>
        <v>0</v>
      </c>
      <c r="K125" s="16"/>
      <c r="L125" s="16"/>
      <c r="M125" s="16"/>
      <c r="N125" s="16"/>
      <c r="O125" s="16"/>
      <c r="P125" s="16"/>
      <c r="Q125" s="16"/>
      <c r="R125" s="16"/>
      <c r="S125" s="16"/>
      <c r="T125" s="16"/>
      <c r="U125" s="16"/>
      <c r="V125" s="16"/>
      <c r="W125" s="16"/>
      <c r="X125" s="16"/>
      <c r="Y125" s="16"/>
      <c r="Z125" s="16"/>
    </row>
    <row r="126" spans="1:26" ht="15.75" customHeight="1">
      <c r="A126" s="80">
        <f>'Students Details'!A126</f>
        <v>120</v>
      </c>
      <c r="B126" s="81" t="str">
        <f>IF('Students Details'!B126="","",'Students Details'!B126)</f>
        <v/>
      </c>
      <c r="C126" s="82" t="str">
        <f>IF('Students Details'!C126="","",'Students Details'!C126)</f>
        <v/>
      </c>
      <c r="D126" s="83" t="str">
        <f>IF('M Component'!K127=0,"",'M Component'!K127)</f>
        <v/>
      </c>
      <c r="E126" s="83" t="str">
        <f>IF('M Component'!L127=0,"",'M Component'!L127)</f>
        <v/>
      </c>
      <c r="F126" s="83" t="str">
        <f>IF('M Component'!M127=0,"",'M Component'!M127)</f>
        <v/>
      </c>
      <c r="G126" s="83" t="str">
        <f>IF('M Component'!N127=0,"",'M Component'!N127)</f>
        <v/>
      </c>
      <c r="H126" s="83" t="str">
        <f>IF('M Component'!O127=0,"",'M Component'!O127)</f>
        <v/>
      </c>
      <c r="I126" s="83" t="str">
        <f>IF('M Component'!P127=0,"",'M Component'!P127)</f>
        <v/>
      </c>
      <c r="J126" s="84">
        <f t="shared" si="0"/>
        <v>0</v>
      </c>
      <c r="K126" s="16"/>
      <c r="L126" s="16"/>
      <c r="M126" s="16"/>
      <c r="N126" s="16"/>
      <c r="O126" s="16"/>
      <c r="P126" s="16"/>
      <c r="Q126" s="16"/>
      <c r="R126" s="16"/>
      <c r="S126" s="16"/>
      <c r="T126" s="16"/>
      <c r="U126" s="16"/>
      <c r="V126" s="16"/>
      <c r="W126" s="16"/>
      <c r="X126" s="16"/>
      <c r="Y126" s="16"/>
      <c r="Z126" s="16"/>
    </row>
    <row r="127" spans="1:26" ht="15.75" customHeight="1">
      <c r="A127" s="80">
        <f>'Students Details'!A127</f>
        <v>121</v>
      </c>
      <c r="B127" s="81" t="str">
        <f>IF('Students Details'!B127="","",'Students Details'!B127)</f>
        <v/>
      </c>
      <c r="C127" s="82" t="str">
        <f>IF('Students Details'!C127="","",'Students Details'!C127)</f>
        <v/>
      </c>
      <c r="D127" s="83" t="str">
        <f>IF('M Component'!K128=0,"",'M Component'!K128)</f>
        <v/>
      </c>
      <c r="E127" s="83" t="str">
        <f>IF('M Component'!L128=0,"",'M Component'!L128)</f>
        <v/>
      </c>
      <c r="F127" s="83" t="str">
        <f>IF('M Component'!M128=0,"",'M Component'!M128)</f>
        <v/>
      </c>
      <c r="G127" s="83" t="str">
        <f>IF('M Component'!N128=0,"",'M Component'!N128)</f>
        <v/>
      </c>
      <c r="H127" s="83" t="str">
        <f>IF('M Component'!O128=0,"",'M Component'!O128)</f>
        <v/>
      </c>
      <c r="I127" s="83" t="str">
        <f>IF('M Component'!P128=0,"",'M Component'!P128)</f>
        <v/>
      </c>
      <c r="J127" s="84">
        <f t="shared" si="0"/>
        <v>0</v>
      </c>
      <c r="K127" s="16"/>
      <c r="L127" s="16"/>
      <c r="M127" s="16"/>
      <c r="N127" s="16"/>
      <c r="O127" s="16"/>
      <c r="P127" s="16"/>
      <c r="Q127" s="16"/>
      <c r="R127" s="16"/>
      <c r="S127" s="16"/>
      <c r="T127" s="16"/>
      <c r="U127" s="16"/>
      <c r="V127" s="16"/>
      <c r="W127" s="16"/>
      <c r="X127" s="16"/>
      <c r="Y127" s="16"/>
      <c r="Z127" s="16"/>
    </row>
    <row r="128" spans="1:26" ht="15.75" customHeight="1">
      <c r="A128" s="80">
        <f>'Students Details'!A128</f>
        <v>122</v>
      </c>
      <c r="B128" s="81" t="str">
        <f>IF('Students Details'!B128="","",'Students Details'!B128)</f>
        <v/>
      </c>
      <c r="C128" s="82" t="str">
        <f>IF('Students Details'!C128="","",'Students Details'!C128)</f>
        <v/>
      </c>
      <c r="D128" s="83" t="str">
        <f>IF('M Component'!K129=0,"",'M Component'!K129)</f>
        <v/>
      </c>
      <c r="E128" s="83" t="str">
        <f>IF('M Component'!L129=0,"",'M Component'!L129)</f>
        <v/>
      </c>
      <c r="F128" s="83" t="str">
        <f>IF('M Component'!M129=0,"",'M Component'!M129)</f>
        <v/>
      </c>
      <c r="G128" s="83" t="str">
        <f>IF('M Component'!N129=0,"",'M Component'!N129)</f>
        <v/>
      </c>
      <c r="H128" s="83" t="str">
        <f>IF('M Component'!O129=0,"",'M Component'!O129)</f>
        <v/>
      </c>
      <c r="I128" s="83" t="str">
        <f>IF('M Component'!P129=0,"",'M Component'!P129)</f>
        <v/>
      </c>
      <c r="J128" s="84">
        <f t="shared" si="0"/>
        <v>0</v>
      </c>
      <c r="K128" s="16"/>
      <c r="L128" s="16"/>
      <c r="M128" s="16"/>
      <c r="N128" s="16"/>
      <c r="O128" s="16"/>
      <c r="P128" s="16"/>
      <c r="Q128" s="16"/>
      <c r="R128" s="16"/>
      <c r="S128" s="16"/>
      <c r="T128" s="16"/>
      <c r="U128" s="16"/>
      <c r="V128" s="16"/>
      <c r="W128" s="16"/>
      <c r="X128" s="16"/>
      <c r="Y128" s="16"/>
      <c r="Z128" s="16"/>
    </row>
    <row r="129" spans="1:26" ht="15.75" customHeight="1">
      <c r="A129" s="80">
        <f>'Students Details'!A129</f>
        <v>123</v>
      </c>
      <c r="B129" s="81" t="str">
        <f>IF('Students Details'!B129="","",'Students Details'!B129)</f>
        <v/>
      </c>
      <c r="C129" s="82" t="str">
        <f>IF('Students Details'!C129="","",'Students Details'!C129)</f>
        <v/>
      </c>
      <c r="D129" s="83" t="str">
        <f>IF('M Component'!K130=0,"",'M Component'!K130)</f>
        <v/>
      </c>
      <c r="E129" s="83" t="str">
        <f>IF('M Component'!L130=0,"",'M Component'!L130)</f>
        <v/>
      </c>
      <c r="F129" s="83" t="str">
        <f>IF('M Component'!M130=0,"",'M Component'!M130)</f>
        <v/>
      </c>
      <c r="G129" s="83" t="str">
        <f>IF('M Component'!N130=0,"",'M Component'!N130)</f>
        <v/>
      </c>
      <c r="H129" s="83" t="str">
        <f>IF('M Component'!O130=0,"",'M Component'!O130)</f>
        <v/>
      </c>
      <c r="I129" s="83" t="str">
        <f>IF('M Component'!P130=0,"",'M Component'!P130)</f>
        <v/>
      </c>
      <c r="J129" s="84">
        <f t="shared" si="0"/>
        <v>0</v>
      </c>
      <c r="K129" s="16"/>
      <c r="L129" s="16"/>
      <c r="M129" s="16"/>
      <c r="N129" s="16"/>
      <c r="O129" s="16"/>
      <c r="P129" s="16"/>
      <c r="Q129" s="16"/>
      <c r="R129" s="16"/>
      <c r="S129" s="16"/>
      <c r="T129" s="16"/>
      <c r="U129" s="16"/>
      <c r="V129" s="16"/>
      <c r="W129" s="16"/>
      <c r="X129" s="16"/>
      <c r="Y129" s="16"/>
      <c r="Z129" s="16"/>
    </row>
    <row r="130" spans="1:26" ht="15.75" customHeight="1">
      <c r="A130" s="80">
        <f>'Students Details'!A130</f>
        <v>124</v>
      </c>
      <c r="B130" s="81" t="str">
        <f>IF('Students Details'!B130="","",'Students Details'!B130)</f>
        <v/>
      </c>
      <c r="C130" s="82" t="str">
        <f>IF('Students Details'!C130="","",'Students Details'!C130)</f>
        <v/>
      </c>
      <c r="D130" s="83" t="str">
        <f>IF('M Component'!K131=0,"",'M Component'!K131)</f>
        <v/>
      </c>
      <c r="E130" s="83" t="str">
        <f>IF('M Component'!L131=0,"",'M Component'!L131)</f>
        <v/>
      </c>
      <c r="F130" s="83" t="str">
        <f>IF('M Component'!M131=0,"",'M Component'!M131)</f>
        <v/>
      </c>
      <c r="G130" s="83" t="str">
        <f>IF('M Component'!N131=0,"",'M Component'!N131)</f>
        <v/>
      </c>
      <c r="H130" s="83" t="str">
        <f>IF('M Component'!O131=0,"",'M Component'!O131)</f>
        <v/>
      </c>
      <c r="I130" s="83" t="str">
        <f>IF('M Component'!P131=0,"",'M Component'!P131)</f>
        <v/>
      </c>
      <c r="J130" s="84">
        <f t="shared" si="0"/>
        <v>0</v>
      </c>
      <c r="K130" s="16"/>
      <c r="L130" s="16"/>
      <c r="M130" s="16"/>
      <c r="N130" s="16"/>
      <c r="O130" s="16"/>
      <c r="P130" s="16"/>
      <c r="Q130" s="16"/>
      <c r="R130" s="16"/>
      <c r="S130" s="16"/>
      <c r="T130" s="16"/>
      <c r="U130" s="16"/>
      <c r="V130" s="16"/>
      <c r="W130" s="16"/>
      <c r="X130" s="16"/>
      <c r="Y130" s="16"/>
      <c r="Z130" s="16"/>
    </row>
    <row r="131" spans="1:26" ht="15.75" customHeight="1">
      <c r="A131" s="80">
        <f>'Students Details'!A131</f>
        <v>125</v>
      </c>
      <c r="B131" s="81" t="str">
        <f>IF('Students Details'!B131="","",'Students Details'!B131)</f>
        <v/>
      </c>
      <c r="C131" s="82" t="str">
        <f>IF('Students Details'!C131="","",'Students Details'!C131)</f>
        <v/>
      </c>
      <c r="D131" s="83" t="str">
        <f>IF('M Component'!K132=0,"",'M Component'!K132)</f>
        <v/>
      </c>
      <c r="E131" s="83" t="str">
        <f>IF('M Component'!L132=0,"",'M Component'!L132)</f>
        <v/>
      </c>
      <c r="F131" s="83" t="str">
        <f>IF('M Component'!M132=0,"",'M Component'!M132)</f>
        <v/>
      </c>
      <c r="G131" s="83" t="str">
        <f>IF('M Component'!N132=0,"",'M Component'!N132)</f>
        <v/>
      </c>
      <c r="H131" s="83" t="str">
        <f>IF('M Component'!O132=0,"",'M Component'!O132)</f>
        <v/>
      </c>
      <c r="I131" s="83" t="str">
        <f>IF('M Component'!P132=0,"",'M Component'!P132)</f>
        <v/>
      </c>
      <c r="J131" s="84">
        <f t="shared" si="0"/>
        <v>0</v>
      </c>
      <c r="K131" s="16"/>
      <c r="L131" s="16"/>
      <c r="M131" s="16"/>
      <c r="N131" s="16"/>
      <c r="O131" s="16"/>
      <c r="P131" s="16"/>
      <c r="Q131" s="16"/>
      <c r="R131" s="16"/>
      <c r="S131" s="16"/>
      <c r="T131" s="16"/>
      <c r="U131" s="16"/>
      <c r="V131" s="16"/>
      <c r="W131" s="16"/>
      <c r="X131" s="16"/>
      <c r="Y131" s="16"/>
      <c r="Z131" s="16"/>
    </row>
    <row r="132" spans="1:26" ht="15.75" customHeight="1">
      <c r="A132" s="80">
        <f>'Students Details'!A132</f>
        <v>126</v>
      </c>
      <c r="B132" s="81" t="str">
        <f>IF('Students Details'!B132="","",'Students Details'!B132)</f>
        <v/>
      </c>
      <c r="C132" s="82" t="str">
        <f>IF('Students Details'!C132="","",'Students Details'!C132)</f>
        <v/>
      </c>
      <c r="D132" s="83" t="str">
        <f>IF('M Component'!K133=0,"",'M Component'!K133)</f>
        <v/>
      </c>
      <c r="E132" s="83" t="str">
        <f>IF('M Component'!L133=0,"",'M Component'!L133)</f>
        <v/>
      </c>
      <c r="F132" s="83" t="str">
        <f>IF('M Component'!M133=0,"",'M Component'!M133)</f>
        <v/>
      </c>
      <c r="G132" s="83" t="str">
        <f>IF('M Component'!N133=0,"",'M Component'!N133)</f>
        <v/>
      </c>
      <c r="H132" s="83" t="str">
        <f>IF('M Component'!O133=0,"",'M Component'!O133)</f>
        <v/>
      </c>
      <c r="I132" s="83" t="str">
        <f>IF('M Component'!P133=0,"",'M Component'!P133)</f>
        <v/>
      </c>
      <c r="J132" s="84">
        <f t="shared" si="0"/>
        <v>0</v>
      </c>
      <c r="K132" s="16"/>
      <c r="L132" s="16"/>
      <c r="M132" s="16"/>
      <c r="N132" s="16"/>
      <c r="O132" s="16"/>
      <c r="P132" s="16"/>
      <c r="Q132" s="16"/>
      <c r="R132" s="16"/>
      <c r="S132" s="16"/>
      <c r="T132" s="16"/>
      <c r="U132" s="16"/>
      <c r="V132" s="16"/>
      <c r="W132" s="16"/>
      <c r="X132" s="16"/>
      <c r="Y132" s="16"/>
      <c r="Z132" s="16"/>
    </row>
    <row r="133" spans="1:26" ht="15.75" customHeight="1">
      <c r="A133" s="80">
        <f>'Students Details'!A133</f>
        <v>127</v>
      </c>
      <c r="B133" s="81" t="str">
        <f>IF('Students Details'!B133="","",'Students Details'!B133)</f>
        <v/>
      </c>
      <c r="C133" s="82" t="str">
        <f>IF('Students Details'!C133="","",'Students Details'!C133)</f>
        <v/>
      </c>
      <c r="D133" s="83" t="str">
        <f>IF('M Component'!K134=0,"",'M Component'!K134)</f>
        <v/>
      </c>
      <c r="E133" s="83" t="str">
        <f>IF('M Component'!L134=0,"",'M Component'!L134)</f>
        <v/>
      </c>
      <c r="F133" s="83" t="str">
        <f>IF('M Component'!M134=0,"",'M Component'!M134)</f>
        <v/>
      </c>
      <c r="G133" s="83" t="str">
        <f>IF('M Component'!N134=0,"",'M Component'!N134)</f>
        <v/>
      </c>
      <c r="H133" s="83" t="str">
        <f>IF('M Component'!O134=0,"",'M Component'!O134)</f>
        <v/>
      </c>
      <c r="I133" s="83" t="str">
        <f>IF('M Component'!P134=0,"",'M Component'!P134)</f>
        <v/>
      </c>
      <c r="J133" s="84">
        <f t="shared" si="0"/>
        <v>0</v>
      </c>
      <c r="K133" s="16"/>
      <c r="L133" s="16"/>
      <c r="M133" s="16"/>
      <c r="N133" s="16"/>
      <c r="O133" s="16"/>
      <c r="P133" s="16"/>
      <c r="Q133" s="16"/>
      <c r="R133" s="16"/>
      <c r="S133" s="16"/>
      <c r="T133" s="16"/>
      <c r="U133" s="16"/>
      <c r="V133" s="16"/>
      <c r="W133" s="16"/>
      <c r="X133" s="16"/>
      <c r="Y133" s="16"/>
      <c r="Z133" s="16"/>
    </row>
    <row r="134" spans="1:26" ht="15.75" customHeight="1">
      <c r="A134" s="80">
        <f>'Students Details'!A134</f>
        <v>128</v>
      </c>
      <c r="B134" s="81" t="str">
        <f>IF('Students Details'!B134="","",'Students Details'!B134)</f>
        <v/>
      </c>
      <c r="C134" s="82" t="str">
        <f>IF('Students Details'!C134="","",'Students Details'!C134)</f>
        <v/>
      </c>
      <c r="D134" s="83" t="str">
        <f>IF('M Component'!K135=0,"",'M Component'!K135)</f>
        <v/>
      </c>
      <c r="E134" s="83" t="str">
        <f>IF('M Component'!L135=0,"",'M Component'!L135)</f>
        <v/>
      </c>
      <c r="F134" s="83" t="str">
        <f>IF('M Component'!M135=0,"",'M Component'!M135)</f>
        <v/>
      </c>
      <c r="G134" s="83" t="str">
        <f>IF('M Component'!N135=0,"",'M Component'!N135)</f>
        <v/>
      </c>
      <c r="H134" s="83" t="str">
        <f>IF('M Component'!O135=0,"",'M Component'!O135)</f>
        <v/>
      </c>
      <c r="I134" s="83" t="str">
        <f>IF('M Component'!P135=0,"",'M Component'!P135)</f>
        <v/>
      </c>
      <c r="J134" s="84">
        <f t="shared" si="0"/>
        <v>0</v>
      </c>
      <c r="K134" s="16"/>
      <c r="L134" s="16"/>
      <c r="M134" s="16"/>
      <c r="N134" s="16"/>
      <c r="O134" s="16"/>
      <c r="P134" s="16"/>
      <c r="Q134" s="16"/>
      <c r="R134" s="16"/>
      <c r="S134" s="16"/>
      <c r="T134" s="16"/>
      <c r="U134" s="16"/>
      <c r="V134" s="16"/>
      <c r="W134" s="16"/>
      <c r="X134" s="16"/>
      <c r="Y134" s="16"/>
      <c r="Z134" s="16"/>
    </row>
    <row r="135" spans="1:26" ht="15.75" customHeight="1">
      <c r="A135" s="80">
        <f>'Students Details'!A135</f>
        <v>129</v>
      </c>
      <c r="B135" s="81" t="str">
        <f>IF('Students Details'!B135="","",'Students Details'!B135)</f>
        <v/>
      </c>
      <c r="C135" s="82" t="str">
        <f>IF('Students Details'!C135="","",'Students Details'!C135)</f>
        <v/>
      </c>
      <c r="D135" s="83" t="str">
        <f>IF('M Component'!K136=0,"",'M Component'!K136)</f>
        <v/>
      </c>
      <c r="E135" s="83" t="str">
        <f>IF('M Component'!L136=0,"",'M Component'!L136)</f>
        <v/>
      </c>
      <c r="F135" s="83" t="str">
        <f>IF('M Component'!M136=0,"",'M Component'!M136)</f>
        <v/>
      </c>
      <c r="G135" s="83" t="str">
        <f>IF('M Component'!N136=0,"",'M Component'!N136)</f>
        <v/>
      </c>
      <c r="H135" s="83" t="str">
        <f>IF('M Component'!O136=0,"",'M Component'!O136)</f>
        <v/>
      </c>
      <c r="I135" s="83" t="str">
        <f>IF('M Component'!P136=0,"",'M Component'!P136)</f>
        <v/>
      </c>
      <c r="J135" s="84">
        <f t="shared" si="0"/>
        <v>0</v>
      </c>
      <c r="K135" s="16"/>
      <c r="L135" s="16"/>
      <c r="M135" s="16"/>
      <c r="N135" s="16"/>
      <c r="O135" s="16"/>
      <c r="P135" s="16"/>
      <c r="Q135" s="16"/>
      <c r="R135" s="16"/>
      <c r="S135" s="16"/>
      <c r="T135" s="16"/>
      <c r="U135" s="16"/>
      <c r="V135" s="16"/>
      <c r="W135" s="16"/>
      <c r="X135" s="16"/>
      <c r="Y135" s="16"/>
      <c r="Z135" s="16"/>
    </row>
    <row r="136" spans="1:26" ht="15.75" customHeight="1">
      <c r="A136" s="80">
        <f>'Students Details'!A136</f>
        <v>130</v>
      </c>
      <c r="B136" s="81" t="str">
        <f>IF('Students Details'!B136="","",'Students Details'!B136)</f>
        <v/>
      </c>
      <c r="C136" s="82" t="str">
        <f>IF('Students Details'!C136="","",'Students Details'!C136)</f>
        <v/>
      </c>
      <c r="D136" s="83" t="str">
        <f>IF('M Component'!K137=0,"",'M Component'!K137)</f>
        <v/>
      </c>
      <c r="E136" s="83" t="str">
        <f>IF('M Component'!L137=0,"",'M Component'!L137)</f>
        <v/>
      </c>
      <c r="F136" s="83" t="str">
        <f>IF('M Component'!M137=0,"",'M Component'!M137)</f>
        <v/>
      </c>
      <c r="G136" s="83" t="str">
        <f>IF('M Component'!N137=0,"",'M Component'!N137)</f>
        <v/>
      </c>
      <c r="H136" s="83" t="str">
        <f>IF('M Component'!O137=0,"",'M Component'!O137)</f>
        <v/>
      </c>
      <c r="I136" s="83" t="str">
        <f>IF('M Component'!P137=0,"",'M Component'!P137)</f>
        <v/>
      </c>
      <c r="J136" s="84">
        <f t="shared" si="0"/>
        <v>0</v>
      </c>
      <c r="K136" s="16"/>
      <c r="L136" s="16"/>
      <c r="M136" s="16"/>
      <c r="N136" s="16"/>
      <c r="O136" s="16"/>
      <c r="P136" s="16"/>
      <c r="Q136" s="16"/>
      <c r="R136" s="16"/>
      <c r="S136" s="16"/>
      <c r="T136" s="16"/>
      <c r="U136" s="16"/>
      <c r="V136" s="16"/>
      <c r="W136" s="16"/>
      <c r="X136" s="16"/>
      <c r="Y136" s="16"/>
      <c r="Z136" s="16"/>
    </row>
    <row r="137" spans="1:26" ht="15.75" customHeight="1">
      <c r="A137" s="80">
        <f>'Students Details'!A137</f>
        <v>131</v>
      </c>
      <c r="B137" s="81" t="str">
        <f>IF('Students Details'!B137="","",'Students Details'!B137)</f>
        <v/>
      </c>
      <c r="C137" s="82" t="str">
        <f>IF('Students Details'!C137="","",'Students Details'!C137)</f>
        <v/>
      </c>
      <c r="D137" s="83" t="str">
        <f>IF('M Component'!K138=0,"",'M Component'!K138)</f>
        <v/>
      </c>
      <c r="E137" s="83" t="str">
        <f>IF('M Component'!L138=0,"",'M Component'!L138)</f>
        <v/>
      </c>
      <c r="F137" s="83" t="str">
        <f>IF('M Component'!M138=0,"",'M Component'!M138)</f>
        <v/>
      </c>
      <c r="G137" s="83" t="str">
        <f>IF('M Component'!N138=0,"",'M Component'!N138)</f>
        <v/>
      </c>
      <c r="H137" s="83" t="str">
        <f>IF('M Component'!O138=0,"",'M Component'!O138)</f>
        <v/>
      </c>
      <c r="I137" s="83" t="str">
        <f>IF('M Component'!P138=0,"",'M Component'!P138)</f>
        <v/>
      </c>
      <c r="J137" s="84">
        <f t="shared" si="0"/>
        <v>0</v>
      </c>
      <c r="K137" s="16"/>
      <c r="L137" s="16"/>
      <c r="M137" s="16"/>
      <c r="N137" s="16"/>
      <c r="O137" s="16"/>
      <c r="P137" s="16"/>
      <c r="Q137" s="16"/>
      <c r="R137" s="16"/>
      <c r="S137" s="16"/>
      <c r="T137" s="16"/>
      <c r="U137" s="16"/>
      <c r="V137" s="16"/>
      <c r="W137" s="16"/>
      <c r="X137" s="16"/>
      <c r="Y137" s="16"/>
      <c r="Z137" s="16"/>
    </row>
    <row r="138" spans="1:26" ht="15.75" customHeight="1">
      <c r="A138" s="80">
        <f>'Students Details'!A138</f>
        <v>132</v>
      </c>
      <c r="B138" s="81" t="str">
        <f>IF('Students Details'!B138="","",'Students Details'!B138)</f>
        <v/>
      </c>
      <c r="C138" s="82" t="str">
        <f>IF('Students Details'!C138="","",'Students Details'!C138)</f>
        <v/>
      </c>
      <c r="D138" s="83" t="str">
        <f>IF('M Component'!K139=0,"",'M Component'!K139)</f>
        <v/>
      </c>
      <c r="E138" s="83" t="str">
        <f>IF('M Component'!L139=0,"",'M Component'!L139)</f>
        <v/>
      </c>
      <c r="F138" s="83" t="str">
        <f>IF('M Component'!M139=0,"",'M Component'!M139)</f>
        <v/>
      </c>
      <c r="G138" s="83" t="str">
        <f>IF('M Component'!N139=0,"",'M Component'!N139)</f>
        <v/>
      </c>
      <c r="H138" s="83" t="str">
        <f>IF('M Component'!O139=0,"",'M Component'!O139)</f>
        <v/>
      </c>
      <c r="I138" s="83" t="str">
        <f>IF('M Component'!P139=0,"",'M Component'!P139)</f>
        <v/>
      </c>
      <c r="J138" s="84">
        <f t="shared" si="0"/>
        <v>0</v>
      </c>
      <c r="K138" s="16"/>
      <c r="L138" s="16"/>
      <c r="M138" s="16"/>
      <c r="N138" s="16"/>
      <c r="O138" s="16"/>
      <c r="P138" s="16"/>
      <c r="Q138" s="16"/>
      <c r="R138" s="16"/>
      <c r="S138" s="16"/>
      <c r="T138" s="16"/>
      <c r="U138" s="16"/>
      <c r="V138" s="16"/>
      <c r="W138" s="16"/>
      <c r="X138" s="16"/>
      <c r="Y138" s="16"/>
      <c r="Z138" s="16"/>
    </row>
    <row r="139" spans="1:26" ht="15.75" customHeight="1">
      <c r="A139" s="80">
        <f>'Students Details'!A139</f>
        <v>133</v>
      </c>
      <c r="B139" s="81" t="str">
        <f>IF('Students Details'!B139="","",'Students Details'!B139)</f>
        <v/>
      </c>
      <c r="C139" s="82" t="str">
        <f>IF('Students Details'!C139="","",'Students Details'!C139)</f>
        <v/>
      </c>
      <c r="D139" s="83" t="str">
        <f>IF('M Component'!K140=0,"",'M Component'!K140)</f>
        <v/>
      </c>
      <c r="E139" s="83" t="str">
        <f>IF('M Component'!L140=0,"",'M Component'!L140)</f>
        <v/>
      </c>
      <c r="F139" s="83" t="str">
        <f>IF('M Component'!M140=0,"",'M Component'!M140)</f>
        <v/>
      </c>
      <c r="G139" s="83" t="str">
        <f>IF('M Component'!N140=0,"",'M Component'!N140)</f>
        <v/>
      </c>
      <c r="H139" s="83" t="str">
        <f>IF('M Component'!O140=0,"",'M Component'!O140)</f>
        <v/>
      </c>
      <c r="I139" s="83" t="str">
        <f>IF('M Component'!P140=0,"",'M Component'!P140)</f>
        <v/>
      </c>
      <c r="J139" s="84">
        <f t="shared" si="0"/>
        <v>0</v>
      </c>
      <c r="K139" s="16"/>
      <c r="L139" s="16"/>
      <c r="M139" s="16"/>
      <c r="N139" s="16"/>
      <c r="O139" s="16"/>
      <c r="P139" s="16"/>
      <c r="Q139" s="16"/>
      <c r="R139" s="16"/>
      <c r="S139" s="16"/>
      <c r="T139" s="16"/>
      <c r="U139" s="16"/>
      <c r="V139" s="16"/>
      <c r="W139" s="16"/>
      <c r="X139" s="16"/>
      <c r="Y139" s="16"/>
      <c r="Z139" s="16"/>
    </row>
    <row r="140" spans="1:26" ht="15.75" customHeight="1">
      <c r="A140" s="80">
        <f>'Students Details'!A140</f>
        <v>134</v>
      </c>
      <c r="B140" s="81" t="str">
        <f>IF('Students Details'!B140="","",'Students Details'!B140)</f>
        <v/>
      </c>
      <c r="C140" s="82" t="str">
        <f>IF('Students Details'!C140="","",'Students Details'!C140)</f>
        <v/>
      </c>
      <c r="D140" s="83" t="str">
        <f>IF('M Component'!K141=0,"",'M Component'!K141)</f>
        <v/>
      </c>
      <c r="E140" s="83" t="str">
        <f>IF('M Component'!L141=0,"",'M Component'!L141)</f>
        <v/>
      </c>
      <c r="F140" s="83" t="str">
        <f>IF('M Component'!M141=0,"",'M Component'!M141)</f>
        <v/>
      </c>
      <c r="G140" s="83" t="str">
        <f>IF('M Component'!N141=0,"",'M Component'!N141)</f>
        <v/>
      </c>
      <c r="H140" s="83" t="str">
        <f>IF('M Component'!O141=0,"",'M Component'!O141)</f>
        <v/>
      </c>
      <c r="I140" s="83" t="str">
        <f>IF('M Component'!P141=0,"",'M Component'!P141)</f>
        <v/>
      </c>
      <c r="J140" s="84">
        <f t="shared" si="0"/>
        <v>0</v>
      </c>
      <c r="K140" s="16"/>
      <c r="L140" s="16"/>
      <c r="M140" s="16"/>
      <c r="N140" s="16"/>
      <c r="O140" s="16"/>
      <c r="P140" s="16"/>
      <c r="Q140" s="16"/>
      <c r="R140" s="16"/>
      <c r="S140" s="16"/>
      <c r="T140" s="16"/>
      <c r="U140" s="16"/>
      <c r="V140" s="16"/>
      <c r="W140" s="16"/>
      <c r="X140" s="16"/>
      <c r="Y140" s="16"/>
      <c r="Z140" s="16"/>
    </row>
    <row r="141" spans="1:26" ht="15.75" customHeight="1">
      <c r="A141" s="80">
        <f>'Students Details'!A141</f>
        <v>135</v>
      </c>
      <c r="B141" s="81" t="str">
        <f>IF('Students Details'!B141="","",'Students Details'!B141)</f>
        <v/>
      </c>
      <c r="C141" s="82" t="str">
        <f>IF('Students Details'!C141="","",'Students Details'!C141)</f>
        <v/>
      </c>
      <c r="D141" s="83" t="str">
        <f>IF('M Component'!K142=0,"",'M Component'!K142)</f>
        <v/>
      </c>
      <c r="E141" s="83" t="str">
        <f>IF('M Component'!L142=0,"",'M Component'!L142)</f>
        <v/>
      </c>
      <c r="F141" s="83" t="str">
        <f>IF('M Component'!M142=0,"",'M Component'!M142)</f>
        <v/>
      </c>
      <c r="G141" s="83" t="str">
        <f>IF('M Component'!N142=0,"",'M Component'!N142)</f>
        <v/>
      </c>
      <c r="H141" s="83" t="str">
        <f>IF('M Component'!O142=0,"",'M Component'!O142)</f>
        <v/>
      </c>
      <c r="I141" s="83" t="str">
        <f>IF('M Component'!P142=0,"",'M Component'!P142)</f>
        <v/>
      </c>
      <c r="J141" s="84">
        <f t="shared" si="0"/>
        <v>0</v>
      </c>
      <c r="K141" s="16"/>
      <c r="L141" s="16"/>
      <c r="M141" s="16"/>
      <c r="N141" s="16"/>
      <c r="O141" s="16"/>
      <c r="P141" s="16"/>
      <c r="Q141" s="16"/>
      <c r="R141" s="16"/>
      <c r="S141" s="16"/>
      <c r="T141" s="16"/>
      <c r="U141" s="16"/>
      <c r="V141" s="16"/>
      <c r="W141" s="16"/>
      <c r="X141" s="16"/>
      <c r="Y141" s="16"/>
      <c r="Z141" s="16"/>
    </row>
    <row r="142" spans="1:26" ht="15.75" customHeight="1">
      <c r="A142" s="80">
        <f>'Students Details'!A142</f>
        <v>136</v>
      </c>
      <c r="B142" s="81" t="str">
        <f>IF('Students Details'!B142="","",'Students Details'!B142)</f>
        <v/>
      </c>
      <c r="C142" s="82" t="str">
        <f>IF('Students Details'!C142="","",'Students Details'!C142)</f>
        <v/>
      </c>
      <c r="D142" s="83" t="str">
        <f>IF('M Component'!K143=0,"",'M Component'!K143)</f>
        <v/>
      </c>
      <c r="E142" s="83" t="str">
        <f>IF('M Component'!L143=0,"",'M Component'!L143)</f>
        <v/>
      </c>
      <c r="F142" s="83" t="str">
        <f>IF('M Component'!M143=0,"",'M Component'!M143)</f>
        <v/>
      </c>
      <c r="G142" s="83" t="str">
        <f>IF('M Component'!N143=0,"",'M Component'!N143)</f>
        <v/>
      </c>
      <c r="H142" s="83" t="str">
        <f>IF('M Component'!O143=0,"",'M Component'!O143)</f>
        <v/>
      </c>
      <c r="I142" s="83" t="str">
        <f>IF('M Component'!P143=0,"",'M Component'!P143)</f>
        <v/>
      </c>
      <c r="J142" s="84">
        <f t="shared" si="0"/>
        <v>0</v>
      </c>
      <c r="K142" s="16"/>
      <c r="L142" s="16"/>
      <c r="M142" s="16"/>
      <c r="N142" s="16"/>
      <c r="O142" s="16"/>
      <c r="P142" s="16"/>
      <c r="Q142" s="16"/>
      <c r="R142" s="16"/>
      <c r="S142" s="16"/>
      <c r="T142" s="16"/>
      <c r="U142" s="16"/>
      <c r="V142" s="16"/>
      <c r="W142" s="16"/>
      <c r="X142" s="16"/>
      <c r="Y142" s="16"/>
      <c r="Z142" s="16"/>
    </row>
    <row r="143" spans="1:26" ht="15.75" customHeight="1">
      <c r="A143" s="80">
        <f>'Students Details'!A143</f>
        <v>137</v>
      </c>
      <c r="B143" s="81" t="str">
        <f>IF('Students Details'!B143="","",'Students Details'!B143)</f>
        <v/>
      </c>
      <c r="C143" s="82" t="str">
        <f>IF('Students Details'!C143="","",'Students Details'!C143)</f>
        <v/>
      </c>
      <c r="D143" s="83" t="str">
        <f>IF('M Component'!K144=0,"",'M Component'!K144)</f>
        <v/>
      </c>
      <c r="E143" s="83" t="str">
        <f>IF('M Component'!L144=0,"",'M Component'!L144)</f>
        <v/>
      </c>
      <c r="F143" s="83" t="str">
        <f>IF('M Component'!M144=0,"",'M Component'!M144)</f>
        <v/>
      </c>
      <c r="G143" s="83" t="str">
        <f>IF('M Component'!N144=0,"",'M Component'!N144)</f>
        <v/>
      </c>
      <c r="H143" s="83" t="str">
        <f>IF('M Component'!O144=0,"",'M Component'!O144)</f>
        <v/>
      </c>
      <c r="I143" s="83" t="str">
        <f>IF('M Component'!P144=0,"",'M Component'!P144)</f>
        <v/>
      </c>
      <c r="J143" s="84">
        <f t="shared" si="0"/>
        <v>0</v>
      </c>
      <c r="K143" s="16"/>
      <c r="L143" s="16"/>
      <c r="M143" s="16"/>
      <c r="N143" s="16"/>
      <c r="O143" s="16"/>
      <c r="P143" s="16"/>
      <c r="Q143" s="16"/>
      <c r="R143" s="16"/>
      <c r="S143" s="16"/>
      <c r="T143" s="16"/>
      <c r="U143" s="16"/>
      <c r="V143" s="16"/>
      <c r="W143" s="16"/>
      <c r="X143" s="16"/>
      <c r="Y143" s="16"/>
      <c r="Z143" s="16"/>
    </row>
    <row r="144" spans="1:26" ht="15.75" customHeight="1">
      <c r="A144" s="80">
        <f>'Students Details'!A144</f>
        <v>138</v>
      </c>
      <c r="B144" s="81" t="str">
        <f>IF('Students Details'!B144="","",'Students Details'!B144)</f>
        <v/>
      </c>
      <c r="C144" s="82" t="str">
        <f>IF('Students Details'!C144="","",'Students Details'!C144)</f>
        <v/>
      </c>
      <c r="D144" s="83" t="str">
        <f>IF('M Component'!K145=0,"",'M Component'!K145)</f>
        <v/>
      </c>
      <c r="E144" s="83" t="str">
        <f>IF('M Component'!L145=0,"",'M Component'!L145)</f>
        <v/>
      </c>
      <c r="F144" s="83" t="str">
        <f>IF('M Component'!M145=0,"",'M Component'!M145)</f>
        <v/>
      </c>
      <c r="G144" s="83" t="str">
        <f>IF('M Component'!N145=0,"",'M Component'!N145)</f>
        <v/>
      </c>
      <c r="H144" s="83" t="str">
        <f>IF('M Component'!O145=0,"",'M Component'!O145)</f>
        <v/>
      </c>
      <c r="I144" s="83" t="str">
        <f>IF('M Component'!P145=0,"",'M Component'!P145)</f>
        <v/>
      </c>
      <c r="J144" s="84">
        <f t="shared" si="0"/>
        <v>0</v>
      </c>
      <c r="K144" s="16"/>
      <c r="L144" s="16"/>
      <c r="M144" s="16"/>
      <c r="N144" s="16"/>
      <c r="O144" s="16"/>
      <c r="P144" s="16"/>
      <c r="Q144" s="16"/>
      <c r="R144" s="16"/>
      <c r="S144" s="16"/>
      <c r="T144" s="16"/>
      <c r="U144" s="16"/>
      <c r="V144" s="16"/>
      <c r="W144" s="16"/>
      <c r="X144" s="16"/>
      <c r="Y144" s="16"/>
      <c r="Z144" s="16"/>
    </row>
    <row r="145" spans="1:26" ht="15.75" customHeight="1">
      <c r="A145" s="80">
        <f>'Students Details'!A145</f>
        <v>139</v>
      </c>
      <c r="B145" s="81" t="str">
        <f>IF('Students Details'!B145="","",'Students Details'!B145)</f>
        <v/>
      </c>
      <c r="C145" s="82" t="str">
        <f>IF('Students Details'!C145="","",'Students Details'!C145)</f>
        <v/>
      </c>
      <c r="D145" s="83" t="str">
        <f>IF('M Component'!K146=0,"",'M Component'!K146)</f>
        <v/>
      </c>
      <c r="E145" s="83" t="str">
        <f>IF('M Component'!L146=0,"",'M Component'!L146)</f>
        <v/>
      </c>
      <c r="F145" s="83" t="str">
        <f>IF('M Component'!M146=0,"",'M Component'!M146)</f>
        <v/>
      </c>
      <c r="G145" s="83" t="str">
        <f>IF('M Component'!N146=0,"",'M Component'!N146)</f>
        <v/>
      </c>
      <c r="H145" s="83" t="str">
        <f>IF('M Component'!O146=0,"",'M Component'!O146)</f>
        <v/>
      </c>
      <c r="I145" s="83" t="str">
        <f>IF('M Component'!P146=0,"",'M Component'!P146)</f>
        <v/>
      </c>
      <c r="J145" s="84">
        <f t="shared" si="0"/>
        <v>0</v>
      </c>
      <c r="K145" s="16"/>
      <c r="L145" s="16"/>
      <c r="M145" s="16"/>
      <c r="N145" s="16"/>
      <c r="O145" s="16"/>
      <c r="P145" s="16"/>
      <c r="Q145" s="16"/>
      <c r="R145" s="16"/>
      <c r="S145" s="16"/>
      <c r="T145" s="16"/>
      <c r="U145" s="16"/>
      <c r="V145" s="16"/>
      <c r="W145" s="16"/>
      <c r="X145" s="16"/>
      <c r="Y145" s="16"/>
      <c r="Z145" s="16"/>
    </row>
    <row r="146" spans="1:26" ht="15.75" customHeight="1">
      <c r="A146" s="80">
        <f>'Students Details'!A146</f>
        <v>140</v>
      </c>
      <c r="B146" s="81" t="str">
        <f>IF('Students Details'!B146="","",'Students Details'!B146)</f>
        <v/>
      </c>
      <c r="C146" s="82" t="str">
        <f>IF('Students Details'!C146="","",'Students Details'!C146)</f>
        <v/>
      </c>
      <c r="D146" s="83" t="str">
        <f>IF('M Component'!K147=0,"",'M Component'!K147)</f>
        <v/>
      </c>
      <c r="E146" s="83" t="str">
        <f>IF('M Component'!L147=0,"",'M Component'!L147)</f>
        <v/>
      </c>
      <c r="F146" s="83" t="str">
        <f>IF('M Component'!M147=0,"",'M Component'!M147)</f>
        <v/>
      </c>
      <c r="G146" s="83" t="str">
        <f>IF('M Component'!N147=0,"",'M Component'!N147)</f>
        <v/>
      </c>
      <c r="H146" s="83" t="str">
        <f>IF('M Component'!O147=0,"",'M Component'!O147)</f>
        <v/>
      </c>
      <c r="I146" s="83" t="str">
        <f>IF('M Component'!P147=0,"",'M Component'!P147)</f>
        <v/>
      </c>
      <c r="J146" s="84">
        <f t="shared" si="0"/>
        <v>0</v>
      </c>
      <c r="K146" s="16"/>
      <c r="L146" s="16"/>
      <c r="M146" s="16"/>
      <c r="N146" s="16"/>
      <c r="O146" s="16"/>
      <c r="P146" s="16"/>
      <c r="Q146" s="16"/>
      <c r="R146" s="16"/>
      <c r="S146" s="16"/>
      <c r="T146" s="16"/>
      <c r="U146" s="16"/>
      <c r="V146" s="16"/>
      <c r="W146" s="16"/>
      <c r="X146" s="16"/>
      <c r="Y146" s="16"/>
      <c r="Z146" s="16"/>
    </row>
    <row r="147" spans="1:26" ht="15.75" customHeight="1">
      <c r="A147" s="80">
        <f>'Students Details'!A147</f>
        <v>141</v>
      </c>
      <c r="B147" s="81" t="str">
        <f>IF('Students Details'!B147="","",'Students Details'!B147)</f>
        <v/>
      </c>
      <c r="C147" s="82" t="str">
        <f>IF('Students Details'!C147="","",'Students Details'!C147)</f>
        <v/>
      </c>
      <c r="D147" s="83" t="str">
        <f>IF('M Component'!K148=0,"",'M Component'!K148)</f>
        <v/>
      </c>
      <c r="E147" s="83" t="str">
        <f>IF('M Component'!L148=0,"",'M Component'!L148)</f>
        <v/>
      </c>
      <c r="F147" s="83" t="str">
        <f>IF('M Component'!M148=0,"",'M Component'!M148)</f>
        <v/>
      </c>
      <c r="G147" s="83" t="str">
        <f>IF('M Component'!N148=0,"",'M Component'!N148)</f>
        <v/>
      </c>
      <c r="H147" s="83" t="str">
        <f>IF('M Component'!O148=0,"",'M Component'!O148)</f>
        <v/>
      </c>
      <c r="I147" s="83" t="str">
        <f>IF('M Component'!P148=0,"",'M Component'!P148)</f>
        <v/>
      </c>
      <c r="J147" s="84">
        <f t="shared" si="0"/>
        <v>0</v>
      </c>
      <c r="K147" s="16"/>
      <c r="L147" s="16"/>
      <c r="M147" s="16"/>
      <c r="N147" s="16"/>
      <c r="O147" s="16"/>
      <c r="P147" s="16"/>
      <c r="Q147" s="16"/>
      <c r="R147" s="16"/>
      <c r="S147" s="16"/>
      <c r="T147" s="16"/>
      <c r="U147" s="16"/>
      <c r="V147" s="16"/>
      <c r="W147" s="16"/>
      <c r="X147" s="16"/>
      <c r="Y147" s="16"/>
      <c r="Z147" s="16"/>
    </row>
    <row r="148" spans="1:26" ht="15.75" customHeight="1">
      <c r="A148" s="80">
        <f>'Students Details'!A148</f>
        <v>142</v>
      </c>
      <c r="B148" s="81" t="str">
        <f>IF('Students Details'!B148="","",'Students Details'!B148)</f>
        <v/>
      </c>
      <c r="C148" s="82" t="str">
        <f>IF('Students Details'!C148="","",'Students Details'!C148)</f>
        <v/>
      </c>
      <c r="D148" s="83" t="str">
        <f>IF('M Component'!K149=0,"",'M Component'!K149)</f>
        <v/>
      </c>
      <c r="E148" s="83" t="str">
        <f>IF('M Component'!L149=0,"",'M Component'!L149)</f>
        <v/>
      </c>
      <c r="F148" s="83" t="str">
        <f>IF('M Component'!M149=0,"",'M Component'!M149)</f>
        <v/>
      </c>
      <c r="G148" s="83" t="str">
        <f>IF('M Component'!N149=0,"",'M Component'!N149)</f>
        <v/>
      </c>
      <c r="H148" s="83" t="str">
        <f>IF('M Component'!O149=0,"",'M Component'!O149)</f>
        <v/>
      </c>
      <c r="I148" s="83" t="str">
        <f>IF('M Component'!P149=0,"",'M Component'!P149)</f>
        <v/>
      </c>
      <c r="J148" s="84">
        <f t="shared" si="0"/>
        <v>0</v>
      </c>
      <c r="K148" s="16"/>
      <c r="L148" s="16"/>
      <c r="M148" s="16"/>
      <c r="N148" s="16"/>
      <c r="O148" s="16"/>
      <c r="P148" s="16"/>
      <c r="Q148" s="16"/>
      <c r="R148" s="16"/>
      <c r="S148" s="16"/>
      <c r="T148" s="16"/>
      <c r="U148" s="16"/>
      <c r="V148" s="16"/>
      <c r="W148" s="16"/>
      <c r="X148" s="16"/>
      <c r="Y148" s="16"/>
      <c r="Z148" s="16"/>
    </row>
    <row r="149" spans="1:26" ht="15.75" customHeight="1">
      <c r="A149" s="80">
        <f>'Students Details'!A149</f>
        <v>143</v>
      </c>
      <c r="B149" s="81" t="str">
        <f>IF('Students Details'!B149="","",'Students Details'!B149)</f>
        <v/>
      </c>
      <c r="C149" s="82" t="str">
        <f>IF('Students Details'!C149="","",'Students Details'!C149)</f>
        <v/>
      </c>
      <c r="D149" s="83" t="str">
        <f>IF('M Component'!K150=0,"",'M Component'!K150)</f>
        <v/>
      </c>
      <c r="E149" s="83" t="str">
        <f>IF('M Component'!L150=0,"",'M Component'!L150)</f>
        <v/>
      </c>
      <c r="F149" s="83" t="str">
        <f>IF('M Component'!M150=0,"",'M Component'!M150)</f>
        <v/>
      </c>
      <c r="G149" s="83" t="str">
        <f>IF('M Component'!N150=0,"",'M Component'!N150)</f>
        <v/>
      </c>
      <c r="H149" s="83" t="str">
        <f>IF('M Component'!O150=0,"",'M Component'!O150)</f>
        <v/>
      </c>
      <c r="I149" s="83" t="str">
        <f>IF('M Component'!P150=0,"",'M Component'!P150)</f>
        <v/>
      </c>
      <c r="J149" s="84">
        <f t="shared" si="0"/>
        <v>0</v>
      </c>
      <c r="K149" s="16"/>
      <c r="L149" s="16"/>
      <c r="M149" s="16"/>
      <c r="N149" s="16"/>
      <c r="O149" s="16"/>
      <c r="P149" s="16"/>
      <c r="Q149" s="16"/>
      <c r="R149" s="16"/>
      <c r="S149" s="16"/>
      <c r="T149" s="16"/>
      <c r="U149" s="16"/>
      <c r="V149" s="16"/>
      <c r="W149" s="16"/>
      <c r="X149" s="16"/>
      <c r="Y149" s="16"/>
      <c r="Z149" s="16"/>
    </row>
    <row r="150" spans="1:26" ht="15.75" customHeight="1">
      <c r="A150" s="80">
        <f>'Students Details'!A150</f>
        <v>144</v>
      </c>
      <c r="B150" s="81" t="str">
        <f>IF('Students Details'!B150="","",'Students Details'!B150)</f>
        <v/>
      </c>
      <c r="C150" s="82" t="str">
        <f>IF('Students Details'!C150="","",'Students Details'!C150)</f>
        <v/>
      </c>
      <c r="D150" s="83" t="str">
        <f>IF('M Component'!K151=0,"",'M Component'!K151)</f>
        <v/>
      </c>
      <c r="E150" s="83" t="str">
        <f>IF('M Component'!L151=0,"",'M Component'!L151)</f>
        <v/>
      </c>
      <c r="F150" s="83" t="str">
        <f>IF('M Component'!M151=0,"",'M Component'!M151)</f>
        <v/>
      </c>
      <c r="G150" s="83" t="str">
        <f>IF('M Component'!N151=0,"",'M Component'!N151)</f>
        <v/>
      </c>
      <c r="H150" s="83" t="str">
        <f>IF('M Component'!O151=0,"",'M Component'!O151)</f>
        <v/>
      </c>
      <c r="I150" s="83" t="str">
        <f>IF('M Component'!P151=0,"",'M Component'!P151)</f>
        <v/>
      </c>
      <c r="J150" s="84">
        <f t="shared" si="0"/>
        <v>0</v>
      </c>
      <c r="K150" s="16"/>
      <c r="L150" s="16"/>
      <c r="M150" s="16"/>
      <c r="N150" s="16"/>
      <c r="O150" s="16"/>
      <c r="P150" s="16"/>
      <c r="Q150" s="16"/>
      <c r="R150" s="16"/>
      <c r="S150" s="16"/>
      <c r="T150" s="16"/>
      <c r="U150" s="16"/>
      <c r="V150" s="16"/>
      <c r="W150" s="16"/>
      <c r="X150" s="16"/>
      <c r="Y150" s="16"/>
      <c r="Z150" s="16"/>
    </row>
    <row r="151" spans="1:26" ht="15.75" customHeight="1">
      <c r="A151" s="80">
        <f>'Students Details'!A151</f>
        <v>145</v>
      </c>
      <c r="B151" s="81" t="str">
        <f>IF('Students Details'!B151="","",'Students Details'!B151)</f>
        <v/>
      </c>
      <c r="C151" s="82" t="str">
        <f>IF('Students Details'!C151="","",'Students Details'!C151)</f>
        <v/>
      </c>
      <c r="D151" s="83" t="str">
        <f>IF('M Component'!K152=0,"",'M Component'!K152)</f>
        <v/>
      </c>
      <c r="E151" s="83" t="str">
        <f>IF('M Component'!L152=0,"",'M Component'!L152)</f>
        <v/>
      </c>
      <c r="F151" s="83" t="str">
        <f>IF('M Component'!M152=0,"",'M Component'!M152)</f>
        <v/>
      </c>
      <c r="G151" s="83" t="str">
        <f>IF('M Component'!N152=0,"",'M Component'!N152)</f>
        <v/>
      </c>
      <c r="H151" s="83" t="str">
        <f>IF('M Component'!O152=0,"",'M Component'!O152)</f>
        <v/>
      </c>
      <c r="I151" s="83" t="str">
        <f>IF('M Component'!P152=0,"",'M Component'!P152)</f>
        <v/>
      </c>
      <c r="J151" s="84">
        <f t="shared" si="0"/>
        <v>0</v>
      </c>
      <c r="K151" s="16"/>
      <c r="L151" s="16"/>
      <c r="M151" s="16"/>
      <c r="N151" s="16"/>
      <c r="O151" s="16"/>
      <c r="P151" s="16"/>
      <c r="Q151" s="16"/>
      <c r="R151" s="16"/>
      <c r="S151" s="16"/>
      <c r="T151" s="16"/>
      <c r="U151" s="16"/>
      <c r="V151" s="16"/>
      <c r="W151" s="16"/>
      <c r="X151" s="16"/>
      <c r="Y151" s="16"/>
      <c r="Z151" s="16"/>
    </row>
    <row r="152" spans="1:26" ht="15.75" customHeight="1">
      <c r="A152" s="80">
        <f>'Students Details'!A152</f>
        <v>146</v>
      </c>
      <c r="B152" s="81" t="str">
        <f>IF('Students Details'!B152="","",'Students Details'!B152)</f>
        <v/>
      </c>
      <c r="C152" s="82" t="str">
        <f>IF('Students Details'!C152="","",'Students Details'!C152)</f>
        <v/>
      </c>
      <c r="D152" s="83" t="str">
        <f>IF('M Component'!K153=0,"",'M Component'!K153)</f>
        <v/>
      </c>
      <c r="E152" s="83" t="str">
        <f>IF('M Component'!L153=0,"",'M Component'!L153)</f>
        <v/>
      </c>
      <c r="F152" s="83" t="str">
        <f>IF('M Component'!M153=0,"",'M Component'!M153)</f>
        <v/>
      </c>
      <c r="G152" s="83" t="str">
        <f>IF('M Component'!N153=0,"",'M Component'!N153)</f>
        <v/>
      </c>
      <c r="H152" s="83" t="str">
        <f>IF('M Component'!O153=0,"",'M Component'!O153)</f>
        <v/>
      </c>
      <c r="I152" s="83" t="str">
        <f>IF('M Component'!P153=0,"",'M Component'!P153)</f>
        <v/>
      </c>
      <c r="J152" s="84">
        <f t="shared" si="0"/>
        <v>0</v>
      </c>
      <c r="K152" s="16"/>
      <c r="L152" s="16"/>
      <c r="M152" s="16"/>
      <c r="N152" s="16"/>
      <c r="O152" s="16"/>
      <c r="P152" s="16"/>
      <c r="Q152" s="16"/>
      <c r="R152" s="16"/>
      <c r="S152" s="16"/>
      <c r="T152" s="16"/>
      <c r="U152" s="16"/>
      <c r="V152" s="16"/>
      <c r="W152" s="16"/>
      <c r="X152" s="16"/>
      <c r="Y152" s="16"/>
      <c r="Z152" s="16"/>
    </row>
    <row r="153" spans="1:26" ht="15.75" customHeight="1">
      <c r="A153" s="80">
        <f>'Students Details'!A153</f>
        <v>147</v>
      </c>
      <c r="B153" s="81" t="str">
        <f>IF('Students Details'!B153="","",'Students Details'!B153)</f>
        <v/>
      </c>
      <c r="C153" s="82" t="str">
        <f>IF('Students Details'!C153="","",'Students Details'!C153)</f>
        <v/>
      </c>
      <c r="D153" s="83" t="str">
        <f>IF('M Component'!K154=0,"",'M Component'!K154)</f>
        <v/>
      </c>
      <c r="E153" s="83" t="str">
        <f>IF('M Component'!L154=0,"",'M Component'!L154)</f>
        <v/>
      </c>
      <c r="F153" s="83" t="str">
        <f>IF('M Component'!M154=0,"",'M Component'!M154)</f>
        <v/>
      </c>
      <c r="G153" s="83" t="str">
        <f>IF('M Component'!N154=0,"",'M Component'!N154)</f>
        <v/>
      </c>
      <c r="H153" s="83" t="str">
        <f>IF('M Component'!O154=0,"",'M Component'!O154)</f>
        <v/>
      </c>
      <c r="I153" s="83" t="str">
        <f>IF('M Component'!P154=0,"",'M Component'!P154)</f>
        <v/>
      </c>
      <c r="J153" s="84">
        <f t="shared" si="0"/>
        <v>0</v>
      </c>
      <c r="K153" s="16"/>
      <c r="L153" s="16"/>
      <c r="M153" s="16"/>
      <c r="N153" s="16"/>
      <c r="O153" s="16"/>
      <c r="P153" s="16"/>
      <c r="Q153" s="16"/>
      <c r="R153" s="16"/>
      <c r="S153" s="16"/>
      <c r="T153" s="16"/>
      <c r="U153" s="16"/>
      <c r="V153" s="16"/>
      <c r="W153" s="16"/>
      <c r="X153" s="16"/>
      <c r="Y153" s="16"/>
      <c r="Z153" s="16"/>
    </row>
    <row r="154" spans="1:26" ht="15.75" customHeight="1">
      <c r="A154" s="80">
        <f>'Students Details'!A154</f>
        <v>148</v>
      </c>
      <c r="B154" s="81" t="str">
        <f>IF('Students Details'!B154="","",'Students Details'!B154)</f>
        <v/>
      </c>
      <c r="C154" s="82" t="str">
        <f>IF('Students Details'!C154="","",'Students Details'!C154)</f>
        <v/>
      </c>
      <c r="D154" s="83" t="str">
        <f>IF('M Component'!K155=0,"",'M Component'!K155)</f>
        <v/>
      </c>
      <c r="E154" s="83" t="str">
        <f>IF('M Component'!L155=0,"",'M Component'!L155)</f>
        <v/>
      </c>
      <c r="F154" s="83" t="str">
        <f>IF('M Component'!M155=0,"",'M Component'!M155)</f>
        <v/>
      </c>
      <c r="G154" s="83" t="str">
        <f>IF('M Component'!N155=0,"",'M Component'!N155)</f>
        <v/>
      </c>
      <c r="H154" s="83" t="str">
        <f>IF('M Component'!O155=0,"",'M Component'!O155)</f>
        <v/>
      </c>
      <c r="I154" s="83" t="str">
        <f>IF('M Component'!P155=0,"",'M Component'!P155)</f>
        <v/>
      </c>
      <c r="J154" s="84">
        <f t="shared" si="0"/>
        <v>0</v>
      </c>
      <c r="K154" s="16"/>
      <c r="L154" s="16"/>
      <c r="M154" s="16"/>
      <c r="N154" s="16"/>
      <c r="O154" s="16"/>
      <c r="P154" s="16"/>
      <c r="Q154" s="16"/>
      <c r="R154" s="16"/>
      <c r="S154" s="16"/>
      <c r="T154" s="16"/>
      <c r="U154" s="16"/>
      <c r="V154" s="16"/>
      <c r="W154" s="16"/>
      <c r="X154" s="16"/>
      <c r="Y154" s="16"/>
      <c r="Z154" s="16"/>
    </row>
    <row r="155" spans="1:26" ht="15.75" customHeight="1">
      <c r="A155" s="80">
        <f>'Students Details'!A155</f>
        <v>149</v>
      </c>
      <c r="B155" s="81" t="str">
        <f>IF('Students Details'!B155="","",'Students Details'!B155)</f>
        <v/>
      </c>
      <c r="C155" s="82" t="str">
        <f>IF('Students Details'!C155="","",'Students Details'!C155)</f>
        <v/>
      </c>
      <c r="D155" s="83" t="str">
        <f>IF('M Component'!K156=0,"",'M Component'!K156)</f>
        <v/>
      </c>
      <c r="E155" s="83" t="str">
        <f>IF('M Component'!L156=0,"",'M Component'!L156)</f>
        <v/>
      </c>
      <c r="F155" s="83" t="str">
        <f>IF('M Component'!M156=0,"",'M Component'!M156)</f>
        <v/>
      </c>
      <c r="G155" s="83" t="str">
        <f>IF('M Component'!N156=0,"",'M Component'!N156)</f>
        <v/>
      </c>
      <c r="H155" s="83" t="str">
        <f>IF('M Component'!O156=0,"",'M Component'!O156)</f>
        <v/>
      </c>
      <c r="I155" s="83" t="str">
        <f>IF('M Component'!P156=0,"",'M Component'!P156)</f>
        <v/>
      </c>
      <c r="J155" s="84">
        <f t="shared" si="0"/>
        <v>0</v>
      </c>
      <c r="K155" s="16"/>
      <c r="L155" s="16"/>
      <c r="M155" s="16"/>
      <c r="N155" s="16"/>
      <c r="O155" s="16"/>
      <c r="P155" s="16"/>
      <c r="Q155" s="16"/>
      <c r="R155" s="16"/>
      <c r="S155" s="16"/>
      <c r="T155" s="16"/>
      <c r="U155" s="16"/>
      <c r="V155" s="16"/>
      <c r="W155" s="16"/>
      <c r="X155" s="16"/>
      <c r="Y155" s="16"/>
      <c r="Z155" s="16"/>
    </row>
    <row r="156" spans="1:26" ht="15.75" customHeight="1">
      <c r="A156" s="80">
        <f>'Students Details'!A156</f>
        <v>150</v>
      </c>
      <c r="B156" s="81" t="str">
        <f>IF('Students Details'!B156="","",'Students Details'!B156)</f>
        <v/>
      </c>
      <c r="C156" s="82" t="str">
        <f>IF('Students Details'!C156="","",'Students Details'!C156)</f>
        <v/>
      </c>
      <c r="D156" s="83" t="str">
        <f>IF('M Component'!K157=0,"",'M Component'!K157)</f>
        <v/>
      </c>
      <c r="E156" s="83" t="str">
        <f>IF('M Component'!L157=0,"",'M Component'!L157)</f>
        <v/>
      </c>
      <c r="F156" s="83" t="str">
        <f>IF('M Component'!M157=0,"",'M Component'!M157)</f>
        <v/>
      </c>
      <c r="G156" s="83" t="str">
        <f>IF('M Component'!N157=0,"",'M Component'!N157)</f>
        <v/>
      </c>
      <c r="H156" s="83" t="str">
        <f>IF('M Component'!O157=0,"",'M Component'!O157)</f>
        <v/>
      </c>
      <c r="I156" s="83" t="str">
        <f>IF('M Component'!P157=0,"",'M Component'!P157)</f>
        <v/>
      </c>
      <c r="J156" s="84">
        <f t="shared" si="0"/>
        <v>0</v>
      </c>
      <c r="K156" s="16"/>
      <c r="L156" s="16"/>
      <c r="M156" s="16"/>
      <c r="N156" s="16"/>
      <c r="O156" s="16"/>
      <c r="P156" s="16"/>
      <c r="Q156" s="16"/>
      <c r="R156" s="16"/>
      <c r="S156" s="16"/>
      <c r="T156" s="16"/>
      <c r="U156" s="16"/>
      <c r="V156" s="16"/>
      <c r="W156" s="16"/>
      <c r="X156" s="16"/>
      <c r="Y156" s="16"/>
      <c r="Z156" s="16"/>
    </row>
    <row r="157" spans="1:26" ht="15.75" customHeight="1">
      <c r="A157" s="80">
        <f>'Students Details'!A157</f>
        <v>151</v>
      </c>
      <c r="B157" s="81" t="str">
        <f>IF('Students Details'!B157="","",'Students Details'!B157)</f>
        <v/>
      </c>
      <c r="C157" s="82" t="str">
        <f>IF('Students Details'!C157="","",'Students Details'!C157)</f>
        <v/>
      </c>
      <c r="D157" s="83" t="str">
        <f>IF('M Component'!K158=0,"",'M Component'!K158)</f>
        <v/>
      </c>
      <c r="E157" s="83" t="str">
        <f>IF('M Component'!L158=0,"",'M Component'!L158)</f>
        <v/>
      </c>
      <c r="F157" s="83" t="str">
        <f>IF('M Component'!M158=0,"",'M Component'!M158)</f>
        <v/>
      </c>
      <c r="G157" s="83" t="str">
        <f>IF('M Component'!N158=0,"",'M Component'!N158)</f>
        <v/>
      </c>
      <c r="H157" s="83" t="str">
        <f>IF('M Component'!O158=0,"",'M Component'!O158)</f>
        <v/>
      </c>
      <c r="I157" s="83" t="str">
        <f>IF('M Component'!P158=0,"",'M Component'!P158)</f>
        <v/>
      </c>
      <c r="J157" s="84">
        <f t="shared" si="0"/>
        <v>0</v>
      </c>
      <c r="K157" s="16"/>
      <c r="L157" s="16"/>
      <c r="M157" s="16"/>
      <c r="N157" s="16"/>
      <c r="O157" s="16"/>
      <c r="P157" s="16"/>
      <c r="Q157" s="16"/>
      <c r="R157" s="16"/>
      <c r="S157" s="16"/>
      <c r="T157" s="16"/>
      <c r="U157" s="16"/>
      <c r="V157" s="16"/>
      <c r="W157" s="16"/>
      <c r="X157" s="16"/>
      <c r="Y157" s="16"/>
      <c r="Z157" s="16"/>
    </row>
    <row r="158" spans="1:26" ht="15.75" customHeight="1">
      <c r="A158" s="80">
        <f>'Students Details'!A158</f>
        <v>152</v>
      </c>
      <c r="B158" s="81" t="str">
        <f>IF('Students Details'!B158="","",'Students Details'!B158)</f>
        <v/>
      </c>
      <c r="C158" s="82" t="str">
        <f>IF('Students Details'!C158="","",'Students Details'!C158)</f>
        <v/>
      </c>
      <c r="D158" s="83" t="str">
        <f>IF('M Component'!K159=0,"",'M Component'!K159)</f>
        <v/>
      </c>
      <c r="E158" s="83" t="str">
        <f>IF('M Component'!L159=0,"",'M Component'!L159)</f>
        <v/>
      </c>
      <c r="F158" s="83" t="str">
        <f>IF('M Component'!M159=0,"",'M Component'!M159)</f>
        <v/>
      </c>
      <c r="G158" s="83" t="str">
        <f>IF('M Component'!N159=0,"",'M Component'!N159)</f>
        <v/>
      </c>
      <c r="H158" s="83" t="str">
        <f>IF('M Component'!O159=0,"",'M Component'!O159)</f>
        <v/>
      </c>
      <c r="I158" s="83" t="str">
        <f>IF('M Component'!P159=0,"",'M Component'!P159)</f>
        <v/>
      </c>
      <c r="J158" s="84">
        <f t="shared" si="0"/>
        <v>0</v>
      </c>
      <c r="K158" s="16"/>
      <c r="L158" s="16"/>
      <c r="M158" s="16"/>
      <c r="N158" s="16"/>
      <c r="O158" s="16"/>
      <c r="P158" s="16"/>
      <c r="Q158" s="16"/>
      <c r="R158" s="16"/>
      <c r="S158" s="16"/>
      <c r="T158" s="16"/>
      <c r="U158" s="16"/>
      <c r="V158" s="16"/>
      <c r="W158" s="16"/>
      <c r="X158" s="16"/>
      <c r="Y158" s="16"/>
      <c r="Z158" s="16"/>
    </row>
    <row r="159" spans="1:26" ht="15.75" customHeight="1">
      <c r="A159" s="80">
        <f>'Students Details'!A159</f>
        <v>153</v>
      </c>
      <c r="B159" s="81" t="str">
        <f>IF('Students Details'!B159="","",'Students Details'!B159)</f>
        <v/>
      </c>
      <c r="C159" s="82" t="str">
        <f>IF('Students Details'!C159="","",'Students Details'!C159)</f>
        <v/>
      </c>
      <c r="D159" s="83" t="str">
        <f>IF('M Component'!K160=0,"",'M Component'!K160)</f>
        <v/>
      </c>
      <c r="E159" s="83" t="str">
        <f>IF('M Component'!L160=0,"",'M Component'!L160)</f>
        <v/>
      </c>
      <c r="F159" s="83" t="str">
        <f>IF('M Component'!M160=0,"",'M Component'!M160)</f>
        <v/>
      </c>
      <c r="G159" s="83" t="str">
        <f>IF('M Component'!N160=0,"",'M Component'!N160)</f>
        <v/>
      </c>
      <c r="H159" s="83" t="str">
        <f>IF('M Component'!O160=0,"",'M Component'!O160)</f>
        <v/>
      </c>
      <c r="I159" s="83" t="str">
        <f>IF('M Component'!P160=0,"",'M Component'!P160)</f>
        <v/>
      </c>
      <c r="J159" s="84">
        <f t="shared" si="0"/>
        <v>0</v>
      </c>
      <c r="K159" s="16"/>
      <c r="L159" s="16"/>
      <c r="M159" s="16"/>
      <c r="N159" s="16"/>
      <c r="O159" s="16"/>
      <c r="P159" s="16"/>
      <c r="Q159" s="16"/>
      <c r="R159" s="16"/>
      <c r="S159" s="16"/>
      <c r="T159" s="16"/>
      <c r="U159" s="16"/>
      <c r="V159" s="16"/>
      <c r="W159" s="16"/>
      <c r="X159" s="16"/>
      <c r="Y159" s="16"/>
      <c r="Z159" s="16"/>
    </row>
    <row r="160" spans="1:26" ht="15.75" customHeight="1">
      <c r="A160" s="80">
        <f>'Students Details'!A160</f>
        <v>154</v>
      </c>
      <c r="B160" s="81" t="str">
        <f>IF('Students Details'!B160="","",'Students Details'!B160)</f>
        <v/>
      </c>
      <c r="C160" s="82" t="str">
        <f>IF('Students Details'!C160="","",'Students Details'!C160)</f>
        <v/>
      </c>
      <c r="D160" s="83" t="str">
        <f>IF('M Component'!K161=0,"",'M Component'!K161)</f>
        <v/>
      </c>
      <c r="E160" s="83" t="str">
        <f>IF('M Component'!L161=0,"",'M Component'!L161)</f>
        <v/>
      </c>
      <c r="F160" s="83" t="str">
        <f>IF('M Component'!M161=0,"",'M Component'!M161)</f>
        <v/>
      </c>
      <c r="G160" s="83" t="str">
        <f>IF('M Component'!N161=0,"",'M Component'!N161)</f>
        <v/>
      </c>
      <c r="H160" s="83" t="str">
        <f>IF('M Component'!O161=0,"",'M Component'!O161)</f>
        <v/>
      </c>
      <c r="I160" s="83" t="str">
        <f>IF('M Component'!P161=0,"",'M Component'!P161)</f>
        <v/>
      </c>
      <c r="J160" s="84">
        <f t="shared" si="0"/>
        <v>0</v>
      </c>
      <c r="K160" s="16"/>
      <c r="L160" s="16"/>
      <c r="M160" s="16"/>
      <c r="N160" s="16"/>
      <c r="O160" s="16"/>
      <c r="P160" s="16"/>
      <c r="Q160" s="16"/>
      <c r="R160" s="16"/>
      <c r="S160" s="16"/>
      <c r="T160" s="16"/>
      <c r="U160" s="16"/>
      <c r="V160" s="16"/>
      <c r="W160" s="16"/>
      <c r="X160" s="16"/>
      <c r="Y160" s="16"/>
      <c r="Z160" s="16"/>
    </row>
    <row r="161" spans="1:26" ht="15.75" customHeight="1">
      <c r="A161" s="80">
        <f>'Students Details'!A161</f>
        <v>155</v>
      </c>
      <c r="B161" s="81" t="str">
        <f>IF('Students Details'!B161="","",'Students Details'!B161)</f>
        <v/>
      </c>
      <c r="C161" s="82" t="str">
        <f>IF('Students Details'!C161="","",'Students Details'!C161)</f>
        <v/>
      </c>
      <c r="D161" s="83" t="str">
        <f>IF('M Component'!K162=0,"",'M Component'!K162)</f>
        <v/>
      </c>
      <c r="E161" s="83" t="str">
        <f>IF('M Component'!L162=0,"",'M Component'!L162)</f>
        <v/>
      </c>
      <c r="F161" s="83" t="str">
        <f>IF('M Component'!M162=0,"",'M Component'!M162)</f>
        <v/>
      </c>
      <c r="G161" s="83" t="str">
        <f>IF('M Component'!N162=0,"",'M Component'!N162)</f>
        <v/>
      </c>
      <c r="H161" s="83" t="str">
        <f>IF('M Component'!O162=0,"",'M Component'!O162)</f>
        <v/>
      </c>
      <c r="I161" s="83" t="str">
        <f>IF('M Component'!P162=0,"",'M Component'!P162)</f>
        <v/>
      </c>
      <c r="J161" s="84">
        <f t="shared" si="0"/>
        <v>0</v>
      </c>
      <c r="K161" s="16"/>
      <c r="L161" s="16"/>
      <c r="M161" s="16"/>
      <c r="N161" s="16"/>
      <c r="O161" s="16"/>
      <c r="P161" s="16"/>
      <c r="Q161" s="16"/>
      <c r="R161" s="16"/>
      <c r="S161" s="16"/>
      <c r="T161" s="16"/>
      <c r="U161" s="16"/>
      <c r="V161" s="16"/>
      <c r="W161" s="16"/>
      <c r="X161" s="16"/>
      <c r="Y161" s="16"/>
      <c r="Z161" s="16"/>
    </row>
    <row r="162" spans="1:26" ht="15.75" customHeight="1">
      <c r="A162" s="80">
        <f>'Students Details'!A162</f>
        <v>156</v>
      </c>
      <c r="B162" s="81" t="str">
        <f>IF('Students Details'!B162="","",'Students Details'!B162)</f>
        <v/>
      </c>
      <c r="C162" s="82" t="str">
        <f>IF('Students Details'!C162="","",'Students Details'!C162)</f>
        <v/>
      </c>
      <c r="D162" s="83" t="str">
        <f>IF('M Component'!K163=0,"",'M Component'!K163)</f>
        <v/>
      </c>
      <c r="E162" s="83" t="str">
        <f>IF('M Component'!L163=0,"",'M Component'!L163)</f>
        <v/>
      </c>
      <c r="F162" s="83" t="str">
        <f>IF('M Component'!M163=0,"",'M Component'!M163)</f>
        <v/>
      </c>
      <c r="G162" s="83" t="str">
        <f>IF('M Component'!N163=0,"",'M Component'!N163)</f>
        <v/>
      </c>
      <c r="H162" s="83" t="str">
        <f>IF('M Component'!O163=0,"",'M Component'!O163)</f>
        <v/>
      </c>
      <c r="I162" s="83" t="str">
        <f>IF('M Component'!P163=0,"",'M Component'!P163)</f>
        <v/>
      </c>
      <c r="J162" s="84">
        <f t="shared" si="0"/>
        <v>0</v>
      </c>
      <c r="K162" s="16"/>
      <c r="L162" s="16"/>
      <c r="M162" s="16"/>
      <c r="N162" s="16"/>
      <c r="O162" s="16"/>
      <c r="P162" s="16"/>
      <c r="Q162" s="16"/>
      <c r="R162" s="16"/>
      <c r="S162" s="16"/>
      <c r="T162" s="16"/>
      <c r="U162" s="16"/>
      <c r="V162" s="16"/>
      <c r="W162" s="16"/>
      <c r="X162" s="16"/>
      <c r="Y162" s="16"/>
      <c r="Z162" s="16"/>
    </row>
    <row r="163" spans="1:26" ht="15.75" customHeight="1">
      <c r="A163" s="80">
        <f>'Students Details'!A163</f>
        <v>157</v>
      </c>
      <c r="B163" s="81" t="str">
        <f>IF('Students Details'!B163="","",'Students Details'!B163)</f>
        <v/>
      </c>
      <c r="C163" s="82" t="str">
        <f>IF('Students Details'!C163="","",'Students Details'!C163)</f>
        <v/>
      </c>
      <c r="D163" s="83" t="str">
        <f>IF('M Component'!K164=0,"",'M Component'!K164)</f>
        <v/>
      </c>
      <c r="E163" s="83" t="str">
        <f>IF('M Component'!L164=0,"",'M Component'!L164)</f>
        <v/>
      </c>
      <c r="F163" s="83" t="str">
        <f>IF('M Component'!M164=0,"",'M Component'!M164)</f>
        <v/>
      </c>
      <c r="G163" s="83" t="str">
        <f>IF('M Component'!N164=0,"",'M Component'!N164)</f>
        <v/>
      </c>
      <c r="H163" s="83" t="str">
        <f>IF('M Component'!O164=0,"",'M Component'!O164)</f>
        <v/>
      </c>
      <c r="I163" s="83" t="str">
        <f>IF('M Component'!P164=0,"",'M Component'!P164)</f>
        <v/>
      </c>
      <c r="J163" s="84">
        <f t="shared" si="0"/>
        <v>0</v>
      </c>
      <c r="K163" s="16"/>
      <c r="L163" s="16"/>
      <c r="M163" s="16"/>
      <c r="N163" s="16"/>
      <c r="O163" s="16"/>
      <c r="P163" s="16"/>
      <c r="Q163" s="16"/>
      <c r="R163" s="16"/>
      <c r="S163" s="16"/>
      <c r="T163" s="16"/>
      <c r="U163" s="16"/>
      <c r="V163" s="16"/>
      <c r="W163" s="16"/>
      <c r="X163" s="16"/>
      <c r="Y163" s="16"/>
      <c r="Z163" s="16"/>
    </row>
    <row r="164" spans="1:26" ht="15.75" customHeight="1">
      <c r="A164" s="80">
        <f>'Students Details'!A164</f>
        <v>158</v>
      </c>
      <c r="B164" s="81" t="str">
        <f>IF('Students Details'!B164="","",'Students Details'!B164)</f>
        <v/>
      </c>
      <c r="C164" s="82" t="str">
        <f>IF('Students Details'!C164="","",'Students Details'!C164)</f>
        <v/>
      </c>
      <c r="D164" s="83" t="str">
        <f>IF('M Component'!K165=0,"",'M Component'!K165)</f>
        <v/>
      </c>
      <c r="E164" s="83" t="str">
        <f>IF('M Component'!L165=0,"",'M Component'!L165)</f>
        <v/>
      </c>
      <c r="F164" s="83" t="str">
        <f>IF('M Component'!M165=0,"",'M Component'!M165)</f>
        <v/>
      </c>
      <c r="G164" s="83" t="str">
        <f>IF('M Component'!N165=0,"",'M Component'!N165)</f>
        <v/>
      </c>
      <c r="H164" s="83" t="str">
        <f>IF('M Component'!O165=0,"",'M Component'!O165)</f>
        <v/>
      </c>
      <c r="I164" s="83" t="str">
        <f>IF('M Component'!P165=0,"",'M Component'!P165)</f>
        <v/>
      </c>
      <c r="J164" s="84">
        <f t="shared" si="0"/>
        <v>0</v>
      </c>
      <c r="K164" s="16"/>
      <c r="L164" s="16"/>
      <c r="M164" s="16"/>
      <c r="N164" s="16"/>
      <c r="O164" s="16"/>
      <c r="P164" s="16"/>
      <c r="Q164" s="16"/>
      <c r="R164" s="16"/>
      <c r="S164" s="16"/>
      <c r="T164" s="16"/>
      <c r="U164" s="16"/>
      <c r="V164" s="16"/>
      <c r="W164" s="16"/>
      <c r="X164" s="16"/>
      <c r="Y164" s="16"/>
      <c r="Z164" s="16"/>
    </row>
    <row r="165" spans="1:26" ht="15.75" customHeight="1">
      <c r="A165" s="80">
        <f>'Students Details'!A165</f>
        <v>159</v>
      </c>
      <c r="B165" s="81" t="str">
        <f>IF('Students Details'!B165="","",'Students Details'!B165)</f>
        <v/>
      </c>
      <c r="C165" s="82" t="str">
        <f>IF('Students Details'!C165="","",'Students Details'!C165)</f>
        <v/>
      </c>
      <c r="D165" s="83" t="str">
        <f>IF('M Component'!K166=0,"",'M Component'!K166)</f>
        <v/>
      </c>
      <c r="E165" s="83" t="str">
        <f>IF('M Component'!L166=0,"",'M Component'!L166)</f>
        <v/>
      </c>
      <c r="F165" s="83" t="str">
        <f>IF('M Component'!M166=0,"",'M Component'!M166)</f>
        <v/>
      </c>
      <c r="G165" s="83" t="str">
        <f>IF('M Component'!N166=0,"",'M Component'!N166)</f>
        <v/>
      </c>
      <c r="H165" s="83" t="str">
        <f>IF('M Component'!O166=0,"",'M Component'!O166)</f>
        <v/>
      </c>
      <c r="I165" s="83" t="str">
        <f>IF('M Component'!P166=0,"",'M Component'!P166)</f>
        <v/>
      </c>
      <c r="J165" s="84">
        <f t="shared" si="0"/>
        <v>0</v>
      </c>
      <c r="K165" s="16"/>
      <c r="L165" s="16"/>
      <c r="M165" s="16"/>
      <c r="N165" s="16"/>
      <c r="O165" s="16"/>
      <c r="P165" s="16"/>
      <c r="Q165" s="16"/>
      <c r="R165" s="16"/>
      <c r="S165" s="16"/>
      <c r="T165" s="16"/>
      <c r="U165" s="16"/>
      <c r="V165" s="16"/>
      <c r="W165" s="16"/>
      <c r="X165" s="16"/>
      <c r="Y165" s="16"/>
      <c r="Z165" s="16"/>
    </row>
    <row r="166" spans="1:26" ht="15.75" customHeight="1">
      <c r="A166" s="80">
        <f>'Students Details'!A166</f>
        <v>160</v>
      </c>
      <c r="B166" s="81" t="str">
        <f>IF('Students Details'!B166="","",'Students Details'!B166)</f>
        <v/>
      </c>
      <c r="C166" s="82" t="str">
        <f>IF('Students Details'!C166="","",'Students Details'!C166)</f>
        <v/>
      </c>
      <c r="D166" s="83" t="str">
        <f>IF('M Component'!K167=0,"",'M Component'!K167)</f>
        <v/>
      </c>
      <c r="E166" s="83" t="str">
        <f>IF('M Component'!L167=0,"",'M Component'!L167)</f>
        <v/>
      </c>
      <c r="F166" s="83" t="str">
        <f>IF('M Component'!M167=0,"",'M Component'!M167)</f>
        <v/>
      </c>
      <c r="G166" s="83" t="str">
        <f>IF('M Component'!N167=0,"",'M Component'!N167)</f>
        <v/>
      </c>
      <c r="H166" s="83" t="str">
        <f>IF('M Component'!O167=0,"",'M Component'!O167)</f>
        <v/>
      </c>
      <c r="I166" s="83" t="str">
        <f>IF('M Component'!P167=0,"",'M Component'!P167)</f>
        <v/>
      </c>
      <c r="J166" s="84">
        <f t="shared" si="0"/>
        <v>0</v>
      </c>
      <c r="K166" s="16"/>
      <c r="L166" s="16"/>
      <c r="M166" s="16"/>
      <c r="N166" s="16"/>
      <c r="O166" s="16"/>
      <c r="P166" s="16"/>
      <c r="Q166" s="16"/>
      <c r="R166" s="16"/>
      <c r="S166" s="16"/>
      <c r="T166" s="16"/>
      <c r="U166" s="16"/>
      <c r="V166" s="16"/>
      <c r="W166" s="16"/>
      <c r="X166" s="16"/>
      <c r="Y166" s="16"/>
      <c r="Z166" s="16"/>
    </row>
    <row r="167" spans="1:26" ht="15.75" customHeight="1">
      <c r="A167" s="80">
        <f>'Students Details'!A167</f>
        <v>161</v>
      </c>
      <c r="B167" s="81" t="str">
        <f>IF('Students Details'!B167="","",'Students Details'!B167)</f>
        <v/>
      </c>
      <c r="C167" s="82" t="str">
        <f>IF('Students Details'!C167="","",'Students Details'!C167)</f>
        <v/>
      </c>
      <c r="D167" s="83" t="str">
        <f>IF('M Component'!K168=0,"",'M Component'!K168)</f>
        <v/>
      </c>
      <c r="E167" s="83" t="str">
        <f>IF('M Component'!L168=0,"",'M Component'!L168)</f>
        <v/>
      </c>
      <c r="F167" s="83" t="str">
        <f>IF('M Component'!M168=0,"",'M Component'!M168)</f>
        <v/>
      </c>
      <c r="G167" s="83" t="str">
        <f>IF('M Component'!N168=0,"",'M Component'!N168)</f>
        <v/>
      </c>
      <c r="H167" s="83" t="str">
        <f>IF('M Component'!O168=0,"",'M Component'!O168)</f>
        <v/>
      </c>
      <c r="I167" s="83" t="str">
        <f>IF('M Component'!P168=0,"",'M Component'!P168)</f>
        <v/>
      </c>
      <c r="J167" s="84">
        <f t="shared" si="0"/>
        <v>0</v>
      </c>
      <c r="K167" s="16"/>
      <c r="L167" s="16"/>
      <c r="M167" s="16"/>
      <c r="N167" s="16"/>
      <c r="O167" s="16"/>
      <c r="P167" s="16"/>
      <c r="Q167" s="16"/>
      <c r="R167" s="16"/>
      <c r="S167" s="16"/>
      <c r="T167" s="16"/>
      <c r="U167" s="16"/>
      <c r="V167" s="16"/>
      <c r="W167" s="16"/>
      <c r="X167" s="16"/>
      <c r="Y167" s="16"/>
      <c r="Z167" s="16"/>
    </row>
    <row r="168" spans="1:26" ht="15.75" customHeight="1">
      <c r="A168" s="80">
        <f>'Students Details'!A168</f>
        <v>162</v>
      </c>
      <c r="B168" s="81" t="str">
        <f>IF('Students Details'!B168="","",'Students Details'!B168)</f>
        <v/>
      </c>
      <c r="C168" s="82" t="str">
        <f>IF('Students Details'!C168="","",'Students Details'!C168)</f>
        <v/>
      </c>
      <c r="D168" s="83" t="str">
        <f>IF('M Component'!K169=0,"",'M Component'!K169)</f>
        <v/>
      </c>
      <c r="E168" s="83" t="str">
        <f>IF('M Component'!L169=0,"",'M Component'!L169)</f>
        <v/>
      </c>
      <c r="F168" s="83" t="str">
        <f>IF('M Component'!M169=0,"",'M Component'!M169)</f>
        <v/>
      </c>
      <c r="G168" s="83" t="str">
        <f>IF('M Component'!N169=0,"",'M Component'!N169)</f>
        <v/>
      </c>
      <c r="H168" s="83" t="str">
        <f>IF('M Component'!O169=0,"",'M Component'!O169)</f>
        <v/>
      </c>
      <c r="I168" s="83" t="str">
        <f>IF('M Component'!P169=0,"",'M Component'!P169)</f>
        <v/>
      </c>
      <c r="J168" s="84">
        <f t="shared" si="0"/>
        <v>0</v>
      </c>
      <c r="K168" s="16"/>
      <c r="L168" s="16"/>
      <c r="M168" s="16"/>
      <c r="N168" s="16"/>
      <c r="O168" s="16"/>
      <c r="P168" s="16"/>
      <c r="Q168" s="16"/>
      <c r="R168" s="16"/>
      <c r="S168" s="16"/>
      <c r="T168" s="16"/>
      <c r="U168" s="16"/>
      <c r="V168" s="16"/>
      <c r="W168" s="16"/>
      <c r="X168" s="16"/>
      <c r="Y168" s="16"/>
      <c r="Z168" s="16"/>
    </row>
    <row r="169" spans="1:26" ht="15.75" customHeight="1">
      <c r="A169" s="80">
        <f>'Students Details'!A169</f>
        <v>163</v>
      </c>
      <c r="B169" s="81" t="str">
        <f>IF('Students Details'!B169="","",'Students Details'!B169)</f>
        <v/>
      </c>
      <c r="C169" s="82" t="str">
        <f>IF('Students Details'!C169="","",'Students Details'!C169)</f>
        <v/>
      </c>
      <c r="D169" s="83" t="str">
        <f>IF('M Component'!K170=0,"",'M Component'!K170)</f>
        <v/>
      </c>
      <c r="E169" s="83" t="str">
        <f>IF('M Component'!L170=0,"",'M Component'!L170)</f>
        <v/>
      </c>
      <c r="F169" s="83" t="str">
        <f>IF('M Component'!M170=0,"",'M Component'!M170)</f>
        <v/>
      </c>
      <c r="G169" s="83" t="str">
        <f>IF('M Component'!N170=0,"",'M Component'!N170)</f>
        <v/>
      </c>
      <c r="H169" s="83" t="str">
        <f>IF('M Component'!O170=0,"",'M Component'!O170)</f>
        <v/>
      </c>
      <c r="I169" s="83" t="str">
        <f>IF('M Component'!P170=0,"",'M Component'!P170)</f>
        <v/>
      </c>
      <c r="J169" s="84">
        <f t="shared" si="0"/>
        <v>0</v>
      </c>
      <c r="K169" s="16"/>
      <c r="L169" s="16"/>
      <c r="M169" s="16"/>
      <c r="N169" s="16"/>
      <c r="O169" s="16"/>
      <c r="P169" s="16"/>
      <c r="Q169" s="16"/>
      <c r="R169" s="16"/>
      <c r="S169" s="16"/>
      <c r="T169" s="16"/>
      <c r="U169" s="16"/>
      <c r="V169" s="16"/>
      <c r="W169" s="16"/>
      <c r="X169" s="16"/>
      <c r="Y169" s="16"/>
      <c r="Z169" s="16"/>
    </row>
    <row r="170" spans="1:26" ht="15.75" customHeight="1">
      <c r="A170" s="80">
        <f>'Students Details'!A170</f>
        <v>164</v>
      </c>
      <c r="B170" s="81" t="str">
        <f>IF('Students Details'!B170="","",'Students Details'!B170)</f>
        <v/>
      </c>
      <c r="C170" s="82" t="str">
        <f>IF('Students Details'!C170="","",'Students Details'!C170)</f>
        <v/>
      </c>
      <c r="D170" s="83" t="str">
        <f>IF('M Component'!K171=0,"",'M Component'!K171)</f>
        <v/>
      </c>
      <c r="E170" s="83" t="str">
        <f>IF('M Component'!L171=0,"",'M Component'!L171)</f>
        <v/>
      </c>
      <c r="F170" s="83" t="str">
        <f>IF('M Component'!M171=0,"",'M Component'!M171)</f>
        <v/>
      </c>
      <c r="G170" s="83" t="str">
        <f>IF('M Component'!N171=0,"",'M Component'!N171)</f>
        <v/>
      </c>
      <c r="H170" s="83" t="str">
        <f>IF('M Component'!O171=0,"",'M Component'!O171)</f>
        <v/>
      </c>
      <c r="I170" s="83" t="str">
        <f>IF('M Component'!P171=0,"",'M Component'!P171)</f>
        <v/>
      </c>
      <c r="J170" s="84">
        <f t="shared" si="0"/>
        <v>0</v>
      </c>
      <c r="K170" s="16"/>
      <c r="L170" s="16"/>
      <c r="M170" s="16"/>
      <c r="N170" s="16"/>
      <c r="O170" s="16"/>
      <c r="P170" s="16"/>
      <c r="Q170" s="16"/>
      <c r="R170" s="16"/>
      <c r="S170" s="16"/>
      <c r="T170" s="16"/>
      <c r="U170" s="16"/>
      <c r="V170" s="16"/>
      <c r="W170" s="16"/>
      <c r="X170" s="16"/>
      <c r="Y170" s="16"/>
      <c r="Z170" s="16"/>
    </row>
    <row r="171" spans="1:26" ht="15.75" customHeight="1">
      <c r="A171" s="80">
        <f>'Students Details'!A171</f>
        <v>165</v>
      </c>
      <c r="B171" s="81" t="str">
        <f>IF('Students Details'!B171="","",'Students Details'!B171)</f>
        <v/>
      </c>
      <c r="C171" s="82" t="str">
        <f>IF('Students Details'!C171="","",'Students Details'!C171)</f>
        <v/>
      </c>
      <c r="D171" s="83" t="str">
        <f>IF('M Component'!K172=0,"",'M Component'!K172)</f>
        <v/>
      </c>
      <c r="E171" s="83" t="str">
        <f>IF('M Component'!L172=0,"",'M Component'!L172)</f>
        <v/>
      </c>
      <c r="F171" s="83" t="str">
        <f>IF('M Component'!M172=0,"",'M Component'!M172)</f>
        <v/>
      </c>
      <c r="G171" s="83" t="str">
        <f>IF('M Component'!N172=0,"",'M Component'!N172)</f>
        <v/>
      </c>
      <c r="H171" s="83" t="str">
        <f>IF('M Component'!O172=0,"",'M Component'!O172)</f>
        <v/>
      </c>
      <c r="I171" s="83" t="str">
        <f>IF('M Component'!P172=0,"",'M Component'!P172)</f>
        <v/>
      </c>
      <c r="J171" s="84">
        <f t="shared" si="0"/>
        <v>0</v>
      </c>
      <c r="K171" s="16"/>
      <c r="L171" s="16"/>
      <c r="M171" s="16"/>
      <c r="N171" s="16"/>
      <c r="O171" s="16"/>
      <c r="P171" s="16"/>
      <c r="Q171" s="16"/>
      <c r="R171" s="16"/>
      <c r="S171" s="16"/>
      <c r="T171" s="16"/>
      <c r="U171" s="16"/>
      <c r="V171" s="16"/>
      <c r="W171" s="16"/>
      <c r="X171" s="16"/>
      <c r="Y171" s="16"/>
      <c r="Z171" s="16"/>
    </row>
    <row r="172" spans="1:26" ht="15.75" customHeight="1">
      <c r="A172" s="80">
        <f>'Students Details'!A172</f>
        <v>166</v>
      </c>
      <c r="B172" s="81" t="str">
        <f>IF('Students Details'!B172="","",'Students Details'!B172)</f>
        <v/>
      </c>
      <c r="C172" s="82" t="str">
        <f>IF('Students Details'!C172="","",'Students Details'!C172)</f>
        <v/>
      </c>
      <c r="D172" s="83" t="str">
        <f>IF('M Component'!K173=0,"",'M Component'!K173)</f>
        <v/>
      </c>
      <c r="E172" s="83" t="str">
        <f>IF('M Component'!L173=0,"",'M Component'!L173)</f>
        <v/>
      </c>
      <c r="F172" s="83" t="str">
        <f>IF('M Component'!M173=0,"",'M Component'!M173)</f>
        <v/>
      </c>
      <c r="G172" s="83" t="str">
        <f>IF('M Component'!N173=0,"",'M Component'!N173)</f>
        <v/>
      </c>
      <c r="H172" s="83" t="str">
        <f>IF('M Component'!O173=0,"",'M Component'!O173)</f>
        <v/>
      </c>
      <c r="I172" s="83" t="str">
        <f>IF('M Component'!P173=0,"",'M Component'!P173)</f>
        <v/>
      </c>
      <c r="J172" s="84">
        <f t="shared" si="0"/>
        <v>0</v>
      </c>
      <c r="K172" s="16"/>
      <c r="L172" s="16"/>
      <c r="M172" s="16"/>
      <c r="N172" s="16"/>
      <c r="O172" s="16"/>
      <c r="P172" s="16"/>
      <c r="Q172" s="16"/>
      <c r="R172" s="16"/>
      <c r="S172" s="16"/>
      <c r="T172" s="16"/>
      <c r="U172" s="16"/>
      <c r="V172" s="16"/>
      <c r="W172" s="16"/>
      <c r="X172" s="16"/>
      <c r="Y172" s="16"/>
      <c r="Z172" s="16"/>
    </row>
    <row r="173" spans="1:26" ht="15.75" customHeight="1">
      <c r="A173" s="80">
        <f>'Students Details'!A173</f>
        <v>167</v>
      </c>
      <c r="B173" s="81" t="str">
        <f>IF('Students Details'!B173="","",'Students Details'!B173)</f>
        <v/>
      </c>
      <c r="C173" s="82" t="str">
        <f>IF('Students Details'!C173="","",'Students Details'!C173)</f>
        <v/>
      </c>
      <c r="D173" s="83" t="str">
        <f>IF('M Component'!K174=0,"",'M Component'!K174)</f>
        <v/>
      </c>
      <c r="E173" s="83" t="str">
        <f>IF('M Component'!L174=0,"",'M Component'!L174)</f>
        <v/>
      </c>
      <c r="F173" s="83" t="str">
        <f>IF('M Component'!M174=0,"",'M Component'!M174)</f>
        <v/>
      </c>
      <c r="G173" s="83" t="str">
        <f>IF('M Component'!N174=0,"",'M Component'!N174)</f>
        <v/>
      </c>
      <c r="H173" s="83" t="str">
        <f>IF('M Component'!O174=0,"",'M Component'!O174)</f>
        <v/>
      </c>
      <c r="I173" s="83" t="str">
        <f>IF('M Component'!P174=0,"",'M Component'!P174)</f>
        <v/>
      </c>
      <c r="J173" s="84">
        <f t="shared" si="0"/>
        <v>0</v>
      </c>
      <c r="K173" s="16"/>
      <c r="L173" s="16"/>
      <c r="M173" s="16"/>
      <c r="N173" s="16"/>
      <c r="O173" s="16"/>
      <c r="P173" s="16"/>
      <c r="Q173" s="16"/>
      <c r="R173" s="16"/>
      <c r="S173" s="16"/>
      <c r="T173" s="16"/>
      <c r="U173" s="16"/>
      <c r="V173" s="16"/>
      <c r="W173" s="16"/>
      <c r="X173" s="16"/>
      <c r="Y173" s="16"/>
      <c r="Z173" s="16"/>
    </row>
    <row r="174" spans="1:26" ht="15.75" customHeight="1">
      <c r="A174" s="80">
        <f>'Students Details'!A174</f>
        <v>168</v>
      </c>
      <c r="B174" s="81" t="str">
        <f>IF('Students Details'!B174="","",'Students Details'!B174)</f>
        <v/>
      </c>
      <c r="C174" s="82" t="str">
        <f>IF('Students Details'!C174="","",'Students Details'!C174)</f>
        <v/>
      </c>
      <c r="D174" s="83" t="str">
        <f>IF('M Component'!K175=0,"",'M Component'!K175)</f>
        <v/>
      </c>
      <c r="E174" s="83" t="str">
        <f>IF('M Component'!L175=0,"",'M Component'!L175)</f>
        <v/>
      </c>
      <c r="F174" s="83" t="str">
        <f>IF('M Component'!M175=0,"",'M Component'!M175)</f>
        <v/>
      </c>
      <c r="G174" s="83" t="str">
        <f>IF('M Component'!N175=0,"",'M Component'!N175)</f>
        <v/>
      </c>
      <c r="H174" s="83" t="str">
        <f>IF('M Component'!O175=0,"",'M Component'!O175)</f>
        <v/>
      </c>
      <c r="I174" s="83" t="str">
        <f>IF('M Component'!P175=0,"",'M Component'!P175)</f>
        <v/>
      </c>
      <c r="J174" s="84">
        <f t="shared" si="0"/>
        <v>0</v>
      </c>
      <c r="K174" s="16"/>
      <c r="L174" s="16"/>
      <c r="M174" s="16"/>
      <c r="N174" s="16"/>
      <c r="O174" s="16"/>
      <c r="P174" s="16"/>
      <c r="Q174" s="16"/>
      <c r="R174" s="16"/>
      <c r="S174" s="16"/>
      <c r="T174" s="16"/>
      <c r="U174" s="16"/>
      <c r="V174" s="16"/>
      <c r="W174" s="16"/>
      <c r="X174" s="16"/>
      <c r="Y174" s="16"/>
      <c r="Z174" s="16"/>
    </row>
    <row r="175" spans="1:26" ht="15.75" customHeight="1">
      <c r="A175" s="80">
        <f>'Students Details'!A175</f>
        <v>169</v>
      </c>
      <c r="B175" s="81" t="str">
        <f>IF('Students Details'!B175="","",'Students Details'!B175)</f>
        <v/>
      </c>
      <c r="C175" s="82" t="str">
        <f>IF('Students Details'!C175="","",'Students Details'!C175)</f>
        <v/>
      </c>
      <c r="D175" s="83" t="str">
        <f>IF('M Component'!K176=0,"",'M Component'!K176)</f>
        <v/>
      </c>
      <c r="E175" s="83" t="str">
        <f>IF('M Component'!L176=0,"",'M Component'!L176)</f>
        <v/>
      </c>
      <c r="F175" s="83" t="str">
        <f>IF('M Component'!M176=0,"",'M Component'!M176)</f>
        <v/>
      </c>
      <c r="G175" s="83" t="str">
        <f>IF('M Component'!N176=0,"",'M Component'!N176)</f>
        <v/>
      </c>
      <c r="H175" s="83" t="str">
        <f>IF('M Component'!O176=0,"",'M Component'!O176)</f>
        <v/>
      </c>
      <c r="I175" s="83" t="str">
        <f>IF('M Component'!P176=0,"",'M Component'!P176)</f>
        <v/>
      </c>
      <c r="J175" s="84">
        <f t="shared" si="0"/>
        <v>0</v>
      </c>
      <c r="K175" s="16"/>
      <c r="L175" s="16"/>
      <c r="M175" s="16"/>
      <c r="N175" s="16"/>
      <c r="O175" s="16"/>
      <c r="P175" s="16"/>
      <c r="Q175" s="16"/>
      <c r="R175" s="16"/>
      <c r="S175" s="16"/>
      <c r="T175" s="16"/>
      <c r="U175" s="16"/>
      <c r="V175" s="16"/>
      <c r="W175" s="16"/>
      <c r="X175" s="16"/>
      <c r="Y175" s="16"/>
      <c r="Z175" s="16"/>
    </row>
    <row r="176" spans="1:26" ht="15.75" customHeight="1">
      <c r="A176" s="80">
        <f>'Students Details'!A176</f>
        <v>170</v>
      </c>
      <c r="B176" s="81" t="str">
        <f>IF('Students Details'!B176="","",'Students Details'!B176)</f>
        <v/>
      </c>
      <c r="C176" s="82" t="str">
        <f>IF('Students Details'!C176="","",'Students Details'!C176)</f>
        <v/>
      </c>
      <c r="D176" s="83" t="str">
        <f>IF('M Component'!K177=0,"",'M Component'!K177)</f>
        <v/>
      </c>
      <c r="E176" s="83" t="str">
        <f>IF('M Component'!L177=0,"",'M Component'!L177)</f>
        <v/>
      </c>
      <c r="F176" s="83" t="str">
        <f>IF('M Component'!M177=0,"",'M Component'!M177)</f>
        <v/>
      </c>
      <c r="G176" s="83" t="str">
        <f>IF('M Component'!N177=0,"",'M Component'!N177)</f>
        <v/>
      </c>
      <c r="H176" s="83" t="str">
        <f>IF('M Component'!O177=0,"",'M Component'!O177)</f>
        <v/>
      </c>
      <c r="I176" s="83" t="str">
        <f>IF('M Component'!P177=0,"",'M Component'!P177)</f>
        <v/>
      </c>
      <c r="J176" s="84">
        <f t="shared" si="0"/>
        <v>0</v>
      </c>
      <c r="K176" s="16"/>
      <c r="L176" s="16"/>
      <c r="M176" s="16"/>
      <c r="N176" s="16"/>
      <c r="O176" s="16"/>
      <c r="P176" s="16"/>
      <c r="Q176" s="16"/>
      <c r="R176" s="16"/>
      <c r="S176" s="16"/>
      <c r="T176" s="16"/>
      <c r="U176" s="16"/>
      <c r="V176" s="16"/>
      <c r="W176" s="16"/>
      <c r="X176" s="16"/>
      <c r="Y176" s="16"/>
      <c r="Z176" s="16"/>
    </row>
    <row r="177" spans="1:26" ht="15.75" customHeight="1">
      <c r="A177" s="80">
        <f>'Students Details'!A177</f>
        <v>171</v>
      </c>
      <c r="B177" s="81" t="str">
        <f>IF('Students Details'!B177="","",'Students Details'!B177)</f>
        <v/>
      </c>
      <c r="C177" s="82" t="str">
        <f>IF('Students Details'!C177="","",'Students Details'!C177)</f>
        <v/>
      </c>
      <c r="D177" s="83" t="str">
        <f>IF('M Component'!K178=0,"",'M Component'!K178)</f>
        <v/>
      </c>
      <c r="E177" s="83" t="str">
        <f>IF('M Component'!L178=0,"",'M Component'!L178)</f>
        <v/>
      </c>
      <c r="F177" s="83" t="str">
        <f>IF('M Component'!M178=0,"",'M Component'!M178)</f>
        <v/>
      </c>
      <c r="G177" s="83" t="str">
        <f>IF('M Component'!N178=0,"",'M Component'!N178)</f>
        <v/>
      </c>
      <c r="H177" s="83" t="str">
        <f>IF('M Component'!O178=0,"",'M Component'!O178)</f>
        <v/>
      </c>
      <c r="I177" s="83" t="str">
        <f>IF('M Component'!P178=0,"",'M Component'!P178)</f>
        <v/>
      </c>
      <c r="J177" s="84">
        <f t="shared" si="0"/>
        <v>0</v>
      </c>
      <c r="K177" s="16"/>
      <c r="L177" s="16"/>
      <c r="M177" s="16"/>
      <c r="N177" s="16"/>
      <c r="O177" s="16"/>
      <c r="P177" s="16"/>
      <c r="Q177" s="16"/>
      <c r="R177" s="16"/>
      <c r="S177" s="16"/>
      <c r="T177" s="16"/>
      <c r="U177" s="16"/>
      <c r="V177" s="16"/>
      <c r="W177" s="16"/>
      <c r="X177" s="16"/>
      <c r="Y177" s="16"/>
      <c r="Z177" s="16"/>
    </row>
    <row r="178" spans="1:26" ht="15.75" customHeight="1">
      <c r="A178" s="80">
        <f>'Students Details'!A178</f>
        <v>172</v>
      </c>
      <c r="B178" s="81" t="str">
        <f>IF('Students Details'!B178="","",'Students Details'!B178)</f>
        <v/>
      </c>
      <c r="C178" s="82" t="str">
        <f>IF('Students Details'!C178="","",'Students Details'!C178)</f>
        <v/>
      </c>
      <c r="D178" s="83" t="str">
        <f>IF('M Component'!K179=0,"",'M Component'!K179)</f>
        <v/>
      </c>
      <c r="E178" s="83" t="str">
        <f>IF('M Component'!L179=0,"",'M Component'!L179)</f>
        <v/>
      </c>
      <c r="F178" s="83" t="str">
        <f>IF('M Component'!M179=0,"",'M Component'!M179)</f>
        <v/>
      </c>
      <c r="G178" s="83" t="str">
        <f>IF('M Component'!N179=0,"",'M Component'!N179)</f>
        <v/>
      </c>
      <c r="H178" s="83" t="str">
        <f>IF('M Component'!O179=0,"",'M Component'!O179)</f>
        <v/>
      </c>
      <c r="I178" s="83" t="str">
        <f>IF('M Component'!P179=0,"",'M Component'!P179)</f>
        <v/>
      </c>
      <c r="J178" s="84">
        <f t="shared" si="0"/>
        <v>0</v>
      </c>
      <c r="K178" s="16"/>
      <c r="L178" s="16"/>
      <c r="M178" s="16"/>
      <c r="N178" s="16"/>
      <c r="O178" s="16"/>
      <c r="P178" s="16"/>
      <c r="Q178" s="16"/>
      <c r="R178" s="16"/>
      <c r="S178" s="16"/>
      <c r="T178" s="16"/>
      <c r="U178" s="16"/>
      <c r="V178" s="16"/>
      <c r="W178" s="16"/>
      <c r="X178" s="16"/>
      <c r="Y178" s="16"/>
      <c r="Z178" s="16"/>
    </row>
    <row r="179" spans="1:26" ht="15.75" customHeight="1">
      <c r="A179" s="80">
        <f>'Students Details'!A179</f>
        <v>173</v>
      </c>
      <c r="B179" s="81" t="str">
        <f>IF('Students Details'!B179="","",'Students Details'!B179)</f>
        <v/>
      </c>
      <c r="C179" s="82" t="str">
        <f>IF('Students Details'!C179="","",'Students Details'!C179)</f>
        <v/>
      </c>
      <c r="D179" s="83" t="str">
        <f>IF('M Component'!K180=0,"",'M Component'!K180)</f>
        <v/>
      </c>
      <c r="E179" s="83" t="str">
        <f>IF('M Component'!L180=0,"",'M Component'!L180)</f>
        <v/>
      </c>
      <c r="F179" s="83" t="str">
        <f>IF('M Component'!M180=0,"",'M Component'!M180)</f>
        <v/>
      </c>
      <c r="G179" s="83" t="str">
        <f>IF('M Component'!N180=0,"",'M Component'!N180)</f>
        <v/>
      </c>
      <c r="H179" s="83" t="str">
        <f>IF('M Component'!O180=0,"",'M Component'!O180)</f>
        <v/>
      </c>
      <c r="I179" s="83" t="str">
        <f>IF('M Component'!P180=0,"",'M Component'!P180)</f>
        <v/>
      </c>
      <c r="J179" s="84">
        <f t="shared" si="0"/>
        <v>0</v>
      </c>
      <c r="K179" s="16"/>
      <c r="L179" s="16"/>
      <c r="M179" s="16"/>
      <c r="N179" s="16"/>
      <c r="O179" s="16"/>
      <c r="P179" s="16"/>
      <c r="Q179" s="16"/>
      <c r="R179" s="16"/>
      <c r="S179" s="16"/>
      <c r="T179" s="16"/>
      <c r="U179" s="16"/>
      <c r="V179" s="16"/>
      <c r="W179" s="16"/>
      <c r="X179" s="16"/>
      <c r="Y179" s="16"/>
      <c r="Z179" s="16"/>
    </row>
    <row r="180" spans="1:26" ht="15.75" customHeight="1">
      <c r="A180" s="80">
        <f>'Students Details'!A180</f>
        <v>174</v>
      </c>
      <c r="B180" s="81" t="str">
        <f>IF('Students Details'!B180="","",'Students Details'!B180)</f>
        <v/>
      </c>
      <c r="C180" s="82" t="str">
        <f>IF('Students Details'!C180="","",'Students Details'!C180)</f>
        <v/>
      </c>
      <c r="D180" s="83" t="str">
        <f>IF('M Component'!K181=0,"",'M Component'!K181)</f>
        <v/>
      </c>
      <c r="E180" s="83" t="str">
        <f>IF('M Component'!L181=0,"",'M Component'!L181)</f>
        <v/>
      </c>
      <c r="F180" s="83" t="str">
        <f>IF('M Component'!M181=0,"",'M Component'!M181)</f>
        <v/>
      </c>
      <c r="G180" s="83" t="str">
        <f>IF('M Component'!N181=0,"",'M Component'!N181)</f>
        <v/>
      </c>
      <c r="H180" s="83" t="str">
        <f>IF('M Component'!O181=0,"",'M Component'!O181)</f>
        <v/>
      </c>
      <c r="I180" s="83" t="str">
        <f>IF('M Component'!P181=0,"",'M Component'!P181)</f>
        <v/>
      </c>
      <c r="J180" s="84">
        <f t="shared" si="0"/>
        <v>0</v>
      </c>
      <c r="K180" s="16"/>
      <c r="L180" s="16"/>
      <c r="M180" s="16"/>
      <c r="N180" s="16"/>
      <c r="O180" s="16"/>
      <c r="P180" s="16"/>
      <c r="Q180" s="16"/>
      <c r="R180" s="16"/>
      <c r="S180" s="16"/>
      <c r="T180" s="16"/>
      <c r="U180" s="16"/>
      <c r="V180" s="16"/>
      <c r="W180" s="16"/>
      <c r="X180" s="16"/>
      <c r="Y180" s="16"/>
      <c r="Z180" s="16"/>
    </row>
    <row r="181" spans="1:26" ht="15.75" customHeight="1">
      <c r="A181" s="80">
        <f>'Students Details'!A181</f>
        <v>175</v>
      </c>
      <c r="B181" s="81" t="str">
        <f>IF('Students Details'!B181="","",'Students Details'!B181)</f>
        <v/>
      </c>
      <c r="C181" s="82" t="str">
        <f>IF('Students Details'!C181="","",'Students Details'!C181)</f>
        <v/>
      </c>
      <c r="D181" s="83" t="str">
        <f>IF('M Component'!K182=0,"",'M Component'!K182)</f>
        <v/>
      </c>
      <c r="E181" s="83" t="str">
        <f>IF('M Component'!L182=0,"",'M Component'!L182)</f>
        <v/>
      </c>
      <c r="F181" s="83" t="str">
        <f>IF('M Component'!M182=0,"",'M Component'!M182)</f>
        <v/>
      </c>
      <c r="G181" s="83" t="str">
        <f>IF('M Component'!N182=0,"",'M Component'!N182)</f>
        <v/>
      </c>
      <c r="H181" s="83" t="str">
        <f>IF('M Component'!O182=0,"",'M Component'!O182)</f>
        <v/>
      </c>
      <c r="I181" s="83" t="str">
        <f>IF('M Component'!P182=0,"",'M Component'!P182)</f>
        <v/>
      </c>
      <c r="J181" s="84">
        <f t="shared" si="0"/>
        <v>0</v>
      </c>
      <c r="K181" s="16"/>
      <c r="L181" s="16"/>
      <c r="M181" s="16"/>
      <c r="N181" s="16"/>
      <c r="O181" s="16"/>
      <c r="P181" s="16"/>
      <c r="Q181" s="16"/>
      <c r="R181" s="16"/>
      <c r="S181" s="16"/>
      <c r="T181" s="16"/>
      <c r="U181" s="16"/>
      <c r="V181" s="16"/>
      <c r="W181" s="16"/>
      <c r="X181" s="16"/>
      <c r="Y181" s="16"/>
      <c r="Z181" s="16"/>
    </row>
    <row r="182" spans="1:26" ht="15.75" customHeight="1">
      <c r="A182" s="80">
        <f>'Students Details'!A182</f>
        <v>176</v>
      </c>
      <c r="B182" s="81" t="str">
        <f>IF('Students Details'!B182="","",'Students Details'!B182)</f>
        <v/>
      </c>
      <c r="C182" s="82" t="str">
        <f>IF('Students Details'!C182="","",'Students Details'!C182)</f>
        <v/>
      </c>
      <c r="D182" s="83" t="str">
        <f>IF('M Component'!K183=0,"",'M Component'!K183)</f>
        <v/>
      </c>
      <c r="E182" s="83" t="str">
        <f>IF('M Component'!L183=0,"",'M Component'!L183)</f>
        <v/>
      </c>
      <c r="F182" s="83" t="str">
        <f>IF('M Component'!M183=0,"",'M Component'!M183)</f>
        <v/>
      </c>
      <c r="G182" s="83" t="str">
        <f>IF('M Component'!N183=0,"",'M Component'!N183)</f>
        <v/>
      </c>
      <c r="H182" s="83" t="str">
        <f>IF('M Component'!O183=0,"",'M Component'!O183)</f>
        <v/>
      </c>
      <c r="I182" s="83" t="str">
        <f>IF('M Component'!P183=0,"",'M Component'!P183)</f>
        <v/>
      </c>
      <c r="J182" s="84">
        <f t="shared" si="0"/>
        <v>0</v>
      </c>
      <c r="K182" s="16"/>
      <c r="L182" s="16"/>
      <c r="M182" s="16"/>
      <c r="N182" s="16"/>
      <c r="O182" s="16"/>
      <c r="P182" s="16"/>
      <c r="Q182" s="16"/>
      <c r="R182" s="16"/>
      <c r="S182" s="16"/>
      <c r="T182" s="16"/>
      <c r="U182" s="16"/>
      <c r="V182" s="16"/>
      <c r="W182" s="16"/>
      <c r="X182" s="16"/>
      <c r="Y182" s="16"/>
      <c r="Z182" s="16"/>
    </row>
    <row r="183" spans="1:26" ht="15.75" customHeight="1">
      <c r="A183" s="80">
        <f>'Students Details'!A183</f>
        <v>177</v>
      </c>
      <c r="B183" s="81" t="str">
        <f>IF('Students Details'!B183="","",'Students Details'!B183)</f>
        <v/>
      </c>
      <c r="C183" s="82" t="str">
        <f>IF('Students Details'!C183="","",'Students Details'!C183)</f>
        <v/>
      </c>
      <c r="D183" s="83" t="str">
        <f>IF('M Component'!K184=0,"",'M Component'!K184)</f>
        <v/>
      </c>
      <c r="E183" s="83" t="str">
        <f>IF('M Component'!L184=0,"",'M Component'!L184)</f>
        <v/>
      </c>
      <c r="F183" s="83" t="str">
        <f>IF('M Component'!M184=0,"",'M Component'!M184)</f>
        <v/>
      </c>
      <c r="G183" s="83" t="str">
        <f>IF('M Component'!N184=0,"",'M Component'!N184)</f>
        <v/>
      </c>
      <c r="H183" s="83" t="str">
        <f>IF('M Component'!O184=0,"",'M Component'!O184)</f>
        <v/>
      </c>
      <c r="I183" s="83" t="str">
        <f>IF('M Component'!P184=0,"",'M Component'!P184)</f>
        <v/>
      </c>
      <c r="J183" s="84">
        <f t="shared" si="0"/>
        <v>0</v>
      </c>
      <c r="K183" s="16"/>
      <c r="L183" s="16"/>
      <c r="M183" s="16"/>
      <c r="N183" s="16"/>
      <c r="O183" s="16"/>
      <c r="P183" s="16"/>
      <c r="Q183" s="16"/>
      <c r="R183" s="16"/>
      <c r="S183" s="16"/>
      <c r="T183" s="16"/>
      <c r="U183" s="16"/>
      <c r="V183" s="16"/>
      <c r="W183" s="16"/>
      <c r="X183" s="16"/>
      <c r="Y183" s="16"/>
      <c r="Z183" s="16"/>
    </row>
    <row r="184" spans="1:26" ht="15.75" customHeight="1">
      <c r="A184" s="80">
        <f>'Students Details'!A184</f>
        <v>178</v>
      </c>
      <c r="B184" s="81" t="str">
        <f>IF('Students Details'!B184="","",'Students Details'!B184)</f>
        <v/>
      </c>
      <c r="C184" s="82" t="str">
        <f>IF('Students Details'!C184="","",'Students Details'!C184)</f>
        <v/>
      </c>
      <c r="D184" s="83" t="str">
        <f>IF('M Component'!K185=0,"",'M Component'!K185)</f>
        <v/>
      </c>
      <c r="E184" s="83" t="str">
        <f>IF('M Component'!L185=0,"",'M Component'!L185)</f>
        <v/>
      </c>
      <c r="F184" s="83" t="str">
        <f>IF('M Component'!M185=0,"",'M Component'!M185)</f>
        <v/>
      </c>
      <c r="G184" s="83" t="str">
        <f>IF('M Component'!N185=0,"",'M Component'!N185)</f>
        <v/>
      </c>
      <c r="H184" s="83" t="str">
        <f>IF('M Component'!O185=0,"",'M Component'!O185)</f>
        <v/>
      </c>
      <c r="I184" s="83" t="str">
        <f>IF('M Component'!P185=0,"",'M Component'!P185)</f>
        <v/>
      </c>
      <c r="J184" s="84">
        <f t="shared" si="0"/>
        <v>0</v>
      </c>
      <c r="K184" s="16"/>
      <c r="L184" s="16"/>
      <c r="M184" s="16"/>
      <c r="N184" s="16"/>
      <c r="O184" s="16"/>
      <c r="P184" s="16"/>
      <c r="Q184" s="16"/>
      <c r="R184" s="16"/>
      <c r="S184" s="16"/>
      <c r="T184" s="16"/>
      <c r="U184" s="16"/>
      <c r="V184" s="16"/>
      <c r="W184" s="16"/>
      <c r="X184" s="16"/>
      <c r="Y184" s="16"/>
      <c r="Z184" s="16"/>
    </row>
    <row r="185" spans="1:26" ht="15.75" customHeight="1">
      <c r="A185" s="80">
        <f>'Students Details'!A185</f>
        <v>179</v>
      </c>
      <c r="B185" s="81" t="str">
        <f>IF('Students Details'!B185="","",'Students Details'!B185)</f>
        <v/>
      </c>
      <c r="C185" s="82" t="str">
        <f>IF('Students Details'!C185="","",'Students Details'!C185)</f>
        <v/>
      </c>
      <c r="D185" s="83" t="str">
        <f>IF('M Component'!K186=0,"",'M Component'!K186)</f>
        <v/>
      </c>
      <c r="E185" s="83" t="str">
        <f>IF('M Component'!L186=0,"",'M Component'!L186)</f>
        <v/>
      </c>
      <c r="F185" s="83" t="str">
        <f>IF('M Component'!M186=0,"",'M Component'!M186)</f>
        <v/>
      </c>
      <c r="G185" s="83" t="str">
        <f>IF('M Component'!N186=0,"",'M Component'!N186)</f>
        <v/>
      </c>
      <c r="H185" s="83" t="str">
        <f>IF('M Component'!O186=0,"",'M Component'!O186)</f>
        <v/>
      </c>
      <c r="I185" s="83" t="str">
        <f>IF('M Component'!P186=0,"",'M Component'!P186)</f>
        <v/>
      </c>
      <c r="J185" s="84">
        <f t="shared" si="0"/>
        <v>0</v>
      </c>
      <c r="K185" s="16"/>
      <c r="L185" s="16"/>
      <c r="M185" s="16"/>
      <c r="N185" s="16"/>
      <c r="O185" s="16"/>
      <c r="P185" s="16"/>
      <c r="Q185" s="16"/>
      <c r="R185" s="16"/>
      <c r="S185" s="16"/>
      <c r="T185" s="16"/>
      <c r="U185" s="16"/>
      <c r="V185" s="16"/>
      <c r="W185" s="16"/>
      <c r="X185" s="16"/>
      <c r="Y185" s="16"/>
      <c r="Z185" s="16"/>
    </row>
    <row r="186" spans="1:26" ht="15.75" customHeight="1">
      <c r="A186" s="80">
        <f>'Students Details'!A186</f>
        <v>180</v>
      </c>
      <c r="B186" s="81" t="str">
        <f>IF('Students Details'!B186="","",'Students Details'!B186)</f>
        <v/>
      </c>
      <c r="C186" s="82" t="str">
        <f>IF('Students Details'!C186="","",'Students Details'!C186)</f>
        <v/>
      </c>
      <c r="D186" s="83" t="str">
        <f>IF('M Component'!K187=0,"",'M Component'!K187)</f>
        <v/>
      </c>
      <c r="E186" s="83" t="str">
        <f>IF('M Component'!L187=0,"",'M Component'!L187)</f>
        <v/>
      </c>
      <c r="F186" s="83" t="str">
        <f>IF('M Component'!M187=0,"",'M Component'!M187)</f>
        <v/>
      </c>
      <c r="G186" s="83" t="str">
        <f>IF('M Component'!N187=0,"",'M Component'!N187)</f>
        <v/>
      </c>
      <c r="H186" s="83" t="str">
        <f>IF('M Component'!O187=0,"",'M Component'!O187)</f>
        <v/>
      </c>
      <c r="I186" s="83" t="str">
        <f>IF('M Component'!P187=0,"",'M Component'!P187)</f>
        <v/>
      </c>
      <c r="J186" s="84">
        <f t="shared" si="0"/>
        <v>0</v>
      </c>
      <c r="K186" s="16"/>
      <c r="L186" s="16"/>
      <c r="M186" s="16"/>
      <c r="N186" s="16"/>
      <c r="O186" s="16"/>
      <c r="P186" s="16"/>
      <c r="Q186" s="16"/>
      <c r="R186" s="16"/>
      <c r="S186" s="16"/>
      <c r="T186" s="16"/>
      <c r="U186" s="16"/>
      <c r="V186" s="16"/>
      <c r="W186" s="16"/>
      <c r="X186" s="16"/>
      <c r="Y186" s="16"/>
      <c r="Z186" s="16"/>
    </row>
    <row r="187" spans="1:26" ht="15.75" customHeight="1">
      <c r="A187" s="80">
        <f>'Students Details'!A187</f>
        <v>0</v>
      </c>
      <c r="B187" s="81" t="str">
        <f>IF('Students Details'!B187="","",'Students Details'!B187)</f>
        <v/>
      </c>
      <c r="C187" s="82" t="str">
        <f>IF('Students Details'!C187="","",'Students Details'!C187)</f>
        <v/>
      </c>
      <c r="D187" s="83" t="str">
        <f>IF('M Component'!K188=0,"",'M Component'!K188)</f>
        <v/>
      </c>
      <c r="E187" s="83" t="str">
        <f>IF('M Component'!L188=0,"",'M Component'!L188)</f>
        <v/>
      </c>
      <c r="F187" s="83" t="str">
        <f>IF('M Component'!M188=0,"",'M Component'!M188)</f>
        <v/>
      </c>
      <c r="G187" s="83" t="str">
        <f>IF('M Component'!N188=0,"",'M Component'!N188)</f>
        <v/>
      </c>
      <c r="H187" s="83" t="str">
        <f>IF('M Component'!O188=0,"",'M Component'!O188)</f>
        <v/>
      </c>
      <c r="I187" s="83" t="str">
        <f>IF('M Component'!P188=0,"",'M Component'!P188)</f>
        <v/>
      </c>
      <c r="J187" s="84">
        <f t="shared" si="0"/>
        <v>0</v>
      </c>
      <c r="K187" s="16"/>
      <c r="L187" s="16"/>
      <c r="M187" s="16"/>
      <c r="N187" s="16"/>
      <c r="O187" s="16"/>
      <c r="P187" s="16"/>
      <c r="Q187" s="16"/>
      <c r="R187" s="16"/>
      <c r="S187" s="16"/>
      <c r="T187" s="16"/>
      <c r="U187" s="16"/>
      <c r="V187" s="16"/>
      <c r="W187" s="16"/>
      <c r="X187" s="16"/>
      <c r="Y187" s="16"/>
      <c r="Z187" s="16"/>
    </row>
    <row r="188" spans="1:26" ht="15.75" customHeight="1">
      <c r="A188" s="80">
        <f>'Students Details'!A188</f>
        <v>0</v>
      </c>
      <c r="B188" s="81" t="str">
        <f>IF('Students Details'!B188="","",'Students Details'!B188)</f>
        <v/>
      </c>
      <c r="C188" s="82" t="str">
        <f>IF('Students Details'!C188="","",'Students Details'!C188)</f>
        <v/>
      </c>
      <c r="D188" s="83" t="str">
        <f>IF('M Component'!K189=0,"",'M Component'!K189)</f>
        <v/>
      </c>
      <c r="E188" s="83" t="str">
        <f>IF('M Component'!L189=0,"",'M Component'!L189)</f>
        <v/>
      </c>
      <c r="F188" s="83" t="str">
        <f>IF('M Component'!M189=0,"",'M Component'!M189)</f>
        <v/>
      </c>
      <c r="G188" s="83" t="str">
        <f>IF('M Component'!N189=0,"",'M Component'!N189)</f>
        <v/>
      </c>
      <c r="H188" s="83" t="str">
        <f>IF('M Component'!O189=0,"",'M Component'!O189)</f>
        <v/>
      </c>
      <c r="I188" s="83" t="str">
        <f>IF('M Component'!P189=0,"",'M Component'!P189)</f>
        <v/>
      </c>
      <c r="J188" s="84">
        <f t="shared" si="0"/>
        <v>0</v>
      </c>
      <c r="K188" s="16"/>
      <c r="L188" s="16"/>
      <c r="M188" s="16"/>
      <c r="N188" s="16"/>
      <c r="O188" s="16"/>
      <c r="P188" s="16"/>
      <c r="Q188" s="16"/>
      <c r="R188" s="16"/>
      <c r="S188" s="16"/>
      <c r="T188" s="16"/>
      <c r="U188" s="16"/>
      <c r="V188" s="16"/>
      <c r="W188" s="16"/>
      <c r="X188" s="16"/>
      <c r="Y188" s="16"/>
      <c r="Z188" s="16"/>
    </row>
    <row r="189" spans="1:26" ht="15.75" customHeight="1">
      <c r="A189" s="80">
        <f>'Students Details'!A189</f>
        <v>0</v>
      </c>
      <c r="B189" s="81" t="str">
        <f>IF('Students Details'!B189="","",'Students Details'!B189)</f>
        <v/>
      </c>
      <c r="C189" s="82" t="str">
        <f>IF('Students Details'!C189="","",'Students Details'!C189)</f>
        <v/>
      </c>
      <c r="D189" s="83" t="str">
        <f>IF('M Component'!K190=0,"",'M Component'!K190)</f>
        <v/>
      </c>
      <c r="E189" s="83" t="str">
        <f>IF('M Component'!L190=0,"",'M Component'!L190)</f>
        <v/>
      </c>
      <c r="F189" s="83" t="str">
        <f>IF('M Component'!M190=0,"",'M Component'!M190)</f>
        <v/>
      </c>
      <c r="G189" s="83" t="str">
        <f>IF('M Component'!N190=0,"",'M Component'!N190)</f>
        <v/>
      </c>
      <c r="H189" s="83" t="str">
        <f>IF('M Component'!O190=0,"",'M Component'!O190)</f>
        <v/>
      </c>
      <c r="I189" s="83" t="str">
        <f>IF('M Component'!P190=0,"",'M Component'!P190)</f>
        <v/>
      </c>
      <c r="J189" s="84">
        <f t="shared" si="0"/>
        <v>0</v>
      </c>
      <c r="K189" s="16"/>
      <c r="L189" s="16"/>
      <c r="M189" s="16"/>
      <c r="N189" s="16"/>
      <c r="O189" s="16"/>
      <c r="P189" s="16"/>
      <c r="Q189" s="16"/>
      <c r="R189" s="16"/>
      <c r="S189" s="16"/>
      <c r="T189" s="16"/>
      <c r="U189" s="16"/>
      <c r="V189" s="16"/>
      <c r="W189" s="16"/>
      <c r="X189" s="16"/>
      <c r="Y189" s="16"/>
      <c r="Z189" s="16"/>
    </row>
    <row r="190" spans="1:26" ht="15.75" customHeight="1">
      <c r="A190" s="80">
        <f>'Students Details'!A190</f>
        <v>0</v>
      </c>
      <c r="B190" s="81" t="str">
        <f>IF('Students Details'!B190="","",'Students Details'!B190)</f>
        <v/>
      </c>
      <c r="C190" s="82" t="str">
        <f>IF('Students Details'!C190="","",'Students Details'!C190)</f>
        <v/>
      </c>
      <c r="D190" s="83" t="str">
        <f>IF('M Component'!K191=0,"",'M Component'!K191)</f>
        <v/>
      </c>
      <c r="E190" s="83" t="str">
        <f>IF('M Component'!L191=0,"",'M Component'!L191)</f>
        <v/>
      </c>
      <c r="F190" s="83" t="str">
        <f>IF('M Component'!M191=0,"",'M Component'!M191)</f>
        <v/>
      </c>
      <c r="G190" s="83" t="str">
        <f>IF('M Component'!N191=0,"",'M Component'!N191)</f>
        <v/>
      </c>
      <c r="H190" s="83" t="str">
        <f>IF('M Component'!O191=0,"",'M Component'!O191)</f>
        <v/>
      </c>
      <c r="I190" s="83" t="str">
        <f>IF('M Component'!P191=0,"",'M Component'!P191)</f>
        <v/>
      </c>
      <c r="J190" s="84">
        <f t="shared" si="0"/>
        <v>0</v>
      </c>
      <c r="K190" s="16"/>
      <c r="L190" s="16"/>
      <c r="M190" s="16"/>
      <c r="N190" s="16"/>
      <c r="O190" s="16"/>
      <c r="P190" s="16"/>
      <c r="Q190" s="16"/>
      <c r="R190" s="16"/>
      <c r="S190" s="16"/>
      <c r="T190" s="16"/>
      <c r="U190" s="16"/>
      <c r="V190" s="16"/>
      <c r="W190" s="16"/>
      <c r="X190" s="16"/>
      <c r="Y190" s="16"/>
      <c r="Z190" s="16"/>
    </row>
    <row r="191" spans="1:26" ht="15.75" customHeight="1">
      <c r="A191" s="80">
        <f>'Students Details'!A191</f>
        <v>0</v>
      </c>
      <c r="B191" s="81" t="str">
        <f>IF('Students Details'!B191="","",'Students Details'!B191)</f>
        <v/>
      </c>
      <c r="C191" s="82" t="str">
        <f>IF('Students Details'!C191="","",'Students Details'!C191)</f>
        <v/>
      </c>
      <c r="D191" s="83" t="str">
        <f>IF('M Component'!K192=0,"",'M Component'!K192)</f>
        <v/>
      </c>
      <c r="E191" s="83" t="str">
        <f>IF('M Component'!L192=0,"",'M Component'!L192)</f>
        <v/>
      </c>
      <c r="F191" s="83" t="str">
        <f>IF('M Component'!M192=0,"",'M Component'!M192)</f>
        <v/>
      </c>
      <c r="G191" s="83" t="str">
        <f>IF('M Component'!N192=0,"",'M Component'!N192)</f>
        <v/>
      </c>
      <c r="H191" s="83" t="str">
        <f>IF('M Component'!O192=0,"",'M Component'!O192)</f>
        <v/>
      </c>
      <c r="I191" s="83" t="str">
        <f>IF('M Component'!P192=0,"",'M Component'!P192)</f>
        <v/>
      </c>
      <c r="J191" s="84">
        <f t="shared" si="0"/>
        <v>0</v>
      </c>
      <c r="K191" s="16"/>
      <c r="L191" s="16"/>
      <c r="M191" s="16"/>
      <c r="N191" s="16"/>
      <c r="O191" s="16"/>
      <c r="P191" s="16"/>
      <c r="Q191" s="16"/>
      <c r="R191" s="16"/>
      <c r="S191" s="16"/>
      <c r="T191" s="16"/>
      <c r="U191" s="16"/>
      <c r="V191" s="16"/>
      <c r="W191" s="16"/>
      <c r="X191" s="16"/>
      <c r="Y191" s="16"/>
      <c r="Z191" s="16"/>
    </row>
    <row r="192" spans="1:26" ht="15.75" customHeight="1">
      <c r="A192" s="80">
        <f>'Students Details'!A192</f>
        <v>0</v>
      </c>
      <c r="B192" s="81" t="str">
        <f>IF('Students Details'!B192="","",'Students Details'!B192)</f>
        <v/>
      </c>
      <c r="C192" s="82" t="str">
        <f>IF('Students Details'!C192="","",'Students Details'!C192)</f>
        <v/>
      </c>
      <c r="D192" s="83" t="str">
        <f>IF('M Component'!K193=0,"",'M Component'!K193)</f>
        <v/>
      </c>
      <c r="E192" s="83" t="str">
        <f>IF('M Component'!L193=0,"",'M Component'!L193)</f>
        <v/>
      </c>
      <c r="F192" s="83" t="str">
        <f>IF('M Component'!M193=0,"",'M Component'!M193)</f>
        <v/>
      </c>
      <c r="G192" s="83" t="str">
        <f>IF('M Component'!N193=0,"",'M Component'!N193)</f>
        <v/>
      </c>
      <c r="H192" s="83" t="str">
        <f>IF('M Component'!O193=0,"",'M Component'!O193)</f>
        <v/>
      </c>
      <c r="I192" s="83" t="str">
        <f>IF('M Component'!P193=0,"",'M Component'!P193)</f>
        <v/>
      </c>
      <c r="J192" s="84">
        <f t="shared" si="0"/>
        <v>0</v>
      </c>
      <c r="K192" s="16"/>
      <c r="L192" s="16"/>
      <c r="M192" s="16"/>
      <c r="N192" s="16"/>
      <c r="O192" s="16"/>
      <c r="P192" s="16"/>
      <c r="Q192" s="16"/>
      <c r="R192" s="16"/>
      <c r="S192" s="16"/>
      <c r="T192" s="16"/>
      <c r="U192" s="16"/>
      <c r="V192" s="16"/>
      <c r="W192" s="16"/>
      <c r="X192" s="16"/>
      <c r="Y192" s="16"/>
      <c r="Z192" s="16"/>
    </row>
    <row r="193" spans="1:26" ht="15.75" customHeight="1">
      <c r="A193" s="80">
        <f>'Students Details'!A193</f>
        <v>0</v>
      </c>
      <c r="B193" s="81" t="str">
        <f>IF('Students Details'!B193="","",'Students Details'!B193)</f>
        <v/>
      </c>
      <c r="C193" s="82" t="str">
        <f>IF('Students Details'!C193="","",'Students Details'!C193)</f>
        <v/>
      </c>
      <c r="D193" s="83" t="str">
        <f>IF('M Component'!K194=0,"",'M Component'!K194)</f>
        <v/>
      </c>
      <c r="E193" s="83" t="str">
        <f>IF('M Component'!L194=0,"",'M Component'!L194)</f>
        <v/>
      </c>
      <c r="F193" s="83" t="str">
        <f>IF('M Component'!M194=0,"",'M Component'!M194)</f>
        <v/>
      </c>
      <c r="G193" s="83" t="str">
        <f>IF('M Component'!N194=0,"",'M Component'!N194)</f>
        <v/>
      </c>
      <c r="H193" s="83" t="str">
        <f>IF('M Component'!O194=0,"",'M Component'!O194)</f>
        <v/>
      </c>
      <c r="I193" s="83" t="str">
        <f>IF('M Component'!P194=0,"",'M Component'!P194)</f>
        <v/>
      </c>
      <c r="J193" s="84">
        <f t="shared" si="0"/>
        <v>0</v>
      </c>
      <c r="K193" s="16"/>
      <c r="L193" s="16"/>
      <c r="M193" s="16"/>
      <c r="N193" s="16"/>
      <c r="O193" s="16"/>
      <c r="P193" s="16"/>
      <c r="Q193" s="16"/>
      <c r="R193" s="16"/>
      <c r="S193" s="16"/>
      <c r="T193" s="16"/>
      <c r="U193" s="16"/>
      <c r="V193" s="16"/>
      <c r="W193" s="16"/>
      <c r="X193" s="16"/>
      <c r="Y193" s="16"/>
      <c r="Z193" s="16"/>
    </row>
    <row r="194" spans="1:26" ht="15.75" customHeight="1">
      <c r="A194" s="80">
        <f>'Students Details'!A194</f>
        <v>0</v>
      </c>
      <c r="B194" s="81" t="str">
        <f>IF('Students Details'!B194="","",'Students Details'!B194)</f>
        <v/>
      </c>
      <c r="C194" s="82" t="str">
        <f>IF('Students Details'!C194="","",'Students Details'!C194)</f>
        <v/>
      </c>
      <c r="D194" s="83" t="str">
        <f>IF('M Component'!K195=0,"",'M Component'!K195)</f>
        <v/>
      </c>
      <c r="E194" s="83" t="str">
        <f>IF('M Component'!L195=0,"",'M Component'!L195)</f>
        <v/>
      </c>
      <c r="F194" s="83" t="str">
        <f>IF('M Component'!M195=0,"",'M Component'!M195)</f>
        <v/>
      </c>
      <c r="G194" s="83" t="str">
        <f>IF('M Component'!N195=0,"",'M Component'!N195)</f>
        <v/>
      </c>
      <c r="H194" s="83" t="str">
        <f>IF('M Component'!O195=0,"",'M Component'!O195)</f>
        <v/>
      </c>
      <c r="I194" s="83" t="str">
        <f>IF('M Component'!P195=0,"",'M Component'!P195)</f>
        <v/>
      </c>
      <c r="J194" s="84">
        <f t="shared" si="0"/>
        <v>0</v>
      </c>
      <c r="K194" s="16"/>
      <c r="L194" s="16"/>
      <c r="M194" s="16"/>
      <c r="N194" s="16"/>
      <c r="O194" s="16"/>
      <c r="P194" s="16"/>
      <c r="Q194" s="16"/>
      <c r="R194" s="16"/>
      <c r="S194" s="16"/>
      <c r="T194" s="16"/>
      <c r="U194" s="16"/>
      <c r="V194" s="16"/>
      <c r="W194" s="16"/>
      <c r="X194" s="16"/>
      <c r="Y194" s="16"/>
      <c r="Z194" s="16"/>
    </row>
    <row r="195" spans="1:26" ht="15.75" customHeight="1">
      <c r="A195" s="80">
        <f>'Students Details'!A195</f>
        <v>0</v>
      </c>
      <c r="B195" s="81" t="str">
        <f>IF('Students Details'!B195="","",'Students Details'!B195)</f>
        <v/>
      </c>
      <c r="C195" s="82" t="str">
        <f>IF('Students Details'!C195="","",'Students Details'!C195)</f>
        <v/>
      </c>
      <c r="D195" s="83" t="str">
        <f>IF('M Component'!K196=0,"",'M Component'!K196)</f>
        <v/>
      </c>
      <c r="E195" s="83" t="str">
        <f>IF('M Component'!L196=0,"",'M Component'!L196)</f>
        <v/>
      </c>
      <c r="F195" s="83" t="str">
        <f>IF('M Component'!M196=0,"",'M Component'!M196)</f>
        <v/>
      </c>
      <c r="G195" s="83" t="str">
        <f>IF('M Component'!N196=0,"",'M Component'!N196)</f>
        <v/>
      </c>
      <c r="H195" s="83" t="str">
        <f>IF('M Component'!O196=0,"",'M Component'!O196)</f>
        <v/>
      </c>
      <c r="I195" s="83" t="str">
        <f>IF('M Component'!P196=0,"",'M Component'!P196)</f>
        <v/>
      </c>
      <c r="J195" s="84">
        <f t="shared" si="0"/>
        <v>0</v>
      </c>
      <c r="K195" s="16"/>
      <c r="L195" s="16"/>
      <c r="M195" s="16"/>
      <c r="N195" s="16"/>
      <c r="O195" s="16"/>
      <c r="P195" s="16"/>
      <c r="Q195" s="16"/>
      <c r="R195" s="16"/>
      <c r="S195" s="16"/>
      <c r="T195" s="16"/>
      <c r="U195" s="16"/>
      <c r="V195" s="16"/>
      <c r="W195" s="16"/>
      <c r="X195" s="16"/>
      <c r="Y195" s="16"/>
      <c r="Z195" s="16"/>
    </row>
    <row r="196" spans="1:26" ht="15.75" customHeight="1">
      <c r="A196" s="80">
        <f>'Students Details'!A196</f>
        <v>0</v>
      </c>
      <c r="B196" s="81" t="str">
        <f>IF('Students Details'!B196="","",'Students Details'!B196)</f>
        <v/>
      </c>
      <c r="C196" s="82" t="str">
        <f>IF('Students Details'!C196="","",'Students Details'!C196)</f>
        <v/>
      </c>
      <c r="D196" s="83" t="str">
        <f>IF('M Component'!K197=0,"",'M Component'!K197)</f>
        <v/>
      </c>
      <c r="E196" s="83" t="str">
        <f>IF('M Component'!L197=0,"",'M Component'!L197)</f>
        <v/>
      </c>
      <c r="F196" s="83" t="str">
        <f>IF('M Component'!M197=0,"",'M Component'!M197)</f>
        <v/>
      </c>
      <c r="G196" s="83" t="str">
        <f>IF('M Component'!N197=0,"",'M Component'!N197)</f>
        <v/>
      </c>
      <c r="H196" s="83" t="str">
        <f>IF('M Component'!O197=0,"",'M Component'!O197)</f>
        <v/>
      </c>
      <c r="I196" s="83" t="str">
        <f>IF('M Component'!P197=0,"",'M Component'!P197)</f>
        <v/>
      </c>
      <c r="J196" s="84">
        <f t="shared" si="0"/>
        <v>0</v>
      </c>
      <c r="K196" s="16"/>
      <c r="L196" s="16"/>
      <c r="M196" s="16"/>
      <c r="N196" s="16"/>
      <c r="O196" s="16"/>
      <c r="P196" s="16"/>
      <c r="Q196" s="16"/>
      <c r="R196" s="16"/>
      <c r="S196" s="16"/>
      <c r="T196" s="16"/>
      <c r="U196" s="16"/>
      <c r="V196" s="16"/>
      <c r="W196" s="16"/>
      <c r="X196" s="16"/>
      <c r="Y196" s="16"/>
      <c r="Z196" s="16"/>
    </row>
    <row r="197" spans="1:26" ht="15.75" customHeight="1">
      <c r="A197" s="80">
        <f>'Students Details'!A197</f>
        <v>0</v>
      </c>
      <c r="B197" s="81" t="str">
        <f>IF('Students Details'!B197="","",'Students Details'!B197)</f>
        <v/>
      </c>
      <c r="C197" s="82" t="str">
        <f>IF('Students Details'!C197="","",'Students Details'!C197)</f>
        <v/>
      </c>
      <c r="D197" s="83" t="str">
        <f>IF('M Component'!K198=0,"",'M Component'!K198)</f>
        <v/>
      </c>
      <c r="E197" s="83" t="str">
        <f>IF('M Component'!L198=0,"",'M Component'!L198)</f>
        <v/>
      </c>
      <c r="F197" s="83" t="str">
        <f>IF('M Component'!M198=0,"",'M Component'!M198)</f>
        <v/>
      </c>
      <c r="G197" s="83" t="str">
        <f>IF('M Component'!N198=0,"",'M Component'!N198)</f>
        <v/>
      </c>
      <c r="H197" s="83" t="str">
        <f>IF('M Component'!O198=0,"",'M Component'!O198)</f>
        <v/>
      </c>
      <c r="I197" s="83" t="str">
        <f>IF('M Component'!P198=0,"",'M Component'!P198)</f>
        <v/>
      </c>
      <c r="J197" s="84">
        <f t="shared" si="0"/>
        <v>0</v>
      </c>
      <c r="K197" s="16"/>
      <c r="L197" s="16"/>
      <c r="M197" s="16"/>
      <c r="N197" s="16"/>
      <c r="O197" s="16"/>
      <c r="P197" s="16"/>
      <c r="Q197" s="16"/>
      <c r="R197" s="16"/>
      <c r="S197" s="16"/>
      <c r="T197" s="16"/>
      <c r="U197" s="16"/>
      <c r="V197" s="16"/>
      <c r="W197" s="16"/>
      <c r="X197" s="16"/>
      <c r="Y197" s="16"/>
      <c r="Z197" s="16"/>
    </row>
    <row r="198" spans="1:26" ht="15.75" customHeight="1">
      <c r="A198" s="80">
        <f>'Students Details'!A198</f>
        <v>0</v>
      </c>
      <c r="B198" s="81" t="str">
        <f>IF('Students Details'!B198="","",'Students Details'!B198)</f>
        <v/>
      </c>
      <c r="C198" s="82" t="str">
        <f>IF('Students Details'!C198="","",'Students Details'!C198)</f>
        <v/>
      </c>
      <c r="D198" s="83" t="str">
        <f>IF('M Component'!K199=0,"",'M Component'!K199)</f>
        <v/>
      </c>
      <c r="E198" s="83" t="str">
        <f>IF('M Component'!L199=0,"",'M Component'!L199)</f>
        <v/>
      </c>
      <c r="F198" s="83" t="str">
        <f>IF('M Component'!M199=0,"",'M Component'!M199)</f>
        <v/>
      </c>
      <c r="G198" s="83" t="str">
        <f>IF('M Component'!N199=0,"",'M Component'!N199)</f>
        <v/>
      </c>
      <c r="H198" s="83" t="str">
        <f>IF('M Component'!O199=0,"",'M Component'!O199)</f>
        <v/>
      </c>
      <c r="I198" s="83" t="str">
        <f>IF('M Component'!P199=0,"",'M Component'!P199)</f>
        <v/>
      </c>
      <c r="J198" s="84">
        <f t="shared" si="0"/>
        <v>0</v>
      </c>
      <c r="K198" s="16"/>
      <c r="L198" s="16"/>
      <c r="M198" s="16"/>
      <c r="N198" s="16"/>
      <c r="O198" s="16"/>
      <c r="P198" s="16"/>
      <c r="Q198" s="16"/>
      <c r="R198" s="16"/>
      <c r="S198" s="16"/>
      <c r="T198" s="16"/>
      <c r="U198" s="16"/>
      <c r="V198" s="16"/>
      <c r="W198" s="16"/>
      <c r="X198" s="16"/>
      <c r="Y198" s="16"/>
      <c r="Z198" s="16"/>
    </row>
    <row r="199" spans="1:26" ht="15.75" customHeight="1">
      <c r="A199" s="80">
        <f>'Students Details'!A199</f>
        <v>0</v>
      </c>
      <c r="B199" s="81" t="str">
        <f>IF('Students Details'!B199="","",'Students Details'!B199)</f>
        <v/>
      </c>
      <c r="C199" s="82" t="str">
        <f>IF('Students Details'!C199="","",'Students Details'!C199)</f>
        <v/>
      </c>
      <c r="D199" s="83" t="str">
        <f>IF('M Component'!K200=0,"",'M Component'!K200)</f>
        <v/>
      </c>
      <c r="E199" s="83" t="str">
        <f>IF('M Component'!L200=0,"",'M Component'!L200)</f>
        <v/>
      </c>
      <c r="F199" s="83" t="str">
        <f>IF('M Component'!M200=0,"",'M Component'!M200)</f>
        <v/>
      </c>
      <c r="G199" s="83" t="str">
        <f>IF('M Component'!N200=0,"",'M Component'!N200)</f>
        <v/>
      </c>
      <c r="H199" s="83" t="str">
        <f>IF('M Component'!O200=0,"",'M Component'!O200)</f>
        <v/>
      </c>
      <c r="I199" s="83" t="str">
        <f>IF('M Component'!P200=0,"",'M Component'!P200)</f>
        <v/>
      </c>
      <c r="J199" s="84">
        <f t="shared" si="0"/>
        <v>0</v>
      </c>
      <c r="K199" s="16"/>
      <c r="L199" s="16"/>
      <c r="M199" s="16"/>
      <c r="N199" s="16"/>
      <c r="O199" s="16"/>
      <c r="P199" s="16"/>
      <c r="Q199" s="16"/>
      <c r="R199" s="16"/>
      <c r="S199" s="16"/>
      <c r="T199" s="16"/>
      <c r="U199" s="16"/>
      <c r="V199" s="16"/>
      <c r="W199" s="16"/>
      <c r="X199" s="16"/>
      <c r="Y199" s="16"/>
      <c r="Z199" s="16"/>
    </row>
    <row r="200" spans="1:26" ht="15.75" customHeight="1">
      <c r="A200" s="80">
        <f>'Students Details'!A200</f>
        <v>0</v>
      </c>
      <c r="B200" s="81" t="str">
        <f>IF('Students Details'!B200="","",'Students Details'!B200)</f>
        <v/>
      </c>
      <c r="C200" s="82" t="str">
        <f>IF('Students Details'!C200="","",'Students Details'!C200)</f>
        <v/>
      </c>
      <c r="D200" s="83" t="str">
        <f>IF('M Component'!K201=0,"",'M Component'!K201)</f>
        <v/>
      </c>
      <c r="E200" s="83" t="str">
        <f>IF('M Component'!L201=0,"",'M Component'!L201)</f>
        <v/>
      </c>
      <c r="F200" s="83" t="str">
        <f>IF('M Component'!M201=0,"",'M Component'!M201)</f>
        <v/>
      </c>
      <c r="G200" s="83" t="str">
        <f>IF('M Component'!N201=0,"",'M Component'!N201)</f>
        <v/>
      </c>
      <c r="H200" s="83" t="str">
        <f>IF('M Component'!O201=0,"",'M Component'!O201)</f>
        <v/>
      </c>
      <c r="I200" s="83" t="str">
        <f>IF('M Component'!P201=0,"",'M Component'!P201)</f>
        <v/>
      </c>
      <c r="J200" s="84">
        <f t="shared" si="0"/>
        <v>0</v>
      </c>
      <c r="K200" s="16"/>
      <c r="L200" s="16"/>
      <c r="M200" s="16"/>
      <c r="N200" s="16"/>
      <c r="O200" s="16"/>
      <c r="P200" s="16"/>
      <c r="Q200" s="16"/>
      <c r="R200" s="16"/>
      <c r="S200" s="16"/>
      <c r="T200" s="16"/>
      <c r="U200" s="16"/>
      <c r="V200" s="16"/>
      <c r="W200" s="16"/>
      <c r="X200" s="16"/>
      <c r="Y200" s="16"/>
      <c r="Z200" s="16"/>
    </row>
    <row r="201" spans="1:26" ht="15.75" customHeight="1">
      <c r="A201" s="80">
        <f>'Students Details'!A201</f>
        <v>0</v>
      </c>
      <c r="B201" s="81" t="str">
        <f>IF('Students Details'!B201="","",'Students Details'!B201)</f>
        <v/>
      </c>
      <c r="C201" s="82" t="str">
        <f>IF('Students Details'!C201="","",'Students Details'!C201)</f>
        <v/>
      </c>
      <c r="D201" s="83" t="str">
        <f>IF('M Component'!K202=0,"",'M Component'!K202)</f>
        <v/>
      </c>
      <c r="E201" s="83" t="str">
        <f>IF('M Component'!L202=0,"",'M Component'!L202)</f>
        <v/>
      </c>
      <c r="F201" s="83" t="str">
        <f>IF('M Component'!M202=0,"",'M Component'!M202)</f>
        <v/>
      </c>
      <c r="G201" s="83" t="str">
        <f>IF('M Component'!N202=0,"",'M Component'!N202)</f>
        <v/>
      </c>
      <c r="H201" s="83" t="str">
        <f>IF('M Component'!O202=0,"",'M Component'!O202)</f>
        <v/>
      </c>
      <c r="I201" s="83" t="str">
        <f>IF('M Component'!P202=0,"",'M Component'!P202)</f>
        <v/>
      </c>
      <c r="J201" s="84">
        <f t="shared" si="0"/>
        <v>0</v>
      </c>
      <c r="K201" s="16"/>
      <c r="L201" s="16"/>
      <c r="M201" s="16"/>
      <c r="N201" s="16"/>
      <c r="O201" s="16"/>
      <c r="P201" s="16"/>
      <c r="Q201" s="16"/>
      <c r="R201" s="16"/>
      <c r="S201" s="16"/>
      <c r="T201" s="16"/>
      <c r="U201" s="16"/>
      <c r="V201" s="16"/>
      <c r="W201" s="16"/>
      <c r="X201" s="16"/>
      <c r="Y201" s="16"/>
      <c r="Z201" s="16"/>
    </row>
    <row r="202" spans="1:26" ht="15.75" customHeight="1">
      <c r="A202" s="80">
        <f>'Students Details'!A202</f>
        <v>0</v>
      </c>
      <c r="B202" s="81" t="str">
        <f>IF('Students Details'!B202="","",'Students Details'!B202)</f>
        <v/>
      </c>
      <c r="C202" s="82" t="str">
        <f>IF('Students Details'!C202="","",'Students Details'!C202)</f>
        <v/>
      </c>
      <c r="D202" s="83" t="str">
        <f>IF('M Component'!K203=0,"",'M Component'!K203)</f>
        <v/>
      </c>
      <c r="E202" s="83" t="str">
        <f>IF('M Component'!L203=0,"",'M Component'!L203)</f>
        <v/>
      </c>
      <c r="F202" s="83" t="str">
        <f>IF('M Component'!M203=0,"",'M Component'!M203)</f>
        <v/>
      </c>
      <c r="G202" s="83" t="str">
        <f>IF('M Component'!N203=0,"",'M Component'!N203)</f>
        <v/>
      </c>
      <c r="H202" s="83" t="str">
        <f>IF('M Component'!O203=0,"",'M Component'!O203)</f>
        <v/>
      </c>
      <c r="I202" s="83" t="str">
        <f>IF('M Component'!P203=0,"",'M Component'!P203)</f>
        <v/>
      </c>
      <c r="J202" s="84">
        <f t="shared" si="0"/>
        <v>0</v>
      </c>
      <c r="K202" s="16"/>
      <c r="L202" s="16"/>
      <c r="M202" s="16"/>
      <c r="N202" s="16"/>
      <c r="O202" s="16"/>
      <c r="P202" s="16"/>
      <c r="Q202" s="16"/>
      <c r="R202" s="16"/>
      <c r="S202" s="16"/>
      <c r="T202" s="16"/>
      <c r="U202" s="16"/>
      <c r="V202" s="16"/>
      <c r="W202" s="16"/>
      <c r="X202" s="16"/>
      <c r="Y202" s="16"/>
      <c r="Z202" s="16"/>
    </row>
    <row r="203" spans="1:26" ht="15.75" customHeight="1">
      <c r="A203" s="80">
        <f>'Students Details'!A203</f>
        <v>0</v>
      </c>
      <c r="B203" s="81" t="str">
        <f>IF('Students Details'!B203="","",'Students Details'!B203)</f>
        <v/>
      </c>
      <c r="C203" s="82" t="str">
        <f>IF('Students Details'!C203="","",'Students Details'!C203)</f>
        <v/>
      </c>
      <c r="D203" s="83" t="str">
        <f>IF('M Component'!K204=0,"",'M Component'!K204)</f>
        <v/>
      </c>
      <c r="E203" s="83" t="str">
        <f>IF('M Component'!L204=0,"",'M Component'!L204)</f>
        <v/>
      </c>
      <c r="F203" s="83" t="str">
        <f>IF('M Component'!M204=0,"",'M Component'!M204)</f>
        <v/>
      </c>
      <c r="G203" s="83" t="str">
        <f>IF('M Component'!N204=0,"",'M Component'!N204)</f>
        <v/>
      </c>
      <c r="H203" s="83" t="str">
        <f>IF('M Component'!O204=0,"",'M Component'!O204)</f>
        <v/>
      </c>
      <c r="I203" s="83" t="str">
        <f>IF('M Component'!P204=0,"",'M Component'!P204)</f>
        <v/>
      </c>
      <c r="J203" s="84">
        <f t="shared" si="0"/>
        <v>0</v>
      </c>
      <c r="K203" s="16"/>
      <c r="L203" s="16"/>
      <c r="M203" s="16"/>
      <c r="N203" s="16"/>
      <c r="O203" s="16"/>
      <c r="P203" s="16"/>
      <c r="Q203" s="16"/>
      <c r="R203" s="16"/>
      <c r="S203" s="16"/>
      <c r="T203" s="16"/>
      <c r="U203" s="16"/>
      <c r="V203" s="16"/>
      <c r="W203" s="16"/>
      <c r="X203" s="16"/>
      <c r="Y203" s="16"/>
      <c r="Z203" s="16"/>
    </row>
    <row r="204" spans="1:26" ht="15.75" customHeight="1">
      <c r="A204" s="80">
        <f>'Students Details'!A204</f>
        <v>0</v>
      </c>
      <c r="B204" s="81" t="str">
        <f>IF('Students Details'!B204="","",'Students Details'!B204)</f>
        <v/>
      </c>
      <c r="C204" s="82" t="str">
        <f>IF('Students Details'!C204="","",'Students Details'!C204)</f>
        <v/>
      </c>
      <c r="D204" s="83" t="str">
        <f>IF('M Component'!K205=0,"",'M Component'!K205)</f>
        <v/>
      </c>
      <c r="E204" s="83" t="str">
        <f>IF('M Component'!L205=0,"",'M Component'!L205)</f>
        <v/>
      </c>
      <c r="F204" s="83" t="str">
        <f>IF('M Component'!M205=0,"",'M Component'!M205)</f>
        <v/>
      </c>
      <c r="G204" s="83" t="str">
        <f>IF('M Component'!N205=0,"",'M Component'!N205)</f>
        <v/>
      </c>
      <c r="H204" s="83" t="str">
        <f>IF('M Component'!O205=0,"",'M Component'!O205)</f>
        <v/>
      </c>
      <c r="I204" s="83" t="str">
        <f>IF('M Component'!P205=0,"",'M Component'!P205)</f>
        <v/>
      </c>
      <c r="J204" s="84">
        <f t="shared" si="0"/>
        <v>0</v>
      </c>
      <c r="K204" s="16"/>
      <c r="L204" s="16"/>
      <c r="M204" s="16"/>
      <c r="N204" s="16"/>
      <c r="O204" s="16"/>
      <c r="P204" s="16"/>
      <c r="Q204" s="16"/>
      <c r="R204" s="16"/>
      <c r="S204" s="16"/>
      <c r="T204" s="16"/>
      <c r="U204" s="16"/>
      <c r="V204" s="16"/>
      <c r="W204" s="16"/>
      <c r="X204" s="16"/>
      <c r="Y204" s="16"/>
      <c r="Z204" s="16"/>
    </row>
    <row r="205" spans="1:26" ht="15.75" customHeight="1">
      <c r="A205" s="80">
        <f>'Students Details'!A205</f>
        <v>0</v>
      </c>
      <c r="B205" s="81" t="str">
        <f>IF('Students Details'!B205="","",'Students Details'!B205)</f>
        <v/>
      </c>
      <c r="C205" s="82" t="str">
        <f>IF('Students Details'!C205="","",'Students Details'!C205)</f>
        <v/>
      </c>
      <c r="D205" s="83" t="str">
        <f>IF('M Component'!K206=0,"",'M Component'!K206)</f>
        <v/>
      </c>
      <c r="E205" s="83" t="str">
        <f>IF('M Component'!L206=0,"",'M Component'!L206)</f>
        <v/>
      </c>
      <c r="F205" s="83" t="str">
        <f>IF('M Component'!M206=0,"",'M Component'!M206)</f>
        <v/>
      </c>
      <c r="G205" s="83" t="str">
        <f>IF('M Component'!N206=0,"",'M Component'!N206)</f>
        <v/>
      </c>
      <c r="H205" s="83" t="str">
        <f>IF('M Component'!O206=0,"",'M Component'!O206)</f>
        <v/>
      </c>
      <c r="I205" s="83" t="str">
        <f>IF('M Component'!P206=0,"",'M Component'!P206)</f>
        <v/>
      </c>
      <c r="J205" s="84">
        <f t="shared" si="0"/>
        <v>0</v>
      </c>
      <c r="K205" s="16"/>
      <c r="L205" s="16"/>
      <c r="M205" s="16"/>
      <c r="N205" s="16"/>
      <c r="O205" s="16"/>
      <c r="P205" s="16"/>
      <c r="Q205" s="16"/>
      <c r="R205" s="16"/>
      <c r="S205" s="16"/>
      <c r="T205" s="16"/>
      <c r="U205" s="16"/>
      <c r="V205" s="16"/>
      <c r="W205" s="16"/>
      <c r="X205" s="16"/>
      <c r="Y205" s="16"/>
      <c r="Z205" s="16"/>
    </row>
    <row r="206" spans="1:26" ht="15.75" customHeight="1">
      <c r="A206" s="80">
        <f>'Students Details'!A206</f>
        <v>0</v>
      </c>
      <c r="B206" s="81" t="str">
        <f>IF('Students Details'!B206="","",'Students Details'!B206)</f>
        <v/>
      </c>
      <c r="C206" s="82" t="str">
        <f>IF('Students Details'!C206="","",'Students Details'!C206)</f>
        <v/>
      </c>
      <c r="D206" s="83" t="str">
        <f>IF('M Component'!K207=0,"",'M Component'!K207)</f>
        <v/>
      </c>
      <c r="E206" s="83" t="str">
        <f>IF('M Component'!L207=0,"",'M Component'!L207)</f>
        <v/>
      </c>
      <c r="F206" s="83" t="str">
        <f>IF('M Component'!M207=0,"",'M Component'!M207)</f>
        <v/>
      </c>
      <c r="G206" s="83" t="str">
        <f>IF('M Component'!N207=0,"",'M Component'!N207)</f>
        <v/>
      </c>
      <c r="H206" s="83" t="str">
        <f>IF('M Component'!O207=0,"",'M Component'!O207)</f>
        <v/>
      </c>
      <c r="I206" s="83" t="str">
        <f>IF('M Component'!P207=0,"",'M Component'!P207)</f>
        <v/>
      </c>
      <c r="J206" s="84">
        <f t="shared" si="0"/>
        <v>0</v>
      </c>
      <c r="K206" s="16"/>
      <c r="L206" s="16"/>
      <c r="M206" s="16"/>
      <c r="N206" s="16"/>
      <c r="O206" s="16"/>
      <c r="P206" s="16"/>
      <c r="Q206" s="16"/>
      <c r="R206" s="16"/>
      <c r="S206" s="16"/>
      <c r="T206" s="16"/>
      <c r="U206" s="16"/>
      <c r="V206" s="16"/>
      <c r="W206" s="16"/>
      <c r="X206" s="16"/>
      <c r="Y206" s="16"/>
      <c r="Z206" s="16"/>
    </row>
    <row r="207" spans="1:26" ht="15.75" customHeight="1">
      <c r="A207" s="85"/>
      <c r="B207" s="86"/>
      <c r="C207" s="87"/>
      <c r="D207" s="46"/>
      <c r="E207" s="46"/>
      <c r="F207" s="46"/>
      <c r="G207" s="46"/>
      <c r="H207" s="46"/>
      <c r="I207" s="88"/>
      <c r="J207" s="85"/>
      <c r="K207" s="16"/>
      <c r="L207" s="16"/>
      <c r="M207" s="16"/>
      <c r="N207" s="16"/>
      <c r="O207" s="16"/>
      <c r="P207" s="16"/>
      <c r="Q207" s="16"/>
      <c r="R207" s="16"/>
      <c r="S207" s="16"/>
      <c r="T207" s="16"/>
      <c r="U207" s="16"/>
      <c r="V207" s="16"/>
      <c r="W207" s="16"/>
      <c r="X207" s="16"/>
      <c r="Y207" s="16"/>
      <c r="Z207" s="16"/>
    </row>
    <row r="208" spans="1:26" ht="15.75" customHeight="1">
      <c r="A208" s="89" t="s">
        <v>85</v>
      </c>
      <c r="B208" s="15">
        <f>COUNT(B7:B206)</f>
        <v>0</v>
      </c>
      <c r="C208" s="90" t="s">
        <v>86</v>
      </c>
      <c r="D208" s="91">
        <f>J208</f>
        <v>40</v>
      </c>
      <c r="E208" s="91">
        <f>J208</f>
        <v>40</v>
      </c>
      <c r="F208" s="91">
        <f>J208</f>
        <v>40</v>
      </c>
      <c r="G208" s="91">
        <f>J208</f>
        <v>40</v>
      </c>
      <c r="H208" s="91">
        <f>J208</f>
        <v>40</v>
      </c>
      <c r="I208" s="91">
        <f>J208</f>
        <v>40</v>
      </c>
      <c r="J208" s="91">
        <f>'CO-PO Mapping'!E30</f>
        <v>40</v>
      </c>
      <c r="K208" s="16"/>
      <c r="L208" s="16"/>
      <c r="M208" s="16"/>
      <c r="N208" s="16"/>
      <c r="O208" s="16"/>
      <c r="P208" s="16"/>
      <c r="Q208" s="16"/>
      <c r="R208" s="16"/>
      <c r="S208" s="16"/>
      <c r="T208" s="16"/>
      <c r="U208" s="16"/>
      <c r="V208" s="16"/>
      <c r="W208" s="16"/>
      <c r="X208" s="16"/>
      <c r="Y208" s="16"/>
      <c r="Z208" s="16"/>
    </row>
    <row r="209" spans="1:26" ht="15.75" customHeight="1">
      <c r="A209" s="6"/>
      <c r="B209" s="92"/>
      <c r="C209" s="93" t="s">
        <v>87</v>
      </c>
      <c r="D209" s="94" t="str">
        <f t="shared" ref="D209:I209" si="1">IFERROR(D208*D6/100,"")</f>
        <v/>
      </c>
      <c r="E209" s="94" t="str">
        <f t="shared" si="1"/>
        <v/>
      </c>
      <c r="F209" s="94" t="str">
        <f t="shared" si="1"/>
        <v/>
      </c>
      <c r="G209" s="94" t="str">
        <f t="shared" si="1"/>
        <v/>
      </c>
      <c r="H209" s="94" t="str">
        <f t="shared" si="1"/>
        <v/>
      </c>
      <c r="I209" s="94" t="str">
        <f t="shared" si="1"/>
        <v/>
      </c>
      <c r="J209" s="94" t="str">
        <f>IF(J6=0,"",J208*J6/100)</f>
        <v/>
      </c>
      <c r="K209" s="16"/>
      <c r="L209" s="16"/>
      <c r="M209" s="16"/>
      <c r="N209" s="16"/>
      <c r="O209" s="16"/>
      <c r="P209" s="16"/>
      <c r="Q209" s="16"/>
      <c r="R209" s="16"/>
      <c r="S209" s="16"/>
      <c r="T209" s="16"/>
      <c r="U209" s="16"/>
      <c r="V209" s="16"/>
      <c r="W209" s="16"/>
      <c r="X209" s="16"/>
      <c r="Y209" s="16"/>
      <c r="Z209" s="16"/>
    </row>
    <row r="210" spans="1:26" ht="15.75" customHeight="1">
      <c r="A210" s="6"/>
      <c r="B210" s="92"/>
      <c r="C210" s="95"/>
      <c r="D210" s="94"/>
      <c r="E210" s="94"/>
      <c r="F210" s="94"/>
      <c r="G210" s="94"/>
      <c r="H210" s="94"/>
      <c r="I210" s="94"/>
      <c r="J210" s="94"/>
      <c r="K210" s="16"/>
      <c r="L210" s="16"/>
      <c r="M210" s="16"/>
      <c r="N210" s="16"/>
      <c r="O210" s="16"/>
      <c r="P210" s="16"/>
      <c r="Q210" s="16"/>
      <c r="R210" s="16"/>
      <c r="S210" s="16"/>
      <c r="T210" s="16"/>
      <c r="U210" s="16"/>
      <c r="V210" s="16"/>
      <c r="W210" s="16"/>
      <c r="X210" s="16"/>
      <c r="Y210" s="16"/>
      <c r="Z210" s="16"/>
    </row>
    <row r="211" spans="1:26" ht="15.75" customHeight="1">
      <c r="A211" s="6"/>
      <c r="B211" s="92"/>
      <c r="C211" s="96" t="s">
        <v>88</v>
      </c>
      <c r="D211" s="83">
        <f t="shared" ref="D211:J211" si="2">COUNTIF(D7:D206,"&gt;="&amp;D209)</f>
        <v>0</v>
      </c>
      <c r="E211" s="83">
        <f t="shared" si="2"/>
        <v>0</v>
      </c>
      <c r="F211" s="83">
        <f t="shared" si="2"/>
        <v>0</v>
      </c>
      <c r="G211" s="83">
        <f t="shared" si="2"/>
        <v>0</v>
      </c>
      <c r="H211" s="83">
        <f t="shared" si="2"/>
        <v>0</v>
      </c>
      <c r="I211" s="83">
        <f t="shared" si="2"/>
        <v>0</v>
      </c>
      <c r="J211" s="83">
        <f t="shared" si="2"/>
        <v>0</v>
      </c>
      <c r="K211" s="16"/>
      <c r="L211" s="16"/>
      <c r="M211" s="16"/>
      <c r="N211" s="16"/>
      <c r="O211" s="16"/>
      <c r="P211" s="16"/>
      <c r="Q211" s="16"/>
      <c r="R211" s="16"/>
      <c r="S211" s="16"/>
      <c r="T211" s="16"/>
      <c r="U211" s="16"/>
      <c r="V211" s="16"/>
      <c r="W211" s="16"/>
      <c r="X211" s="16"/>
      <c r="Y211" s="16"/>
      <c r="Z211" s="16"/>
    </row>
    <row r="212" spans="1:26" ht="15.75" customHeight="1">
      <c r="A212" s="6"/>
      <c r="B212" s="92"/>
      <c r="C212" s="96"/>
      <c r="D212" s="83"/>
      <c r="E212" s="83"/>
      <c r="F212" s="83"/>
      <c r="G212" s="83"/>
      <c r="H212" s="83"/>
      <c r="I212" s="83"/>
      <c r="J212" s="83"/>
      <c r="K212" s="16"/>
      <c r="L212" s="16"/>
      <c r="M212" s="16"/>
      <c r="N212" s="16"/>
      <c r="O212" s="16"/>
      <c r="P212" s="16"/>
      <c r="Q212" s="16"/>
      <c r="R212" s="16"/>
      <c r="S212" s="16"/>
      <c r="T212" s="16"/>
      <c r="U212" s="16"/>
      <c r="V212" s="16"/>
      <c r="W212" s="16"/>
      <c r="X212" s="16"/>
      <c r="Y212" s="16"/>
      <c r="Z212" s="16"/>
    </row>
    <row r="213" spans="1:26" ht="15.75" customHeight="1">
      <c r="A213" s="6"/>
      <c r="B213" s="92"/>
      <c r="C213" s="96" t="s">
        <v>89</v>
      </c>
      <c r="D213" s="83" t="e">
        <f t="shared" ref="D213:J213" si="3">D211/$B$208*100</f>
        <v>#DIV/0!</v>
      </c>
      <c r="E213" s="83" t="e">
        <f t="shared" si="3"/>
        <v>#DIV/0!</v>
      </c>
      <c r="F213" s="83" t="e">
        <f t="shared" si="3"/>
        <v>#DIV/0!</v>
      </c>
      <c r="G213" s="83" t="e">
        <f t="shared" si="3"/>
        <v>#DIV/0!</v>
      </c>
      <c r="H213" s="83" t="e">
        <f t="shared" si="3"/>
        <v>#DIV/0!</v>
      </c>
      <c r="I213" s="83" t="e">
        <f t="shared" si="3"/>
        <v>#DIV/0!</v>
      </c>
      <c r="J213" s="83" t="e">
        <f t="shared" si="3"/>
        <v>#DIV/0!</v>
      </c>
      <c r="K213" s="16"/>
      <c r="L213" s="16"/>
      <c r="M213" s="16"/>
      <c r="N213" s="16"/>
      <c r="O213" s="16"/>
      <c r="P213" s="16"/>
      <c r="Q213" s="16"/>
      <c r="R213" s="16"/>
      <c r="S213" s="16"/>
      <c r="T213" s="16"/>
      <c r="U213" s="16"/>
      <c r="V213" s="16"/>
      <c r="W213" s="16"/>
      <c r="X213" s="16"/>
      <c r="Y213" s="16"/>
      <c r="Z213" s="16"/>
    </row>
    <row r="214" spans="1:26" ht="15.75" customHeight="1">
      <c r="A214" s="6"/>
      <c r="B214" s="92"/>
      <c r="C214" s="96"/>
      <c r="D214" s="83"/>
      <c r="E214" s="83"/>
      <c r="F214" s="83"/>
      <c r="G214" s="83"/>
      <c r="H214" s="83"/>
      <c r="I214" s="83"/>
      <c r="J214" s="83"/>
      <c r="K214" s="16"/>
      <c r="L214" s="16"/>
      <c r="M214" s="16"/>
      <c r="N214" s="16"/>
      <c r="O214" s="16"/>
      <c r="P214" s="16"/>
      <c r="Q214" s="16"/>
      <c r="R214" s="16"/>
      <c r="S214" s="16"/>
      <c r="T214" s="16"/>
      <c r="U214" s="16"/>
      <c r="V214" s="16"/>
      <c r="W214" s="16"/>
      <c r="X214" s="16"/>
      <c r="Y214" s="16"/>
      <c r="Z214" s="16"/>
    </row>
    <row r="215" spans="1:26" ht="15.75" customHeight="1">
      <c r="A215" s="6"/>
      <c r="B215" s="92"/>
      <c r="C215" s="96" t="s">
        <v>90</v>
      </c>
      <c r="D215" s="97" t="str">
        <f>IF(D6="","",IF(D213&lt;='CO-PO Mapping'!L27,0,IF(D213&lt;='CO-PO Mapping'!L28,1,IF(D213&lt;='CO-PO Mapping'!L29,2,3))))</f>
        <v/>
      </c>
      <c r="E215" s="97" t="str">
        <f>IF(E6="","",IF(E213&lt;='CO-PO Mapping'!L27,0,IF(E213&lt;='CO-PO Mapping'!L28,1,IF(E213&lt;='CO-PO Mapping'!L29,2,3))))</f>
        <v/>
      </c>
      <c r="F215" s="97" t="str">
        <f>IF(F6="","",IF(F213&lt;='CO-PO Mapping'!L27,0,IF(F213&lt;='CO-PO Mapping'!L28,1,IF(F213&lt;='CO-PO Mapping'!L29,2,3))))</f>
        <v/>
      </c>
      <c r="G215" s="97" t="str">
        <f>IF(G6="","",IF(G213&lt;='CO-PO Mapping'!L27,0,IF(G213&lt;='CO-PO Mapping'!L28,1,IF(G213&lt;='CO-PO Mapping'!L29,2,3))))</f>
        <v/>
      </c>
      <c r="H215" s="97" t="str">
        <f>IF(H6="","",IF(H213&lt;='CO-PO Mapping'!L27,0,IF(H213&lt;='CO-PO Mapping'!L28,1,IF(H213&lt;='CO-PO Mapping'!L29,2,3))))</f>
        <v/>
      </c>
      <c r="I215" s="97" t="str">
        <f>IF(I6="","",IF(I213&lt;='CO-PO Mapping'!L27,0,IF(I213&lt;='CO-PO Mapping'!L28,1,IF(I213&lt;='CO-PO Mapping'!L29,2,3))))</f>
        <v/>
      </c>
      <c r="J215" s="97" t="str">
        <f>IF(J6=0,"",IF(J213&lt;='CO-PO Mapping'!L27,0,IF(J213&lt;='CO-PO Mapping'!L28,1,IF(J213&lt;='CO-PO Mapping'!L29,2,3))))</f>
        <v/>
      </c>
      <c r="K215" s="16"/>
      <c r="L215" s="16"/>
      <c r="M215" s="16"/>
      <c r="N215" s="16"/>
      <c r="O215" s="16"/>
      <c r="P215" s="16"/>
      <c r="Q215" s="16"/>
      <c r="R215" s="16"/>
      <c r="S215" s="16"/>
      <c r="T215" s="16"/>
      <c r="U215" s="16"/>
      <c r="V215" s="16"/>
      <c r="W215" s="16"/>
      <c r="X215" s="16"/>
      <c r="Y215" s="16"/>
      <c r="Z215" s="16"/>
    </row>
    <row r="216" spans="1:26" ht="15.75" hidden="1" customHeight="1">
      <c r="A216" s="5"/>
      <c r="B216" s="98"/>
      <c r="C216" s="99" t="b">
        <f>IF($B$216=1,C215,IF($B$216=2,#REF!,IF($B$216=3,#REF!)))</f>
        <v>0</v>
      </c>
      <c r="D216" s="100" t="str">
        <f t="shared" ref="D216:H216" si="4">IF($J$6="0","0",IF(D6="","",D215))</f>
        <v/>
      </c>
      <c r="E216" s="100" t="str">
        <f t="shared" si="4"/>
        <v/>
      </c>
      <c r="F216" s="100" t="str">
        <f t="shared" si="4"/>
        <v/>
      </c>
      <c r="G216" s="101" t="str">
        <f t="shared" si="4"/>
        <v/>
      </c>
      <c r="H216" s="101" t="str">
        <f t="shared" si="4"/>
        <v/>
      </c>
      <c r="I216" s="101"/>
      <c r="J216" s="100" t="str">
        <f>IF($J$6="0","0",J215)</f>
        <v/>
      </c>
      <c r="K216" s="102"/>
      <c r="L216" s="102"/>
      <c r="M216" s="102"/>
      <c r="N216" s="102"/>
      <c r="O216" s="102"/>
      <c r="P216" s="102"/>
      <c r="Q216" s="102"/>
      <c r="R216" s="102"/>
      <c r="S216" s="102"/>
      <c r="T216" s="102"/>
      <c r="U216" s="102"/>
      <c r="V216" s="102"/>
      <c r="W216" s="102"/>
      <c r="X216" s="102"/>
      <c r="Y216" s="102"/>
      <c r="Z216" s="102"/>
    </row>
    <row r="217" spans="1:26" ht="15.75" customHeight="1">
      <c r="A217" s="103"/>
      <c r="B217" s="103"/>
      <c r="C217" s="104"/>
      <c r="D217" s="103"/>
      <c r="E217" s="103"/>
      <c r="F217" s="103"/>
      <c r="G217" s="103"/>
      <c r="H217" s="103"/>
      <c r="I217" s="103"/>
      <c r="J217" s="103"/>
      <c r="K217" s="16"/>
      <c r="L217" s="16"/>
      <c r="M217" s="16"/>
      <c r="N217" s="16"/>
      <c r="O217" s="16"/>
      <c r="P217" s="16"/>
      <c r="Q217" s="16"/>
      <c r="R217" s="16"/>
      <c r="S217" s="16"/>
      <c r="T217" s="16"/>
      <c r="U217" s="16"/>
      <c r="V217" s="16"/>
      <c r="W217" s="16"/>
      <c r="X217" s="16"/>
      <c r="Y217" s="16"/>
      <c r="Z217" s="16"/>
    </row>
    <row r="218" spans="1:26" ht="15.75" customHeight="1">
      <c r="A218" s="103"/>
      <c r="B218" s="103"/>
      <c r="C218" s="104"/>
      <c r="D218" s="103"/>
      <c r="E218" s="103"/>
      <c r="F218" s="103"/>
      <c r="G218" s="103"/>
      <c r="H218" s="103"/>
      <c r="I218" s="103"/>
      <c r="J218" s="103"/>
      <c r="K218" s="16"/>
      <c r="L218" s="16"/>
      <c r="M218" s="16"/>
      <c r="N218" s="16"/>
      <c r="O218" s="16"/>
      <c r="P218" s="16"/>
      <c r="Q218" s="16"/>
      <c r="R218" s="16"/>
      <c r="S218" s="16"/>
      <c r="T218" s="16"/>
      <c r="U218" s="16"/>
      <c r="V218" s="16"/>
      <c r="W218" s="16"/>
      <c r="X218" s="16"/>
      <c r="Y218" s="16"/>
      <c r="Z218" s="16"/>
    </row>
    <row r="219" spans="1:26" ht="15.75" customHeight="1">
      <c r="A219" s="103"/>
      <c r="B219" s="103"/>
      <c r="C219" s="104"/>
      <c r="D219" s="103"/>
      <c r="E219" s="103"/>
      <c r="F219" s="103"/>
      <c r="G219" s="103"/>
      <c r="H219" s="103"/>
      <c r="I219" s="103"/>
      <c r="J219" s="103"/>
      <c r="K219" s="16"/>
      <c r="L219" s="16"/>
      <c r="M219" s="16"/>
      <c r="N219" s="16"/>
      <c r="O219" s="16"/>
      <c r="P219" s="16"/>
      <c r="Q219" s="16"/>
      <c r="R219" s="16"/>
      <c r="S219" s="16"/>
      <c r="T219" s="16"/>
      <c r="U219" s="16"/>
      <c r="V219" s="16"/>
      <c r="W219" s="16"/>
      <c r="X219" s="16"/>
      <c r="Y219" s="16"/>
      <c r="Z219" s="16"/>
    </row>
    <row r="220" spans="1:26" ht="15.75" customHeight="1">
      <c r="A220" s="103"/>
      <c r="B220" s="103"/>
      <c r="C220" s="104"/>
      <c r="D220" s="103"/>
      <c r="E220" s="103"/>
      <c r="F220" s="103"/>
      <c r="G220" s="103"/>
      <c r="H220" s="103"/>
      <c r="I220" s="103"/>
      <c r="J220" s="103"/>
      <c r="K220" s="16"/>
      <c r="L220" s="16"/>
      <c r="M220" s="16"/>
      <c r="N220" s="16"/>
      <c r="O220" s="16"/>
      <c r="P220" s="16"/>
      <c r="Q220" s="16"/>
      <c r="R220" s="16"/>
      <c r="S220" s="16"/>
      <c r="T220" s="16"/>
      <c r="U220" s="16"/>
      <c r="V220" s="16"/>
      <c r="W220" s="16"/>
      <c r="X220" s="16"/>
      <c r="Y220" s="16"/>
      <c r="Z220" s="16"/>
    </row>
    <row r="221" spans="1:26" ht="15.75" customHeight="1">
      <c r="A221" s="103"/>
      <c r="B221" s="103"/>
      <c r="C221" s="104"/>
      <c r="D221" s="103"/>
      <c r="E221" s="103"/>
      <c r="F221" s="103"/>
      <c r="G221" s="103"/>
      <c r="H221" s="103"/>
      <c r="I221" s="103"/>
      <c r="J221" s="103"/>
      <c r="K221" s="16"/>
      <c r="L221" s="16"/>
      <c r="M221" s="16"/>
      <c r="N221" s="16"/>
      <c r="O221" s="16"/>
      <c r="P221" s="16"/>
      <c r="Q221" s="16"/>
      <c r="R221" s="16"/>
      <c r="S221" s="16"/>
      <c r="T221" s="16"/>
      <c r="U221" s="16"/>
      <c r="V221" s="16"/>
      <c r="W221" s="16"/>
      <c r="X221" s="16"/>
      <c r="Y221" s="16"/>
      <c r="Z221" s="16"/>
    </row>
    <row r="222" spans="1:26" ht="15.75" customHeight="1">
      <c r="A222" s="103"/>
      <c r="B222" s="103"/>
      <c r="C222" s="104"/>
      <c r="D222" s="103"/>
      <c r="E222" s="103"/>
      <c r="F222" s="103"/>
      <c r="G222" s="103"/>
      <c r="H222" s="103"/>
      <c r="I222" s="103"/>
      <c r="J222" s="103"/>
      <c r="K222" s="16"/>
      <c r="L222" s="16"/>
      <c r="M222" s="16"/>
      <c r="N222" s="16"/>
      <c r="O222" s="16"/>
      <c r="P222" s="16"/>
      <c r="Q222" s="16"/>
      <c r="R222" s="16"/>
      <c r="S222" s="16"/>
      <c r="T222" s="16"/>
      <c r="U222" s="16"/>
      <c r="V222" s="16"/>
      <c r="W222" s="16"/>
      <c r="X222" s="16"/>
      <c r="Y222" s="16"/>
      <c r="Z222" s="16"/>
    </row>
    <row r="223" spans="1:26" ht="15.75" customHeight="1">
      <c r="A223" s="103"/>
      <c r="B223" s="103"/>
      <c r="C223" s="104"/>
      <c r="D223" s="103"/>
      <c r="E223" s="103"/>
      <c r="F223" s="103"/>
      <c r="G223" s="103"/>
      <c r="H223" s="103"/>
      <c r="I223" s="103"/>
      <c r="J223" s="103"/>
      <c r="K223" s="16"/>
      <c r="L223" s="16"/>
      <c r="M223" s="16"/>
      <c r="N223" s="16"/>
      <c r="O223" s="16"/>
      <c r="P223" s="16"/>
      <c r="Q223" s="16"/>
      <c r="R223" s="16"/>
      <c r="S223" s="16"/>
      <c r="T223" s="16"/>
      <c r="U223" s="16"/>
      <c r="V223" s="16"/>
      <c r="W223" s="16"/>
      <c r="X223" s="16"/>
      <c r="Y223" s="16"/>
      <c r="Z223" s="16"/>
    </row>
    <row r="224" spans="1:26" ht="15.75" customHeight="1">
      <c r="A224" s="103"/>
      <c r="B224" s="103"/>
      <c r="C224" s="104"/>
      <c r="D224" s="103"/>
      <c r="E224" s="103"/>
      <c r="F224" s="103"/>
      <c r="G224" s="103"/>
      <c r="H224" s="103" t="s">
        <v>91</v>
      </c>
      <c r="I224" s="103"/>
      <c r="J224" s="103"/>
      <c r="K224" s="16"/>
      <c r="L224" s="16"/>
      <c r="M224" s="16"/>
      <c r="N224" s="16"/>
      <c r="O224" s="16"/>
      <c r="P224" s="16"/>
      <c r="Q224" s="16"/>
      <c r="R224" s="16"/>
      <c r="S224" s="16"/>
      <c r="T224" s="16"/>
      <c r="U224" s="16"/>
      <c r="V224" s="16"/>
      <c r="W224" s="16"/>
      <c r="X224" s="16"/>
      <c r="Y224" s="16"/>
      <c r="Z224" s="16"/>
    </row>
    <row r="225" spans="1:26" ht="15.75" customHeight="1">
      <c r="A225" s="103"/>
      <c r="B225" s="103"/>
      <c r="C225" s="104"/>
      <c r="D225" s="103"/>
      <c r="E225" s="103"/>
      <c r="F225" s="103"/>
      <c r="G225" s="103"/>
      <c r="H225" s="103"/>
      <c r="I225" s="103"/>
      <c r="J225" s="103"/>
      <c r="K225" s="16"/>
      <c r="L225" s="16"/>
      <c r="M225" s="16"/>
      <c r="N225" s="16"/>
      <c r="O225" s="16"/>
      <c r="P225" s="16"/>
      <c r="Q225" s="16"/>
      <c r="R225" s="16"/>
      <c r="S225" s="16"/>
      <c r="T225" s="16"/>
      <c r="U225" s="16"/>
      <c r="V225" s="16"/>
      <c r="W225" s="16"/>
      <c r="X225" s="16"/>
      <c r="Y225" s="16"/>
      <c r="Z225" s="16"/>
    </row>
    <row r="226" spans="1:26" ht="15.75" customHeight="1">
      <c r="A226" s="103"/>
      <c r="B226" s="103"/>
      <c r="C226" s="104"/>
      <c r="D226" s="103"/>
      <c r="E226" s="103"/>
      <c r="F226" s="103"/>
      <c r="G226" s="103"/>
      <c r="H226" s="103"/>
      <c r="I226" s="103"/>
      <c r="J226" s="103"/>
      <c r="K226" s="16"/>
      <c r="L226" s="16"/>
      <c r="M226" s="16"/>
      <c r="N226" s="16"/>
      <c r="O226" s="16"/>
      <c r="P226" s="16"/>
      <c r="Q226" s="16"/>
      <c r="R226" s="16"/>
      <c r="S226" s="16"/>
      <c r="T226" s="16"/>
      <c r="U226" s="16"/>
      <c r="V226" s="16"/>
      <c r="W226" s="16"/>
      <c r="X226" s="16"/>
      <c r="Y226" s="16"/>
      <c r="Z226" s="16"/>
    </row>
    <row r="227" spans="1:26" ht="15.75" customHeight="1">
      <c r="A227" s="103"/>
      <c r="B227" s="103"/>
      <c r="C227" s="104"/>
      <c r="D227" s="103"/>
      <c r="E227" s="103"/>
      <c r="F227" s="103"/>
      <c r="G227" s="103"/>
      <c r="H227" s="103"/>
      <c r="I227" s="103"/>
      <c r="J227" s="103"/>
      <c r="K227" s="16"/>
      <c r="L227" s="16"/>
      <c r="M227" s="16"/>
      <c r="N227" s="16"/>
      <c r="O227" s="16"/>
      <c r="P227" s="16"/>
      <c r="Q227" s="16"/>
      <c r="R227" s="16"/>
      <c r="S227" s="16"/>
      <c r="T227" s="16"/>
      <c r="U227" s="16"/>
      <c r="V227" s="16"/>
      <c r="W227" s="16"/>
      <c r="X227" s="16"/>
      <c r="Y227" s="16"/>
      <c r="Z227" s="16"/>
    </row>
    <row r="228" spans="1:26" ht="15.75" customHeight="1">
      <c r="A228" s="103"/>
      <c r="B228" s="103"/>
      <c r="C228" s="104"/>
      <c r="D228" s="103"/>
      <c r="E228" s="103"/>
      <c r="F228" s="103"/>
      <c r="G228" s="103"/>
      <c r="H228" s="103"/>
      <c r="I228" s="103"/>
      <c r="J228" s="103"/>
      <c r="K228" s="16"/>
      <c r="L228" s="16"/>
      <c r="M228" s="16"/>
      <c r="N228" s="16"/>
      <c r="O228" s="16"/>
      <c r="P228" s="16"/>
      <c r="Q228" s="16"/>
      <c r="R228" s="16"/>
      <c r="S228" s="16"/>
      <c r="T228" s="16"/>
      <c r="U228" s="16"/>
      <c r="V228" s="16"/>
      <c r="W228" s="16"/>
      <c r="X228" s="16"/>
      <c r="Y228" s="16"/>
      <c r="Z228" s="16"/>
    </row>
    <row r="229" spans="1:26" ht="15.75" customHeight="1">
      <c r="A229" s="103"/>
      <c r="B229" s="103"/>
      <c r="C229" s="104"/>
      <c r="D229" s="103"/>
      <c r="E229" s="103"/>
      <c r="F229" s="103"/>
      <c r="G229" s="103"/>
      <c r="H229" s="103"/>
      <c r="I229" s="103"/>
      <c r="J229" s="103"/>
      <c r="K229" s="16"/>
      <c r="L229" s="16"/>
      <c r="M229" s="16"/>
      <c r="N229" s="16"/>
      <c r="O229" s="16"/>
      <c r="P229" s="16"/>
      <c r="Q229" s="16"/>
      <c r="R229" s="16"/>
      <c r="S229" s="16"/>
      <c r="T229" s="16"/>
      <c r="U229" s="16"/>
      <c r="V229" s="16"/>
      <c r="W229" s="16"/>
      <c r="X229" s="16"/>
      <c r="Y229" s="16"/>
      <c r="Z229" s="16"/>
    </row>
    <row r="230" spans="1:26" ht="15.75" customHeight="1">
      <c r="A230" s="103"/>
      <c r="B230" s="103"/>
      <c r="C230" s="104"/>
      <c r="D230" s="103"/>
      <c r="E230" s="103"/>
      <c r="F230" s="103"/>
      <c r="G230" s="103"/>
      <c r="H230" s="103"/>
      <c r="I230" s="103"/>
      <c r="J230" s="103"/>
      <c r="K230" s="16"/>
      <c r="L230" s="16"/>
      <c r="M230" s="16"/>
      <c r="N230" s="16"/>
      <c r="O230" s="16"/>
      <c r="P230" s="16"/>
      <c r="Q230" s="16"/>
      <c r="R230" s="16"/>
      <c r="S230" s="16"/>
      <c r="T230" s="16"/>
      <c r="U230" s="16"/>
      <c r="V230" s="16"/>
      <c r="W230" s="16"/>
      <c r="X230" s="16"/>
      <c r="Y230" s="16"/>
      <c r="Z230" s="16"/>
    </row>
    <row r="231" spans="1:26" ht="15.75" customHeight="1">
      <c r="A231" s="103"/>
      <c r="B231" s="103"/>
      <c r="C231" s="104"/>
      <c r="D231" s="103"/>
      <c r="E231" s="103"/>
      <c r="F231" s="103"/>
      <c r="G231" s="103"/>
      <c r="H231" s="103"/>
      <c r="I231" s="103"/>
      <c r="J231" s="103"/>
      <c r="K231" s="16"/>
      <c r="L231" s="16"/>
      <c r="M231" s="16"/>
      <c r="N231" s="16"/>
      <c r="O231" s="16"/>
      <c r="P231" s="16"/>
      <c r="Q231" s="16"/>
      <c r="R231" s="16"/>
      <c r="S231" s="16"/>
      <c r="T231" s="16"/>
      <c r="U231" s="16"/>
      <c r="V231" s="16"/>
      <c r="W231" s="16"/>
      <c r="X231" s="16"/>
      <c r="Y231" s="16"/>
      <c r="Z231" s="16"/>
    </row>
    <row r="232" spans="1:26" ht="15.75" customHeight="1">
      <c r="A232" s="103"/>
      <c r="B232" s="103"/>
      <c r="C232" s="104"/>
      <c r="D232" s="103"/>
      <c r="E232" s="103"/>
      <c r="F232" s="103"/>
      <c r="G232" s="103"/>
      <c r="H232" s="103"/>
      <c r="I232" s="103"/>
      <c r="J232" s="103"/>
      <c r="K232" s="16"/>
      <c r="L232" s="16"/>
      <c r="M232" s="16"/>
      <c r="N232" s="16"/>
      <c r="O232" s="16"/>
      <c r="P232" s="16"/>
      <c r="Q232" s="16"/>
      <c r="R232" s="16"/>
      <c r="S232" s="16"/>
      <c r="T232" s="16"/>
      <c r="U232" s="16"/>
      <c r="V232" s="16"/>
      <c r="W232" s="16"/>
      <c r="X232" s="16"/>
      <c r="Y232" s="16"/>
      <c r="Z232" s="16"/>
    </row>
    <row r="233" spans="1:26" ht="15.75" customHeight="1">
      <c r="A233" s="103"/>
      <c r="B233" s="103"/>
      <c r="C233" s="104"/>
      <c r="D233" s="103"/>
      <c r="E233" s="103"/>
      <c r="F233" s="103"/>
      <c r="G233" s="103"/>
      <c r="H233" s="103"/>
      <c r="I233" s="103"/>
      <c r="J233" s="103"/>
      <c r="K233" s="16"/>
      <c r="L233" s="16"/>
      <c r="M233" s="16"/>
      <c r="N233" s="16"/>
      <c r="O233" s="16"/>
      <c r="P233" s="16"/>
      <c r="Q233" s="16"/>
      <c r="R233" s="16"/>
      <c r="S233" s="16"/>
      <c r="T233" s="16"/>
      <c r="U233" s="16"/>
      <c r="V233" s="16"/>
      <c r="W233" s="16"/>
      <c r="X233" s="16"/>
      <c r="Y233" s="16"/>
      <c r="Z233" s="16"/>
    </row>
    <row r="234" spans="1:26" ht="15.75" customHeight="1">
      <c r="A234" s="103"/>
      <c r="B234" s="103"/>
      <c r="C234" s="104"/>
      <c r="D234" s="103"/>
      <c r="E234" s="103"/>
      <c r="F234" s="103"/>
      <c r="G234" s="103"/>
      <c r="H234" s="103"/>
      <c r="I234" s="103"/>
      <c r="J234" s="103"/>
      <c r="K234" s="16"/>
      <c r="L234" s="16"/>
      <c r="M234" s="16"/>
      <c r="N234" s="16"/>
      <c r="O234" s="16"/>
      <c r="P234" s="16"/>
      <c r="Q234" s="16"/>
      <c r="R234" s="16"/>
      <c r="S234" s="16"/>
      <c r="T234" s="16"/>
      <c r="U234" s="16"/>
      <c r="V234" s="16"/>
      <c r="W234" s="16"/>
      <c r="X234" s="16"/>
      <c r="Y234" s="16"/>
      <c r="Z234" s="16"/>
    </row>
    <row r="235" spans="1:26" ht="15.75" customHeight="1">
      <c r="A235" s="103"/>
      <c r="B235" s="103"/>
      <c r="C235" s="104"/>
      <c r="D235" s="103"/>
      <c r="E235" s="103"/>
      <c r="F235" s="103"/>
      <c r="G235" s="103"/>
      <c r="H235" s="103"/>
      <c r="I235" s="103"/>
      <c r="J235" s="103"/>
      <c r="K235" s="16"/>
      <c r="L235" s="16"/>
      <c r="M235" s="16"/>
      <c r="N235" s="16"/>
      <c r="O235" s="16"/>
      <c r="P235" s="16"/>
      <c r="Q235" s="16"/>
      <c r="R235" s="16"/>
      <c r="S235" s="16"/>
      <c r="T235" s="16"/>
      <c r="U235" s="16"/>
      <c r="V235" s="16"/>
      <c r="W235" s="16"/>
      <c r="X235" s="16"/>
      <c r="Y235" s="16"/>
      <c r="Z235" s="16"/>
    </row>
    <row r="236" spans="1:26" ht="15.75" customHeight="1">
      <c r="A236" s="103"/>
      <c r="B236" s="103"/>
      <c r="C236" s="104"/>
      <c r="D236" s="103"/>
      <c r="E236" s="103"/>
      <c r="F236" s="103"/>
      <c r="G236" s="103"/>
      <c r="H236" s="103"/>
      <c r="I236" s="103"/>
      <c r="J236" s="103"/>
      <c r="K236" s="16"/>
      <c r="L236" s="16"/>
      <c r="M236" s="16"/>
      <c r="N236" s="16"/>
      <c r="O236" s="16"/>
      <c r="P236" s="16"/>
      <c r="Q236" s="16"/>
      <c r="R236" s="16"/>
      <c r="S236" s="16"/>
      <c r="T236" s="16"/>
      <c r="U236" s="16"/>
      <c r="V236" s="16"/>
      <c r="W236" s="16"/>
      <c r="X236" s="16"/>
      <c r="Y236" s="16"/>
      <c r="Z236" s="16"/>
    </row>
    <row r="237" spans="1:26" ht="15.75" customHeight="1">
      <c r="A237" s="103"/>
      <c r="B237" s="103"/>
      <c r="C237" s="104"/>
      <c r="D237" s="103"/>
      <c r="E237" s="103"/>
      <c r="F237" s="103"/>
      <c r="G237" s="103"/>
      <c r="H237" s="103"/>
      <c r="I237" s="103"/>
      <c r="J237" s="103"/>
      <c r="K237" s="16"/>
      <c r="L237" s="16"/>
      <c r="M237" s="16"/>
      <c r="N237" s="16"/>
      <c r="O237" s="16"/>
      <c r="P237" s="16"/>
      <c r="Q237" s="16"/>
      <c r="R237" s="16"/>
      <c r="S237" s="16"/>
      <c r="T237" s="16"/>
      <c r="U237" s="16"/>
      <c r="V237" s="16"/>
      <c r="W237" s="16"/>
      <c r="X237" s="16"/>
      <c r="Y237" s="16"/>
      <c r="Z237" s="16"/>
    </row>
    <row r="238" spans="1:26" ht="15.75" customHeight="1">
      <c r="A238" s="103"/>
      <c r="B238" s="103"/>
      <c r="C238" s="104"/>
      <c r="D238" s="103"/>
      <c r="E238" s="103"/>
      <c r="F238" s="103"/>
      <c r="G238" s="103"/>
      <c r="H238" s="103"/>
      <c r="I238" s="103"/>
      <c r="J238" s="103"/>
      <c r="K238" s="16"/>
      <c r="L238" s="16"/>
      <c r="M238" s="16"/>
      <c r="N238" s="16"/>
      <c r="O238" s="16"/>
      <c r="P238" s="16"/>
      <c r="Q238" s="16"/>
      <c r="R238" s="16"/>
      <c r="S238" s="16"/>
      <c r="T238" s="16"/>
      <c r="U238" s="16"/>
      <c r="V238" s="16"/>
      <c r="W238" s="16"/>
      <c r="X238" s="16"/>
      <c r="Y238" s="16"/>
      <c r="Z238" s="16"/>
    </row>
    <row r="239" spans="1:26" ht="15.75" customHeight="1">
      <c r="A239" s="103"/>
      <c r="B239" s="103"/>
      <c r="C239" s="104"/>
      <c r="D239" s="103"/>
      <c r="E239" s="103"/>
      <c r="F239" s="103"/>
      <c r="G239" s="103"/>
      <c r="H239" s="103"/>
      <c r="I239" s="103"/>
      <c r="J239" s="103"/>
      <c r="K239" s="16"/>
      <c r="L239" s="16"/>
      <c r="M239" s="16"/>
      <c r="N239" s="16"/>
      <c r="O239" s="16"/>
      <c r="P239" s="16"/>
      <c r="Q239" s="16"/>
      <c r="R239" s="16"/>
      <c r="S239" s="16"/>
      <c r="T239" s="16"/>
      <c r="U239" s="16"/>
      <c r="V239" s="16"/>
      <c r="W239" s="16"/>
      <c r="X239" s="16"/>
      <c r="Y239" s="16"/>
      <c r="Z239" s="16"/>
    </row>
    <row r="240" spans="1:26" ht="15.75" customHeight="1">
      <c r="A240" s="103"/>
      <c r="B240" s="103"/>
      <c r="C240" s="104"/>
      <c r="D240" s="103"/>
      <c r="E240" s="103"/>
      <c r="F240" s="103"/>
      <c r="G240" s="103"/>
      <c r="H240" s="103"/>
      <c r="I240" s="103"/>
      <c r="J240" s="103"/>
      <c r="K240" s="16"/>
      <c r="L240" s="16"/>
      <c r="M240" s="16"/>
      <c r="N240" s="16"/>
      <c r="O240" s="16"/>
      <c r="P240" s="16"/>
      <c r="Q240" s="16"/>
      <c r="R240" s="16"/>
      <c r="S240" s="16"/>
      <c r="T240" s="16"/>
      <c r="U240" s="16"/>
      <c r="V240" s="16"/>
      <c r="W240" s="16"/>
      <c r="X240" s="16"/>
      <c r="Y240" s="16"/>
      <c r="Z240" s="16"/>
    </row>
    <row r="241" spans="1:26" ht="15.75" customHeight="1">
      <c r="A241" s="103"/>
      <c r="B241" s="103"/>
      <c r="C241" s="104"/>
      <c r="D241" s="103"/>
      <c r="E241" s="103"/>
      <c r="F241" s="103"/>
      <c r="G241" s="103"/>
      <c r="H241" s="103"/>
      <c r="I241" s="103"/>
      <c r="J241" s="103"/>
      <c r="K241" s="16"/>
      <c r="L241" s="16"/>
      <c r="M241" s="16"/>
      <c r="N241" s="16"/>
      <c r="O241" s="16"/>
      <c r="P241" s="16"/>
      <c r="Q241" s="16"/>
      <c r="R241" s="16"/>
      <c r="S241" s="16"/>
      <c r="T241" s="16"/>
      <c r="U241" s="16"/>
      <c r="V241" s="16"/>
      <c r="W241" s="16"/>
      <c r="X241" s="16"/>
      <c r="Y241" s="16"/>
      <c r="Z241" s="16"/>
    </row>
    <row r="242" spans="1:26" ht="15.75" customHeight="1">
      <c r="A242" s="103"/>
      <c r="B242" s="103"/>
      <c r="C242" s="104"/>
      <c r="D242" s="103"/>
      <c r="E242" s="103"/>
      <c r="F242" s="103"/>
      <c r="G242" s="103"/>
      <c r="H242" s="103"/>
      <c r="I242" s="103"/>
      <c r="J242" s="103"/>
      <c r="K242" s="16"/>
      <c r="L242" s="16"/>
      <c r="M242" s="16"/>
      <c r="N242" s="16"/>
      <c r="O242" s="16"/>
      <c r="P242" s="16"/>
      <c r="Q242" s="16"/>
      <c r="R242" s="16"/>
      <c r="S242" s="16"/>
      <c r="T242" s="16"/>
      <c r="U242" s="16"/>
      <c r="V242" s="16"/>
      <c r="W242" s="16"/>
      <c r="X242" s="16"/>
      <c r="Y242" s="16"/>
      <c r="Z242" s="16"/>
    </row>
    <row r="243" spans="1:26" ht="15.75" customHeight="1">
      <c r="A243" s="103"/>
      <c r="B243" s="103"/>
      <c r="C243" s="104"/>
      <c r="D243" s="103"/>
      <c r="E243" s="103"/>
      <c r="F243" s="103"/>
      <c r="G243" s="103"/>
      <c r="H243" s="103"/>
      <c r="I243" s="103"/>
      <c r="J243" s="103"/>
      <c r="K243" s="16"/>
      <c r="L243" s="16"/>
      <c r="M243" s="16"/>
      <c r="N243" s="16"/>
      <c r="O243" s="16"/>
      <c r="P243" s="16"/>
      <c r="Q243" s="16"/>
      <c r="R243" s="16"/>
      <c r="S243" s="16"/>
      <c r="T243" s="16"/>
      <c r="U243" s="16"/>
      <c r="V243" s="16"/>
      <c r="W243" s="16"/>
      <c r="X243" s="16"/>
      <c r="Y243" s="16"/>
      <c r="Z243" s="16"/>
    </row>
    <row r="244" spans="1:26" ht="15.75" customHeight="1">
      <c r="A244" s="103"/>
      <c r="B244" s="103"/>
      <c r="C244" s="104"/>
      <c r="D244" s="103"/>
      <c r="E244" s="103"/>
      <c r="F244" s="103"/>
      <c r="G244" s="103"/>
      <c r="H244" s="103"/>
      <c r="I244" s="103"/>
      <c r="J244" s="103"/>
      <c r="K244" s="16"/>
      <c r="L244" s="16"/>
      <c r="M244" s="16"/>
      <c r="N244" s="16"/>
      <c r="O244" s="16"/>
      <c r="P244" s="16"/>
      <c r="Q244" s="16"/>
      <c r="R244" s="16"/>
      <c r="S244" s="16"/>
      <c r="T244" s="16"/>
      <c r="U244" s="16"/>
      <c r="V244" s="16"/>
      <c r="W244" s="16"/>
      <c r="X244" s="16"/>
      <c r="Y244" s="16"/>
      <c r="Z244" s="16"/>
    </row>
    <row r="245" spans="1:26" ht="15.75" customHeight="1">
      <c r="A245" s="103"/>
      <c r="B245" s="103"/>
      <c r="C245" s="104"/>
      <c r="D245" s="103"/>
      <c r="E245" s="103"/>
      <c r="F245" s="103"/>
      <c r="G245" s="103"/>
      <c r="H245" s="103"/>
      <c r="I245" s="103"/>
      <c r="J245" s="103"/>
      <c r="K245" s="16"/>
      <c r="L245" s="16"/>
      <c r="M245" s="16"/>
      <c r="N245" s="16"/>
      <c r="O245" s="16"/>
      <c r="P245" s="16"/>
      <c r="Q245" s="16"/>
      <c r="R245" s="16"/>
      <c r="S245" s="16"/>
      <c r="T245" s="16"/>
      <c r="U245" s="16"/>
      <c r="V245" s="16"/>
      <c r="W245" s="16"/>
      <c r="X245" s="16"/>
      <c r="Y245" s="16"/>
      <c r="Z245" s="16"/>
    </row>
    <row r="246" spans="1:26" ht="15.75" customHeight="1">
      <c r="A246" s="103"/>
      <c r="B246" s="103"/>
      <c r="C246" s="104"/>
      <c r="D246" s="103"/>
      <c r="E246" s="103"/>
      <c r="F246" s="103"/>
      <c r="G246" s="103"/>
      <c r="H246" s="103"/>
      <c r="I246" s="103"/>
      <c r="J246" s="103"/>
      <c r="K246" s="16"/>
      <c r="L246" s="16"/>
      <c r="M246" s="16"/>
      <c r="N246" s="16"/>
      <c r="O246" s="16"/>
      <c r="P246" s="16"/>
      <c r="Q246" s="16"/>
      <c r="R246" s="16"/>
      <c r="S246" s="16"/>
      <c r="T246" s="16"/>
      <c r="U246" s="16"/>
      <c r="V246" s="16"/>
      <c r="W246" s="16"/>
      <c r="X246" s="16"/>
      <c r="Y246" s="16"/>
      <c r="Z246" s="16"/>
    </row>
    <row r="247" spans="1:26" ht="15.75" customHeight="1">
      <c r="A247" s="103"/>
      <c r="B247" s="103"/>
      <c r="C247" s="104"/>
      <c r="D247" s="103"/>
      <c r="E247" s="103"/>
      <c r="F247" s="103"/>
      <c r="G247" s="103"/>
      <c r="H247" s="103"/>
      <c r="I247" s="103"/>
      <c r="J247" s="103"/>
      <c r="K247" s="16"/>
      <c r="L247" s="16"/>
      <c r="M247" s="16"/>
      <c r="N247" s="16"/>
      <c r="O247" s="16"/>
      <c r="P247" s="16"/>
      <c r="Q247" s="16"/>
      <c r="R247" s="16"/>
      <c r="S247" s="16"/>
      <c r="T247" s="16"/>
      <c r="U247" s="16"/>
      <c r="V247" s="16"/>
      <c r="W247" s="16"/>
      <c r="X247" s="16"/>
      <c r="Y247" s="16"/>
      <c r="Z247" s="16"/>
    </row>
    <row r="248" spans="1:26" ht="15.75" customHeight="1">
      <c r="A248" s="103"/>
      <c r="B248" s="103"/>
      <c r="C248" s="104"/>
      <c r="D248" s="103"/>
      <c r="E248" s="103"/>
      <c r="F248" s="103"/>
      <c r="G248" s="103"/>
      <c r="H248" s="103"/>
      <c r="I248" s="103"/>
      <c r="J248" s="103"/>
      <c r="K248" s="16"/>
      <c r="L248" s="16"/>
      <c r="M248" s="16"/>
      <c r="N248" s="16"/>
      <c r="O248" s="16"/>
      <c r="P248" s="16"/>
      <c r="Q248" s="16"/>
      <c r="R248" s="16"/>
      <c r="S248" s="16"/>
      <c r="T248" s="16"/>
      <c r="U248" s="16"/>
      <c r="V248" s="16"/>
      <c r="W248" s="16"/>
      <c r="X248" s="16"/>
      <c r="Y248" s="16"/>
      <c r="Z248" s="16"/>
    </row>
    <row r="249" spans="1:26" ht="15.75" customHeight="1">
      <c r="A249" s="103"/>
      <c r="B249" s="103"/>
      <c r="C249" s="104"/>
      <c r="D249" s="103"/>
      <c r="E249" s="103"/>
      <c r="F249" s="103"/>
      <c r="G249" s="103"/>
      <c r="H249" s="103"/>
      <c r="I249" s="103"/>
      <c r="J249" s="103"/>
      <c r="K249" s="16"/>
      <c r="L249" s="16"/>
      <c r="M249" s="16"/>
      <c r="N249" s="16"/>
      <c r="O249" s="16"/>
      <c r="P249" s="16"/>
      <c r="Q249" s="16"/>
      <c r="R249" s="16"/>
      <c r="S249" s="16"/>
      <c r="T249" s="16"/>
      <c r="U249" s="16"/>
      <c r="V249" s="16"/>
      <c r="W249" s="16"/>
      <c r="X249" s="16"/>
      <c r="Y249" s="16"/>
      <c r="Z249" s="16"/>
    </row>
    <row r="250" spans="1:26" ht="15.75" customHeight="1">
      <c r="A250" s="103"/>
      <c r="B250" s="103"/>
      <c r="C250" s="104"/>
      <c r="D250" s="103"/>
      <c r="E250" s="103"/>
      <c r="F250" s="103"/>
      <c r="G250" s="103"/>
      <c r="H250" s="103"/>
      <c r="I250" s="103"/>
      <c r="J250" s="103"/>
      <c r="K250" s="16"/>
      <c r="L250" s="16"/>
      <c r="M250" s="16"/>
      <c r="N250" s="16"/>
      <c r="O250" s="16"/>
      <c r="P250" s="16"/>
      <c r="Q250" s="16"/>
      <c r="R250" s="16"/>
      <c r="S250" s="16"/>
      <c r="T250" s="16"/>
      <c r="U250" s="16"/>
      <c r="V250" s="16"/>
      <c r="W250" s="16"/>
      <c r="X250" s="16"/>
      <c r="Y250" s="16"/>
      <c r="Z250" s="16"/>
    </row>
    <row r="251" spans="1:26" ht="15.75" customHeight="1">
      <c r="A251" s="103"/>
      <c r="B251" s="103"/>
      <c r="C251" s="104"/>
      <c r="D251" s="103"/>
      <c r="E251" s="103"/>
      <c r="F251" s="103"/>
      <c r="G251" s="103"/>
      <c r="H251" s="103"/>
      <c r="I251" s="103"/>
      <c r="J251" s="103"/>
      <c r="K251" s="16"/>
      <c r="L251" s="16"/>
      <c r="M251" s="16"/>
      <c r="N251" s="16"/>
      <c r="O251" s="16"/>
      <c r="P251" s="16"/>
      <c r="Q251" s="16"/>
      <c r="R251" s="16"/>
      <c r="S251" s="16"/>
      <c r="T251" s="16"/>
      <c r="U251" s="16"/>
      <c r="V251" s="16"/>
      <c r="W251" s="16"/>
      <c r="X251" s="16"/>
      <c r="Y251" s="16"/>
      <c r="Z251" s="16"/>
    </row>
    <row r="252" spans="1:26" ht="15.75" customHeight="1">
      <c r="A252" s="103"/>
      <c r="B252" s="103"/>
      <c r="C252" s="104"/>
      <c r="D252" s="103"/>
      <c r="E252" s="103"/>
      <c r="F252" s="103"/>
      <c r="G252" s="103"/>
      <c r="H252" s="103"/>
      <c r="I252" s="103"/>
      <c r="J252" s="103"/>
      <c r="K252" s="16"/>
      <c r="L252" s="16"/>
      <c r="M252" s="16"/>
      <c r="N252" s="16"/>
      <c r="O252" s="16"/>
      <c r="P252" s="16"/>
      <c r="Q252" s="16"/>
      <c r="R252" s="16"/>
      <c r="S252" s="16"/>
      <c r="T252" s="16"/>
      <c r="U252" s="16"/>
      <c r="V252" s="16"/>
      <c r="W252" s="16"/>
      <c r="X252" s="16"/>
      <c r="Y252" s="16"/>
      <c r="Z252" s="16"/>
    </row>
    <row r="253" spans="1:26" ht="15.75" customHeight="1">
      <c r="A253" s="103"/>
      <c r="B253" s="103"/>
      <c r="C253" s="104"/>
      <c r="D253" s="103"/>
      <c r="E253" s="103"/>
      <c r="F253" s="103"/>
      <c r="G253" s="103"/>
      <c r="H253" s="103"/>
      <c r="I253" s="103"/>
      <c r="J253" s="103"/>
      <c r="K253" s="16"/>
      <c r="L253" s="16"/>
      <c r="M253" s="16"/>
      <c r="N253" s="16"/>
      <c r="O253" s="16"/>
      <c r="P253" s="16"/>
      <c r="Q253" s="16"/>
      <c r="R253" s="16"/>
      <c r="S253" s="16"/>
      <c r="T253" s="16"/>
      <c r="U253" s="16"/>
      <c r="V253" s="16"/>
      <c r="W253" s="16"/>
      <c r="X253" s="16"/>
      <c r="Y253" s="16"/>
      <c r="Z253" s="16"/>
    </row>
    <row r="254" spans="1:26" ht="15.75" customHeight="1">
      <c r="A254" s="103"/>
      <c r="B254" s="103"/>
      <c r="C254" s="104"/>
      <c r="D254" s="103"/>
      <c r="E254" s="103"/>
      <c r="F254" s="103"/>
      <c r="G254" s="103"/>
      <c r="H254" s="103"/>
      <c r="I254" s="103"/>
      <c r="J254" s="103"/>
      <c r="K254" s="16"/>
      <c r="L254" s="16"/>
      <c r="M254" s="16"/>
      <c r="N254" s="16"/>
      <c r="O254" s="16"/>
      <c r="P254" s="16"/>
      <c r="Q254" s="16"/>
      <c r="R254" s="16"/>
      <c r="S254" s="16"/>
      <c r="T254" s="16"/>
      <c r="U254" s="16"/>
      <c r="V254" s="16"/>
      <c r="W254" s="16"/>
      <c r="X254" s="16"/>
      <c r="Y254" s="16"/>
      <c r="Z254" s="16"/>
    </row>
    <row r="255" spans="1:26" ht="15.75" customHeight="1">
      <c r="A255" s="103"/>
      <c r="B255" s="103"/>
      <c r="C255" s="104"/>
      <c r="D255" s="103"/>
      <c r="E255" s="103"/>
      <c r="F255" s="103"/>
      <c r="G255" s="103"/>
      <c r="H255" s="103"/>
      <c r="I255" s="103"/>
      <c r="J255" s="103"/>
      <c r="K255" s="16"/>
      <c r="L255" s="16"/>
      <c r="M255" s="16"/>
      <c r="N255" s="16"/>
      <c r="O255" s="16"/>
      <c r="P255" s="16"/>
      <c r="Q255" s="16"/>
      <c r="R255" s="16"/>
      <c r="S255" s="16"/>
      <c r="T255" s="16"/>
      <c r="U255" s="16"/>
      <c r="V255" s="16"/>
      <c r="W255" s="16"/>
      <c r="X255" s="16"/>
      <c r="Y255" s="16"/>
      <c r="Z255" s="16"/>
    </row>
    <row r="256" spans="1:26" ht="15.75" customHeight="1">
      <c r="A256" s="103"/>
      <c r="B256" s="103"/>
      <c r="C256" s="104"/>
      <c r="D256" s="103"/>
      <c r="E256" s="103"/>
      <c r="F256" s="103"/>
      <c r="G256" s="103"/>
      <c r="H256" s="103"/>
      <c r="I256" s="103"/>
      <c r="J256" s="103"/>
      <c r="K256" s="16"/>
      <c r="L256" s="16"/>
      <c r="M256" s="16"/>
      <c r="N256" s="16"/>
      <c r="O256" s="16"/>
      <c r="P256" s="16"/>
      <c r="Q256" s="16"/>
      <c r="R256" s="16"/>
      <c r="S256" s="16"/>
      <c r="T256" s="16"/>
      <c r="U256" s="16"/>
      <c r="V256" s="16"/>
      <c r="W256" s="16"/>
      <c r="X256" s="16"/>
      <c r="Y256" s="16"/>
      <c r="Z256" s="16"/>
    </row>
    <row r="257" spans="1:26" ht="15.75" customHeight="1">
      <c r="A257" s="103"/>
      <c r="B257" s="103"/>
      <c r="C257" s="104"/>
      <c r="D257" s="103"/>
      <c r="E257" s="103"/>
      <c r="F257" s="103"/>
      <c r="G257" s="103"/>
      <c r="H257" s="103"/>
      <c r="I257" s="103"/>
      <c r="J257" s="103"/>
      <c r="K257" s="16"/>
      <c r="L257" s="16"/>
      <c r="M257" s="16"/>
      <c r="N257" s="16"/>
      <c r="O257" s="16"/>
      <c r="P257" s="16"/>
      <c r="Q257" s="16"/>
      <c r="R257" s="16"/>
      <c r="S257" s="16"/>
      <c r="T257" s="16"/>
      <c r="U257" s="16"/>
      <c r="V257" s="16"/>
      <c r="W257" s="16"/>
      <c r="X257" s="16"/>
      <c r="Y257" s="16"/>
      <c r="Z257" s="16"/>
    </row>
    <row r="258" spans="1:26" ht="15.75" customHeight="1">
      <c r="A258" s="103"/>
      <c r="B258" s="103"/>
      <c r="C258" s="104"/>
      <c r="D258" s="103"/>
      <c r="E258" s="103"/>
      <c r="F258" s="103"/>
      <c r="G258" s="103"/>
      <c r="H258" s="103"/>
      <c r="I258" s="103"/>
      <c r="J258" s="103"/>
      <c r="K258" s="16"/>
      <c r="L258" s="16"/>
      <c r="M258" s="16"/>
      <c r="N258" s="16"/>
      <c r="O258" s="16"/>
      <c r="P258" s="16"/>
      <c r="Q258" s="16"/>
      <c r="R258" s="16"/>
      <c r="S258" s="16"/>
      <c r="T258" s="16"/>
      <c r="U258" s="16"/>
      <c r="V258" s="16"/>
      <c r="W258" s="16"/>
      <c r="X258" s="16"/>
      <c r="Y258" s="16"/>
      <c r="Z258" s="16"/>
    </row>
    <row r="259" spans="1:26" ht="15.75" customHeight="1">
      <c r="A259" s="103"/>
      <c r="B259" s="103"/>
      <c r="C259" s="104"/>
      <c r="D259" s="103"/>
      <c r="E259" s="103"/>
      <c r="F259" s="103"/>
      <c r="G259" s="103"/>
      <c r="H259" s="103"/>
      <c r="I259" s="103"/>
      <c r="J259" s="103"/>
      <c r="K259" s="16"/>
      <c r="L259" s="16"/>
      <c r="M259" s="16"/>
      <c r="N259" s="16"/>
      <c r="O259" s="16"/>
      <c r="P259" s="16"/>
      <c r="Q259" s="16"/>
      <c r="R259" s="16"/>
      <c r="S259" s="16"/>
      <c r="T259" s="16"/>
      <c r="U259" s="16"/>
      <c r="V259" s="16"/>
      <c r="W259" s="16"/>
      <c r="X259" s="16"/>
      <c r="Y259" s="16"/>
      <c r="Z259" s="16"/>
    </row>
    <row r="260" spans="1:26" ht="15.75" customHeight="1">
      <c r="A260" s="103"/>
      <c r="B260" s="103"/>
      <c r="C260" s="104"/>
      <c r="D260" s="103"/>
      <c r="E260" s="103"/>
      <c r="F260" s="103"/>
      <c r="G260" s="103"/>
      <c r="H260" s="103"/>
      <c r="I260" s="103"/>
      <c r="J260" s="103"/>
      <c r="K260" s="16"/>
      <c r="L260" s="16"/>
      <c r="M260" s="16"/>
      <c r="N260" s="16"/>
      <c r="O260" s="16"/>
      <c r="P260" s="16"/>
      <c r="Q260" s="16"/>
      <c r="R260" s="16"/>
      <c r="S260" s="16"/>
      <c r="T260" s="16"/>
      <c r="U260" s="16"/>
      <c r="V260" s="16"/>
      <c r="W260" s="16"/>
      <c r="X260" s="16"/>
      <c r="Y260" s="16"/>
      <c r="Z260" s="16"/>
    </row>
    <row r="261" spans="1:26" ht="15.75" customHeight="1">
      <c r="A261" s="103"/>
      <c r="B261" s="103"/>
      <c r="C261" s="104"/>
      <c r="D261" s="103"/>
      <c r="E261" s="103"/>
      <c r="F261" s="103"/>
      <c r="G261" s="103"/>
      <c r="H261" s="103"/>
      <c r="I261" s="103"/>
      <c r="J261" s="103"/>
      <c r="K261" s="16"/>
      <c r="L261" s="16"/>
      <c r="M261" s="16"/>
      <c r="N261" s="16"/>
      <c r="O261" s="16"/>
      <c r="P261" s="16"/>
      <c r="Q261" s="16"/>
      <c r="R261" s="16"/>
      <c r="S261" s="16"/>
      <c r="T261" s="16"/>
      <c r="U261" s="16"/>
      <c r="V261" s="16"/>
      <c r="W261" s="16"/>
      <c r="X261" s="16"/>
      <c r="Y261" s="16"/>
      <c r="Z261" s="16"/>
    </row>
    <row r="262" spans="1:26" ht="15.75" customHeight="1">
      <c r="A262" s="103"/>
      <c r="B262" s="103"/>
      <c r="C262" s="104"/>
      <c r="D262" s="103"/>
      <c r="E262" s="103"/>
      <c r="F262" s="103"/>
      <c r="G262" s="103"/>
      <c r="H262" s="103"/>
      <c r="I262" s="103"/>
      <c r="J262" s="103"/>
      <c r="K262" s="16"/>
      <c r="L262" s="16"/>
      <c r="M262" s="16"/>
      <c r="N262" s="16"/>
      <c r="O262" s="16"/>
      <c r="P262" s="16"/>
      <c r="Q262" s="16"/>
      <c r="R262" s="16"/>
      <c r="S262" s="16"/>
      <c r="T262" s="16"/>
      <c r="U262" s="16"/>
      <c r="V262" s="16"/>
      <c r="W262" s="16"/>
      <c r="X262" s="16"/>
      <c r="Y262" s="16"/>
      <c r="Z262" s="16"/>
    </row>
    <row r="263" spans="1:26" ht="15.75" customHeight="1">
      <c r="A263" s="103"/>
      <c r="B263" s="103"/>
      <c r="C263" s="104"/>
      <c r="D263" s="103"/>
      <c r="E263" s="103"/>
      <c r="F263" s="103"/>
      <c r="G263" s="103"/>
      <c r="H263" s="103"/>
      <c r="I263" s="103"/>
      <c r="J263" s="103"/>
      <c r="K263" s="16"/>
      <c r="L263" s="16"/>
      <c r="M263" s="16"/>
      <c r="N263" s="16"/>
      <c r="O263" s="16"/>
      <c r="P263" s="16"/>
      <c r="Q263" s="16"/>
      <c r="R263" s="16"/>
      <c r="S263" s="16"/>
      <c r="T263" s="16"/>
      <c r="U263" s="16"/>
      <c r="V263" s="16"/>
      <c r="W263" s="16"/>
      <c r="X263" s="16"/>
      <c r="Y263" s="16"/>
      <c r="Z263" s="16"/>
    </row>
    <row r="264" spans="1:26" ht="15.75" customHeight="1">
      <c r="A264" s="103"/>
      <c r="B264" s="103"/>
      <c r="C264" s="104"/>
      <c r="D264" s="103"/>
      <c r="E264" s="103"/>
      <c r="F264" s="103"/>
      <c r="G264" s="103"/>
      <c r="H264" s="103"/>
      <c r="I264" s="103"/>
      <c r="J264" s="103"/>
      <c r="K264" s="16"/>
      <c r="L264" s="16"/>
      <c r="M264" s="16"/>
      <c r="N264" s="16"/>
      <c r="O264" s="16"/>
      <c r="P264" s="16"/>
      <c r="Q264" s="16"/>
      <c r="R264" s="16"/>
      <c r="S264" s="16"/>
      <c r="T264" s="16"/>
      <c r="U264" s="16"/>
      <c r="V264" s="16"/>
      <c r="W264" s="16"/>
      <c r="X264" s="16"/>
      <c r="Y264" s="16"/>
      <c r="Z264" s="16"/>
    </row>
    <row r="265" spans="1:26" ht="15.75" customHeight="1">
      <c r="A265" s="103"/>
      <c r="B265" s="103"/>
      <c r="C265" s="104"/>
      <c r="D265" s="103"/>
      <c r="E265" s="103"/>
      <c r="F265" s="103"/>
      <c r="G265" s="103"/>
      <c r="H265" s="103"/>
      <c r="I265" s="103"/>
      <c r="J265" s="103"/>
      <c r="K265" s="16"/>
      <c r="L265" s="16"/>
      <c r="M265" s="16"/>
      <c r="N265" s="16"/>
      <c r="O265" s="16"/>
      <c r="P265" s="16"/>
      <c r="Q265" s="16"/>
      <c r="R265" s="16"/>
      <c r="S265" s="16"/>
      <c r="T265" s="16"/>
      <c r="U265" s="16"/>
      <c r="V265" s="16"/>
      <c r="W265" s="16"/>
      <c r="X265" s="16"/>
      <c r="Y265" s="16"/>
      <c r="Z265" s="16"/>
    </row>
    <row r="266" spans="1:26" ht="15.75" customHeight="1">
      <c r="A266" s="103"/>
      <c r="B266" s="103"/>
      <c r="C266" s="104"/>
      <c r="D266" s="103"/>
      <c r="E266" s="103"/>
      <c r="F266" s="103"/>
      <c r="G266" s="103"/>
      <c r="H266" s="103"/>
      <c r="I266" s="103"/>
      <c r="J266" s="103"/>
      <c r="K266" s="16"/>
      <c r="L266" s="16"/>
      <c r="M266" s="16"/>
      <c r="N266" s="16"/>
      <c r="O266" s="16"/>
      <c r="P266" s="16"/>
      <c r="Q266" s="16"/>
      <c r="R266" s="16"/>
      <c r="S266" s="16"/>
      <c r="T266" s="16"/>
      <c r="U266" s="16"/>
      <c r="V266" s="16"/>
      <c r="W266" s="16"/>
      <c r="X266" s="16"/>
      <c r="Y266" s="16"/>
      <c r="Z266" s="16"/>
    </row>
    <row r="267" spans="1:26" ht="15.75" customHeight="1">
      <c r="A267" s="103"/>
      <c r="B267" s="103"/>
      <c r="C267" s="104"/>
      <c r="D267" s="103"/>
      <c r="E267" s="103"/>
      <c r="F267" s="103"/>
      <c r="G267" s="103"/>
      <c r="H267" s="103"/>
      <c r="I267" s="103"/>
      <c r="J267" s="103"/>
      <c r="K267" s="16"/>
      <c r="L267" s="16"/>
      <c r="M267" s="16"/>
      <c r="N267" s="16"/>
      <c r="O267" s="16"/>
      <c r="P267" s="16"/>
      <c r="Q267" s="16"/>
      <c r="R267" s="16"/>
      <c r="S267" s="16"/>
      <c r="T267" s="16"/>
      <c r="U267" s="16"/>
      <c r="V267" s="16"/>
      <c r="W267" s="16"/>
      <c r="X267" s="16"/>
      <c r="Y267" s="16"/>
      <c r="Z267" s="16"/>
    </row>
    <row r="268" spans="1:26" ht="15.75" customHeight="1">
      <c r="A268" s="103"/>
      <c r="B268" s="103"/>
      <c r="C268" s="104"/>
      <c r="D268" s="103"/>
      <c r="E268" s="103"/>
      <c r="F268" s="103"/>
      <c r="G268" s="103"/>
      <c r="H268" s="103"/>
      <c r="I268" s="103"/>
      <c r="J268" s="103"/>
      <c r="K268" s="16"/>
      <c r="L268" s="16"/>
      <c r="M268" s="16"/>
      <c r="N268" s="16"/>
      <c r="O268" s="16"/>
      <c r="P268" s="16"/>
      <c r="Q268" s="16"/>
      <c r="R268" s="16"/>
      <c r="S268" s="16"/>
      <c r="T268" s="16"/>
      <c r="U268" s="16"/>
      <c r="V268" s="16"/>
      <c r="W268" s="16"/>
      <c r="X268" s="16"/>
      <c r="Y268" s="16"/>
      <c r="Z268" s="16"/>
    </row>
    <row r="269" spans="1:26" ht="15.75" customHeight="1">
      <c r="A269" s="103"/>
      <c r="B269" s="103"/>
      <c r="C269" s="104"/>
      <c r="D269" s="103"/>
      <c r="E269" s="103"/>
      <c r="F269" s="103"/>
      <c r="G269" s="103"/>
      <c r="H269" s="103"/>
      <c r="I269" s="103"/>
      <c r="J269" s="103"/>
      <c r="K269" s="16"/>
      <c r="L269" s="16"/>
      <c r="M269" s="16"/>
      <c r="N269" s="16"/>
      <c r="O269" s="16"/>
      <c r="P269" s="16"/>
      <c r="Q269" s="16"/>
      <c r="R269" s="16"/>
      <c r="S269" s="16"/>
      <c r="T269" s="16"/>
      <c r="U269" s="16"/>
      <c r="V269" s="16"/>
      <c r="W269" s="16"/>
      <c r="X269" s="16"/>
      <c r="Y269" s="16"/>
      <c r="Z269" s="16"/>
    </row>
    <row r="270" spans="1:26" ht="15.75" customHeight="1">
      <c r="A270" s="103"/>
      <c r="B270" s="103"/>
      <c r="C270" s="104"/>
      <c r="D270" s="103"/>
      <c r="E270" s="103"/>
      <c r="F270" s="103"/>
      <c r="G270" s="103"/>
      <c r="H270" s="103"/>
      <c r="I270" s="103"/>
      <c r="J270" s="103"/>
      <c r="K270" s="16"/>
      <c r="L270" s="16"/>
      <c r="M270" s="16"/>
      <c r="N270" s="16"/>
      <c r="O270" s="16"/>
      <c r="P270" s="16"/>
      <c r="Q270" s="16"/>
      <c r="R270" s="16"/>
      <c r="S270" s="16"/>
      <c r="T270" s="16"/>
      <c r="U270" s="16"/>
      <c r="V270" s="16"/>
      <c r="W270" s="16"/>
      <c r="X270" s="16"/>
      <c r="Y270" s="16"/>
      <c r="Z270" s="16"/>
    </row>
    <row r="271" spans="1:26" ht="15.75" customHeight="1">
      <c r="A271" s="103"/>
      <c r="B271" s="103"/>
      <c r="C271" s="104"/>
      <c r="D271" s="103"/>
      <c r="E271" s="103"/>
      <c r="F271" s="103"/>
      <c r="G271" s="103"/>
      <c r="H271" s="103"/>
      <c r="I271" s="103"/>
      <c r="J271" s="103"/>
      <c r="K271" s="16"/>
      <c r="L271" s="16"/>
      <c r="M271" s="16"/>
      <c r="N271" s="16"/>
      <c r="O271" s="16"/>
      <c r="P271" s="16"/>
      <c r="Q271" s="16"/>
      <c r="R271" s="16"/>
      <c r="S271" s="16"/>
      <c r="T271" s="16"/>
      <c r="U271" s="16"/>
      <c r="V271" s="16"/>
      <c r="W271" s="16"/>
      <c r="X271" s="16"/>
      <c r="Y271" s="16"/>
      <c r="Z271" s="16"/>
    </row>
    <row r="272" spans="1:26" ht="15.75" customHeight="1">
      <c r="A272" s="103"/>
      <c r="B272" s="103"/>
      <c r="C272" s="104"/>
      <c r="D272" s="103"/>
      <c r="E272" s="103"/>
      <c r="F272" s="103"/>
      <c r="G272" s="103"/>
      <c r="H272" s="103"/>
      <c r="I272" s="103"/>
      <c r="J272" s="103"/>
      <c r="K272" s="16"/>
      <c r="L272" s="16"/>
      <c r="M272" s="16"/>
      <c r="N272" s="16"/>
      <c r="O272" s="16"/>
      <c r="P272" s="16"/>
      <c r="Q272" s="16"/>
      <c r="R272" s="16"/>
      <c r="S272" s="16"/>
      <c r="T272" s="16"/>
      <c r="U272" s="16"/>
      <c r="V272" s="16"/>
      <c r="W272" s="16"/>
      <c r="X272" s="16"/>
      <c r="Y272" s="16"/>
      <c r="Z272" s="16"/>
    </row>
    <row r="273" spans="1:26" ht="15.75" customHeight="1">
      <c r="A273" s="103"/>
      <c r="B273" s="103"/>
      <c r="C273" s="104"/>
      <c r="D273" s="103"/>
      <c r="E273" s="103"/>
      <c r="F273" s="103"/>
      <c r="G273" s="103"/>
      <c r="H273" s="103"/>
      <c r="I273" s="103"/>
      <c r="J273" s="103"/>
      <c r="K273" s="16"/>
      <c r="L273" s="16"/>
      <c r="M273" s="16"/>
      <c r="N273" s="16"/>
      <c r="O273" s="16"/>
      <c r="P273" s="16"/>
      <c r="Q273" s="16"/>
      <c r="R273" s="16"/>
      <c r="S273" s="16"/>
      <c r="T273" s="16"/>
      <c r="U273" s="16"/>
      <c r="V273" s="16"/>
      <c r="W273" s="16"/>
      <c r="X273" s="16"/>
      <c r="Y273" s="16"/>
      <c r="Z273" s="16"/>
    </row>
    <row r="274" spans="1:26" ht="15.75" customHeight="1">
      <c r="A274" s="103"/>
      <c r="B274" s="103"/>
      <c r="C274" s="104"/>
      <c r="D274" s="103"/>
      <c r="E274" s="103"/>
      <c r="F274" s="103"/>
      <c r="G274" s="103"/>
      <c r="H274" s="103"/>
      <c r="I274" s="103"/>
      <c r="J274" s="103"/>
      <c r="K274" s="16"/>
      <c r="L274" s="16"/>
      <c r="M274" s="16"/>
      <c r="N274" s="16"/>
      <c r="O274" s="16"/>
      <c r="P274" s="16"/>
      <c r="Q274" s="16"/>
      <c r="R274" s="16"/>
      <c r="S274" s="16"/>
      <c r="T274" s="16"/>
      <c r="U274" s="16"/>
      <c r="V274" s="16"/>
      <c r="W274" s="16"/>
      <c r="X274" s="16"/>
      <c r="Y274" s="16"/>
      <c r="Z274" s="16"/>
    </row>
    <row r="275" spans="1:26" ht="15.75" customHeight="1">
      <c r="A275" s="103"/>
      <c r="B275" s="103"/>
      <c r="C275" s="104"/>
      <c r="D275" s="103"/>
      <c r="E275" s="103"/>
      <c r="F275" s="103"/>
      <c r="G275" s="103"/>
      <c r="H275" s="103"/>
      <c r="I275" s="103"/>
      <c r="J275" s="103"/>
      <c r="K275" s="16"/>
      <c r="L275" s="16"/>
      <c r="M275" s="16"/>
      <c r="N275" s="16"/>
      <c r="O275" s="16"/>
      <c r="P275" s="16"/>
      <c r="Q275" s="16"/>
      <c r="R275" s="16"/>
      <c r="S275" s="16"/>
      <c r="T275" s="16"/>
      <c r="U275" s="16"/>
      <c r="V275" s="16"/>
      <c r="W275" s="16"/>
      <c r="X275" s="16"/>
      <c r="Y275" s="16"/>
      <c r="Z275" s="16"/>
    </row>
    <row r="276" spans="1:26" ht="15.75" customHeight="1">
      <c r="A276" s="103"/>
      <c r="B276" s="103"/>
      <c r="C276" s="104"/>
      <c r="D276" s="103"/>
      <c r="E276" s="103"/>
      <c r="F276" s="103"/>
      <c r="G276" s="103"/>
      <c r="H276" s="103"/>
      <c r="I276" s="103"/>
      <c r="J276" s="103"/>
      <c r="K276" s="16"/>
      <c r="L276" s="16"/>
      <c r="M276" s="16"/>
      <c r="N276" s="16"/>
      <c r="O276" s="16"/>
      <c r="P276" s="16"/>
      <c r="Q276" s="16"/>
      <c r="R276" s="16"/>
      <c r="S276" s="16"/>
      <c r="T276" s="16"/>
      <c r="U276" s="16"/>
      <c r="V276" s="16"/>
      <c r="W276" s="16"/>
      <c r="X276" s="16"/>
      <c r="Y276" s="16"/>
      <c r="Z276" s="16"/>
    </row>
    <row r="277" spans="1:26" ht="15.75" customHeight="1">
      <c r="A277" s="103"/>
      <c r="B277" s="103"/>
      <c r="C277" s="104"/>
      <c r="D277" s="103"/>
      <c r="E277" s="103"/>
      <c r="F277" s="103"/>
      <c r="G277" s="103"/>
      <c r="H277" s="103"/>
      <c r="I277" s="103"/>
      <c r="J277" s="103"/>
      <c r="K277" s="16"/>
      <c r="L277" s="16"/>
      <c r="M277" s="16"/>
      <c r="N277" s="16"/>
      <c r="O277" s="16"/>
      <c r="P277" s="16"/>
      <c r="Q277" s="16"/>
      <c r="R277" s="16"/>
      <c r="S277" s="16"/>
      <c r="T277" s="16"/>
      <c r="U277" s="16"/>
      <c r="V277" s="16"/>
      <c r="W277" s="16"/>
      <c r="X277" s="16"/>
      <c r="Y277" s="16"/>
      <c r="Z277" s="16"/>
    </row>
    <row r="278" spans="1:26" ht="15.75" customHeight="1">
      <c r="A278" s="103"/>
      <c r="B278" s="103"/>
      <c r="C278" s="104"/>
      <c r="D278" s="103"/>
      <c r="E278" s="103"/>
      <c r="F278" s="103"/>
      <c r="G278" s="103"/>
      <c r="H278" s="103"/>
      <c r="I278" s="103"/>
      <c r="J278" s="103"/>
      <c r="K278" s="16"/>
      <c r="L278" s="16"/>
      <c r="M278" s="16"/>
      <c r="N278" s="16"/>
      <c r="O278" s="16"/>
      <c r="P278" s="16"/>
      <c r="Q278" s="16"/>
      <c r="R278" s="16"/>
      <c r="S278" s="16"/>
      <c r="T278" s="16"/>
      <c r="U278" s="16"/>
      <c r="V278" s="16"/>
      <c r="W278" s="16"/>
      <c r="X278" s="16"/>
      <c r="Y278" s="16"/>
      <c r="Z278" s="16"/>
    </row>
    <row r="279" spans="1:26" ht="15.75" customHeight="1">
      <c r="A279" s="103"/>
      <c r="B279" s="103"/>
      <c r="C279" s="104"/>
      <c r="D279" s="103"/>
      <c r="E279" s="103"/>
      <c r="F279" s="103"/>
      <c r="G279" s="103"/>
      <c r="H279" s="103"/>
      <c r="I279" s="103"/>
      <c r="J279" s="103"/>
      <c r="K279" s="16"/>
      <c r="L279" s="16"/>
      <c r="M279" s="16"/>
      <c r="N279" s="16"/>
      <c r="O279" s="16"/>
      <c r="P279" s="16"/>
      <c r="Q279" s="16"/>
      <c r="R279" s="16"/>
      <c r="S279" s="16"/>
      <c r="T279" s="16"/>
      <c r="U279" s="16"/>
      <c r="V279" s="16"/>
      <c r="W279" s="16"/>
      <c r="X279" s="16"/>
      <c r="Y279" s="16"/>
      <c r="Z279" s="16"/>
    </row>
    <row r="280" spans="1:26" ht="15.75" customHeight="1">
      <c r="A280" s="103"/>
      <c r="B280" s="103"/>
      <c r="C280" s="104"/>
      <c r="D280" s="103"/>
      <c r="E280" s="103"/>
      <c r="F280" s="103"/>
      <c r="G280" s="103"/>
      <c r="H280" s="103"/>
      <c r="I280" s="103"/>
      <c r="J280" s="103"/>
      <c r="K280" s="16"/>
      <c r="L280" s="16"/>
      <c r="M280" s="16"/>
      <c r="N280" s="16"/>
      <c r="O280" s="16"/>
      <c r="P280" s="16"/>
      <c r="Q280" s="16"/>
      <c r="R280" s="16"/>
      <c r="S280" s="16"/>
      <c r="T280" s="16"/>
      <c r="U280" s="16"/>
      <c r="V280" s="16"/>
      <c r="W280" s="16"/>
      <c r="X280" s="16"/>
      <c r="Y280" s="16"/>
      <c r="Z280" s="16"/>
    </row>
    <row r="281" spans="1:26" ht="15.75" customHeight="1">
      <c r="A281" s="103"/>
      <c r="B281" s="103"/>
      <c r="C281" s="104"/>
      <c r="D281" s="103"/>
      <c r="E281" s="103"/>
      <c r="F281" s="103"/>
      <c r="G281" s="103"/>
      <c r="H281" s="103"/>
      <c r="I281" s="103"/>
      <c r="J281" s="103"/>
      <c r="K281" s="16"/>
      <c r="L281" s="16"/>
      <c r="M281" s="16"/>
      <c r="N281" s="16"/>
      <c r="O281" s="16"/>
      <c r="P281" s="16"/>
      <c r="Q281" s="16"/>
      <c r="R281" s="16"/>
      <c r="S281" s="16"/>
      <c r="T281" s="16"/>
      <c r="U281" s="16"/>
      <c r="V281" s="16"/>
      <c r="W281" s="16"/>
      <c r="X281" s="16"/>
      <c r="Y281" s="16"/>
      <c r="Z281" s="16"/>
    </row>
    <row r="282" spans="1:26" ht="15.75" customHeight="1">
      <c r="A282" s="103"/>
      <c r="B282" s="103"/>
      <c r="C282" s="104"/>
      <c r="D282" s="103"/>
      <c r="E282" s="103"/>
      <c r="F282" s="103"/>
      <c r="G282" s="103"/>
      <c r="H282" s="103"/>
      <c r="I282" s="103"/>
      <c r="J282" s="103"/>
      <c r="K282" s="16"/>
      <c r="L282" s="16"/>
      <c r="M282" s="16"/>
      <c r="N282" s="16"/>
      <c r="O282" s="16"/>
      <c r="P282" s="16"/>
      <c r="Q282" s="16"/>
      <c r="R282" s="16"/>
      <c r="S282" s="16"/>
      <c r="T282" s="16"/>
      <c r="U282" s="16"/>
      <c r="V282" s="16"/>
      <c r="W282" s="16"/>
      <c r="X282" s="16"/>
      <c r="Y282" s="16"/>
      <c r="Z282" s="16"/>
    </row>
    <row r="283" spans="1:26" ht="15.75" customHeight="1">
      <c r="A283" s="103"/>
      <c r="B283" s="103"/>
      <c r="C283" s="104"/>
      <c r="D283" s="103"/>
      <c r="E283" s="103"/>
      <c r="F283" s="103"/>
      <c r="G283" s="103"/>
      <c r="H283" s="103"/>
      <c r="I283" s="103"/>
      <c r="J283" s="103"/>
      <c r="K283" s="16"/>
      <c r="L283" s="16"/>
      <c r="M283" s="16"/>
      <c r="N283" s="16"/>
      <c r="O283" s="16"/>
      <c r="P283" s="16"/>
      <c r="Q283" s="16"/>
      <c r="R283" s="16"/>
      <c r="S283" s="16"/>
      <c r="T283" s="16"/>
      <c r="U283" s="16"/>
      <c r="V283" s="16"/>
      <c r="W283" s="16"/>
      <c r="X283" s="16"/>
      <c r="Y283" s="16"/>
      <c r="Z283" s="16"/>
    </row>
    <row r="284" spans="1:26" ht="15.75" customHeight="1">
      <c r="A284" s="103"/>
      <c r="B284" s="103"/>
      <c r="C284" s="104"/>
      <c r="D284" s="103"/>
      <c r="E284" s="103"/>
      <c r="F284" s="103"/>
      <c r="G284" s="103"/>
      <c r="H284" s="103"/>
      <c r="I284" s="103"/>
      <c r="J284" s="103"/>
      <c r="K284" s="16"/>
      <c r="L284" s="16"/>
      <c r="M284" s="16"/>
      <c r="N284" s="16"/>
      <c r="O284" s="16"/>
      <c r="P284" s="16"/>
      <c r="Q284" s="16"/>
      <c r="R284" s="16"/>
      <c r="S284" s="16"/>
      <c r="T284" s="16"/>
      <c r="U284" s="16"/>
      <c r="V284" s="16"/>
      <c r="W284" s="16"/>
      <c r="X284" s="16"/>
      <c r="Y284" s="16"/>
      <c r="Z284" s="16"/>
    </row>
    <row r="285" spans="1:26" ht="15.75" customHeight="1">
      <c r="A285" s="103"/>
      <c r="B285" s="103"/>
      <c r="C285" s="104"/>
      <c r="D285" s="103"/>
      <c r="E285" s="103"/>
      <c r="F285" s="103"/>
      <c r="G285" s="103"/>
      <c r="H285" s="103"/>
      <c r="I285" s="103"/>
      <c r="J285" s="103"/>
      <c r="K285" s="16"/>
      <c r="L285" s="16"/>
      <c r="M285" s="16"/>
      <c r="N285" s="16"/>
      <c r="O285" s="16"/>
      <c r="P285" s="16"/>
      <c r="Q285" s="16"/>
      <c r="R285" s="16"/>
      <c r="S285" s="16"/>
      <c r="T285" s="16"/>
      <c r="U285" s="16"/>
      <c r="V285" s="16"/>
      <c r="W285" s="16"/>
      <c r="X285" s="16"/>
      <c r="Y285" s="16"/>
      <c r="Z285" s="16"/>
    </row>
    <row r="286" spans="1:26" ht="15.75" customHeight="1">
      <c r="A286" s="103"/>
      <c r="B286" s="103"/>
      <c r="C286" s="104"/>
      <c r="D286" s="103"/>
      <c r="E286" s="103"/>
      <c r="F286" s="103"/>
      <c r="G286" s="103"/>
      <c r="H286" s="103"/>
      <c r="I286" s="103"/>
      <c r="J286" s="103"/>
      <c r="K286" s="16"/>
      <c r="L286" s="16"/>
      <c r="M286" s="16"/>
      <c r="N286" s="16"/>
      <c r="O286" s="16"/>
      <c r="P286" s="16"/>
      <c r="Q286" s="16"/>
      <c r="R286" s="16"/>
      <c r="S286" s="16"/>
      <c r="T286" s="16"/>
      <c r="U286" s="16"/>
      <c r="V286" s="16"/>
      <c r="W286" s="16"/>
      <c r="X286" s="16"/>
      <c r="Y286" s="16"/>
      <c r="Z286" s="16"/>
    </row>
    <row r="287" spans="1:26" ht="15.75" customHeight="1">
      <c r="A287" s="103"/>
      <c r="B287" s="103"/>
      <c r="C287" s="104"/>
      <c r="D287" s="103"/>
      <c r="E287" s="103"/>
      <c r="F287" s="103"/>
      <c r="G287" s="103"/>
      <c r="H287" s="103"/>
      <c r="I287" s="103"/>
      <c r="J287" s="103"/>
      <c r="K287" s="16"/>
      <c r="L287" s="16"/>
      <c r="M287" s="16"/>
      <c r="N287" s="16"/>
      <c r="O287" s="16"/>
      <c r="P287" s="16"/>
      <c r="Q287" s="16"/>
      <c r="R287" s="16"/>
      <c r="S287" s="16"/>
      <c r="T287" s="16"/>
      <c r="U287" s="16"/>
      <c r="V287" s="16"/>
      <c r="W287" s="16"/>
      <c r="X287" s="16"/>
      <c r="Y287" s="16"/>
      <c r="Z287" s="16"/>
    </row>
    <row r="288" spans="1:26" ht="15.75" customHeight="1">
      <c r="A288" s="103"/>
      <c r="B288" s="103"/>
      <c r="C288" s="104"/>
      <c r="D288" s="103"/>
      <c r="E288" s="103"/>
      <c r="F288" s="103"/>
      <c r="G288" s="103"/>
      <c r="H288" s="103"/>
      <c r="I288" s="103"/>
      <c r="J288" s="103"/>
      <c r="K288" s="16"/>
      <c r="L288" s="16"/>
      <c r="M288" s="16"/>
      <c r="N288" s="16"/>
      <c r="O288" s="16"/>
      <c r="P288" s="16"/>
      <c r="Q288" s="16"/>
      <c r="R288" s="16"/>
      <c r="S288" s="16"/>
      <c r="T288" s="16"/>
      <c r="U288" s="16"/>
      <c r="V288" s="16"/>
      <c r="W288" s="16"/>
      <c r="X288" s="16"/>
      <c r="Y288" s="16"/>
      <c r="Z288" s="16"/>
    </row>
    <row r="289" spans="1:26" ht="15.75" customHeight="1">
      <c r="A289" s="103"/>
      <c r="B289" s="103"/>
      <c r="C289" s="104"/>
      <c r="D289" s="103"/>
      <c r="E289" s="103"/>
      <c r="F289" s="103"/>
      <c r="G289" s="103"/>
      <c r="H289" s="103"/>
      <c r="I289" s="103"/>
      <c r="J289" s="103"/>
      <c r="K289" s="16"/>
      <c r="L289" s="16"/>
      <c r="M289" s="16"/>
      <c r="N289" s="16"/>
      <c r="O289" s="16"/>
      <c r="P289" s="16"/>
      <c r="Q289" s="16"/>
      <c r="R289" s="16"/>
      <c r="S289" s="16"/>
      <c r="T289" s="16"/>
      <c r="U289" s="16"/>
      <c r="V289" s="16"/>
      <c r="W289" s="16"/>
      <c r="X289" s="16"/>
      <c r="Y289" s="16"/>
      <c r="Z289" s="16"/>
    </row>
    <row r="290" spans="1:26" ht="15.75" customHeight="1">
      <c r="A290" s="103"/>
      <c r="B290" s="103"/>
      <c r="C290" s="104"/>
      <c r="D290" s="103"/>
      <c r="E290" s="103"/>
      <c r="F290" s="103"/>
      <c r="G290" s="103"/>
      <c r="H290" s="103"/>
      <c r="I290" s="103"/>
      <c r="J290" s="103"/>
      <c r="K290" s="16"/>
      <c r="L290" s="16"/>
      <c r="M290" s="16"/>
      <c r="N290" s="16"/>
      <c r="O290" s="16"/>
      <c r="P290" s="16"/>
      <c r="Q290" s="16"/>
      <c r="R290" s="16"/>
      <c r="S290" s="16"/>
      <c r="T290" s="16"/>
      <c r="U290" s="16"/>
      <c r="V290" s="16"/>
      <c r="W290" s="16"/>
      <c r="X290" s="16"/>
      <c r="Y290" s="16"/>
      <c r="Z290" s="16"/>
    </row>
    <row r="291" spans="1:26" ht="15.75" customHeight="1">
      <c r="A291" s="103"/>
      <c r="B291" s="103"/>
      <c r="C291" s="104"/>
      <c r="D291" s="103"/>
      <c r="E291" s="103"/>
      <c r="F291" s="103"/>
      <c r="G291" s="103"/>
      <c r="H291" s="103"/>
      <c r="I291" s="103"/>
      <c r="J291" s="103"/>
      <c r="K291" s="16"/>
      <c r="L291" s="16"/>
      <c r="M291" s="16"/>
      <c r="N291" s="16"/>
      <c r="O291" s="16"/>
      <c r="P291" s="16"/>
      <c r="Q291" s="16"/>
      <c r="R291" s="16"/>
      <c r="S291" s="16"/>
      <c r="T291" s="16"/>
      <c r="U291" s="16"/>
      <c r="V291" s="16"/>
      <c r="W291" s="16"/>
      <c r="X291" s="16"/>
      <c r="Y291" s="16"/>
      <c r="Z291" s="16"/>
    </row>
    <row r="292" spans="1:26" ht="15.75" customHeight="1">
      <c r="A292" s="103"/>
      <c r="B292" s="103"/>
      <c r="C292" s="104"/>
      <c r="D292" s="103"/>
      <c r="E292" s="103"/>
      <c r="F292" s="103"/>
      <c r="G292" s="103"/>
      <c r="H292" s="103"/>
      <c r="I292" s="103"/>
      <c r="J292" s="103"/>
      <c r="K292" s="16"/>
      <c r="L292" s="16"/>
      <c r="M292" s="16"/>
      <c r="N292" s="16"/>
      <c r="O292" s="16"/>
      <c r="P292" s="16"/>
      <c r="Q292" s="16"/>
      <c r="R292" s="16"/>
      <c r="S292" s="16"/>
      <c r="T292" s="16"/>
      <c r="U292" s="16"/>
      <c r="V292" s="16"/>
      <c r="W292" s="16"/>
      <c r="X292" s="16"/>
      <c r="Y292" s="16"/>
      <c r="Z292" s="16"/>
    </row>
    <row r="293" spans="1:26" ht="15.75" customHeight="1">
      <c r="A293" s="103"/>
      <c r="B293" s="103"/>
      <c r="C293" s="104"/>
      <c r="D293" s="103"/>
      <c r="E293" s="103"/>
      <c r="F293" s="103"/>
      <c r="G293" s="103"/>
      <c r="H293" s="103"/>
      <c r="I293" s="103"/>
      <c r="J293" s="103"/>
      <c r="K293" s="16"/>
      <c r="L293" s="16"/>
      <c r="M293" s="16"/>
      <c r="N293" s="16"/>
      <c r="O293" s="16"/>
      <c r="P293" s="16"/>
      <c r="Q293" s="16"/>
      <c r="R293" s="16"/>
      <c r="S293" s="16"/>
      <c r="T293" s="16"/>
      <c r="U293" s="16"/>
      <c r="V293" s="16"/>
      <c r="W293" s="16"/>
      <c r="X293" s="16"/>
      <c r="Y293" s="16"/>
      <c r="Z293" s="16"/>
    </row>
    <row r="294" spans="1:26" ht="15.75" customHeight="1">
      <c r="A294" s="103"/>
      <c r="B294" s="103"/>
      <c r="C294" s="104"/>
      <c r="D294" s="103"/>
      <c r="E294" s="103"/>
      <c r="F294" s="103"/>
      <c r="G294" s="103"/>
      <c r="H294" s="103"/>
      <c r="I294" s="103"/>
      <c r="J294" s="103"/>
      <c r="K294" s="16"/>
      <c r="L294" s="16"/>
      <c r="M294" s="16"/>
      <c r="N294" s="16"/>
      <c r="O294" s="16"/>
      <c r="P294" s="16"/>
      <c r="Q294" s="16"/>
      <c r="R294" s="16"/>
      <c r="S294" s="16"/>
      <c r="T294" s="16"/>
      <c r="U294" s="16"/>
      <c r="V294" s="16"/>
      <c r="W294" s="16"/>
      <c r="X294" s="16"/>
      <c r="Y294" s="16"/>
      <c r="Z294" s="16"/>
    </row>
    <row r="295" spans="1:26" ht="15.75" customHeight="1">
      <c r="A295" s="103"/>
      <c r="B295" s="103"/>
      <c r="C295" s="104"/>
      <c r="D295" s="103"/>
      <c r="E295" s="103"/>
      <c r="F295" s="103"/>
      <c r="G295" s="103"/>
      <c r="H295" s="103"/>
      <c r="I295" s="103"/>
      <c r="J295" s="103"/>
      <c r="K295" s="16"/>
      <c r="L295" s="16"/>
      <c r="M295" s="16"/>
      <c r="N295" s="16"/>
      <c r="O295" s="16"/>
      <c r="P295" s="16"/>
      <c r="Q295" s="16"/>
      <c r="R295" s="16"/>
      <c r="S295" s="16"/>
      <c r="T295" s="16"/>
      <c r="U295" s="16"/>
      <c r="V295" s="16"/>
      <c r="W295" s="16"/>
      <c r="X295" s="16"/>
      <c r="Y295" s="16"/>
      <c r="Z295" s="16"/>
    </row>
    <row r="296" spans="1:26" ht="15.75" customHeight="1">
      <c r="A296" s="103"/>
      <c r="B296" s="103"/>
      <c r="C296" s="104"/>
      <c r="D296" s="103"/>
      <c r="E296" s="103"/>
      <c r="F296" s="103"/>
      <c r="G296" s="103"/>
      <c r="H296" s="103"/>
      <c r="I296" s="103"/>
      <c r="J296" s="103"/>
      <c r="K296" s="16"/>
      <c r="L296" s="16"/>
      <c r="M296" s="16"/>
      <c r="N296" s="16"/>
      <c r="O296" s="16"/>
      <c r="P296" s="16"/>
      <c r="Q296" s="16"/>
      <c r="R296" s="16"/>
      <c r="S296" s="16"/>
      <c r="T296" s="16"/>
      <c r="U296" s="16"/>
      <c r="V296" s="16"/>
      <c r="W296" s="16"/>
      <c r="X296" s="16"/>
      <c r="Y296" s="16"/>
      <c r="Z296" s="16"/>
    </row>
    <row r="297" spans="1:26" ht="15.75" customHeight="1">
      <c r="A297" s="103"/>
      <c r="B297" s="103"/>
      <c r="C297" s="104"/>
      <c r="D297" s="103"/>
      <c r="E297" s="103"/>
      <c r="F297" s="103"/>
      <c r="G297" s="103"/>
      <c r="H297" s="103"/>
      <c r="I297" s="103"/>
      <c r="J297" s="103"/>
      <c r="K297" s="16"/>
      <c r="L297" s="16"/>
      <c r="M297" s="16"/>
      <c r="N297" s="16"/>
      <c r="O297" s="16"/>
      <c r="P297" s="16"/>
      <c r="Q297" s="16"/>
      <c r="R297" s="16"/>
      <c r="S297" s="16"/>
      <c r="T297" s="16"/>
      <c r="U297" s="16"/>
      <c r="V297" s="16"/>
      <c r="W297" s="16"/>
      <c r="X297" s="16"/>
      <c r="Y297" s="16"/>
      <c r="Z297" s="16"/>
    </row>
    <row r="298" spans="1:26" ht="15.75" customHeight="1">
      <c r="A298" s="103"/>
      <c r="B298" s="103"/>
      <c r="C298" s="104"/>
      <c r="D298" s="103"/>
      <c r="E298" s="103"/>
      <c r="F298" s="103"/>
      <c r="G298" s="103"/>
      <c r="H298" s="103"/>
      <c r="I298" s="103"/>
      <c r="J298" s="103"/>
      <c r="K298" s="16"/>
      <c r="L298" s="16"/>
      <c r="M298" s="16"/>
      <c r="N298" s="16"/>
      <c r="O298" s="16"/>
      <c r="P298" s="16"/>
      <c r="Q298" s="16"/>
      <c r="R298" s="16"/>
      <c r="S298" s="16"/>
      <c r="T298" s="16"/>
      <c r="U298" s="16"/>
      <c r="V298" s="16"/>
      <c r="W298" s="16"/>
      <c r="X298" s="16"/>
      <c r="Y298" s="16"/>
      <c r="Z298" s="16"/>
    </row>
    <row r="299" spans="1:26" ht="15.75" customHeight="1">
      <c r="A299" s="103"/>
      <c r="B299" s="103"/>
      <c r="C299" s="104"/>
      <c r="D299" s="103"/>
      <c r="E299" s="103"/>
      <c r="F299" s="103"/>
      <c r="G299" s="103"/>
      <c r="H299" s="103"/>
      <c r="I299" s="103"/>
      <c r="J299" s="103"/>
      <c r="K299" s="16"/>
      <c r="L299" s="16"/>
      <c r="M299" s="16"/>
      <c r="N299" s="16"/>
      <c r="O299" s="16"/>
      <c r="P299" s="16"/>
      <c r="Q299" s="16"/>
      <c r="R299" s="16"/>
      <c r="S299" s="16"/>
      <c r="T299" s="16"/>
      <c r="U299" s="16"/>
      <c r="V299" s="16"/>
      <c r="W299" s="16"/>
      <c r="X299" s="16"/>
      <c r="Y299" s="16"/>
      <c r="Z299" s="16"/>
    </row>
    <row r="300" spans="1:26" ht="15.75" customHeight="1">
      <c r="A300" s="103"/>
      <c r="B300" s="103"/>
      <c r="C300" s="104"/>
      <c r="D300" s="103"/>
      <c r="E300" s="103"/>
      <c r="F300" s="103"/>
      <c r="G300" s="103"/>
      <c r="H300" s="103"/>
      <c r="I300" s="103"/>
      <c r="J300" s="103"/>
      <c r="K300" s="16"/>
      <c r="L300" s="16"/>
      <c r="M300" s="16"/>
      <c r="N300" s="16"/>
      <c r="O300" s="16"/>
      <c r="P300" s="16"/>
      <c r="Q300" s="16"/>
      <c r="R300" s="16"/>
      <c r="S300" s="16"/>
      <c r="T300" s="16"/>
      <c r="U300" s="16"/>
      <c r="V300" s="16"/>
      <c r="W300" s="16"/>
      <c r="X300" s="16"/>
      <c r="Y300" s="16"/>
      <c r="Z300" s="16"/>
    </row>
    <row r="301" spans="1:26" ht="15.75" customHeight="1">
      <c r="A301" s="103"/>
      <c r="B301" s="103"/>
      <c r="C301" s="104"/>
      <c r="D301" s="103"/>
      <c r="E301" s="103"/>
      <c r="F301" s="103"/>
      <c r="G301" s="103"/>
      <c r="H301" s="103"/>
      <c r="I301" s="103"/>
      <c r="J301" s="103"/>
      <c r="K301" s="16"/>
      <c r="L301" s="16"/>
      <c r="M301" s="16"/>
      <c r="N301" s="16"/>
      <c r="O301" s="16"/>
      <c r="P301" s="16"/>
      <c r="Q301" s="16"/>
      <c r="R301" s="16"/>
      <c r="S301" s="16"/>
      <c r="T301" s="16"/>
      <c r="U301" s="16"/>
      <c r="V301" s="16"/>
      <c r="W301" s="16"/>
      <c r="X301" s="16"/>
      <c r="Y301" s="16"/>
      <c r="Z301" s="16"/>
    </row>
    <row r="302" spans="1:26" ht="15.75" customHeight="1">
      <c r="A302" s="103"/>
      <c r="B302" s="103"/>
      <c r="C302" s="104"/>
      <c r="D302" s="103"/>
      <c r="E302" s="103"/>
      <c r="F302" s="103"/>
      <c r="G302" s="103"/>
      <c r="H302" s="103"/>
      <c r="I302" s="103"/>
      <c r="J302" s="103"/>
      <c r="K302" s="16"/>
      <c r="L302" s="16"/>
      <c r="M302" s="16"/>
      <c r="N302" s="16"/>
      <c r="O302" s="16"/>
      <c r="P302" s="16"/>
      <c r="Q302" s="16"/>
      <c r="R302" s="16"/>
      <c r="S302" s="16"/>
      <c r="T302" s="16"/>
      <c r="U302" s="16"/>
      <c r="V302" s="16"/>
      <c r="W302" s="16"/>
      <c r="X302" s="16"/>
      <c r="Y302" s="16"/>
      <c r="Z302" s="16"/>
    </row>
    <row r="303" spans="1:26" ht="15.75" customHeight="1">
      <c r="A303" s="103"/>
      <c r="B303" s="103"/>
      <c r="C303" s="104"/>
      <c r="D303" s="103"/>
      <c r="E303" s="103"/>
      <c r="F303" s="103"/>
      <c r="G303" s="103"/>
      <c r="H303" s="103"/>
      <c r="I303" s="103"/>
      <c r="J303" s="103"/>
      <c r="K303" s="16"/>
      <c r="L303" s="16"/>
      <c r="M303" s="16"/>
      <c r="N303" s="16"/>
      <c r="O303" s="16"/>
      <c r="P303" s="16"/>
      <c r="Q303" s="16"/>
      <c r="R303" s="16"/>
      <c r="S303" s="16"/>
      <c r="T303" s="16"/>
      <c r="U303" s="16"/>
      <c r="V303" s="16"/>
      <c r="W303" s="16"/>
      <c r="X303" s="16"/>
      <c r="Y303" s="16"/>
      <c r="Z303" s="16"/>
    </row>
    <row r="304" spans="1:26" ht="15.75" customHeight="1">
      <c r="A304" s="103"/>
      <c r="B304" s="103"/>
      <c r="C304" s="104"/>
      <c r="D304" s="103"/>
      <c r="E304" s="103"/>
      <c r="F304" s="103"/>
      <c r="G304" s="103"/>
      <c r="H304" s="103"/>
      <c r="I304" s="103"/>
      <c r="J304" s="103"/>
      <c r="K304" s="16"/>
      <c r="L304" s="16"/>
      <c r="M304" s="16"/>
      <c r="N304" s="16"/>
      <c r="O304" s="16"/>
      <c r="P304" s="16"/>
      <c r="Q304" s="16"/>
      <c r="R304" s="16"/>
      <c r="S304" s="16"/>
      <c r="T304" s="16"/>
      <c r="U304" s="16"/>
      <c r="V304" s="16"/>
      <c r="W304" s="16"/>
      <c r="X304" s="16"/>
      <c r="Y304" s="16"/>
      <c r="Z304" s="16"/>
    </row>
    <row r="305" spans="1:26" ht="15.75" customHeight="1">
      <c r="A305" s="103"/>
      <c r="B305" s="103"/>
      <c r="C305" s="104"/>
      <c r="D305" s="103"/>
      <c r="E305" s="103"/>
      <c r="F305" s="103"/>
      <c r="G305" s="103"/>
      <c r="H305" s="103"/>
      <c r="I305" s="103"/>
      <c r="J305" s="103"/>
      <c r="K305" s="16"/>
      <c r="L305" s="16"/>
      <c r="M305" s="16"/>
      <c r="N305" s="16"/>
      <c r="O305" s="16"/>
      <c r="P305" s="16"/>
      <c r="Q305" s="16"/>
      <c r="R305" s="16"/>
      <c r="S305" s="16"/>
      <c r="T305" s="16"/>
      <c r="U305" s="16"/>
      <c r="V305" s="16"/>
      <c r="W305" s="16"/>
      <c r="X305" s="16"/>
      <c r="Y305" s="16"/>
      <c r="Z305" s="16"/>
    </row>
    <row r="306" spans="1:26" ht="15.75" customHeight="1">
      <c r="A306" s="103"/>
      <c r="B306" s="103"/>
      <c r="C306" s="104"/>
      <c r="D306" s="103"/>
      <c r="E306" s="103"/>
      <c r="F306" s="103"/>
      <c r="G306" s="103"/>
      <c r="H306" s="103"/>
      <c r="I306" s="103"/>
      <c r="J306" s="103"/>
      <c r="K306" s="16"/>
      <c r="L306" s="16"/>
      <c r="M306" s="16"/>
      <c r="N306" s="16"/>
      <c r="O306" s="16"/>
      <c r="P306" s="16"/>
      <c r="Q306" s="16"/>
      <c r="R306" s="16"/>
      <c r="S306" s="16"/>
      <c r="T306" s="16"/>
      <c r="U306" s="16"/>
      <c r="V306" s="16"/>
      <c r="W306" s="16"/>
      <c r="X306" s="16"/>
      <c r="Y306" s="16"/>
      <c r="Z306" s="16"/>
    </row>
    <row r="307" spans="1:26" ht="15.75" customHeight="1">
      <c r="A307" s="103"/>
      <c r="B307" s="103"/>
      <c r="C307" s="104"/>
      <c r="D307" s="103"/>
      <c r="E307" s="103"/>
      <c r="F307" s="103"/>
      <c r="G307" s="103"/>
      <c r="H307" s="103"/>
      <c r="I307" s="103"/>
      <c r="J307" s="103"/>
      <c r="K307" s="16"/>
      <c r="L307" s="16"/>
      <c r="M307" s="16"/>
      <c r="N307" s="16"/>
      <c r="O307" s="16"/>
      <c r="P307" s="16"/>
      <c r="Q307" s="16"/>
      <c r="R307" s="16"/>
      <c r="S307" s="16"/>
      <c r="T307" s="16"/>
      <c r="U307" s="16"/>
      <c r="V307" s="16"/>
      <c r="W307" s="16"/>
      <c r="X307" s="16"/>
      <c r="Y307" s="16"/>
      <c r="Z307" s="16"/>
    </row>
    <row r="308" spans="1:26" ht="15.75" customHeight="1">
      <c r="A308" s="103"/>
      <c r="B308" s="103"/>
      <c r="C308" s="104"/>
      <c r="D308" s="103"/>
      <c r="E308" s="103"/>
      <c r="F308" s="103"/>
      <c r="G308" s="103"/>
      <c r="H308" s="103"/>
      <c r="I308" s="103"/>
      <c r="J308" s="103"/>
      <c r="K308" s="16"/>
      <c r="L308" s="16"/>
      <c r="M308" s="16"/>
      <c r="N308" s="16"/>
      <c r="O308" s="16"/>
      <c r="P308" s="16"/>
      <c r="Q308" s="16"/>
      <c r="R308" s="16"/>
      <c r="S308" s="16"/>
      <c r="T308" s="16"/>
      <c r="U308" s="16"/>
      <c r="V308" s="16"/>
      <c r="W308" s="16"/>
      <c r="X308" s="16"/>
      <c r="Y308" s="16"/>
      <c r="Z308" s="16"/>
    </row>
    <row r="309" spans="1:26" ht="15.75" customHeight="1">
      <c r="A309" s="103"/>
      <c r="B309" s="103"/>
      <c r="C309" s="104"/>
      <c r="D309" s="103"/>
      <c r="E309" s="103"/>
      <c r="F309" s="103"/>
      <c r="G309" s="103"/>
      <c r="H309" s="103"/>
      <c r="I309" s="103"/>
      <c r="J309" s="103"/>
      <c r="K309" s="16"/>
      <c r="L309" s="16"/>
      <c r="M309" s="16"/>
      <c r="N309" s="16"/>
      <c r="O309" s="16"/>
      <c r="P309" s="16"/>
      <c r="Q309" s="16"/>
      <c r="R309" s="16"/>
      <c r="S309" s="16"/>
      <c r="T309" s="16"/>
      <c r="U309" s="16"/>
      <c r="V309" s="16"/>
      <c r="W309" s="16"/>
      <c r="X309" s="16"/>
      <c r="Y309" s="16"/>
      <c r="Z309" s="16"/>
    </row>
    <row r="310" spans="1:26" ht="15.75" customHeight="1">
      <c r="A310" s="103"/>
      <c r="B310" s="103"/>
      <c r="C310" s="104"/>
      <c r="D310" s="103"/>
      <c r="E310" s="103"/>
      <c r="F310" s="103"/>
      <c r="G310" s="103"/>
      <c r="H310" s="103"/>
      <c r="I310" s="103"/>
      <c r="J310" s="103"/>
      <c r="K310" s="16"/>
      <c r="L310" s="16"/>
      <c r="M310" s="16"/>
      <c r="N310" s="16"/>
      <c r="O310" s="16"/>
      <c r="P310" s="16"/>
      <c r="Q310" s="16"/>
      <c r="R310" s="16"/>
      <c r="S310" s="16"/>
      <c r="T310" s="16"/>
      <c r="U310" s="16"/>
      <c r="V310" s="16"/>
      <c r="W310" s="16"/>
      <c r="X310" s="16"/>
      <c r="Y310" s="16"/>
      <c r="Z310" s="16"/>
    </row>
    <row r="311" spans="1:26" ht="15.75" customHeight="1">
      <c r="A311" s="103"/>
      <c r="B311" s="103"/>
      <c r="C311" s="104"/>
      <c r="D311" s="103"/>
      <c r="E311" s="103"/>
      <c r="F311" s="103"/>
      <c r="G311" s="103"/>
      <c r="H311" s="103"/>
      <c r="I311" s="103"/>
      <c r="J311" s="103"/>
      <c r="K311" s="16"/>
      <c r="L311" s="16"/>
      <c r="M311" s="16"/>
      <c r="N311" s="16"/>
      <c r="O311" s="16"/>
      <c r="P311" s="16"/>
      <c r="Q311" s="16"/>
      <c r="R311" s="16"/>
      <c r="S311" s="16"/>
      <c r="T311" s="16"/>
      <c r="U311" s="16"/>
      <c r="V311" s="16"/>
      <c r="W311" s="16"/>
      <c r="X311" s="16"/>
      <c r="Y311" s="16"/>
      <c r="Z311" s="16"/>
    </row>
    <row r="312" spans="1:26" ht="15.75" customHeight="1">
      <c r="A312" s="103"/>
      <c r="B312" s="103"/>
      <c r="C312" s="104"/>
      <c r="D312" s="103"/>
      <c r="E312" s="103"/>
      <c r="F312" s="103"/>
      <c r="G312" s="103"/>
      <c r="H312" s="103"/>
      <c r="I312" s="103"/>
      <c r="J312" s="103"/>
      <c r="K312" s="16"/>
      <c r="L312" s="16"/>
      <c r="M312" s="16"/>
      <c r="N312" s="16"/>
      <c r="O312" s="16"/>
      <c r="P312" s="16"/>
      <c r="Q312" s="16"/>
      <c r="R312" s="16"/>
      <c r="S312" s="16"/>
      <c r="T312" s="16"/>
      <c r="U312" s="16"/>
      <c r="V312" s="16"/>
      <c r="W312" s="16"/>
      <c r="X312" s="16"/>
      <c r="Y312" s="16"/>
      <c r="Z312" s="16"/>
    </row>
    <row r="313" spans="1:26" ht="15.75" customHeight="1">
      <c r="A313" s="103"/>
      <c r="B313" s="103"/>
      <c r="C313" s="104"/>
      <c r="D313" s="103"/>
      <c r="E313" s="103"/>
      <c r="F313" s="103"/>
      <c r="G313" s="103"/>
      <c r="H313" s="103"/>
      <c r="I313" s="103"/>
      <c r="J313" s="103"/>
      <c r="K313" s="16"/>
      <c r="L313" s="16"/>
      <c r="M313" s="16"/>
      <c r="N313" s="16"/>
      <c r="O313" s="16"/>
      <c r="P313" s="16"/>
      <c r="Q313" s="16"/>
      <c r="R313" s="16"/>
      <c r="S313" s="16"/>
      <c r="T313" s="16"/>
      <c r="U313" s="16"/>
      <c r="V313" s="16"/>
      <c r="W313" s="16"/>
      <c r="X313" s="16"/>
      <c r="Y313" s="16"/>
      <c r="Z313" s="16"/>
    </row>
    <row r="314" spans="1:26" ht="15.75" customHeight="1">
      <c r="A314" s="103"/>
      <c r="B314" s="103"/>
      <c r="C314" s="104"/>
      <c r="D314" s="103"/>
      <c r="E314" s="103"/>
      <c r="F314" s="103"/>
      <c r="G314" s="103"/>
      <c r="H314" s="103"/>
      <c r="I314" s="103"/>
      <c r="J314" s="103"/>
      <c r="K314" s="16"/>
      <c r="L314" s="16"/>
      <c r="M314" s="16"/>
      <c r="N314" s="16"/>
      <c r="O314" s="16"/>
      <c r="P314" s="16"/>
      <c r="Q314" s="16"/>
      <c r="R314" s="16"/>
      <c r="S314" s="16"/>
      <c r="T314" s="16"/>
      <c r="U314" s="16"/>
      <c r="V314" s="16"/>
      <c r="W314" s="16"/>
      <c r="X314" s="16"/>
      <c r="Y314" s="16"/>
      <c r="Z314" s="16"/>
    </row>
    <row r="315" spans="1:26" ht="15.75" customHeight="1">
      <c r="A315" s="103"/>
      <c r="B315" s="103"/>
      <c r="C315" s="104"/>
      <c r="D315" s="103"/>
      <c r="E315" s="103"/>
      <c r="F315" s="103"/>
      <c r="G315" s="103"/>
      <c r="H315" s="103"/>
      <c r="I315" s="103"/>
      <c r="J315" s="103"/>
      <c r="K315" s="16"/>
      <c r="L315" s="16"/>
      <c r="M315" s="16"/>
      <c r="N315" s="16"/>
      <c r="O315" s="16"/>
      <c r="P315" s="16"/>
      <c r="Q315" s="16"/>
      <c r="R315" s="16"/>
      <c r="S315" s="16"/>
      <c r="T315" s="16"/>
      <c r="U315" s="16"/>
      <c r="V315" s="16"/>
      <c r="W315" s="16"/>
      <c r="X315" s="16"/>
      <c r="Y315" s="16"/>
      <c r="Z315" s="16"/>
    </row>
    <row r="316" spans="1:26" ht="15.75" customHeight="1">
      <c r="A316" s="103"/>
      <c r="B316" s="103"/>
      <c r="C316" s="104"/>
      <c r="D316" s="103"/>
      <c r="E316" s="103"/>
      <c r="F316" s="103"/>
      <c r="G316" s="103"/>
      <c r="H316" s="103"/>
      <c r="I316" s="103"/>
      <c r="J316" s="103"/>
      <c r="K316" s="16"/>
      <c r="L316" s="16"/>
      <c r="M316" s="16"/>
      <c r="N316" s="16"/>
      <c r="O316" s="16"/>
      <c r="P316" s="16"/>
      <c r="Q316" s="16"/>
      <c r="R316" s="16"/>
      <c r="S316" s="16"/>
      <c r="T316" s="16"/>
      <c r="U316" s="16"/>
      <c r="V316" s="16"/>
      <c r="W316" s="16"/>
      <c r="X316" s="16"/>
      <c r="Y316" s="16"/>
      <c r="Z316" s="16"/>
    </row>
    <row r="317" spans="1:26" ht="15.75" customHeight="1">
      <c r="A317" s="103"/>
      <c r="B317" s="103"/>
      <c r="C317" s="104"/>
      <c r="D317" s="103"/>
      <c r="E317" s="103"/>
      <c r="F317" s="103"/>
      <c r="G317" s="103"/>
      <c r="H317" s="103"/>
      <c r="I317" s="103"/>
      <c r="J317" s="103"/>
      <c r="K317" s="16"/>
      <c r="L317" s="16"/>
      <c r="M317" s="16"/>
      <c r="N317" s="16"/>
      <c r="O317" s="16"/>
      <c r="P317" s="16"/>
      <c r="Q317" s="16"/>
      <c r="R317" s="16"/>
      <c r="S317" s="16"/>
      <c r="T317" s="16"/>
      <c r="U317" s="16"/>
      <c r="V317" s="16"/>
      <c r="W317" s="16"/>
      <c r="X317" s="16"/>
      <c r="Y317" s="16"/>
      <c r="Z317" s="16"/>
    </row>
    <row r="318" spans="1:26" ht="15.75" customHeight="1">
      <c r="A318" s="103"/>
      <c r="B318" s="103"/>
      <c r="C318" s="104"/>
      <c r="D318" s="103"/>
      <c r="E318" s="103"/>
      <c r="F318" s="103"/>
      <c r="G318" s="103"/>
      <c r="H318" s="103"/>
      <c r="I318" s="103"/>
      <c r="J318" s="103"/>
      <c r="K318" s="16"/>
      <c r="L318" s="16"/>
      <c r="M318" s="16"/>
      <c r="N318" s="16"/>
      <c r="O318" s="16"/>
      <c r="P318" s="16"/>
      <c r="Q318" s="16"/>
      <c r="R318" s="16"/>
      <c r="S318" s="16"/>
      <c r="T318" s="16"/>
      <c r="U318" s="16"/>
      <c r="V318" s="16"/>
      <c r="W318" s="16"/>
      <c r="X318" s="16"/>
      <c r="Y318" s="16"/>
      <c r="Z318" s="16"/>
    </row>
    <row r="319" spans="1:26" ht="15.75" customHeight="1">
      <c r="A319" s="103"/>
      <c r="B319" s="103"/>
      <c r="C319" s="104"/>
      <c r="D319" s="103"/>
      <c r="E319" s="103"/>
      <c r="F319" s="103"/>
      <c r="G319" s="103"/>
      <c r="H319" s="103"/>
      <c r="I319" s="103"/>
      <c r="J319" s="103"/>
      <c r="K319" s="16"/>
      <c r="L319" s="16"/>
      <c r="M319" s="16"/>
      <c r="N319" s="16"/>
      <c r="O319" s="16"/>
      <c r="P319" s="16"/>
      <c r="Q319" s="16"/>
      <c r="R319" s="16"/>
      <c r="S319" s="16"/>
      <c r="T319" s="16"/>
      <c r="U319" s="16"/>
      <c r="V319" s="16"/>
      <c r="W319" s="16"/>
      <c r="X319" s="16"/>
      <c r="Y319" s="16"/>
      <c r="Z319" s="16"/>
    </row>
    <row r="320" spans="1:26" ht="15.75" customHeight="1">
      <c r="A320" s="103"/>
      <c r="B320" s="103"/>
      <c r="C320" s="104"/>
      <c r="D320" s="103"/>
      <c r="E320" s="103"/>
      <c r="F320" s="103"/>
      <c r="G320" s="103"/>
      <c r="H320" s="103"/>
      <c r="I320" s="103"/>
      <c r="J320" s="103"/>
      <c r="K320" s="16"/>
      <c r="L320" s="16"/>
      <c r="M320" s="16"/>
      <c r="N320" s="16"/>
      <c r="O320" s="16"/>
      <c r="P320" s="16"/>
      <c r="Q320" s="16"/>
      <c r="R320" s="16"/>
      <c r="S320" s="16"/>
      <c r="T320" s="16"/>
      <c r="U320" s="16"/>
      <c r="V320" s="16"/>
      <c r="W320" s="16"/>
      <c r="X320" s="16"/>
      <c r="Y320" s="16"/>
      <c r="Z320" s="16"/>
    </row>
    <row r="321" spans="1:26" ht="15.75" customHeight="1">
      <c r="A321" s="103"/>
      <c r="B321" s="103"/>
      <c r="C321" s="104"/>
      <c r="D321" s="103"/>
      <c r="E321" s="103"/>
      <c r="F321" s="103"/>
      <c r="G321" s="103"/>
      <c r="H321" s="103"/>
      <c r="I321" s="103"/>
      <c r="J321" s="103"/>
      <c r="K321" s="16"/>
      <c r="L321" s="16"/>
      <c r="M321" s="16"/>
      <c r="N321" s="16"/>
      <c r="O321" s="16"/>
      <c r="P321" s="16"/>
      <c r="Q321" s="16"/>
      <c r="R321" s="16"/>
      <c r="S321" s="16"/>
      <c r="T321" s="16"/>
      <c r="U321" s="16"/>
      <c r="V321" s="16"/>
      <c r="W321" s="16"/>
      <c r="X321" s="16"/>
      <c r="Y321" s="16"/>
      <c r="Z321" s="16"/>
    </row>
    <row r="322" spans="1:26" ht="15.75" customHeight="1">
      <c r="A322" s="103"/>
      <c r="B322" s="103"/>
      <c r="C322" s="104"/>
      <c r="D322" s="103"/>
      <c r="E322" s="103"/>
      <c r="F322" s="103"/>
      <c r="G322" s="103"/>
      <c r="H322" s="103"/>
      <c r="I322" s="103"/>
      <c r="J322" s="103"/>
      <c r="K322" s="16"/>
      <c r="L322" s="16"/>
      <c r="M322" s="16"/>
      <c r="N322" s="16"/>
      <c r="O322" s="16"/>
      <c r="P322" s="16"/>
      <c r="Q322" s="16"/>
      <c r="R322" s="16"/>
      <c r="S322" s="16"/>
      <c r="T322" s="16"/>
      <c r="U322" s="16"/>
      <c r="V322" s="16"/>
      <c r="W322" s="16"/>
      <c r="X322" s="16"/>
      <c r="Y322" s="16"/>
      <c r="Z322" s="16"/>
    </row>
    <row r="323" spans="1:26" ht="15.75" customHeight="1">
      <c r="A323" s="103"/>
      <c r="B323" s="103"/>
      <c r="C323" s="104"/>
      <c r="D323" s="103"/>
      <c r="E323" s="103"/>
      <c r="F323" s="103"/>
      <c r="G323" s="103"/>
      <c r="H323" s="103"/>
      <c r="I323" s="103"/>
      <c r="J323" s="103"/>
      <c r="K323" s="16"/>
      <c r="L323" s="16"/>
      <c r="M323" s="16"/>
      <c r="N323" s="16"/>
      <c r="O323" s="16"/>
      <c r="P323" s="16"/>
      <c r="Q323" s="16"/>
      <c r="R323" s="16"/>
      <c r="S323" s="16"/>
      <c r="T323" s="16"/>
      <c r="U323" s="16"/>
      <c r="V323" s="16"/>
      <c r="W323" s="16"/>
      <c r="X323" s="16"/>
      <c r="Y323" s="16"/>
      <c r="Z323" s="16"/>
    </row>
    <row r="324" spans="1:26" ht="15.75" customHeight="1">
      <c r="A324" s="103"/>
      <c r="B324" s="103"/>
      <c r="C324" s="104"/>
      <c r="D324" s="103"/>
      <c r="E324" s="103"/>
      <c r="F324" s="103"/>
      <c r="G324" s="103"/>
      <c r="H324" s="103"/>
      <c r="I324" s="103"/>
      <c r="J324" s="103"/>
      <c r="K324" s="16"/>
      <c r="L324" s="16"/>
      <c r="M324" s="16"/>
      <c r="N324" s="16"/>
      <c r="O324" s="16"/>
      <c r="P324" s="16"/>
      <c r="Q324" s="16"/>
      <c r="R324" s="16"/>
      <c r="S324" s="16"/>
      <c r="T324" s="16"/>
      <c r="U324" s="16"/>
      <c r="V324" s="16"/>
      <c r="W324" s="16"/>
      <c r="X324" s="16"/>
      <c r="Y324" s="16"/>
      <c r="Z324" s="16"/>
    </row>
    <row r="325" spans="1:26" ht="15.75" customHeight="1">
      <c r="A325" s="103"/>
      <c r="B325" s="103"/>
      <c r="C325" s="104"/>
      <c r="D325" s="103"/>
      <c r="E325" s="103"/>
      <c r="F325" s="103"/>
      <c r="G325" s="103"/>
      <c r="H325" s="103"/>
      <c r="I325" s="103"/>
      <c r="J325" s="103"/>
      <c r="K325" s="16"/>
      <c r="L325" s="16"/>
      <c r="M325" s="16"/>
      <c r="N325" s="16"/>
      <c r="O325" s="16"/>
      <c r="P325" s="16"/>
      <c r="Q325" s="16"/>
      <c r="R325" s="16"/>
      <c r="S325" s="16"/>
      <c r="T325" s="16"/>
      <c r="U325" s="16"/>
      <c r="V325" s="16"/>
      <c r="W325" s="16"/>
      <c r="X325" s="16"/>
      <c r="Y325" s="16"/>
      <c r="Z325" s="16"/>
    </row>
    <row r="326" spans="1:26" ht="15.75" customHeight="1">
      <c r="A326" s="103"/>
      <c r="B326" s="103"/>
      <c r="C326" s="104"/>
      <c r="D326" s="103"/>
      <c r="E326" s="103"/>
      <c r="F326" s="103"/>
      <c r="G326" s="103"/>
      <c r="H326" s="103"/>
      <c r="I326" s="103"/>
      <c r="J326" s="103"/>
      <c r="K326" s="16"/>
      <c r="L326" s="16"/>
      <c r="M326" s="16"/>
      <c r="N326" s="16"/>
      <c r="O326" s="16"/>
      <c r="P326" s="16"/>
      <c r="Q326" s="16"/>
      <c r="R326" s="16"/>
      <c r="S326" s="16"/>
      <c r="T326" s="16"/>
      <c r="U326" s="16"/>
      <c r="V326" s="16"/>
      <c r="W326" s="16"/>
      <c r="X326" s="16"/>
      <c r="Y326" s="16"/>
      <c r="Z326" s="16"/>
    </row>
    <row r="327" spans="1:26" ht="15.75" customHeight="1">
      <c r="A327" s="103"/>
      <c r="B327" s="103"/>
      <c r="C327" s="104"/>
      <c r="D327" s="103"/>
      <c r="E327" s="103"/>
      <c r="F327" s="103"/>
      <c r="G327" s="103"/>
      <c r="H327" s="103"/>
      <c r="I327" s="103"/>
      <c r="J327" s="103"/>
      <c r="K327" s="16"/>
      <c r="L327" s="16"/>
      <c r="M327" s="16"/>
      <c r="N327" s="16"/>
      <c r="O327" s="16"/>
      <c r="P327" s="16"/>
      <c r="Q327" s="16"/>
      <c r="R327" s="16"/>
      <c r="S327" s="16"/>
      <c r="T327" s="16"/>
      <c r="U327" s="16"/>
      <c r="V327" s="16"/>
      <c r="W327" s="16"/>
      <c r="X327" s="16"/>
      <c r="Y327" s="16"/>
      <c r="Z327" s="16"/>
    </row>
    <row r="328" spans="1:26" ht="15.75" customHeight="1">
      <c r="A328" s="103"/>
      <c r="B328" s="103"/>
      <c r="C328" s="104"/>
      <c r="D328" s="103"/>
      <c r="E328" s="103"/>
      <c r="F328" s="103"/>
      <c r="G328" s="103"/>
      <c r="H328" s="103"/>
      <c r="I328" s="103"/>
      <c r="J328" s="103"/>
      <c r="K328" s="16"/>
      <c r="L328" s="16"/>
      <c r="M328" s="16"/>
      <c r="N328" s="16"/>
      <c r="O328" s="16"/>
      <c r="P328" s="16"/>
      <c r="Q328" s="16"/>
      <c r="R328" s="16"/>
      <c r="S328" s="16"/>
      <c r="T328" s="16"/>
      <c r="U328" s="16"/>
      <c r="V328" s="16"/>
      <c r="W328" s="16"/>
      <c r="X328" s="16"/>
      <c r="Y328" s="16"/>
      <c r="Z328" s="16"/>
    </row>
    <row r="329" spans="1:26" ht="15.75" customHeight="1">
      <c r="A329" s="103"/>
      <c r="B329" s="103"/>
      <c r="C329" s="104"/>
      <c r="D329" s="103"/>
      <c r="E329" s="103"/>
      <c r="F329" s="103"/>
      <c r="G329" s="103"/>
      <c r="H329" s="103"/>
      <c r="I329" s="103"/>
      <c r="J329" s="103"/>
      <c r="K329" s="16"/>
      <c r="L329" s="16"/>
      <c r="M329" s="16"/>
      <c r="N329" s="16"/>
      <c r="O329" s="16"/>
      <c r="P329" s="16"/>
      <c r="Q329" s="16"/>
      <c r="R329" s="16"/>
      <c r="S329" s="16"/>
      <c r="T329" s="16"/>
      <c r="U329" s="16"/>
      <c r="V329" s="16"/>
      <c r="W329" s="16"/>
      <c r="X329" s="16"/>
      <c r="Y329" s="16"/>
      <c r="Z329" s="16"/>
    </row>
    <row r="330" spans="1:26" ht="15.75" customHeight="1">
      <c r="A330" s="103"/>
      <c r="B330" s="103"/>
      <c r="C330" s="104"/>
      <c r="D330" s="103"/>
      <c r="E330" s="103"/>
      <c r="F330" s="103"/>
      <c r="G330" s="103"/>
      <c r="H330" s="103"/>
      <c r="I330" s="103"/>
      <c r="J330" s="103"/>
      <c r="K330" s="16"/>
      <c r="L330" s="16"/>
      <c r="M330" s="16"/>
      <c r="N330" s="16"/>
      <c r="O330" s="16"/>
      <c r="P330" s="16"/>
      <c r="Q330" s="16"/>
      <c r="R330" s="16"/>
      <c r="S330" s="16"/>
      <c r="T330" s="16"/>
      <c r="U330" s="16"/>
      <c r="V330" s="16"/>
      <c r="W330" s="16"/>
      <c r="X330" s="16"/>
      <c r="Y330" s="16"/>
      <c r="Z330" s="16"/>
    </row>
    <row r="331" spans="1:26" ht="15.75" customHeight="1">
      <c r="A331" s="103"/>
      <c r="B331" s="103"/>
      <c r="C331" s="104"/>
      <c r="D331" s="103"/>
      <c r="E331" s="103"/>
      <c r="F331" s="103"/>
      <c r="G331" s="103"/>
      <c r="H331" s="103"/>
      <c r="I331" s="103"/>
      <c r="J331" s="103"/>
      <c r="K331" s="16"/>
      <c r="L331" s="16"/>
      <c r="M331" s="16"/>
      <c r="N331" s="16"/>
      <c r="O331" s="16"/>
      <c r="P331" s="16"/>
      <c r="Q331" s="16"/>
      <c r="R331" s="16"/>
      <c r="S331" s="16"/>
      <c r="T331" s="16"/>
      <c r="U331" s="16"/>
      <c r="V331" s="16"/>
      <c r="W331" s="16"/>
      <c r="X331" s="16"/>
      <c r="Y331" s="16"/>
      <c r="Z331" s="16"/>
    </row>
    <row r="332" spans="1:26" ht="15.75" customHeight="1">
      <c r="A332" s="103"/>
      <c r="B332" s="103"/>
      <c r="C332" s="104"/>
      <c r="D332" s="103"/>
      <c r="E332" s="103"/>
      <c r="F332" s="103"/>
      <c r="G332" s="103"/>
      <c r="H332" s="103"/>
      <c r="I332" s="103"/>
      <c r="J332" s="103"/>
      <c r="K332" s="16"/>
      <c r="L332" s="16"/>
      <c r="M332" s="16"/>
      <c r="N332" s="16"/>
      <c r="O332" s="16"/>
      <c r="P332" s="16"/>
      <c r="Q332" s="16"/>
      <c r="R332" s="16"/>
      <c r="S332" s="16"/>
      <c r="T332" s="16"/>
      <c r="U332" s="16"/>
      <c r="V332" s="16"/>
      <c r="W332" s="16"/>
      <c r="X332" s="16"/>
      <c r="Y332" s="16"/>
      <c r="Z332" s="16"/>
    </row>
    <row r="333" spans="1:26" ht="15.75" customHeight="1">
      <c r="A333" s="103"/>
      <c r="B333" s="103"/>
      <c r="C333" s="104"/>
      <c r="D333" s="103"/>
      <c r="E333" s="103"/>
      <c r="F333" s="103"/>
      <c r="G333" s="103"/>
      <c r="H333" s="103"/>
      <c r="I333" s="103"/>
      <c r="J333" s="103"/>
      <c r="K333" s="16"/>
      <c r="L333" s="16"/>
      <c r="M333" s="16"/>
      <c r="N333" s="16"/>
      <c r="O333" s="16"/>
      <c r="P333" s="16"/>
      <c r="Q333" s="16"/>
      <c r="R333" s="16"/>
      <c r="S333" s="16"/>
      <c r="T333" s="16"/>
      <c r="U333" s="16"/>
      <c r="V333" s="16"/>
      <c r="W333" s="16"/>
      <c r="X333" s="16"/>
      <c r="Y333" s="16"/>
      <c r="Z333" s="16"/>
    </row>
    <row r="334" spans="1:26" ht="15.75" customHeight="1">
      <c r="A334" s="103"/>
      <c r="B334" s="103"/>
      <c r="C334" s="104"/>
      <c r="D334" s="103"/>
      <c r="E334" s="103"/>
      <c r="F334" s="103"/>
      <c r="G334" s="103"/>
      <c r="H334" s="103"/>
      <c r="I334" s="103"/>
      <c r="J334" s="103"/>
      <c r="K334" s="16"/>
      <c r="L334" s="16"/>
      <c r="M334" s="16"/>
      <c r="N334" s="16"/>
      <c r="O334" s="16"/>
      <c r="P334" s="16"/>
      <c r="Q334" s="16"/>
      <c r="R334" s="16"/>
      <c r="S334" s="16"/>
      <c r="T334" s="16"/>
      <c r="U334" s="16"/>
      <c r="V334" s="16"/>
      <c r="W334" s="16"/>
      <c r="X334" s="16"/>
      <c r="Y334" s="16"/>
      <c r="Z334" s="16"/>
    </row>
    <row r="335" spans="1:26" ht="15.75" customHeight="1">
      <c r="A335" s="103"/>
      <c r="B335" s="103"/>
      <c r="C335" s="104"/>
      <c r="D335" s="103"/>
      <c r="E335" s="103"/>
      <c r="F335" s="103"/>
      <c r="G335" s="103"/>
      <c r="H335" s="103"/>
      <c r="I335" s="103"/>
      <c r="J335" s="103"/>
      <c r="K335" s="16"/>
      <c r="L335" s="16"/>
      <c r="M335" s="16"/>
      <c r="N335" s="16"/>
      <c r="O335" s="16"/>
      <c r="P335" s="16"/>
      <c r="Q335" s="16"/>
      <c r="R335" s="16"/>
      <c r="S335" s="16"/>
      <c r="T335" s="16"/>
      <c r="U335" s="16"/>
      <c r="V335" s="16"/>
      <c r="W335" s="16"/>
      <c r="X335" s="16"/>
      <c r="Y335" s="16"/>
      <c r="Z335" s="16"/>
    </row>
    <row r="336" spans="1:26" ht="15.75" customHeight="1">
      <c r="A336" s="103"/>
      <c r="B336" s="103"/>
      <c r="C336" s="104"/>
      <c r="D336" s="103"/>
      <c r="E336" s="103"/>
      <c r="F336" s="103"/>
      <c r="G336" s="103"/>
      <c r="H336" s="103"/>
      <c r="I336" s="103"/>
      <c r="J336" s="103"/>
      <c r="K336" s="16"/>
      <c r="L336" s="16"/>
      <c r="M336" s="16"/>
      <c r="N336" s="16"/>
      <c r="O336" s="16"/>
      <c r="P336" s="16"/>
      <c r="Q336" s="16"/>
      <c r="R336" s="16"/>
      <c r="S336" s="16"/>
      <c r="T336" s="16"/>
      <c r="U336" s="16"/>
      <c r="V336" s="16"/>
      <c r="W336" s="16"/>
      <c r="X336" s="16"/>
      <c r="Y336" s="16"/>
      <c r="Z336" s="16"/>
    </row>
    <row r="337" spans="1:26" ht="15.75" customHeight="1">
      <c r="A337" s="103"/>
      <c r="B337" s="103"/>
      <c r="C337" s="104"/>
      <c r="D337" s="103"/>
      <c r="E337" s="103"/>
      <c r="F337" s="103"/>
      <c r="G337" s="103"/>
      <c r="H337" s="103"/>
      <c r="I337" s="103"/>
      <c r="J337" s="103"/>
      <c r="K337" s="16"/>
      <c r="L337" s="16"/>
      <c r="M337" s="16"/>
      <c r="N337" s="16"/>
      <c r="O337" s="16"/>
      <c r="P337" s="16"/>
      <c r="Q337" s="16"/>
      <c r="R337" s="16"/>
      <c r="S337" s="16"/>
      <c r="T337" s="16"/>
      <c r="U337" s="16"/>
      <c r="V337" s="16"/>
      <c r="W337" s="16"/>
      <c r="X337" s="16"/>
      <c r="Y337" s="16"/>
      <c r="Z337" s="16"/>
    </row>
    <row r="338" spans="1:26" ht="15.75" customHeight="1">
      <c r="A338" s="103"/>
      <c r="B338" s="103"/>
      <c r="C338" s="104"/>
      <c r="D338" s="103"/>
      <c r="E338" s="103"/>
      <c r="F338" s="103"/>
      <c r="G338" s="103"/>
      <c r="H338" s="103"/>
      <c r="I338" s="103"/>
      <c r="J338" s="103"/>
      <c r="K338" s="16"/>
      <c r="L338" s="16"/>
      <c r="M338" s="16"/>
      <c r="N338" s="16"/>
      <c r="O338" s="16"/>
      <c r="P338" s="16"/>
      <c r="Q338" s="16"/>
      <c r="R338" s="16"/>
      <c r="S338" s="16"/>
      <c r="T338" s="16"/>
      <c r="U338" s="16"/>
      <c r="V338" s="16"/>
      <c r="W338" s="16"/>
      <c r="X338" s="16"/>
      <c r="Y338" s="16"/>
      <c r="Z338" s="16"/>
    </row>
    <row r="339" spans="1:26" ht="15.75" customHeight="1">
      <c r="A339" s="103"/>
      <c r="B339" s="103"/>
      <c r="C339" s="104"/>
      <c r="D339" s="103"/>
      <c r="E339" s="103"/>
      <c r="F339" s="103"/>
      <c r="G339" s="103"/>
      <c r="H339" s="103"/>
      <c r="I339" s="103"/>
      <c r="J339" s="103"/>
      <c r="K339" s="16"/>
      <c r="L339" s="16"/>
      <c r="M339" s="16"/>
      <c r="N339" s="16"/>
      <c r="O339" s="16"/>
      <c r="P339" s="16"/>
      <c r="Q339" s="16"/>
      <c r="R339" s="16"/>
      <c r="S339" s="16"/>
      <c r="T339" s="16"/>
      <c r="U339" s="16"/>
      <c r="V339" s="16"/>
      <c r="W339" s="16"/>
      <c r="X339" s="16"/>
      <c r="Y339" s="16"/>
      <c r="Z339" s="16"/>
    </row>
    <row r="340" spans="1:26" ht="15.75" customHeight="1">
      <c r="A340" s="103"/>
      <c r="B340" s="103"/>
      <c r="C340" s="104"/>
      <c r="D340" s="103"/>
      <c r="E340" s="103"/>
      <c r="F340" s="103"/>
      <c r="G340" s="103"/>
      <c r="H340" s="103"/>
      <c r="I340" s="103"/>
      <c r="J340" s="103"/>
      <c r="K340" s="16"/>
      <c r="L340" s="16"/>
      <c r="M340" s="16"/>
      <c r="N340" s="16"/>
      <c r="O340" s="16"/>
      <c r="P340" s="16"/>
      <c r="Q340" s="16"/>
      <c r="R340" s="16"/>
      <c r="S340" s="16"/>
      <c r="T340" s="16"/>
      <c r="U340" s="16"/>
      <c r="V340" s="16"/>
      <c r="W340" s="16"/>
      <c r="X340" s="16"/>
      <c r="Y340" s="16"/>
      <c r="Z340" s="16"/>
    </row>
    <row r="341" spans="1:26" ht="15.75" customHeight="1">
      <c r="A341" s="103"/>
      <c r="B341" s="103"/>
      <c r="C341" s="104"/>
      <c r="D341" s="103"/>
      <c r="E341" s="103"/>
      <c r="F341" s="103"/>
      <c r="G341" s="103"/>
      <c r="H341" s="103"/>
      <c r="I341" s="103"/>
      <c r="J341" s="103"/>
      <c r="K341" s="16"/>
      <c r="L341" s="16"/>
      <c r="M341" s="16"/>
      <c r="N341" s="16"/>
      <c r="O341" s="16"/>
      <c r="P341" s="16"/>
      <c r="Q341" s="16"/>
      <c r="R341" s="16"/>
      <c r="S341" s="16"/>
      <c r="T341" s="16"/>
      <c r="U341" s="16"/>
      <c r="V341" s="16"/>
      <c r="W341" s="16"/>
      <c r="X341" s="16"/>
      <c r="Y341" s="16"/>
      <c r="Z341" s="16"/>
    </row>
    <row r="342" spans="1:26" ht="15.75" customHeight="1">
      <c r="A342" s="103"/>
      <c r="B342" s="103"/>
      <c r="C342" s="104"/>
      <c r="D342" s="103"/>
      <c r="E342" s="103"/>
      <c r="F342" s="103"/>
      <c r="G342" s="103"/>
      <c r="H342" s="103"/>
      <c r="I342" s="103"/>
      <c r="J342" s="103"/>
      <c r="K342" s="16"/>
      <c r="L342" s="16"/>
      <c r="M342" s="16"/>
      <c r="N342" s="16"/>
      <c r="O342" s="16"/>
      <c r="P342" s="16"/>
      <c r="Q342" s="16"/>
      <c r="R342" s="16"/>
      <c r="S342" s="16"/>
      <c r="T342" s="16"/>
      <c r="U342" s="16"/>
      <c r="V342" s="16"/>
      <c r="W342" s="16"/>
      <c r="X342" s="16"/>
      <c r="Y342" s="16"/>
      <c r="Z342" s="16"/>
    </row>
    <row r="343" spans="1:26" ht="15.75" customHeight="1">
      <c r="A343" s="103"/>
      <c r="B343" s="103"/>
      <c r="C343" s="104"/>
      <c r="D343" s="103"/>
      <c r="E343" s="103"/>
      <c r="F343" s="103"/>
      <c r="G343" s="103"/>
      <c r="H343" s="103"/>
      <c r="I343" s="103"/>
      <c r="J343" s="103"/>
      <c r="K343" s="16"/>
      <c r="L343" s="16"/>
      <c r="M343" s="16"/>
      <c r="N343" s="16"/>
      <c r="O343" s="16"/>
      <c r="P343" s="16"/>
      <c r="Q343" s="16"/>
      <c r="R343" s="16"/>
      <c r="S343" s="16"/>
      <c r="T343" s="16"/>
      <c r="U343" s="16"/>
      <c r="V343" s="16"/>
      <c r="W343" s="16"/>
      <c r="X343" s="16"/>
      <c r="Y343" s="16"/>
      <c r="Z343" s="16"/>
    </row>
    <row r="344" spans="1:26" ht="15.75" customHeight="1">
      <c r="A344" s="103"/>
      <c r="B344" s="103"/>
      <c r="C344" s="104"/>
      <c r="D344" s="103"/>
      <c r="E344" s="103"/>
      <c r="F344" s="103"/>
      <c r="G344" s="103"/>
      <c r="H344" s="103"/>
      <c r="I344" s="103"/>
      <c r="J344" s="103"/>
      <c r="K344" s="16"/>
      <c r="L344" s="16"/>
      <c r="M344" s="16"/>
      <c r="N344" s="16"/>
      <c r="O344" s="16"/>
      <c r="P344" s="16"/>
      <c r="Q344" s="16"/>
      <c r="R344" s="16"/>
      <c r="S344" s="16"/>
      <c r="T344" s="16"/>
      <c r="U344" s="16"/>
      <c r="V344" s="16"/>
      <c r="W344" s="16"/>
      <c r="X344" s="16"/>
      <c r="Y344" s="16"/>
      <c r="Z344" s="16"/>
    </row>
    <row r="345" spans="1:26" ht="15.75" customHeight="1">
      <c r="A345" s="103"/>
      <c r="B345" s="103"/>
      <c r="C345" s="104"/>
      <c r="D345" s="103"/>
      <c r="E345" s="103"/>
      <c r="F345" s="103"/>
      <c r="G345" s="103"/>
      <c r="H345" s="103"/>
      <c r="I345" s="103"/>
      <c r="J345" s="103"/>
      <c r="K345" s="16"/>
      <c r="L345" s="16"/>
      <c r="M345" s="16"/>
      <c r="N345" s="16"/>
      <c r="O345" s="16"/>
      <c r="P345" s="16"/>
      <c r="Q345" s="16"/>
      <c r="R345" s="16"/>
      <c r="S345" s="16"/>
      <c r="T345" s="16"/>
      <c r="U345" s="16"/>
      <c r="V345" s="16"/>
      <c r="W345" s="16"/>
      <c r="X345" s="16"/>
      <c r="Y345" s="16"/>
      <c r="Z345" s="16"/>
    </row>
    <row r="346" spans="1:26" ht="15.75" customHeight="1">
      <c r="A346" s="103"/>
      <c r="B346" s="103"/>
      <c r="C346" s="104"/>
      <c r="D346" s="103"/>
      <c r="E346" s="103"/>
      <c r="F346" s="103"/>
      <c r="G346" s="103"/>
      <c r="H346" s="103"/>
      <c r="I346" s="103"/>
      <c r="J346" s="103"/>
      <c r="K346" s="16"/>
      <c r="L346" s="16"/>
      <c r="M346" s="16"/>
      <c r="N346" s="16"/>
      <c r="O346" s="16"/>
      <c r="P346" s="16"/>
      <c r="Q346" s="16"/>
      <c r="R346" s="16"/>
      <c r="S346" s="16"/>
      <c r="T346" s="16"/>
      <c r="U346" s="16"/>
      <c r="V346" s="16"/>
      <c r="W346" s="16"/>
      <c r="X346" s="16"/>
      <c r="Y346" s="16"/>
      <c r="Z346" s="16"/>
    </row>
    <row r="347" spans="1:26" ht="15.75" customHeight="1">
      <c r="A347" s="103"/>
      <c r="B347" s="103"/>
      <c r="C347" s="104"/>
      <c r="D347" s="103"/>
      <c r="E347" s="103"/>
      <c r="F347" s="103"/>
      <c r="G347" s="103"/>
      <c r="H347" s="103"/>
      <c r="I347" s="103"/>
      <c r="J347" s="103"/>
      <c r="K347" s="16"/>
      <c r="L347" s="16"/>
      <c r="M347" s="16"/>
      <c r="N347" s="16"/>
      <c r="O347" s="16"/>
      <c r="P347" s="16"/>
      <c r="Q347" s="16"/>
      <c r="R347" s="16"/>
      <c r="S347" s="16"/>
      <c r="T347" s="16"/>
      <c r="U347" s="16"/>
      <c r="V347" s="16"/>
      <c r="W347" s="16"/>
      <c r="X347" s="16"/>
      <c r="Y347" s="16"/>
      <c r="Z347" s="16"/>
    </row>
    <row r="348" spans="1:26" ht="15.75" customHeight="1">
      <c r="A348" s="103"/>
      <c r="B348" s="103"/>
      <c r="C348" s="104"/>
      <c r="D348" s="103"/>
      <c r="E348" s="103"/>
      <c r="F348" s="103"/>
      <c r="G348" s="103"/>
      <c r="H348" s="103"/>
      <c r="I348" s="103"/>
      <c r="J348" s="103"/>
      <c r="K348" s="16"/>
      <c r="L348" s="16"/>
      <c r="M348" s="16"/>
      <c r="N348" s="16"/>
      <c r="O348" s="16"/>
      <c r="P348" s="16"/>
      <c r="Q348" s="16"/>
      <c r="R348" s="16"/>
      <c r="S348" s="16"/>
      <c r="T348" s="16"/>
      <c r="U348" s="16"/>
      <c r="V348" s="16"/>
      <c r="W348" s="16"/>
      <c r="X348" s="16"/>
      <c r="Y348" s="16"/>
      <c r="Z348" s="16"/>
    </row>
    <row r="349" spans="1:26" ht="15.75" customHeight="1">
      <c r="A349" s="103"/>
      <c r="B349" s="103"/>
      <c r="C349" s="104"/>
      <c r="D349" s="103"/>
      <c r="E349" s="103"/>
      <c r="F349" s="103"/>
      <c r="G349" s="103"/>
      <c r="H349" s="103"/>
      <c r="I349" s="103"/>
      <c r="J349" s="103"/>
      <c r="K349" s="16"/>
      <c r="L349" s="16"/>
      <c r="M349" s="16"/>
      <c r="N349" s="16"/>
      <c r="O349" s="16"/>
      <c r="P349" s="16"/>
      <c r="Q349" s="16"/>
      <c r="R349" s="16"/>
      <c r="S349" s="16"/>
      <c r="T349" s="16"/>
      <c r="U349" s="16"/>
      <c r="V349" s="16"/>
      <c r="W349" s="16"/>
      <c r="X349" s="16"/>
      <c r="Y349" s="16"/>
      <c r="Z349" s="16"/>
    </row>
    <row r="350" spans="1:26" ht="15.75" customHeight="1">
      <c r="A350" s="103"/>
      <c r="B350" s="103"/>
      <c r="C350" s="104"/>
      <c r="D350" s="103"/>
      <c r="E350" s="103"/>
      <c r="F350" s="103"/>
      <c r="G350" s="103"/>
      <c r="H350" s="103"/>
      <c r="I350" s="103"/>
      <c r="J350" s="103"/>
      <c r="K350" s="16"/>
      <c r="L350" s="16"/>
      <c r="M350" s="16"/>
      <c r="N350" s="16"/>
      <c r="O350" s="16"/>
      <c r="P350" s="16"/>
      <c r="Q350" s="16"/>
      <c r="R350" s="16"/>
      <c r="S350" s="16"/>
      <c r="T350" s="16"/>
      <c r="U350" s="16"/>
      <c r="V350" s="16"/>
      <c r="W350" s="16"/>
      <c r="X350" s="16"/>
      <c r="Y350" s="16"/>
      <c r="Z350" s="16"/>
    </row>
    <row r="351" spans="1:26" ht="15.75" customHeight="1">
      <c r="A351" s="103"/>
      <c r="B351" s="103"/>
      <c r="C351" s="104"/>
      <c r="D351" s="103"/>
      <c r="E351" s="103"/>
      <c r="F351" s="103"/>
      <c r="G351" s="103"/>
      <c r="H351" s="103"/>
      <c r="I351" s="103"/>
      <c r="J351" s="103"/>
      <c r="K351" s="16"/>
      <c r="L351" s="16"/>
      <c r="M351" s="16"/>
      <c r="N351" s="16"/>
      <c r="O351" s="16"/>
      <c r="P351" s="16"/>
      <c r="Q351" s="16"/>
      <c r="R351" s="16"/>
      <c r="S351" s="16"/>
      <c r="T351" s="16"/>
      <c r="U351" s="16"/>
      <c r="V351" s="16"/>
      <c r="W351" s="16"/>
      <c r="X351" s="16"/>
      <c r="Y351" s="16"/>
      <c r="Z351" s="16"/>
    </row>
    <row r="352" spans="1:26" ht="15.75" customHeight="1">
      <c r="A352" s="103"/>
      <c r="B352" s="103"/>
      <c r="C352" s="104"/>
      <c r="D352" s="103"/>
      <c r="E352" s="103"/>
      <c r="F352" s="103"/>
      <c r="G352" s="103"/>
      <c r="H352" s="103"/>
      <c r="I352" s="103"/>
      <c r="J352" s="103"/>
      <c r="K352" s="16"/>
      <c r="L352" s="16"/>
      <c r="M352" s="16"/>
      <c r="N352" s="16"/>
      <c r="O352" s="16"/>
      <c r="P352" s="16"/>
      <c r="Q352" s="16"/>
      <c r="R352" s="16"/>
      <c r="S352" s="16"/>
      <c r="T352" s="16"/>
      <c r="U352" s="16"/>
      <c r="V352" s="16"/>
      <c r="W352" s="16"/>
      <c r="X352" s="16"/>
      <c r="Y352" s="16"/>
      <c r="Z352" s="16"/>
    </row>
    <row r="353" spans="1:26" ht="15.75" customHeight="1">
      <c r="A353" s="103"/>
      <c r="B353" s="103"/>
      <c r="C353" s="104"/>
      <c r="D353" s="103"/>
      <c r="E353" s="103"/>
      <c r="F353" s="103"/>
      <c r="G353" s="103"/>
      <c r="H353" s="103"/>
      <c r="I353" s="103"/>
      <c r="J353" s="103"/>
      <c r="K353" s="16"/>
      <c r="L353" s="16"/>
      <c r="M353" s="16"/>
      <c r="N353" s="16"/>
      <c r="O353" s="16"/>
      <c r="P353" s="16"/>
      <c r="Q353" s="16"/>
      <c r="R353" s="16"/>
      <c r="S353" s="16"/>
      <c r="T353" s="16"/>
      <c r="U353" s="16"/>
      <c r="V353" s="16"/>
      <c r="W353" s="16"/>
      <c r="X353" s="16"/>
      <c r="Y353" s="16"/>
      <c r="Z353" s="16"/>
    </row>
    <row r="354" spans="1:26" ht="15.75" customHeight="1">
      <c r="A354" s="103"/>
      <c r="B354" s="103"/>
      <c r="C354" s="104"/>
      <c r="D354" s="103"/>
      <c r="E354" s="103"/>
      <c r="F354" s="103"/>
      <c r="G354" s="103"/>
      <c r="H354" s="103"/>
      <c r="I354" s="103"/>
      <c r="J354" s="103"/>
      <c r="K354" s="16"/>
      <c r="L354" s="16"/>
      <c r="M354" s="16"/>
      <c r="N354" s="16"/>
      <c r="O354" s="16"/>
      <c r="P354" s="16"/>
      <c r="Q354" s="16"/>
      <c r="R354" s="16"/>
      <c r="S354" s="16"/>
      <c r="T354" s="16"/>
      <c r="U354" s="16"/>
      <c r="V354" s="16"/>
      <c r="W354" s="16"/>
      <c r="X354" s="16"/>
      <c r="Y354" s="16"/>
      <c r="Z354" s="16"/>
    </row>
    <row r="355" spans="1:26" ht="15.75" customHeight="1">
      <c r="A355" s="103"/>
      <c r="B355" s="103"/>
      <c r="C355" s="104"/>
      <c r="D355" s="103"/>
      <c r="E355" s="103"/>
      <c r="F355" s="103"/>
      <c r="G355" s="103"/>
      <c r="H355" s="103"/>
      <c r="I355" s="103"/>
      <c r="J355" s="103"/>
      <c r="K355" s="16"/>
      <c r="L355" s="16"/>
      <c r="M355" s="16"/>
      <c r="N355" s="16"/>
      <c r="O355" s="16"/>
      <c r="P355" s="16"/>
      <c r="Q355" s="16"/>
      <c r="R355" s="16"/>
      <c r="S355" s="16"/>
      <c r="T355" s="16"/>
      <c r="U355" s="16"/>
      <c r="V355" s="16"/>
      <c r="W355" s="16"/>
      <c r="X355" s="16"/>
      <c r="Y355" s="16"/>
      <c r="Z355" s="16"/>
    </row>
    <row r="356" spans="1:26" ht="15.75" customHeight="1">
      <c r="A356" s="103"/>
      <c r="B356" s="103"/>
      <c r="C356" s="104"/>
      <c r="D356" s="103"/>
      <c r="E356" s="103"/>
      <c r="F356" s="103"/>
      <c r="G356" s="103"/>
      <c r="H356" s="103"/>
      <c r="I356" s="103"/>
      <c r="J356" s="103"/>
      <c r="K356" s="16"/>
      <c r="L356" s="16"/>
      <c r="M356" s="16"/>
      <c r="N356" s="16"/>
      <c r="O356" s="16"/>
      <c r="P356" s="16"/>
      <c r="Q356" s="16"/>
      <c r="R356" s="16"/>
      <c r="S356" s="16"/>
      <c r="T356" s="16"/>
      <c r="U356" s="16"/>
      <c r="V356" s="16"/>
      <c r="W356" s="16"/>
      <c r="X356" s="16"/>
      <c r="Y356" s="16"/>
      <c r="Z356" s="16"/>
    </row>
    <row r="357" spans="1:26" ht="15.75" customHeight="1">
      <c r="A357" s="103"/>
      <c r="B357" s="103"/>
      <c r="C357" s="104"/>
      <c r="D357" s="103"/>
      <c r="E357" s="103"/>
      <c r="F357" s="103"/>
      <c r="G357" s="103"/>
      <c r="H357" s="103"/>
      <c r="I357" s="103"/>
      <c r="J357" s="103"/>
      <c r="K357" s="16"/>
      <c r="L357" s="16"/>
      <c r="M357" s="16"/>
      <c r="N357" s="16"/>
      <c r="O357" s="16"/>
      <c r="P357" s="16"/>
      <c r="Q357" s="16"/>
      <c r="R357" s="16"/>
      <c r="S357" s="16"/>
      <c r="T357" s="16"/>
      <c r="U357" s="16"/>
      <c r="V357" s="16"/>
      <c r="W357" s="16"/>
      <c r="X357" s="16"/>
      <c r="Y357" s="16"/>
      <c r="Z357" s="16"/>
    </row>
    <row r="358" spans="1:26" ht="15.75" customHeight="1">
      <c r="A358" s="103"/>
      <c r="B358" s="103"/>
      <c r="C358" s="104"/>
      <c r="D358" s="103"/>
      <c r="E358" s="103"/>
      <c r="F358" s="103"/>
      <c r="G358" s="103"/>
      <c r="H358" s="103"/>
      <c r="I358" s="103"/>
      <c r="J358" s="103"/>
      <c r="K358" s="16"/>
      <c r="L358" s="16"/>
      <c r="M358" s="16"/>
      <c r="N358" s="16"/>
      <c r="O358" s="16"/>
      <c r="P358" s="16"/>
      <c r="Q358" s="16"/>
      <c r="R358" s="16"/>
      <c r="S358" s="16"/>
      <c r="T358" s="16"/>
      <c r="U358" s="16"/>
      <c r="V358" s="16"/>
      <c r="W358" s="16"/>
      <c r="X358" s="16"/>
      <c r="Y358" s="16"/>
      <c r="Z358" s="16"/>
    </row>
    <row r="359" spans="1:26" ht="15.75" customHeight="1">
      <c r="A359" s="103"/>
      <c r="B359" s="103"/>
      <c r="C359" s="104"/>
      <c r="D359" s="103"/>
      <c r="E359" s="103"/>
      <c r="F359" s="103"/>
      <c r="G359" s="103"/>
      <c r="H359" s="103"/>
      <c r="I359" s="103"/>
      <c r="J359" s="103"/>
      <c r="K359" s="16"/>
      <c r="L359" s="16"/>
      <c r="M359" s="16"/>
      <c r="N359" s="16"/>
      <c r="O359" s="16"/>
      <c r="P359" s="16"/>
      <c r="Q359" s="16"/>
      <c r="R359" s="16"/>
      <c r="S359" s="16"/>
      <c r="T359" s="16"/>
      <c r="U359" s="16"/>
      <c r="V359" s="16"/>
      <c r="W359" s="16"/>
      <c r="X359" s="16"/>
      <c r="Y359" s="16"/>
      <c r="Z359" s="16"/>
    </row>
    <row r="360" spans="1:26" ht="15.75" customHeight="1">
      <c r="A360" s="103"/>
      <c r="B360" s="103"/>
      <c r="C360" s="104"/>
      <c r="D360" s="103"/>
      <c r="E360" s="103"/>
      <c r="F360" s="103"/>
      <c r="G360" s="103"/>
      <c r="H360" s="103"/>
      <c r="I360" s="103"/>
      <c r="J360" s="103"/>
      <c r="K360" s="16"/>
      <c r="L360" s="16"/>
      <c r="M360" s="16"/>
      <c r="N360" s="16"/>
      <c r="O360" s="16"/>
      <c r="P360" s="16"/>
      <c r="Q360" s="16"/>
      <c r="R360" s="16"/>
      <c r="S360" s="16"/>
      <c r="T360" s="16"/>
      <c r="U360" s="16"/>
      <c r="V360" s="16"/>
      <c r="W360" s="16"/>
      <c r="X360" s="16"/>
      <c r="Y360" s="16"/>
      <c r="Z360" s="16"/>
    </row>
    <row r="361" spans="1:26" ht="15.75" customHeight="1">
      <c r="A361" s="103"/>
      <c r="B361" s="103"/>
      <c r="C361" s="104"/>
      <c r="D361" s="103"/>
      <c r="E361" s="103"/>
      <c r="F361" s="103"/>
      <c r="G361" s="103"/>
      <c r="H361" s="103"/>
      <c r="I361" s="103"/>
      <c r="J361" s="103"/>
      <c r="K361" s="16"/>
      <c r="L361" s="16"/>
      <c r="M361" s="16"/>
      <c r="N361" s="16"/>
      <c r="O361" s="16"/>
      <c r="P361" s="16"/>
      <c r="Q361" s="16"/>
      <c r="R361" s="16"/>
      <c r="S361" s="16"/>
      <c r="T361" s="16"/>
      <c r="U361" s="16"/>
      <c r="V361" s="16"/>
      <c r="W361" s="16"/>
      <c r="X361" s="16"/>
      <c r="Y361" s="16"/>
      <c r="Z361" s="16"/>
    </row>
    <row r="362" spans="1:26" ht="15.75" customHeight="1">
      <c r="A362" s="103"/>
      <c r="B362" s="103"/>
      <c r="C362" s="104"/>
      <c r="D362" s="103"/>
      <c r="E362" s="103"/>
      <c r="F362" s="103"/>
      <c r="G362" s="103"/>
      <c r="H362" s="103"/>
      <c r="I362" s="103"/>
      <c r="J362" s="103"/>
      <c r="K362" s="16"/>
      <c r="L362" s="16"/>
      <c r="M362" s="16"/>
      <c r="N362" s="16"/>
      <c r="O362" s="16"/>
      <c r="P362" s="16"/>
      <c r="Q362" s="16"/>
      <c r="R362" s="16"/>
      <c r="S362" s="16"/>
      <c r="T362" s="16"/>
      <c r="U362" s="16"/>
      <c r="V362" s="16"/>
      <c r="W362" s="16"/>
      <c r="X362" s="16"/>
      <c r="Y362" s="16"/>
      <c r="Z362" s="16"/>
    </row>
    <row r="363" spans="1:26" ht="15.75" customHeight="1">
      <c r="A363" s="103"/>
      <c r="B363" s="103"/>
      <c r="C363" s="104"/>
      <c r="D363" s="103"/>
      <c r="E363" s="103"/>
      <c r="F363" s="103"/>
      <c r="G363" s="103"/>
      <c r="H363" s="103"/>
      <c r="I363" s="103"/>
      <c r="J363" s="103"/>
      <c r="K363" s="16"/>
      <c r="L363" s="16"/>
      <c r="M363" s="16"/>
      <c r="N363" s="16"/>
      <c r="O363" s="16"/>
      <c r="P363" s="16"/>
      <c r="Q363" s="16"/>
      <c r="R363" s="16"/>
      <c r="S363" s="16"/>
      <c r="T363" s="16"/>
      <c r="U363" s="16"/>
      <c r="V363" s="16"/>
      <c r="W363" s="16"/>
      <c r="X363" s="16"/>
      <c r="Y363" s="16"/>
      <c r="Z363" s="16"/>
    </row>
    <row r="364" spans="1:26" ht="15.75" customHeight="1">
      <c r="A364" s="103"/>
      <c r="B364" s="103"/>
      <c r="C364" s="104"/>
      <c r="D364" s="103"/>
      <c r="E364" s="103"/>
      <c r="F364" s="103"/>
      <c r="G364" s="103"/>
      <c r="H364" s="103"/>
      <c r="I364" s="103"/>
      <c r="J364" s="103"/>
      <c r="K364" s="16"/>
      <c r="L364" s="16"/>
      <c r="M364" s="16"/>
      <c r="N364" s="16"/>
      <c r="O364" s="16"/>
      <c r="P364" s="16"/>
      <c r="Q364" s="16"/>
      <c r="R364" s="16"/>
      <c r="S364" s="16"/>
      <c r="T364" s="16"/>
      <c r="U364" s="16"/>
      <c r="V364" s="16"/>
      <c r="W364" s="16"/>
      <c r="X364" s="16"/>
      <c r="Y364" s="16"/>
      <c r="Z364" s="16"/>
    </row>
    <row r="365" spans="1:26" ht="15.75" customHeight="1">
      <c r="A365" s="103"/>
      <c r="B365" s="103"/>
      <c r="C365" s="104"/>
      <c r="D365" s="103"/>
      <c r="E365" s="103"/>
      <c r="F365" s="103"/>
      <c r="G365" s="103"/>
      <c r="H365" s="103"/>
      <c r="I365" s="103"/>
      <c r="J365" s="103"/>
      <c r="K365" s="16"/>
      <c r="L365" s="16"/>
      <c r="M365" s="16"/>
      <c r="N365" s="16"/>
      <c r="O365" s="16"/>
      <c r="P365" s="16"/>
      <c r="Q365" s="16"/>
      <c r="R365" s="16"/>
      <c r="S365" s="16"/>
      <c r="T365" s="16"/>
      <c r="U365" s="16"/>
      <c r="V365" s="16"/>
      <c r="W365" s="16"/>
      <c r="X365" s="16"/>
      <c r="Y365" s="16"/>
      <c r="Z365" s="16"/>
    </row>
    <row r="366" spans="1:26" ht="15.75" customHeight="1">
      <c r="A366" s="103"/>
      <c r="B366" s="103"/>
      <c r="C366" s="104"/>
      <c r="D366" s="103"/>
      <c r="E366" s="103"/>
      <c r="F366" s="103"/>
      <c r="G366" s="103"/>
      <c r="H366" s="103"/>
      <c r="I366" s="103"/>
      <c r="J366" s="103"/>
      <c r="K366" s="16"/>
      <c r="L366" s="16"/>
      <c r="M366" s="16"/>
      <c r="N366" s="16"/>
      <c r="O366" s="16"/>
      <c r="P366" s="16"/>
      <c r="Q366" s="16"/>
      <c r="R366" s="16"/>
      <c r="S366" s="16"/>
      <c r="T366" s="16"/>
      <c r="U366" s="16"/>
      <c r="V366" s="16"/>
      <c r="W366" s="16"/>
      <c r="X366" s="16"/>
      <c r="Y366" s="16"/>
      <c r="Z366" s="16"/>
    </row>
    <row r="367" spans="1:26" ht="15.75" customHeight="1">
      <c r="A367" s="103"/>
      <c r="B367" s="103"/>
      <c r="C367" s="104"/>
      <c r="D367" s="103"/>
      <c r="E367" s="103"/>
      <c r="F367" s="103"/>
      <c r="G367" s="103"/>
      <c r="H367" s="103"/>
      <c r="I367" s="103"/>
      <c r="J367" s="103"/>
      <c r="K367" s="16"/>
      <c r="L367" s="16"/>
      <c r="M367" s="16"/>
      <c r="N367" s="16"/>
      <c r="O367" s="16"/>
      <c r="P367" s="16"/>
      <c r="Q367" s="16"/>
      <c r="R367" s="16"/>
      <c r="S367" s="16"/>
      <c r="T367" s="16"/>
      <c r="U367" s="16"/>
      <c r="V367" s="16"/>
      <c r="W367" s="16"/>
      <c r="X367" s="16"/>
      <c r="Y367" s="16"/>
      <c r="Z367" s="16"/>
    </row>
    <row r="368" spans="1:26" ht="15.75" customHeight="1">
      <c r="A368" s="103"/>
      <c r="B368" s="103"/>
      <c r="C368" s="104"/>
      <c r="D368" s="103"/>
      <c r="E368" s="103"/>
      <c r="F368" s="103"/>
      <c r="G368" s="103"/>
      <c r="H368" s="103"/>
      <c r="I368" s="103"/>
      <c r="J368" s="103"/>
      <c r="K368" s="16"/>
      <c r="L368" s="16"/>
      <c r="M368" s="16"/>
      <c r="N368" s="16"/>
      <c r="O368" s="16"/>
      <c r="P368" s="16"/>
      <c r="Q368" s="16"/>
      <c r="R368" s="16"/>
      <c r="S368" s="16"/>
      <c r="T368" s="16"/>
      <c r="U368" s="16"/>
      <c r="V368" s="16"/>
      <c r="W368" s="16"/>
      <c r="X368" s="16"/>
      <c r="Y368" s="16"/>
      <c r="Z368" s="16"/>
    </row>
    <row r="369" spans="1:26" ht="15.75" customHeight="1">
      <c r="A369" s="103"/>
      <c r="B369" s="103"/>
      <c r="C369" s="104"/>
      <c r="D369" s="103"/>
      <c r="E369" s="103"/>
      <c r="F369" s="103"/>
      <c r="G369" s="103"/>
      <c r="H369" s="103"/>
      <c r="I369" s="103"/>
      <c r="J369" s="103"/>
      <c r="K369" s="16"/>
      <c r="L369" s="16"/>
      <c r="M369" s="16"/>
      <c r="N369" s="16"/>
      <c r="O369" s="16"/>
      <c r="P369" s="16"/>
      <c r="Q369" s="16"/>
      <c r="R369" s="16"/>
      <c r="S369" s="16"/>
      <c r="T369" s="16"/>
      <c r="U369" s="16"/>
      <c r="V369" s="16"/>
      <c r="W369" s="16"/>
      <c r="X369" s="16"/>
      <c r="Y369" s="16"/>
      <c r="Z369" s="16"/>
    </row>
    <row r="370" spans="1:26" ht="15.75" customHeight="1">
      <c r="A370" s="103"/>
      <c r="B370" s="103"/>
      <c r="C370" s="104"/>
      <c r="D370" s="103"/>
      <c r="E370" s="103"/>
      <c r="F370" s="103"/>
      <c r="G370" s="103"/>
      <c r="H370" s="103"/>
      <c r="I370" s="103"/>
      <c r="J370" s="103"/>
      <c r="K370" s="16"/>
      <c r="L370" s="16"/>
      <c r="M370" s="16"/>
      <c r="N370" s="16"/>
      <c r="O370" s="16"/>
      <c r="P370" s="16"/>
      <c r="Q370" s="16"/>
      <c r="R370" s="16"/>
      <c r="S370" s="16"/>
      <c r="T370" s="16"/>
      <c r="U370" s="16"/>
      <c r="V370" s="16"/>
      <c r="W370" s="16"/>
      <c r="X370" s="16"/>
      <c r="Y370" s="16"/>
      <c r="Z370" s="16"/>
    </row>
    <row r="371" spans="1:26" ht="15.75" customHeight="1">
      <c r="A371" s="103"/>
      <c r="B371" s="103"/>
      <c r="C371" s="104"/>
      <c r="D371" s="103"/>
      <c r="E371" s="103"/>
      <c r="F371" s="103"/>
      <c r="G371" s="103"/>
      <c r="H371" s="103"/>
      <c r="I371" s="103"/>
      <c r="J371" s="103"/>
      <c r="K371" s="16"/>
      <c r="L371" s="16"/>
      <c r="M371" s="16"/>
      <c r="N371" s="16"/>
      <c r="O371" s="16"/>
      <c r="P371" s="16"/>
      <c r="Q371" s="16"/>
      <c r="R371" s="16"/>
      <c r="S371" s="16"/>
      <c r="T371" s="16"/>
      <c r="U371" s="16"/>
      <c r="V371" s="16"/>
      <c r="W371" s="16"/>
      <c r="X371" s="16"/>
      <c r="Y371" s="16"/>
      <c r="Z371" s="16"/>
    </row>
    <row r="372" spans="1:26" ht="15.75" customHeight="1">
      <c r="A372" s="103"/>
      <c r="B372" s="103"/>
      <c r="C372" s="104"/>
      <c r="D372" s="103"/>
      <c r="E372" s="103"/>
      <c r="F372" s="103"/>
      <c r="G372" s="103"/>
      <c r="H372" s="103"/>
      <c r="I372" s="103"/>
      <c r="J372" s="103"/>
      <c r="K372" s="16"/>
      <c r="L372" s="16"/>
      <c r="M372" s="16"/>
      <c r="N372" s="16"/>
      <c r="O372" s="16"/>
      <c r="P372" s="16"/>
      <c r="Q372" s="16"/>
      <c r="R372" s="16"/>
      <c r="S372" s="16"/>
      <c r="T372" s="16"/>
      <c r="U372" s="16"/>
      <c r="V372" s="16"/>
      <c r="W372" s="16"/>
      <c r="X372" s="16"/>
      <c r="Y372" s="16"/>
      <c r="Z372" s="16"/>
    </row>
    <row r="373" spans="1:26" ht="15.75" customHeight="1">
      <c r="A373" s="103"/>
      <c r="B373" s="103"/>
      <c r="C373" s="104"/>
      <c r="D373" s="103"/>
      <c r="E373" s="103"/>
      <c r="F373" s="103"/>
      <c r="G373" s="103"/>
      <c r="H373" s="103"/>
      <c r="I373" s="103"/>
      <c r="J373" s="103"/>
      <c r="K373" s="16"/>
      <c r="L373" s="16"/>
      <c r="M373" s="16"/>
      <c r="N373" s="16"/>
      <c r="O373" s="16"/>
      <c r="P373" s="16"/>
      <c r="Q373" s="16"/>
      <c r="R373" s="16"/>
      <c r="S373" s="16"/>
      <c r="T373" s="16"/>
      <c r="U373" s="16"/>
      <c r="V373" s="16"/>
      <c r="W373" s="16"/>
      <c r="X373" s="16"/>
      <c r="Y373" s="16"/>
      <c r="Z373" s="16"/>
    </row>
    <row r="374" spans="1:26" ht="15.75" customHeight="1">
      <c r="A374" s="103"/>
      <c r="B374" s="103"/>
      <c r="C374" s="104"/>
      <c r="D374" s="103"/>
      <c r="E374" s="103"/>
      <c r="F374" s="103"/>
      <c r="G374" s="103"/>
      <c r="H374" s="103"/>
      <c r="I374" s="103"/>
      <c r="J374" s="103"/>
      <c r="K374" s="16"/>
      <c r="L374" s="16"/>
      <c r="M374" s="16"/>
      <c r="N374" s="16"/>
      <c r="O374" s="16"/>
      <c r="P374" s="16"/>
      <c r="Q374" s="16"/>
      <c r="R374" s="16"/>
      <c r="S374" s="16"/>
      <c r="T374" s="16"/>
      <c r="U374" s="16"/>
      <c r="V374" s="16"/>
      <c r="W374" s="16"/>
      <c r="X374" s="16"/>
      <c r="Y374" s="16"/>
      <c r="Z374" s="16"/>
    </row>
    <row r="375" spans="1:26" ht="15.75" customHeight="1">
      <c r="A375" s="103"/>
      <c r="B375" s="103"/>
      <c r="C375" s="104"/>
      <c r="D375" s="103"/>
      <c r="E375" s="103"/>
      <c r="F375" s="103"/>
      <c r="G375" s="103"/>
      <c r="H375" s="103"/>
      <c r="I375" s="103"/>
      <c r="J375" s="103"/>
      <c r="K375" s="16"/>
      <c r="L375" s="16"/>
      <c r="M375" s="16"/>
      <c r="N375" s="16"/>
      <c r="O375" s="16"/>
      <c r="P375" s="16"/>
      <c r="Q375" s="16"/>
      <c r="R375" s="16"/>
      <c r="S375" s="16"/>
      <c r="T375" s="16"/>
      <c r="U375" s="16"/>
      <c r="V375" s="16"/>
      <c r="W375" s="16"/>
      <c r="X375" s="16"/>
      <c r="Y375" s="16"/>
      <c r="Z375" s="16"/>
    </row>
    <row r="376" spans="1:26" ht="15.75" customHeight="1">
      <c r="A376" s="103"/>
      <c r="B376" s="103"/>
      <c r="C376" s="104"/>
      <c r="D376" s="103"/>
      <c r="E376" s="103"/>
      <c r="F376" s="103"/>
      <c r="G376" s="103"/>
      <c r="H376" s="103"/>
      <c r="I376" s="103"/>
      <c r="J376" s="103"/>
      <c r="K376" s="16"/>
      <c r="L376" s="16"/>
      <c r="M376" s="16"/>
      <c r="N376" s="16"/>
      <c r="O376" s="16"/>
      <c r="P376" s="16"/>
      <c r="Q376" s="16"/>
      <c r="R376" s="16"/>
      <c r="S376" s="16"/>
      <c r="T376" s="16"/>
      <c r="U376" s="16"/>
      <c r="V376" s="16"/>
      <c r="W376" s="16"/>
      <c r="X376" s="16"/>
      <c r="Y376" s="16"/>
      <c r="Z376" s="16"/>
    </row>
    <row r="377" spans="1:26" ht="15.75" customHeight="1">
      <c r="A377" s="103"/>
      <c r="B377" s="103"/>
      <c r="C377" s="104"/>
      <c r="D377" s="103"/>
      <c r="E377" s="103"/>
      <c r="F377" s="103"/>
      <c r="G377" s="103"/>
      <c r="H377" s="103"/>
      <c r="I377" s="103"/>
      <c r="J377" s="103"/>
      <c r="K377" s="16"/>
      <c r="L377" s="16"/>
      <c r="M377" s="16"/>
      <c r="N377" s="16"/>
      <c r="O377" s="16"/>
      <c r="P377" s="16"/>
      <c r="Q377" s="16"/>
      <c r="R377" s="16"/>
      <c r="S377" s="16"/>
      <c r="T377" s="16"/>
      <c r="U377" s="16"/>
      <c r="V377" s="16"/>
      <c r="W377" s="16"/>
      <c r="X377" s="16"/>
      <c r="Y377" s="16"/>
      <c r="Z377" s="16"/>
    </row>
    <row r="378" spans="1:26" ht="15.75" customHeight="1">
      <c r="A378" s="103"/>
      <c r="B378" s="103"/>
      <c r="C378" s="104"/>
      <c r="D378" s="103"/>
      <c r="E378" s="103"/>
      <c r="F378" s="103"/>
      <c r="G378" s="103"/>
      <c r="H378" s="103"/>
      <c r="I378" s="103"/>
      <c r="J378" s="103"/>
      <c r="K378" s="16"/>
      <c r="L378" s="16"/>
      <c r="M378" s="16"/>
      <c r="N378" s="16"/>
      <c r="O378" s="16"/>
      <c r="P378" s="16"/>
      <c r="Q378" s="16"/>
      <c r="R378" s="16"/>
      <c r="S378" s="16"/>
      <c r="T378" s="16"/>
      <c r="U378" s="16"/>
      <c r="V378" s="16"/>
      <c r="W378" s="16"/>
      <c r="X378" s="16"/>
      <c r="Y378" s="16"/>
      <c r="Z378" s="16"/>
    </row>
    <row r="379" spans="1:26" ht="15.75" customHeight="1">
      <c r="A379" s="103"/>
      <c r="B379" s="103"/>
      <c r="C379" s="104"/>
      <c r="D379" s="103"/>
      <c r="E379" s="103"/>
      <c r="F379" s="103"/>
      <c r="G379" s="103"/>
      <c r="H379" s="103"/>
      <c r="I379" s="103"/>
      <c r="J379" s="103"/>
      <c r="K379" s="16"/>
      <c r="L379" s="16"/>
      <c r="M379" s="16"/>
      <c r="N379" s="16"/>
      <c r="O379" s="16"/>
      <c r="P379" s="16"/>
      <c r="Q379" s="16"/>
      <c r="R379" s="16"/>
      <c r="S379" s="16"/>
      <c r="T379" s="16"/>
      <c r="U379" s="16"/>
      <c r="V379" s="16"/>
      <c r="W379" s="16"/>
      <c r="X379" s="16"/>
      <c r="Y379" s="16"/>
      <c r="Z379" s="16"/>
    </row>
    <row r="380" spans="1:26" ht="15.75" customHeight="1">
      <c r="A380" s="103"/>
      <c r="B380" s="103"/>
      <c r="C380" s="104"/>
      <c r="D380" s="103"/>
      <c r="E380" s="103"/>
      <c r="F380" s="103"/>
      <c r="G380" s="103"/>
      <c r="H380" s="103"/>
      <c r="I380" s="103"/>
      <c r="J380" s="103"/>
      <c r="K380" s="16"/>
      <c r="L380" s="16"/>
      <c r="M380" s="16"/>
      <c r="N380" s="16"/>
      <c r="O380" s="16"/>
      <c r="P380" s="16"/>
      <c r="Q380" s="16"/>
      <c r="R380" s="16"/>
      <c r="S380" s="16"/>
      <c r="T380" s="16"/>
      <c r="U380" s="16"/>
      <c r="V380" s="16"/>
      <c r="W380" s="16"/>
      <c r="X380" s="16"/>
      <c r="Y380" s="16"/>
      <c r="Z380" s="16"/>
    </row>
    <row r="381" spans="1:26" ht="15.75" customHeight="1">
      <c r="A381" s="103"/>
      <c r="B381" s="103"/>
      <c r="C381" s="104"/>
      <c r="D381" s="103"/>
      <c r="E381" s="103"/>
      <c r="F381" s="103"/>
      <c r="G381" s="103"/>
      <c r="H381" s="103"/>
      <c r="I381" s="103"/>
      <c r="J381" s="103"/>
      <c r="K381" s="16"/>
      <c r="L381" s="16"/>
      <c r="M381" s="16"/>
      <c r="N381" s="16"/>
      <c r="O381" s="16"/>
      <c r="P381" s="16"/>
      <c r="Q381" s="16"/>
      <c r="R381" s="16"/>
      <c r="S381" s="16"/>
      <c r="T381" s="16"/>
      <c r="U381" s="16"/>
      <c r="V381" s="16"/>
      <c r="W381" s="16"/>
      <c r="X381" s="16"/>
      <c r="Y381" s="16"/>
      <c r="Z381" s="16"/>
    </row>
    <row r="382" spans="1:26" ht="15.75" customHeight="1">
      <c r="A382" s="103"/>
      <c r="B382" s="103"/>
      <c r="C382" s="104"/>
      <c r="D382" s="103"/>
      <c r="E382" s="103"/>
      <c r="F382" s="103"/>
      <c r="G382" s="103"/>
      <c r="H382" s="103"/>
      <c r="I382" s="103"/>
      <c r="J382" s="103"/>
      <c r="K382" s="16"/>
      <c r="L382" s="16"/>
      <c r="M382" s="16"/>
      <c r="N382" s="16"/>
      <c r="O382" s="16"/>
      <c r="P382" s="16"/>
      <c r="Q382" s="16"/>
      <c r="R382" s="16"/>
      <c r="S382" s="16"/>
      <c r="T382" s="16"/>
      <c r="U382" s="16"/>
      <c r="V382" s="16"/>
      <c r="W382" s="16"/>
      <c r="X382" s="16"/>
      <c r="Y382" s="16"/>
      <c r="Z382" s="16"/>
    </row>
    <row r="383" spans="1:26" ht="15.75" customHeight="1">
      <c r="A383" s="103"/>
      <c r="B383" s="103"/>
      <c r="C383" s="104"/>
      <c r="D383" s="103"/>
      <c r="E383" s="103"/>
      <c r="F383" s="103"/>
      <c r="G383" s="103"/>
      <c r="H383" s="103"/>
      <c r="I383" s="103"/>
      <c r="J383" s="103"/>
      <c r="K383" s="16"/>
      <c r="L383" s="16"/>
      <c r="M383" s="16"/>
      <c r="N383" s="16"/>
      <c r="O383" s="16"/>
      <c r="P383" s="16"/>
      <c r="Q383" s="16"/>
      <c r="R383" s="16"/>
      <c r="S383" s="16"/>
      <c r="T383" s="16"/>
      <c r="U383" s="16"/>
      <c r="V383" s="16"/>
      <c r="W383" s="16"/>
      <c r="X383" s="16"/>
      <c r="Y383" s="16"/>
      <c r="Z383" s="16"/>
    </row>
    <row r="384" spans="1:26" ht="15.75" customHeight="1">
      <c r="A384" s="103"/>
      <c r="B384" s="103"/>
      <c r="C384" s="104"/>
      <c r="D384" s="103"/>
      <c r="E384" s="103"/>
      <c r="F384" s="103"/>
      <c r="G384" s="103"/>
      <c r="H384" s="103"/>
      <c r="I384" s="103"/>
      <c r="J384" s="103"/>
      <c r="K384" s="16"/>
      <c r="L384" s="16"/>
      <c r="M384" s="16"/>
      <c r="N384" s="16"/>
      <c r="O384" s="16"/>
      <c r="P384" s="16"/>
      <c r="Q384" s="16"/>
      <c r="R384" s="16"/>
      <c r="S384" s="16"/>
      <c r="T384" s="16"/>
      <c r="U384" s="16"/>
      <c r="V384" s="16"/>
      <c r="W384" s="16"/>
      <c r="X384" s="16"/>
      <c r="Y384" s="16"/>
      <c r="Z384" s="16"/>
    </row>
    <row r="385" spans="1:26" ht="15.75" customHeight="1">
      <c r="A385" s="103"/>
      <c r="B385" s="103"/>
      <c r="C385" s="104"/>
      <c r="D385" s="103"/>
      <c r="E385" s="103"/>
      <c r="F385" s="103"/>
      <c r="G385" s="103"/>
      <c r="H385" s="103"/>
      <c r="I385" s="103"/>
      <c r="J385" s="103"/>
      <c r="K385" s="16"/>
      <c r="L385" s="16"/>
      <c r="M385" s="16"/>
      <c r="N385" s="16"/>
      <c r="O385" s="16"/>
      <c r="P385" s="16"/>
      <c r="Q385" s="16"/>
      <c r="R385" s="16"/>
      <c r="S385" s="16"/>
      <c r="T385" s="16"/>
      <c r="U385" s="16"/>
      <c r="V385" s="16"/>
      <c r="W385" s="16"/>
      <c r="X385" s="16"/>
      <c r="Y385" s="16"/>
      <c r="Z385" s="16"/>
    </row>
    <row r="386" spans="1:26" ht="15.75" customHeight="1">
      <c r="A386" s="103"/>
      <c r="B386" s="103"/>
      <c r="C386" s="104"/>
      <c r="D386" s="103"/>
      <c r="E386" s="103"/>
      <c r="F386" s="103"/>
      <c r="G386" s="103"/>
      <c r="H386" s="103"/>
      <c r="I386" s="103"/>
      <c r="J386" s="103"/>
      <c r="K386" s="16"/>
      <c r="L386" s="16"/>
      <c r="M386" s="16"/>
      <c r="N386" s="16"/>
      <c r="O386" s="16"/>
      <c r="P386" s="16"/>
      <c r="Q386" s="16"/>
      <c r="R386" s="16"/>
      <c r="S386" s="16"/>
      <c r="T386" s="16"/>
      <c r="U386" s="16"/>
      <c r="V386" s="16"/>
      <c r="W386" s="16"/>
      <c r="X386" s="16"/>
      <c r="Y386" s="16"/>
      <c r="Z386" s="16"/>
    </row>
    <row r="387" spans="1:26" ht="15.75" customHeight="1">
      <c r="A387" s="103"/>
      <c r="B387" s="103"/>
      <c r="C387" s="104"/>
      <c r="D387" s="103"/>
      <c r="E387" s="103"/>
      <c r="F387" s="103"/>
      <c r="G387" s="103"/>
      <c r="H387" s="103"/>
      <c r="I387" s="103"/>
      <c r="J387" s="103"/>
      <c r="K387" s="16"/>
      <c r="L387" s="16"/>
      <c r="M387" s="16"/>
      <c r="N387" s="16"/>
      <c r="O387" s="16"/>
      <c r="P387" s="16"/>
      <c r="Q387" s="16"/>
      <c r="R387" s="16"/>
      <c r="S387" s="16"/>
      <c r="T387" s="16"/>
      <c r="U387" s="16"/>
      <c r="V387" s="16"/>
      <c r="W387" s="16"/>
      <c r="X387" s="16"/>
      <c r="Y387" s="16"/>
      <c r="Z387" s="16"/>
    </row>
    <row r="388" spans="1:26" ht="15.75" customHeight="1">
      <c r="A388" s="103"/>
      <c r="B388" s="103"/>
      <c r="C388" s="104"/>
      <c r="D388" s="103"/>
      <c r="E388" s="103"/>
      <c r="F388" s="103"/>
      <c r="G388" s="103"/>
      <c r="H388" s="103"/>
      <c r="I388" s="103"/>
      <c r="J388" s="103"/>
      <c r="K388" s="16"/>
      <c r="L388" s="16"/>
      <c r="M388" s="16"/>
      <c r="N388" s="16"/>
      <c r="O388" s="16"/>
      <c r="P388" s="16"/>
      <c r="Q388" s="16"/>
      <c r="R388" s="16"/>
      <c r="S388" s="16"/>
      <c r="T388" s="16"/>
      <c r="U388" s="16"/>
      <c r="V388" s="16"/>
      <c r="W388" s="16"/>
      <c r="X388" s="16"/>
      <c r="Y388" s="16"/>
      <c r="Z388" s="16"/>
    </row>
    <row r="389" spans="1:26" ht="15.75" customHeight="1">
      <c r="A389" s="103"/>
      <c r="B389" s="103"/>
      <c r="C389" s="104"/>
      <c r="D389" s="103"/>
      <c r="E389" s="103"/>
      <c r="F389" s="103"/>
      <c r="G389" s="103"/>
      <c r="H389" s="103"/>
      <c r="I389" s="103"/>
      <c r="J389" s="103"/>
      <c r="K389" s="16"/>
      <c r="L389" s="16"/>
      <c r="M389" s="16"/>
      <c r="N389" s="16"/>
      <c r="O389" s="16"/>
      <c r="P389" s="16"/>
      <c r="Q389" s="16"/>
      <c r="R389" s="16"/>
      <c r="S389" s="16"/>
      <c r="T389" s="16"/>
      <c r="U389" s="16"/>
      <c r="V389" s="16"/>
      <c r="W389" s="16"/>
      <c r="X389" s="16"/>
      <c r="Y389" s="16"/>
      <c r="Z389" s="16"/>
    </row>
    <row r="390" spans="1:26" ht="15.75" customHeight="1">
      <c r="A390" s="103"/>
      <c r="B390" s="103"/>
      <c r="C390" s="104"/>
      <c r="D390" s="103"/>
      <c r="E390" s="103"/>
      <c r="F390" s="103"/>
      <c r="G390" s="103"/>
      <c r="H390" s="103"/>
      <c r="I390" s="103"/>
      <c r="J390" s="103"/>
      <c r="K390" s="16"/>
      <c r="L390" s="16"/>
      <c r="M390" s="16"/>
      <c r="N390" s="16"/>
      <c r="O390" s="16"/>
      <c r="P390" s="16"/>
      <c r="Q390" s="16"/>
      <c r="R390" s="16"/>
      <c r="S390" s="16"/>
      <c r="T390" s="16"/>
      <c r="U390" s="16"/>
      <c r="V390" s="16"/>
      <c r="W390" s="16"/>
      <c r="X390" s="16"/>
      <c r="Y390" s="16"/>
      <c r="Z390" s="16"/>
    </row>
    <row r="391" spans="1:26" ht="15.75" customHeight="1">
      <c r="A391" s="103"/>
      <c r="B391" s="103"/>
      <c r="C391" s="104"/>
      <c r="D391" s="103"/>
      <c r="E391" s="103"/>
      <c r="F391" s="103"/>
      <c r="G391" s="103"/>
      <c r="H391" s="103"/>
      <c r="I391" s="103"/>
      <c r="J391" s="103"/>
      <c r="K391" s="16"/>
      <c r="L391" s="16"/>
      <c r="M391" s="16"/>
      <c r="N391" s="16"/>
      <c r="O391" s="16"/>
      <c r="P391" s="16"/>
      <c r="Q391" s="16"/>
      <c r="R391" s="16"/>
      <c r="S391" s="16"/>
      <c r="T391" s="16"/>
      <c r="U391" s="16"/>
      <c r="V391" s="16"/>
      <c r="W391" s="16"/>
      <c r="X391" s="16"/>
      <c r="Y391" s="16"/>
      <c r="Z391" s="16"/>
    </row>
    <row r="392" spans="1:26" ht="15.75" customHeight="1">
      <c r="A392" s="103"/>
      <c r="B392" s="103"/>
      <c r="C392" s="104"/>
      <c r="D392" s="103"/>
      <c r="E392" s="103"/>
      <c r="F392" s="103"/>
      <c r="G392" s="103"/>
      <c r="H392" s="103"/>
      <c r="I392" s="103"/>
      <c r="J392" s="103"/>
      <c r="K392" s="16"/>
      <c r="L392" s="16"/>
      <c r="M392" s="16"/>
      <c r="N392" s="16"/>
      <c r="O392" s="16"/>
      <c r="P392" s="16"/>
      <c r="Q392" s="16"/>
      <c r="R392" s="16"/>
      <c r="S392" s="16"/>
      <c r="T392" s="16"/>
      <c r="U392" s="16"/>
      <c r="V392" s="16"/>
      <c r="W392" s="16"/>
      <c r="X392" s="16"/>
      <c r="Y392" s="16"/>
      <c r="Z392" s="16"/>
    </row>
    <row r="393" spans="1:26" ht="15.75" customHeight="1">
      <c r="A393" s="103"/>
      <c r="B393" s="103"/>
      <c r="C393" s="104"/>
      <c r="D393" s="103"/>
      <c r="E393" s="103"/>
      <c r="F393" s="103"/>
      <c r="G393" s="103"/>
      <c r="H393" s="103"/>
      <c r="I393" s="103"/>
      <c r="J393" s="103"/>
      <c r="K393" s="16"/>
      <c r="L393" s="16"/>
      <c r="M393" s="16"/>
      <c r="N393" s="16"/>
      <c r="O393" s="16"/>
      <c r="P393" s="16"/>
      <c r="Q393" s="16"/>
      <c r="R393" s="16"/>
      <c r="S393" s="16"/>
      <c r="T393" s="16"/>
      <c r="U393" s="16"/>
      <c r="V393" s="16"/>
      <c r="W393" s="16"/>
      <c r="X393" s="16"/>
      <c r="Y393" s="16"/>
      <c r="Z393" s="16"/>
    </row>
    <row r="394" spans="1:26" ht="15.75" customHeight="1">
      <c r="A394" s="103"/>
      <c r="B394" s="103"/>
      <c r="C394" s="104"/>
      <c r="D394" s="103"/>
      <c r="E394" s="103"/>
      <c r="F394" s="103"/>
      <c r="G394" s="103"/>
      <c r="H394" s="103"/>
      <c r="I394" s="103"/>
      <c r="J394" s="103"/>
      <c r="K394" s="16"/>
      <c r="L394" s="16"/>
      <c r="M394" s="16"/>
      <c r="N394" s="16"/>
      <c r="O394" s="16"/>
      <c r="P394" s="16"/>
      <c r="Q394" s="16"/>
      <c r="R394" s="16"/>
      <c r="S394" s="16"/>
      <c r="T394" s="16"/>
      <c r="U394" s="16"/>
      <c r="V394" s="16"/>
      <c r="W394" s="16"/>
      <c r="X394" s="16"/>
      <c r="Y394" s="16"/>
      <c r="Z394" s="16"/>
    </row>
    <row r="395" spans="1:26" ht="15.75" customHeight="1">
      <c r="A395" s="103"/>
      <c r="B395" s="103"/>
      <c r="C395" s="104"/>
      <c r="D395" s="103"/>
      <c r="E395" s="103"/>
      <c r="F395" s="103"/>
      <c r="G395" s="103"/>
      <c r="H395" s="103"/>
      <c r="I395" s="103"/>
      <c r="J395" s="103"/>
      <c r="K395" s="16"/>
      <c r="L395" s="16"/>
      <c r="M395" s="16"/>
      <c r="N395" s="16"/>
      <c r="O395" s="16"/>
      <c r="P395" s="16"/>
      <c r="Q395" s="16"/>
      <c r="R395" s="16"/>
      <c r="S395" s="16"/>
      <c r="T395" s="16"/>
      <c r="U395" s="16"/>
      <c r="V395" s="16"/>
      <c r="W395" s="16"/>
      <c r="X395" s="16"/>
      <c r="Y395" s="16"/>
      <c r="Z395" s="16"/>
    </row>
    <row r="396" spans="1:26" ht="15.75" customHeight="1">
      <c r="A396" s="103"/>
      <c r="B396" s="103"/>
      <c r="C396" s="104"/>
      <c r="D396" s="103"/>
      <c r="E396" s="103"/>
      <c r="F396" s="103"/>
      <c r="G396" s="103"/>
      <c r="H396" s="103"/>
      <c r="I396" s="103"/>
      <c r="J396" s="103"/>
      <c r="K396" s="16"/>
      <c r="L396" s="16"/>
      <c r="M396" s="16"/>
      <c r="N396" s="16"/>
      <c r="O396" s="16"/>
      <c r="P396" s="16"/>
      <c r="Q396" s="16"/>
      <c r="R396" s="16"/>
      <c r="S396" s="16"/>
      <c r="T396" s="16"/>
      <c r="U396" s="16"/>
      <c r="V396" s="16"/>
      <c r="W396" s="16"/>
      <c r="X396" s="16"/>
      <c r="Y396" s="16"/>
      <c r="Z396" s="16"/>
    </row>
    <row r="397" spans="1:26" ht="15.75" customHeight="1">
      <c r="A397" s="103"/>
      <c r="B397" s="103"/>
      <c r="C397" s="104"/>
      <c r="D397" s="103"/>
      <c r="E397" s="103"/>
      <c r="F397" s="103"/>
      <c r="G397" s="103"/>
      <c r="H397" s="103"/>
      <c r="I397" s="103"/>
      <c r="J397" s="103"/>
      <c r="K397" s="16"/>
      <c r="L397" s="16"/>
      <c r="M397" s="16"/>
      <c r="N397" s="16"/>
      <c r="O397" s="16"/>
      <c r="P397" s="16"/>
      <c r="Q397" s="16"/>
      <c r="R397" s="16"/>
      <c r="S397" s="16"/>
      <c r="T397" s="16"/>
      <c r="U397" s="16"/>
      <c r="V397" s="16"/>
      <c r="W397" s="16"/>
      <c r="X397" s="16"/>
      <c r="Y397" s="16"/>
      <c r="Z397" s="16"/>
    </row>
    <row r="398" spans="1:26" ht="15.75" customHeight="1">
      <c r="A398" s="103"/>
      <c r="B398" s="103"/>
      <c r="C398" s="104"/>
      <c r="D398" s="103"/>
      <c r="E398" s="103"/>
      <c r="F398" s="103"/>
      <c r="G398" s="103"/>
      <c r="H398" s="103"/>
      <c r="I398" s="103"/>
      <c r="J398" s="103"/>
      <c r="K398" s="16"/>
      <c r="L398" s="16"/>
      <c r="M398" s="16"/>
      <c r="N398" s="16"/>
      <c r="O398" s="16"/>
      <c r="P398" s="16"/>
      <c r="Q398" s="16"/>
      <c r="R398" s="16"/>
      <c r="S398" s="16"/>
      <c r="T398" s="16"/>
      <c r="U398" s="16"/>
      <c r="V398" s="16"/>
      <c r="W398" s="16"/>
      <c r="X398" s="16"/>
      <c r="Y398" s="16"/>
      <c r="Z398" s="16"/>
    </row>
    <row r="399" spans="1:26" ht="15.75" customHeight="1">
      <c r="A399" s="103"/>
      <c r="B399" s="103"/>
      <c r="C399" s="104"/>
      <c r="D399" s="103"/>
      <c r="E399" s="103"/>
      <c r="F399" s="103"/>
      <c r="G399" s="103"/>
      <c r="H399" s="103"/>
      <c r="I399" s="103"/>
      <c r="J399" s="103"/>
      <c r="K399" s="16"/>
      <c r="L399" s="16"/>
      <c r="M399" s="16"/>
      <c r="N399" s="16"/>
      <c r="O399" s="16"/>
      <c r="P399" s="16"/>
      <c r="Q399" s="16"/>
      <c r="R399" s="16"/>
      <c r="S399" s="16"/>
      <c r="T399" s="16"/>
      <c r="U399" s="16"/>
      <c r="V399" s="16"/>
      <c r="W399" s="16"/>
      <c r="X399" s="16"/>
      <c r="Y399" s="16"/>
      <c r="Z399" s="16"/>
    </row>
    <row r="400" spans="1:26" ht="15.75" customHeight="1">
      <c r="A400" s="103"/>
      <c r="B400" s="103"/>
      <c r="C400" s="104"/>
      <c r="D400" s="103"/>
      <c r="E400" s="103"/>
      <c r="F400" s="103"/>
      <c r="G400" s="103"/>
      <c r="H400" s="103"/>
      <c r="I400" s="103"/>
      <c r="J400" s="103"/>
      <c r="K400" s="16"/>
      <c r="L400" s="16"/>
      <c r="M400" s="16"/>
      <c r="N400" s="16"/>
      <c r="O400" s="16"/>
      <c r="P400" s="16"/>
      <c r="Q400" s="16"/>
      <c r="R400" s="16"/>
      <c r="S400" s="16"/>
      <c r="T400" s="16"/>
      <c r="U400" s="16"/>
      <c r="V400" s="16"/>
      <c r="W400" s="16"/>
      <c r="X400" s="16"/>
      <c r="Y400" s="16"/>
      <c r="Z400" s="16"/>
    </row>
    <row r="401" spans="1:26" ht="15.75" customHeight="1">
      <c r="A401" s="103"/>
      <c r="B401" s="103"/>
      <c r="C401" s="104"/>
      <c r="D401" s="103"/>
      <c r="E401" s="103"/>
      <c r="F401" s="103"/>
      <c r="G401" s="103"/>
      <c r="H401" s="103"/>
      <c r="I401" s="103"/>
      <c r="J401" s="103"/>
      <c r="K401" s="16"/>
      <c r="L401" s="16"/>
      <c r="M401" s="16"/>
      <c r="N401" s="16"/>
      <c r="O401" s="16"/>
      <c r="P401" s="16"/>
      <c r="Q401" s="16"/>
      <c r="R401" s="16"/>
      <c r="S401" s="16"/>
      <c r="T401" s="16"/>
      <c r="U401" s="16"/>
      <c r="V401" s="16"/>
      <c r="W401" s="16"/>
      <c r="X401" s="16"/>
      <c r="Y401" s="16"/>
      <c r="Z401" s="16"/>
    </row>
    <row r="402" spans="1:26" ht="15.75" customHeight="1">
      <c r="A402" s="103"/>
      <c r="B402" s="103"/>
      <c r="C402" s="104"/>
      <c r="D402" s="103"/>
      <c r="E402" s="103"/>
      <c r="F402" s="103"/>
      <c r="G402" s="103"/>
      <c r="H402" s="103"/>
      <c r="I402" s="103"/>
      <c r="J402" s="103"/>
      <c r="K402" s="16"/>
      <c r="L402" s="16"/>
      <c r="M402" s="16"/>
      <c r="N402" s="16"/>
      <c r="O402" s="16"/>
      <c r="P402" s="16"/>
      <c r="Q402" s="16"/>
      <c r="R402" s="16"/>
      <c r="S402" s="16"/>
      <c r="T402" s="16"/>
      <c r="U402" s="16"/>
      <c r="V402" s="16"/>
      <c r="W402" s="16"/>
      <c r="X402" s="16"/>
      <c r="Y402" s="16"/>
      <c r="Z402" s="16"/>
    </row>
    <row r="403" spans="1:26" ht="15.75" customHeight="1">
      <c r="A403" s="103"/>
      <c r="B403" s="103"/>
      <c r="C403" s="104"/>
      <c r="D403" s="103"/>
      <c r="E403" s="103"/>
      <c r="F403" s="103"/>
      <c r="G403" s="103"/>
      <c r="H403" s="103"/>
      <c r="I403" s="103"/>
      <c r="J403" s="103"/>
      <c r="K403" s="16"/>
      <c r="L403" s="16"/>
      <c r="M403" s="16"/>
      <c r="N403" s="16"/>
      <c r="O403" s="16"/>
      <c r="P403" s="16"/>
      <c r="Q403" s="16"/>
      <c r="R403" s="16"/>
      <c r="S403" s="16"/>
      <c r="T403" s="16"/>
      <c r="U403" s="16"/>
      <c r="V403" s="16"/>
      <c r="W403" s="16"/>
      <c r="X403" s="16"/>
      <c r="Y403" s="16"/>
      <c r="Z403" s="16"/>
    </row>
    <row r="404" spans="1:26" ht="15.75" customHeight="1">
      <c r="A404" s="103"/>
      <c r="B404" s="103"/>
      <c r="C404" s="104"/>
      <c r="D404" s="103"/>
      <c r="E404" s="103"/>
      <c r="F404" s="103"/>
      <c r="G404" s="103"/>
      <c r="H404" s="103"/>
      <c r="I404" s="103"/>
      <c r="J404" s="103"/>
      <c r="K404" s="16"/>
      <c r="L404" s="16"/>
      <c r="M404" s="16"/>
      <c r="N404" s="16"/>
      <c r="O404" s="16"/>
      <c r="P404" s="16"/>
      <c r="Q404" s="16"/>
      <c r="R404" s="16"/>
      <c r="S404" s="16"/>
      <c r="T404" s="16"/>
      <c r="U404" s="16"/>
      <c r="V404" s="16"/>
      <c r="W404" s="16"/>
      <c r="X404" s="16"/>
      <c r="Y404" s="16"/>
      <c r="Z404" s="16"/>
    </row>
    <row r="405" spans="1:26" ht="15.75" customHeight="1">
      <c r="A405" s="103"/>
      <c r="B405" s="103"/>
      <c r="C405" s="104"/>
      <c r="D405" s="103"/>
      <c r="E405" s="103"/>
      <c r="F405" s="103"/>
      <c r="G405" s="103"/>
      <c r="H405" s="103"/>
      <c r="I405" s="103"/>
      <c r="J405" s="103"/>
      <c r="K405" s="16"/>
      <c r="L405" s="16"/>
      <c r="M405" s="16"/>
      <c r="N405" s="16"/>
      <c r="O405" s="16"/>
      <c r="P405" s="16"/>
      <c r="Q405" s="16"/>
      <c r="R405" s="16"/>
      <c r="S405" s="16"/>
      <c r="T405" s="16"/>
      <c r="U405" s="16"/>
      <c r="V405" s="16"/>
      <c r="W405" s="16"/>
      <c r="X405" s="16"/>
      <c r="Y405" s="16"/>
      <c r="Z405" s="16"/>
    </row>
    <row r="406" spans="1:26" ht="15.75" customHeight="1">
      <c r="A406" s="103"/>
      <c r="B406" s="103"/>
      <c r="C406" s="104"/>
      <c r="D406" s="103"/>
      <c r="E406" s="103"/>
      <c r="F406" s="103"/>
      <c r="G406" s="103"/>
      <c r="H406" s="103"/>
      <c r="I406" s="103"/>
      <c r="J406" s="103"/>
      <c r="K406" s="16"/>
      <c r="L406" s="16"/>
      <c r="M406" s="16"/>
      <c r="N406" s="16"/>
      <c r="O406" s="16"/>
      <c r="P406" s="16"/>
      <c r="Q406" s="16"/>
      <c r="R406" s="16"/>
      <c r="S406" s="16"/>
      <c r="T406" s="16"/>
      <c r="U406" s="16"/>
      <c r="V406" s="16"/>
      <c r="W406" s="16"/>
      <c r="X406" s="16"/>
      <c r="Y406" s="16"/>
      <c r="Z406" s="16"/>
    </row>
    <row r="407" spans="1:26" ht="15.75" customHeight="1">
      <c r="A407" s="103"/>
      <c r="B407" s="103"/>
      <c r="C407" s="104"/>
      <c r="D407" s="103"/>
      <c r="E407" s="103"/>
      <c r="F407" s="103"/>
      <c r="G407" s="103"/>
      <c r="H407" s="103"/>
      <c r="I407" s="103"/>
      <c r="J407" s="103"/>
      <c r="K407" s="16"/>
      <c r="L407" s="16"/>
      <c r="M407" s="16"/>
      <c r="N407" s="16"/>
      <c r="O407" s="16"/>
      <c r="P407" s="16"/>
      <c r="Q407" s="16"/>
      <c r="R407" s="16"/>
      <c r="S407" s="16"/>
      <c r="T407" s="16"/>
      <c r="U407" s="16"/>
      <c r="V407" s="16"/>
      <c r="W407" s="16"/>
      <c r="X407" s="16"/>
      <c r="Y407" s="16"/>
      <c r="Z407" s="16"/>
    </row>
    <row r="408" spans="1:26" ht="15.75" customHeight="1">
      <c r="A408" s="103"/>
      <c r="B408" s="103"/>
      <c r="C408" s="104"/>
      <c r="D408" s="103"/>
      <c r="E408" s="103"/>
      <c r="F408" s="103"/>
      <c r="G408" s="103"/>
      <c r="H408" s="103"/>
      <c r="I408" s="103"/>
      <c r="J408" s="103"/>
      <c r="K408" s="16"/>
      <c r="L408" s="16"/>
      <c r="M408" s="16"/>
      <c r="N408" s="16"/>
      <c r="O408" s="16"/>
      <c r="P408" s="16"/>
      <c r="Q408" s="16"/>
      <c r="R408" s="16"/>
      <c r="S408" s="16"/>
      <c r="T408" s="16"/>
      <c r="U408" s="16"/>
      <c r="V408" s="16"/>
      <c r="W408" s="16"/>
      <c r="X408" s="16"/>
      <c r="Y408" s="16"/>
      <c r="Z408" s="16"/>
    </row>
    <row r="409" spans="1:26" ht="15.75" customHeight="1">
      <c r="A409" s="103"/>
      <c r="B409" s="103"/>
      <c r="C409" s="104"/>
      <c r="D409" s="103"/>
      <c r="E409" s="103"/>
      <c r="F409" s="103"/>
      <c r="G409" s="103"/>
      <c r="H409" s="103"/>
      <c r="I409" s="103"/>
      <c r="J409" s="103"/>
      <c r="K409" s="16"/>
      <c r="L409" s="16"/>
      <c r="M409" s="16"/>
      <c r="N409" s="16"/>
      <c r="O409" s="16"/>
      <c r="P409" s="16"/>
      <c r="Q409" s="16"/>
      <c r="R409" s="16"/>
      <c r="S409" s="16"/>
      <c r="T409" s="16"/>
      <c r="U409" s="16"/>
      <c r="V409" s="16"/>
      <c r="W409" s="16"/>
      <c r="X409" s="16"/>
      <c r="Y409" s="16"/>
      <c r="Z409" s="16"/>
    </row>
    <row r="410" spans="1:26" ht="15.75" customHeight="1">
      <c r="A410" s="103"/>
      <c r="B410" s="103"/>
      <c r="C410" s="104"/>
      <c r="D410" s="103"/>
      <c r="E410" s="103"/>
      <c r="F410" s="103"/>
      <c r="G410" s="103"/>
      <c r="H410" s="103"/>
      <c r="I410" s="103"/>
      <c r="J410" s="103"/>
      <c r="K410" s="16"/>
      <c r="L410" s="16"/>
      <c r="M410" s="16"/>
      <c r="N410" s="16"/>
      <c r="O410" s="16"/>
      <c r="P410" s="16"/>
      <c r="Q410" s="16"/>
      <c r="R410" s="16"/>
      <c r="S410" s="16"/>
      <c r="T410" s="16"/>
      <c r="U410" s="16"/>
      <c r="V410" s="16"/>
      <c r="W410" s="16"/>
      <c r="X410" s="16"/>
      <c r="Y410" s="16"/>
      <c r="Z410" s="16"/>
    </row>
    <row r="411" spans="1:26" ht="15.75" customHeight="1">
      <c r="A411" s="103"/>
      <c r="B411" s="103"/>
      <c r="C411" s="104"/>
      <c r="D411" s="103"/>
      <c r="E411" s="103"/>
      <c r="F411" s="103"/>
      <c r="G411" s="103"/>
      <c r="H411" s="103"/>
      <c r="I411" s="103"/>
      <c r="J411" s="103"/>
      <c r="K411" s="16"/>
      <c r="L411" s="16"/>
      <c r="M411" s="16"/>
      <c r="N411" s="16"/>
      <c r="O411" s="16"/>
      <c r="P411" s="16"/>
      <c r="Q411" s="16"/>
      <c r="R411" s="16"/>
      <c r="S411" s="16"/>
      <c r="T411" s="16"/>
      <c r="U411" s="16"/>
      <c r="V411" s="16"/>
      <c r="W411" s="16"/>
      <c r="X411" s="16"/>
      <c r="Y411" s="16"/>
      <c r="Z411" s="16"/>
    </row>
    <row r="412" spans="1:26" ht="15.75" customHeight="1">
      <c r="A412" s="103"/>
      <c r="B412" s="103"/>
      <c r="C412" s="104"/>
      <c r="D412" s="103"/>
      <c r="E412" s="103"/>
      <c r="F412" s="103"/>
      <c r="G412" s="103"/>
      <c r="H412" s="103"/>
      <c r="I412" s="103"/>
      <c r="J412" s="103"/>
      <c r="K412" s="16"/>
      <c r="L412" s="16"/>
      <c r="M412" s="16"/>
      <c r="N412" s="16"/>
      <c r="O412" s="16"/>
      <c r="P412" s="16"/>
      <c r="Q412" s="16"/>
      <c r="R412" s="16"/>
      <c r="S412" s="16"/>
      <c r="T412" s="16"/>
      <c r="U412" s="16"/>
      <c r="V412" s="16"/>
      <c r="W412" s="16"/>
      <c r="X412" s="16"/>
      <c r="Y412" s="16"/>
      <c r="Z412" s="16"/>
    </row>
    <row r="413" spans="1:26" ht="15.75" customHeight="1">
      <c r="A413" s="103"/>
      <c r="B413" s="103"/>
      <c r="C413" s="104"/>
      <c r="D413" s="103"/>
      <c r="E413" s="103"/>
      <c r="F413" s="103"/>
      <c r="G413" s="103"/>
      <c r="H413" s="103"/>
      <c r="I413" s="103"/>
      <c r="J413" s="103"/>
      <c r="K413" s="16"/>
      <c r="L413" s="16"/>
      <c r="M413" s="16"/>
      <c r="N413" s="16"/>
      <c r="O413" s="16"/>
      <c r="P413" s="16"/>
      <c r="Q413" s="16"/>
      <c r="R413" s="16"/>
      <c r="S413" s="16"/>
      <c r="T413" s="16"/>
      <c r="U413" s="16"/>
      <c r="V413" s="16"/>
      <c r="W413" s="16"/>
      <c r="X413" s="16"/>
      <c r="Y413" s="16"/>
      <c r="Z413" s="16"/>
    </row>
    <row r="414" spans="1:26" ht="15.75" customHeight="1">
      <c r="A414" s="103"/>
      <c r="B414" s="103"/>
      <c r="C414" s="104"/>
      <c r="D414" s="103"/>
      <c r="E414" s="103"/>
      <c r="F414" s="103"/>
      <c r="G414" s="103"/>
      <c r="H414" s="103"/>
      <c r="I414" s="103"/>
      <c r="J414" s="103"/>
      <c r="K414" s="16"/>
      <c r="L414" s="16"/>
      <c r="M414" s="16"/>
      <c r="N414" s="16"/>
      <c r="O414" s="16"/>
      <c r="P414" s="16"/>
      <c r="Q414" s="16"/>
      <c r="R414" s="16"/>
      <c r="S414" s="16"/>
      <c r="T414" s="16"/>
      <c r="U414" s="16"/>
      <c r="V414" s="16"/>
      <c r="W414" s="16"/>
      <c r="X414" s="16"/>
      <c r="Y414" s="16"/>
      <c r="Z414" s="16"/>
    </row>
    <row r="415" spans="1:26" ht="15.75" customHeight="1">
      <c r="A415" s="103"/>
      <c r="B415" s="103"/>
      <c r="C415" s="104"/>
      <c r="D415" s="103"/>
      <c r="E415" s="103"/>
      <c r="F415" s="103"/>
      <c r="G415" s="103"/>
      <c r="H415" s="103"/>
      <c r="I415" s="103"/>
      <c r="J415" s="103"/>
      <c r="K415" s="16"/>
      <c r="L415" s="16"/>
      <c r="M415" s="16"/>
      <c r="N415" s="16"/>
      <c r="O415" s="16"/>
      <c r="P415" s="16"/>
      <c r="Q415" s="16"/>
      <c r="R415" s="16"/>
      <c r="S415" s="16"/>
      <c r="T415" s="16"/>
      <c r="U415" s="16"/>
      <c r="V415" s="16"/>
      <c r="W415" s="16"/>
      <c r="X415" s="16"/>
      <c r="Y415" s="16"/>
      <c r="Z415" s="16"/>
    </row>
    <row r="416" spans="1:26" ht="15.75" customHeight="1">
      <c r="A416" s="103"/>
      <c r="B416" s="103"/>
      <c r="C416" s="104"/>
      <c r="D416" s="103"/>
      <c r="E416" s="103"/>
      <c r="F416" s="103"/>
      <c r="G416" s="103"/>
      <c r="H416" s="103"/>
      <c r="I416" s="103"/>
      <c r="J416" s="103"/>
      <c r="K416" s="16"/>
      <c r="L416" s="16"/>
      <c r="M416" s="16"/>
      <c r="N416" s="16"/>
      <c r="O416" s="16"/>
      <c r="P416" s="16"/>
      <c r="Q416" s="16"/>
      <c r="R416" s="16"/>
      <c r="S416" s="16"/>
      <c r="T416" s="16"/>
      <c r="U416" s="16"/>
      <c r="V416" s="16"/>
      <c r="W416" s="16"/>
      <c r="X416" s="16"/>
      <c r="Y416" s="16"/>
      <c r="Z416" s="16"/>
    </row>
    <row r="417" spans="1:26" ht="15.75" customHeight="1">
      <c r="A417" s="103"/>
      <c r="B417" s="103"/>
      <c r="C417" s="104"/>
      <c r="D417" s="103"/>
      <c r="E417" s="103"/>
      <c r="F417" s="103"/>
      <c r="G417" s="103"/>
      <c r="H417" s="103"/>
      <c r="I417" s="103"/>
      <c r="J417" s="103"/>
      <c r="K417" s="16"/>
      <c r="L417" s="16"/>
      <c r="M417" s="16"/>
      <c r="N417" s="16"/>
      <c r="O417" s="16"/>
      <c r="P417" s="16"/>
      <c r="Q417" s="16"/>
      <c r="R417" s="16"/>
      <c r="S417" s="16"/>
      <c r="T417" s="16"/>
      <c r="U417" s="16"/>
      <c r="V417" s="16"/>
      <c r="W417" s="16"/>
      <c r="X417" s="16"/>
      <c r="Y417" s="16"/>
      <c r="Z417" s="16"/>
    </row>
    <row r="418" spans="1:26" ht="15.75" customHeight="1">
      <c r="A418" s="103"/>
      <c r="B418" s="103"/>
      <c r="C418" s="104"/>
      <c r="D418" s="103"/>
      <c r="E418" s="103"/>
      <c r="F418" s="103"/>
      <c r="G418" s="103"/>
      <c r="H418" s="103"/>
      <c r="I418" s="103"/>
      <c r="J418" s="103"/>
      <c r="K418" s="16"/>
      <c r="L418" s="16"/>
      <c r="M418" s="16"/>
      <c r="N418" s="16"/>
      <c r="O418" s="16"/>
      <c r="P418" s="16"/>
      <c r="Q418" s="16"/>
      <c r="R418" s="16"/>
      <c r="S418" s="16"/>
      <c r="T418" s="16"/>
      <c r="U418" s="16"/>
      <c r="V418" s="16"/>
      <c r="W418" s="16"/>
      <c r="X418" s="16"/>
      <c r="Y418" s="16"/>
      <c r="Z418" s="16"/>
    </row>
    <row r="419" spans="1:26" ht="15.75" customHeight="1">
      <c r="A419" s="103"/>
      <c r="B419" s="103"/>
      <c r="C419" s="104"/>
      <c r="D419" s="103"/>
      <c r="E419" s="103"/>
      <c r="F419" s="103"/>
      <c r="G419" s="103"/>
      <c r="H419" s="103"/>
      <c r="I419" s="103"/>
      <c r="J419" s="103"/>
      <c r="K419" s="16"/>
      <c r="L419" s="16"/>
      <c r="M419" s="16"/>
      <c r="N419" s="16"/>
      <c r="O419" s="16"/>
      <c r="P419" s="16"/>
      <c r="Q419" s="16"/>
      <c r="R419" s="16"/>
      <c r="S419" s="16"/>
      <c r="T419" s="16"/>
      <c r="U419" s="16"/>
      <c r="V419" s="16"/>
      <c r="W419" s="16"/>
      <c r="X419" s="16"/>
      <c r="Y419" s="16"/>
      <c r="Z419" s="16"/>
    </row>
    <row r="420" spans="1:26" ht="15.75" customHeight="1">
      <c r="A420" s="103"/>
      <c r="B420" s="103"/>
      <c r="C420" s="104"/>
      <c r="D420" s="103"/>
      <c r="E420" s="103"/>
      <c r="F420" s="103"/>
      <c r="G420" s="103"/>
      <c r="H420" s="103"/>
      <c r="I420" s="103"/>
      <c r="J420" s="103"/>
      <c r="K420" s="16"/>
      <c r="L420" s="16"/>
      <c r="M420" s="16"/>
      <c r="N420" s="16"/>
      <c r="O420" s="16"/>
      <c r="P420" s="16"/>
      <c r="Q420" s="16"/>
      <c r="R420" s="16"/>
      <c r="S420" s="16"/>
      <c r="T420" s="16"/>
      <c r="U420" s="16"/>
      <c r="V420" s="16"/>
      <c r="W420" s="16"/>
      <c r="X420" s="16"/>
      <c r="Y420" s="16"/>
      <c r="Z420" s="16"/>
    </row>
    <row r="421" spans="1:26" ht="15.75" customHeight="1">
      <c r="A421" s="103"/>
      <c r="B421" s="103"/>
      <c r="C421" s="104"/>
      <c r="D421" s="103"/>
      <c r="E421" s="103"/>
      <c r="F421" s="103"/>
      <c r="G421" s="103"/>
      <c r="H421" s="103"/>
      <c r="I421" s="103"/>
      <c r="J421" s="103"/>
      <c r="K421" s="16"/>
      <c r="L421" s="16"/>
      <c r="M421" s="16"/>
      <c r="N421" s="16"/>
      <c r="O421" s="16"/>
      <c r="P421" s="16"/>
      <c r="Q421" s="16"/>
      <c r="R421" s="16"/>
      <c r="S421" s="16"/>
      <c r="T421" s="16"/>
      <c r="U421" s="16"/>
      <c r="V421" s="16"/>
      <c r="W421" s="16"/>
      <c r="X421" s="16"/>
      <c r="Y421" s="16"/>
      <c r="Z421" s="16"/>
    </row>
    <row r="422" spans="1:26" ht="15.75" customHeight="1">
      <c r="A422" s="103"/>
      <c r="B422" s="103"/>
      <c r="C422" s="104"/>
      <c r="D422" s="103"/>
      <c r="E422" s="103"/>
      <c r="F422" s="103"/>
      <c r="G422" s="103"/>
      <c r="H422" s="103"/>
      <c r="I422" s="103"/>
      <c r="J422" s="103"/>
      <c r="K422" s="16"/>
      <c r="L422" s="16"/>
      <c r="M422" s="16"/>
      <c r="N422" s="16"/>
      <c r="O422" s="16"/>
      <c r="P422" s="16"/>
      <c r="Q422" s="16"/>
      <c r="R422" s="16"/>
      <c r="S422" s="16"/>
      <c r="T422" s="16"/>
      <c r="U422" s="16"/>
      <c r="V422" s="16"/>
      <c r="W422" s="16"/>
      <c r="X422" s="16"/>
      <c r="Y422" s="16"/>
      <c r="Z422" s="16"/>
    </row>
    <row r="423" spans="1:26" ht="15.75" customHeight="1">
      <c r="A423" s="103"/>
      <c r="B423" s="103"/>
      <c r="C423" s="104"/>
      <c r="D423" s="103"/>
      <c r="E423" s="103"/>
      <c r="F423" s="103"/>
      <c r="G423" s="103"/>
      <c r="H423" s="103"/>
      <c r="I423" s="103"/>
      <c r="J423" s="103"/>
      <c r="K423" s="16"/>
      <c r="L423" s="16"/>
      <c r="M423" s="16"/>
      <c r="N423" s="16"/>
      <c r="O423" s="16"/>
      <c r="P423" s="16"/>
      <c r="Q423" s="16"/>
      <c r="R423" s="16"/>
      <c r="S423" s="16"/>
      <c r="T423" s="16"/>
      <c r="U423" s="16"/>
      <c r="V423" s="16"/>
      <c r="W423" s="16"/>
      <c r="X423" s="16"/>
      <c r="Y423" s="16"/>
      <c r="Z423" s="16"/>
    </row>
    <row r="424" spans="1:26" ht="15.75" customHeight="1">
      <c r="A424" s="103"/>
      <c r="B424" s="103"/>
      <c r="C424" s="104"/>
      <c r="D424" s="103"/>
      <c r="E424" s="103"/>
      <c r="F424" s="103"/>
      <c r="G424" s="103"/>
      <c r="H424" s="103"/>
      <c r="I424" s="103"/>
      <c r="J424" s="103"/>
      <c r="K424" s="16"/>
      <c r="L424" s="16"/>
      <c r="M424" s="16"/>
      <c r="N424" s="16"/>
      <c r="O424" s="16"/>
      <c r="P424" s="16"/>
      <c r="Q424" s="16"/>
      <c r="R424" s="16"/>
      <c r="S424" s="16"/>
      <c r="T424" s="16"/>
      <c r="U424" s="16"/>
      <c r="V424" s="16"/>
      <c r="W424" s="16"/>
      <c r="X424" s="16"/>
      <c r="Y424" s="16"/>
      <c r="Z424" s="16"/>
    </row>
    <row r="425" spans="1:26" ht="15.75" customHeight="1">
      <c r="A425" s="103"/>
      <c r="B425" s="103"/>
      <c r="C425" s="104"/>
      <c r="D425" s="103"/>
      <c r="E425" s="103"/>
      <c r="F425" s="103"/>
      <c r="G425" s="103"/>
      <c r="H425" s="103"/>
      <c r="I425" s="103"/>
      <c r="J425" s="103"/>
      <c r="K425" s="16"/>
      <c r="L425" s="16"/>
      <c r="M425" s="16"/>
      <c r="N425" s="16"/>
      <c r="O425" s="16"/>
      <c r="P425" s="16"/>
      <c r="Q425" s="16"/>
      <c r="R425" s="16"/>
      <c r="S425" s="16"/>
      <c r="T425" s="16"/>
      <c r="U425" s="16"/>
      <c r="V425" s="16"/>
      <c r="W425" s="16"/>
      <c r="X425" s="16"/>
      <c r="Y425" s="16"/>
      <c r="Z425" s="16"/>
    </row>
    <row r="426" spans="1:26" ht="15.75" customHeight="1">
      <c r="A426" s="103"/>
      <c r="B426" s="103"/>
      <c r="C426" s="104"/>
      <c r="D426" s="103"/>
      <c r="E426" s="103"/>
      <c r="F426" s="103"/>
      <c r="G426" s="103"/>
      <c r="H426" s="103"/>
      <c r="I426" s="103"/>
      <c r="J426" s="103"/>
      <c r="K426" s="16"/>
      <c r="L426" s="16"/>
      <c r="M426" s="16"/>
      <c r="N426" s="16"/>
      <c r="O426" s="16"/>
      <c r="P426" s="16"/>
      <c r="Q426" s="16"/>
      <c r="R426" s="16"/>
      <c r="S426" s="16"/>
      <c r="T426" s="16"/>
      <c r="U426" s="16"/>
      <c r="V426" s="16"/>
      <c r="W426" s="16"/>
      <c r="X426" s="16"/>
      <c r="Y426" s="16"/>
      <c r="Z426" s="16"/>
    </row>
    <row r="427" spans="1:26" ht="15.75" customHeight="1">
      <c r="A427" s="103"/>
      <c r="B427" s="103"/>
      <c r="C427" s="104"/>
      <c r="D427" s="103"/>
      <c r="E427" s="103"/>
      <c r="F427" s="103"/>
      <c r="G427" s="103"/>
      <c r="H427" s="103"/>
      <c r="I427" s="103"/>
      <c r="J427" s="103"/>
      <c r="K427" s="16"/>
      <c r="L427" s="16"/>
      <c r="M427" s="16"/>
      <c r="N427" s="16"/>
      <c r="O427" s="16"/>
      <c r="P427" s="16"/>
      <c r="Q427" s="16"/>
      <c r="R427" s="16"/>
      <c r="S427" s="16"/>
      <c r="T427" s="16"/>
      <c r="U427" s="16"/>
      <c r="V427" s="16"/>
      <c r="W427" s="16"/>
      <c r="X427" s="16"/>
      <c r="Y427" s="16"/>
      <c r="Z427" s="16"/>
    </row>
    <row r="428" spans="1:26" ht="15.75" customHeight="1">
      <c r="A428" s="103"/>
      <c r="B428" s="103"/>
      <c r="C428" s="104"/>
      <c r="D428" s="103"/>
      <c r="E428" s="103"/>
      <c r="F428" s="103"/>
      <c r="G428" s="103"/>
      <c r="H428" s="103"/>
      <c r="I428" s="103"/>
      <c r="J428" s="103"/>
      <c r="K428" s="16"/>
      <c r="L428" s="16"/>
      <c r="M428" s="16"/>
      <c r="N428" s="16"/>
      <c r="O428" s="16"/>
      <c r="P428" s="16"/>
      <c r="Q428" s="16"/>
      <c r="R428" s="16"/>
      <c r="S428" s="16"/>
      <c r="T428" s="16"/>
      <c r="U428" s="16"/>
      <c r="V428" s="16"/>
      <c r="W428" s="16"/>
      <c r="X428" s="16"/>
      <c r="Y428" s="16"/>
      <c r="Z428" s="16"/>
    </row>
    <row r="429" spans="1:26" ht="15.75" customHeight="1">
      <c r="A429" s="103"/>
      <c r="B429" s="103"/>
      <c r="C429" s="104"/>
      <c r="D429" s="103"/>
      <c r="E429" s="103"/>
      <c r="F429" s="103"/>
      <c r="G429" s="103"/>
      <c r="H429" s="103"/>
      <c r="I429" s="103"/>
      <c r="J429" s="103"/>
      <c r="K429" s="16"/>
      <c r="L429" s="16"/>
      <c r="M429" s="16"/>
      <c r="N429" s="16"/>
      <c r="O429" s="16"/>
      <c r="P429" s="16"/>
      <c r="Q429" s="16"/>
      <c r="R429" s="16"/>
      <c r="S429" s="16"/>
      <c r="T429" s="16"/>
      <c r="U429" s="16"/>
      <c r="V429" s="16"/>
      <c r="W429" s="16"/>
      <c r="X429" s="16"/>
      <c r="Y429" s="16"/>
      <c r="Z429" s="16"/>
    </row>
    <row r="430" spans="1:26" ht="15.75" customHeight="1">
      <c r="A430" s="103"/>
      <c r="B430" s="103"/>
      <c r="C430" s="104"/>
      <c r="D430" s="103"/>
      <c r="E430" s="103"/>
      <c r="F430" s="103"/>
      <c r="G430" s="103"/>
      <c r="H430" s="103"/>
      <c r="I430" s="103"/>
      <c r="J430" s="103"/>
      <c r="K430" s="16"/>
      <c r="L430" s="16"/>
      <c r="M430" s="16"/>
      <c r="N430" s="16"/>
      <c r="O430" s="16"/>
      <c r="P430" s="16"/>
      <c r="Q430" s="16"/>
      <c r="R430" s="16"/>
      <c r="S430" s="16"/>
      <c r="T430" s="16"/>
      <c r="U430" s="16"/>
      <c r="V430" s="16"/>
      <c r="W430" s="16"/>
      <c r="X430" s="16"/>
      <c r="Y430" s="16"/>
      <c r="Z430" s="16"/>
    </row>
    <row r="431" spans="1:26" ht="15.75" customHeight="1">
      <c r="A431" s="103"/>
      <c r="B431" s="103"/>
      <c r="C431" s="104"/>
      <c r="D431" s="103"/>
      <c r="E431" s="103"/>
      <c r="F431" s="103"/>
      <c r="G431" s="103"/>
      <c r="H431" s="103"/>
      <c r="I431" s="103"/>
      <c r="J431" s="103"/>
      <c r="K431" s="16"/>
      <c r="L431" s="16"/>
      <c r="M431" s="16"/>
      <c r="N431" s="16"/>
      <c r="O431" s="16"/>
      <c r="P431" s="16"/>
      <c r="Q431" s="16"/>
      <c r="R431" s="16"/>
      <c r="S431" s="16"/>
      <c r="T431" s="16"/>
      <c r="U431" s="16"/>
      <c r="V431" s="16"/>
      <c r="W431" s="16"/>
      <c r="X431" s="16"/>
      <c r="Y431" s="16"/>
      <c r="Z431" s="16"/>
    </row>
    <row r="432" spans="1:26" ht="15.75" customHeight="1">
      <c r="A432" s="103"/>
      <c r="B432" s="103"/>
      <c r="C432" s="104"/>
      <c r="D432" s="103"/>
      <c r="E432" s="103"/>
      <c r="F432" s="103"/>
      <c r="G432" s="103"/>
      <c r="H432" s="103"/>
      <c r="I432" s="103"/>
      <c r="J432" s="103"/>
      <c r="K432" s="16"/>
      <c r="L432" s="16"/>
      <c r="M432" s="16"/>
      <c r="N432" s="16"/>
      <c r="O432" s="16"/>
      <c r="P432" s="16"/>
      <c r="Q432" s="16"/>
      <c r="R432" s="16"/>
      <c r="S432" s="16"/>
      <c r="T432" s="16"/>
      <c r="U432" s="16"/>
      <c r="V432" s="16"/>
      <c r="W432" s="16"/>
      <c r="X432" s="16"/>
      <c r="Y432" s="16"/>
      <c r="Z432" s="16"/>
    </row>
    <row r="433" spans="1:26" ht="15.75" customHeight="1">
      <c r="A433" s="103"/>
      <c r="B433" s="103"/>
      <c r="C433" s="104"/>
      <c r="D433" s="103"/>
      <c r="E433" s="103"/>
      <c r="F433" s="103"/>
      <c r="G433" s="103"/>
      <c r="H433" s="103"/>
      <c r="I433" s="103"/>
      <c r="J433" s="103"/>
      <c r="K433" s="16"/>
      <c r="L433" s="16"/>
      <c r="M433" s="16"/>
      <c r="N433" s="16"/>
      <c r="O433" s="16"/>
      <c r="P433" s="16"/>
      <c r="Q433" s="16"/>
      <c r="R433" s="16"/>
      <c r="S433" s="16"/>
      <c r="T433" s="16"/>
      <c r="U433" s="16"/>
      <c r="V433" s="16"/>
      <c r="W433" s="16"/>
      <c r="X433" s="16"/>
      <c r="Y433" s="16"/>
      <c r="Z433" s="16"/>
    </row>
    <row r="434" spans="1:26" ht="15.75" customHeight="1">
      <c r="A434" s="103"/>
      <c r="B434" s="103"/>
      <c r="C434" s="104"/>
      <c r="D434" s="103"/>
      <c r="E434" s="103"/>
      <c r="F434" s="103"/>
      <c r="G434" s="103"/>
      <c r="H434" s="103"/>
      <c r="I434" s="103"/>
      <c r="J434" s="103"/>
      <c r="K434" s="16"/>
      <c r="L434" s="16"/>
      <c r="M434" s="16"/>
      <c r="N434" s="16"/>
      <c r="O434" s="16"/>
      <c r="P434" s="16"/>
      <c r="Q434" s="16"/>
      <c r="R434" s="16"/>
      <c r="S434" s="16"/>
      <c r="T434" s="16"/>
      <c r="U434" s="16"/>
      <c r="V434" s="16"/>
      <c r="W434" s="16"/>
      <c r="X434" s="16"/>
      <c r="Y434" s="16"/>
      <c r="Z434" s="16"/>
    </row>
    <row r="435" spans="1:26" ht="15.75" customHeight="1">
      <c r="A435" s="103"/>
      <c r="B435" s="103"/>
      <c r="C435" s="104"/>
      <c r="D435" s="103"/>
      <c r="E435" s="103"/>
      <c r="F435" s="103"/>
      <c r="G435" s="103"/>
      <c r="H435" s="103"/>
      <c r="I435" s="103"/>
      <c r="J435" s="103"/>
      <c r="K435" s="16"/>
      <c r="L435" s="16"/>
      <c r="M435" s="16"/>
      <c r="N435" s="16"/>
      <c r="O435" s="16"/>
      <c r="P435" s="16"/>
      <c r="Q435" s="16"/>
      <c r="R435" s="16"/>
      <c r="S435" s="16"/>
      <c r="T435" s="16"/>
      <c r="U435" s="16"/>
      <c r="V435" s="16"/>
      <c r="W435" s="16"/>
      <c r="X435" s="16"/>
      <c r="Y435" s="16"/>
      <c r="Z435" s="16"/>
    </row>
    <row r="436" spans="1:26" ht="15.75" customHeight="1">
      <c r="A436" s="103"/>
      <c r="B436" s="103"/>
      <c r="C436" s="104"/>
      <c r="D436" s="103"/>
      <c r="E436" s="103"/>
      <c r="F436" s="103"/>
      <c r="G436" s="103"/>
      <c r="H436" s="103"/>
      <c r="I436" s="103"/>
      <c r="J436" s="103"/>
      <c r="K436" s="16"/>
      <c r="L436" s="16"/>
      <c r="M436" s="16"/>
      <c r="N436" s="16"/>
      <c r="O436" s="16"/>
      <c r="P436" s="16"/>
      <c r="Q436" s="16"/>
      <c r="R436" s="16"/>
      <c r="S436" s="16"/>
      <c r="T436" s="16"/>
      <c r="U436" s="16"/>
      <c r="V436" s="16"/>
      <c r="W436" s="16"/>
      <c r="X436" s="16"/>
      <c r="Y436" s="16"/>
      <c r="Z436" s="16"/>
    </row>
    <row r="437" spans="1:26" ht="15.75" customHeight="1">
      <c r="A437" s="103"/>
      <c r="B437" s="103"/>
      <c r="C437" s="104"/>
      <c r="D437" s="103"/>
      <c r="E437" s="103"/>
      <c r="F437" s="103"/>
      <c r="G437" s="103"/>
      <c r="H437" s="103"/>
      <c r="I437" s="103"/>
      <c r="J437" s="103"/>
      <c r="K437" s="16"/>
      <c r="L437" s="16"/>
      <c r="M437" s="16"/>
      <c r="N437" s="16"/>
      <c r="O437" s="16"/>
      <c r="P437" s="16"/>
      <c r="Q437" s="16"/>
      <c r="R437" s="16"/>
      <c r="S437" s="16"/>
      <c r="T437" s="16"/>
      <c r="U437" s="16"/>
      <c r="V437" s="16"/>
      <c r="W437" s="16"/>
      <c r="X437" s="16"/>
      <c r="Y437" s="16"/>
      <c r="Z437" s="16"/>
    </row>
    <row r="438" spans="1:26" ht="15.75" customHeight="1">
      <c r="A438" s="103"/>
      <c r="B438" s="103"/>
      <c r="C438" s="104"/>
      <c r="D438" s="103"/>
      <c r="E438" s="103"/>
      <c r="F438" s="103"/>
      <c r="G438" s="103"/>
      <c r="H438" s="103"/>
      <c r="I438" s="103"/>
      <c r="J438" s="103"/>
      <c r="K438" s="16"/>
      <c r="L438" s="16"/>
      <c r="M438" s="16"/>
      <c r="N438" s="16"/>
      <c r="O438" s="16"/>
      <c r="P438" s="16"/>
      <c r="Q438" s="16"/>
      <c r="R438" s="16"/>
      <c r="S438" s="16"/>
      <c r="T438" s="16"/>
      <c r="U438" s="16"/>
      <c r="V438" s="16"/>
      <c r="W438" s="16"/>
      <c r="X438" s="16"/>
      <c r="Y438" s="16"/>
      <c r="Z438" s="16"/>
    </row>
    <row r="439" spans="1:26" ht="15.75" customHeight="1">
      <c r="A439" s="103"/>
      <c r="B439" s="103"/>
      <c r="C439" s="104"/>
      <c r="D439" s="103"/>
      <c r="E439" s="103"/>
      <c r="F439" s="103"/>
      <c r="G439" s="103"/>
      <c r="H439" s="103"/>
      <c r="I439" s="103"/>
      <c r="J439" s="103"/>
      <c r="K439" s="16"/>
      <c r="L439" s="16"/>
      <c r="M439" s="16"/>
      <c r="N439" s="16"/>
      <c r="O439" s="16"/>
      <c r="P439" s="16"/>
      <c r="Q439" s="16"/>
      <c r="R439" s="16"/>
      <c r="S439" s="16"/>
      <c r="T439" s="16"/>
      <c r="U439" s="16"/>
      <c r="V439" s="16"/>
      <c r="W439" s="16"/>
      <c r="X439" s="16"/>
      <c r="Y439" s="16"/>
      <c r="Z439" s="16"/>
    </row>
    <row r="440" spans="1:26" ht="15.75" customHeight="1">
      <c r="A440" s="103"/>
      <c r="B440" s="103"/>
      <c r="C440" s="104"/>
      <c r="D440" s="103"/>
      <c r="E440" s="103"/>
      <c r="F440" s="103"/>
      <c r="G440" s="103"/>
      <c r="H440" s="103"/>
      <c r="I440" s="103"/>
      <c r="J440" s="103"/>
      <c r="K440" s="16"/>
      <c r="L440" s="16"/>
      <c r="M440" s="16"/>
      <c r="N440" s="16"/>
      <c r="O440" s="16"/>
      <c r="P440" s="16"/>
      <c r="Q440" s="16"/>
      <c r="R440" s="16"/>
      <c r="S440" s="16"/>
      <c r="T440" s="16"/>
      <c r="U440" s="16"/>
      <c r="V440" s="16"/>
      <c r="W440" s="16"/>
      <c r="X440" s="16"/>
      <c r="Y440" s="16"/>
      <c r="Z440" s="16"/>
    </row>
    <row r="441" spans="1:26" ht="15.75" customHeight="1">
      <c r="A441" s="103"/>
      <c r="B441" s="103"/>
      <c r="C441" s="104"/>
      <c r="D441" s="103"/>
      <c r="E441" s="103"/>
      <c r="F441" s="103"/>
      <c r="G441" s="103"/>
      <c r="H441" s="103"/>
      <c r="I441" s="103"/>
      <c r="J441" s="103"/>
      <c r="K441" s="16"/>
      <c r="L441" s="16"/>
      <c r="M441" s="16"/>
      <c r="N441" s="16"/>
      <c r="O441" s="16"/>
      <c r="P441" s="16"/>
      <c r="Q441" s="16"/>
      <c r="R441" s="16"/>
      <c r="S441" s="16"/>
      <c r="T441" s="16"/>
      <c r="U441" s="16"/>
      <c r="V441" s="16"/>
      <c r="W441" s="16"/>
      <c r="X441" s="16"/>
      <c r="Y441" s="16"/>
      <c r="Z441" s="16"/>
    </row>
    <row r="442" spans="1:26" ht="15.75" customHeight="1">
      <c r="A442" s="103"/>
      <c r="B442" s="103"/>
      <c r="C442" s="104"/>
      <c r="D442" s="103"/>
      <c r="E442" s="103"/>
      <c r="F442" s="103"/>
      <c r="G442" s="103"/>
      <c r="H442" s="103"/>
      <c r="I442" s="103"/>
      <c r="J442" s="103"/>
      <c r="K442" s="16"/>
      <c r="L442" s="16"/>
      <c r="M442" s="16"/>
      <c r="N442" s="16"/>
      <c r="O442" s="16"/>
      <c r="P442" s="16"/>
      <c r="Q442" s="16"/>
      <c r="R442" s="16"/>
      <c r="S442" s="16"/>
      <c r="T442" s="16"/>
      <c r="U442" s="16"/>
      <c r="V442" s="16"/>
      <c r="W442" s="16"/>
      <c r="X442" s="16"/>
      <c r="Y442" s="16"/>
      <c r="Z442" s="16"/>
    </row>
    <row r="443" spans="1:26" ht="15.75" customHeight="1">
      <c r="A443" s="103"/>
      <c r="B443" s="103"/>
      <c r="C443" s="104"/>
      <c r="D443" s="103"/>
      <c r="E443" s="103"/>
      <c r="F443" s="103"/>
      <c r="G443" s="103"/>
      <c r="H443" s="103"/>
      <c r="I443" s="103"/>
      <c r="J443" s="103"/>
      <c r="K443" s="16"/>
      <c r="L443" s="16"/>
      <c r="M443" s="16"/>
      <c r="N443" s="16"/>
      <c r="O443" s="16"/>
      <c r="P443" s="16"/>
      <c r="Q443" s="16"/>
      <c r="R443" s="16"/>
      <c r="S443" s="16"/>
      <c r="T443" s="16"/>
      <c r="U443" s="16"/>
      <c r="V443" s="16"/>
      <c r="W443" s="16"/>
      <c r="X443" s="16"/>
      <c r="Y443" s="16"/>
      <c r="Z443" s="16"/>
    </row>
    <row r="444" spans="1:26" ht="15.75" customHeight="1">
      <c r="A444" s="103"/>
      <c r="B444" s="103"/>
      <c r="C444" s="104"/>
      <c r="D444" s="103"/>
      <c r="E444" s="103"/>
      <c r="F444" s="103"/>
      <c r="G444" s="103"/>
      <c r="H444" s="103"/>
      <c r="I444" s="103"/>
      <c r="J444" s="103"/>
      <c r="K444" s="16"/>
      <c r="L444" s="16"/>
      <c r="M444" s="16"/>
      <c r="N444" s="16"/>
      <c r="O444" s="16"/>
      <c r="P444" s="16"/>
      <c r="Q444" s="16"/>
      <c r="R444" s="16"/>
      <c r="S444" s="16"/>
      <c r="T444" s="16"/>
      <c r="U444" s="16"/>
      <c r="V444" s="16"/>
      <c r="W444" s="16"/>
      <c r="X444" s="16"/>
      <c r="Y444" s="16"/>
      <c r="Z444" s="16"/>
    </row>
    <row r="445" spans="1:26" ht="15.75" customHeight="1">
      <c r="A445" s="103"/>
      <c r="B445" s="103"/>
      <c r="C445" s="104"/>
      <c r="D445" s="103"/>
      <c r="E445" s="103"/>
      <c r="F445" s="103"/>
      <c r="G445" s="103"/>
      <c r="H445" s="103"/>
      <c r="I445" s="103"/>
      <c r="J445" s="103"/>
      <c r="K445" s="16"/>
      <c r="L445" s="16"/>
      <c r="M445" s="16"/>
      <c r="N445" s="16"/>
      <c r="O445" s="16"/>
      <c r="P445" s="16"/>
      <c r="Q445" s="16"/>
      <c r="R445" s="16"/>
      <c r="S445" s="16"/>
      <c r="T445" s="16"/>
      <c r="U445" s="16"/>
      <c r="V445" s="16"/>
      <c r="W445" s="16"/>
      <c r="X445" s="16"/>
      <c r="Y445" s="16"/>
      <c r="Z445" s="16"/>
    </row>
    <row r="446" spans="1:26" ht="15.75" customHeight="1">
      <c r="A446" s="103"/>
      <c r="B446" s="103"/>
      <c r="C446" s="104"/>
      <c r="D446" s="103"/>
      <c r="E446" s="103"/>
      <c r="F446" s="103"/>
      <c r="G446" s="103"/>
      <c r="H446" s="103"/>
      <c r="I446" s="103"/>
      <c r="J446" s="103"/>
      <c r="K446" s="16"/>
      <c r="L446" s="16"/>
      <c r="M446" s="16"/>
      <c r="N446" s="16"/>
      <c r="O446" s="16"/>
      <c r="P446" s="16"/>
      <c r="Q446" s="16"/>
      <c r="R446" s="16"/>
      <c r="S446" s="16"/>
      <c r="T446" s="16"/>
      <c r="U446" s="16"/>
      <c r="V446" s="16"/>
      <c r="W446" s="16"/>
      <c r="X446" s="16"/>
      <c r="Y446" s="16"/>
      <c r="Z446" s="16"/>
    </row>
    <row r="447" spans="1:26" ht="15.75" customHeight="1">
      <c r="A447" s="103"/>
      <c r="B447" s="103"/>
      <c r="C447" s="104"/>
      <c r="D447" s="103"/>
      <c r="E447" s="103"/>
      <c r="F447" s="103"/>
      <c r="G447" s="103"/>
      <c r="H447" s="103"/>
      <c r="I447" s="103"/>
      <c r="J447" s="103"/>
      <c r="K447" s="16"/>
      <c r="L447" s="16"/>
      <c r="M447" s="16"/>
      <c r="N447" s="16"/>
      <c r="O447" s="16"/>
      <c r="P447" s="16"/>
      <c r="Q447" s="16"/>
      <c r="R447" s="16"/>
      <c r="S447" s="16"/>
      <c r="T447" s="16"/>
      <c r="U447" s="16"/>
      <c r="V447" s="16"/>
      <c r="W447" s="16"/>
      <c r="X447" s="16"/>
      <c r="Y447" s="16"/>
      <c r="Z447" s="16"/>
    </row>
    <row r="448" spans="1:26" ht="15.75" customHeight="1">
      <c r="A448" s="103"/>
      <c r="B448" s="103"/>
      <c r="C448" s="104"/>
      <c r="D448" s="103"/>
      <c r="E448" s="103"/>
      <c r="F448" s="103"/>
      <c r="G448" s="103"/>
      <c r="H448" s="103"/>
      <c r="I448" s="103"/>
      <c r="J448" s="103"/>
      <c r="K448" s="16"/>
      <c r="L448" s="16"/>
      <c r="M448" s="16"/>
      <c r="N448" s="16"/>
      <c r="O448" s="16"/>
      <c r="P448" s="16"/>
      <c r="Q448" s="16"/>
      <c r="R448" s="16"/>
      <c r="S448" s="16"/>
      <c r="T448" s="16"/>
      <c r="U448" s="16"/>
      <c r="V448" s="16"/>
      <c r="W448" s="16"/>
      <c r="X448" s="16"/>
      <c r="Y448" s="16"/>
      <c r="Z448" s="16"/>
    </row>
    <row r="449" spans="1:26" ht="15.75" customHeight="1">
      <c r="A449" s="103"/>
      <c r="B449" s="103"/>
      <c r="C449" s="104"/>
      <c r="D449" s="103"/>
      <c r="E449" s="103"/>
      <c r="F449" s="103"/>
      <c r="G449" s="103"/>
      <c r="H449" s="103"/>
      <c r="I449" s="103"/>
      <c r="J449" s="103"/>
      <c r="K449" s="16"/>
      <c r="L449" s="16"/>
      <c r="M449" s="16"/>
      <c r="N449" s="16"/>
      <c r="O449" s="16"/>
      <c r="P449" s="16"/>
      <c r="Q449" s="16"/>
      <c r="R449" s="16"/>
      <c r="S449" s="16"/>
      <c r="T449" s="16"/>
      <c r="U449" s="16"/>
      <c r="V449" s="16"/>
      <c r="W449" s="16"/>
      <c r="X449" s="16"/>
      <c r="Y449" s="16"/>
      <c r="Z449" s="16"/>
    </row>
    <row r="450" spans="1:26" ht="15.75" customHeight="1">
      <c r="A450" s="103"/>
      <c r="B450" s="103"/>
      <c r="C450" s="104"/>
      <c r="D450" s="103"/>
      <c r="E450" s="103"/>
      <c r="F450" s="103"/>
      <c r="G450" s="103"/>
      <c r="H450" s="103"/>
      <c r="I450" s="103"/>
      <c r="J450" s="103"/>
      <c r="K450" s="16"/>
      <c r="L450" s="16"/>
      <c r="M450" s="16"/>
      <c r="N450" s="16"/>
      <c r="O450" s="16"/>
      <c r="P450" s="16"/>
      <c r="Q450" s="16"/>
      <c r="R450" s="16"/>
      <c r="S450" s="16"/>
      <c r="T450" s="16"/>
      <c r="U450" s="16"/>
      <c r="V450" s="16"/>
      <c r="W450" s="16"/>
      <c r="X450" s="16"/>
      <c r="Y450" s="16"/>
      <c r="Z450" s="16"/>
    </row>
    <row r="451" spans="1:26" ht="15.75" customHeight="1">
      <c r="A451" s="103"/>
      <c r="B451" s="103"/>
      <c r="C451" s="104"/>
      <c r="D451" s="103"/>
      <c r="E451" s="103"/>
      <c r="F451" s="103"/>
      <c r="G451" s="103"/>
      <c r="H451" s="103"/>
      <c r="I451" s="103"/>
      <c r="J451" s="103"/>
      <c r="K451" s="16"/>
      <c r="L451" s="16"/>
      <c r="M451" s="16"/>
      <c r="N451" s="16"/>
      <c r="O451" s="16"/>
      <c r="P451" s="16"/>
      <c r="Q451" s="16"/>
      <c r="R451" s="16"/>
      <c r="S451" s="16"/>
      <c r="T451" s="16"/>
      <c r="U451" s="16"/>
      <c r="V451" s="16"/>
      <c r="W451" s="16"/>
      <c r="X451" s="16"/>
      <c r="Y451" s="16"/>
      <c r="Z451" s="16"/>
    </row>
    <row r="452" spans="1:26" ht="15.75" customHeight="1">
      <c r="A452" s="103"/>
      <c r="B452" s="103"/>
      <c r="C452" s="104"/>
      <c r="D452" s="103"/>
      <c r="E452" s="103"/>
      <c r="F452" s="103"/>
      <c r="G452" s="103"/>
      <c r="H452" s="103"/>
      <c r="I452" s="103"/>
      <c r="J452" s="103"/>
      <c r="K452" s="16"/>
      <c r="L452" s="16"/>
      <c r="M452" s="16"/>
      <c r="N452" s="16"/>
      <c r="O452" s="16"/>
      <c r="P452" s="16"/>
      <c r="Q452" s="16"/>
      <c r="R452" s="16"/>
      <c r="S452" s="16"/>
      <c r="T452" s="16"/>
      <c r="U452" s="16"/>
      <c r="V452" s="16"/>
      <c r="W452" s="16"/>
      <c r="X452" s="16"/>
      <c r="Y452" s="16"/>
      <c r="Z452" s="16"/>
    </row>
    <row r="453" spans="1:26" ht="15.75" customHeight="1">
      <c r="A453" s="103"/>
      <c r="B453" s="103"/>
      <c r="C453" s="104"/>
      <c r="D453" s="103"/>
      <c r="E453" s="103"/>
      <c r="F453" s="103"/>
      <c r="G453" s="103"/>
      <c r="H453" s="103"/>
      <c r="I453" s="103"/>
      <c r="J453" s="103"/>
      <c r="K453" s="16"/>
      <c r="L453" s="16"/>
      <c r="M453" s="16"/>
      <c r="N453" s="16"/>
      <c r="O453" s="16"/>
      <c r="P453" s="16"/>
      <c r="Q453" s="16"/>
      <c r="R453" s="16"/>
      <c r="S453" s="16"/>
      <c r="T453" s="16"/>
      <c r="U453" s="16"/>
      <c r="V453" s="16"/>
      <c r="W453" s="16"/>
      <c r="X453" s="16"/>
      <c r="Y453" s="16"/>
      <c r="Z453" s="16"/>
    </row>
    <row r="454" spans="1:26" ht="15.75" customHeight="1">
      <c r="A454" s="103"/>
      <c r="B454" s="103"/>
      <c r="C454" s="104"/>
      <c r="D454" s="103"/>
      <c r="E454" s="103"/>
      <c r="F454" s="103"/>
      <c r="G454" s="103"/>
      <c r="H454" s="103"/>
      <c r="I454" s="103"/>
      <c r="J454" s="103"/>
      <c r="K454" s="16"/>
      <c r="L454" s="16"/>
      <c r="M454" s="16"/>
      <c r="N454" s="16"/>
      <c r="O454" s="16"/>
      <c r="P454" s="16"/>
      <c r="Q454" s="16"/>
      <c r="R454" s="16"/>
      <c r="S454" s="16"/>
      <c r="T454" s="16"/>
      <c r="U454" s="16"/>
      <c r="V454" s="16"/>
      <c r="W454" s="16"/>
      <c r="X454" s="16"/>
      <c r="Y454" s="16"/>
      <c r="Z454" s="16"/>
    </row>
    <row r="455" spans="1:26" ht="15.75" customHeight="1">
      <c r="A455" s="103"/>
      <c r="B455" s="103"/>
      <c r="C455" s="104"/>
      <c r="D455" s="103"/>
      <c r="E455" s="103"/>
      <c r="F455" s="103"/>
      <c r="G455" s="103"/>
      <c r="H455" s="103"/>
      <c r="I455" s="103"/>
      <c r="J455" s="103"/>
      <c r="K455" s="16"/>
      <c r="L455" s="16"/>
      <c r="M455" s="16"/>
      <c r="N455" s="16"/>
      <c r="O455" s="16"/>
      <c r="P455" s="16"/>
      <c r="Q455" s="16"/>
      <c r="R455" s="16"/>
      <c r="S455" s="16"/>
      <c r="T455" s="16"/>
      <c r="U455" s="16"/>
      <c r="V455" s="16"/>
      <c r="W455" s="16"/>
      <c r="X455" s="16"/>
      <c r="Y455" s="16"/>
      <c r="Z455" s="16"/>
    </row>
    <row r="456" spans="1:26" ht="15.75" customHeight="1">
      <c r="A456" s="103"/>
      <c r="B456" s="103"/>
      <c r="C456" s="104"/>
      <c r="D456" s="103"/>
      <c r="E456" s="103"/>
      <c r="F456" s="103"/>
      <c r="G456" s="103"/>
      <c r="H456" s="103"/>
      <c r="I456" s="103"/>
      <c r="J456" s="103"/>
      <c r="K456" s="16"/>
      <c r="L456" s="16"/>
      <c r="M456" s="16"/>
      <c r="N456" s="16"/>
      <c r="O456" s="16"/>
      <c r="P456" s="16"/>
      <c r="Q456" s="16"/>
      <c r="R456" s="16"/>
      <c r="S456" s="16"/>
      <c r="T456" s="16"/>
      <c r="U456" s="16"/>
      <c r="V456" s="16"/>
      <c r="W456" s="16"/>
      <c r="X456" s="16"/>
      <c r="Y456" s="16"/>
      <c r="Z456" s="16"/>
    </row>
    <row r="457" spans="1:26" ht="15.75" customHeight="1">
      <c r="A457" s="103"/>
      <c r="B457" s="103"/>
      <c r="C457" s="104"/>
      <c r="D457" s="103"/>
      <c r="E457" s="103"/>
      <c r="F457" s="103"/>
      <c r="G457" s="103"/>
      <c r="H457" s="103"/>
      <c r="I457" s="103"/>
      <c r="J457" s="103"/>
      <c r="K457" s="16"/>
      <c r="L457" s="16"/>
      <c r="M457" s="16"/>
      <c r="N457" s="16"/>
      <c r="O457" s="16"/>
      <c r="P457" s="16"/>
      <c r="Q457" s="16"/>
      <c r="R457" s="16"/>
      <c r="S457" s="16"/>
      <c r="T457" s="16"/>
      <c r="U457" s="16"/>
      <c r="V457" s="16"/>
      <c r="W457" s="16"/>
      <c r="X457" s="16"/>
      <c r="Y457" s="16"/>
      <c r="Z457" s="16"/>
    </row>
    <row r="458" spans="1:26" ht="15.75" customHeight="1">
      <c r="A458" s="103"/>
      <c r="B458" s="103"/>
      <c r="C458" s="104"/>
      <c r="D458" s="103"/>
      <c r="E458" s="103"/>
      <c r="F458" s="103"/>
      <c r="G458" s="103"/>
      <c r="H458" s="103"/>
      <c r="I458" s="103"/>
      <c r="J458" s="103"/>
      <c r="K458" s="16"/>
      <c r="L458" s="16"/>
      <c r="M458" s="16"/>
      <c r="N458" s="16"/>
      <c r="O458" s="16"/>
      <c r="P458" s="16"/>
      <c r="Q458" s="16"/>
      <c r="R458" s="16"/>
      <c r="S458" s="16"/>
      <c r="T458" s="16"/>
      <c r="U458" s="16"/>
      <c r="V458" s="16"/>
      <c r="W458" s="16"/>
      <c r="X458" s="16"/>
      <c r="Y458" s="16"/>
      <c r="Z458" s="16"/>
    </row>
    <row r="459" spans="1:26" ht="15.75" customHeight="1">
      <c r="A459" s="103"/>
      <c r="B459" s="103"/>
      <c r="C459" s="104"/>
      <c r="D459" s="103"/>
      <c r="E459" s="103"/>
      <c r="F459" s="103"/>
      <c r="G459" s="103"/>
      <c r="H459" s="103"/>
      <c r="I459" s="103"/>
      <c r="J459" s="103"/>
      <c r="K459" s="16"/>
      <c r="L459" s="16"/>
      <c r="M459" s="16"/>
      <c r="N459" s="16"/>
      <c r="O459" s="16"/>
      <c r="P459" s="16"/>
      <c r="Q459" s="16"/>
      <c r="R459" s="16"/>
      <c r="S459" s="16"/>
      <c r="T459" s="16"/>
      <c r="U459" s="16"/>
      <c r="V459" s="16"/>
      <c r="W459" s="16"/>
      <c r="X459" s="16"/>
      <c r="Y459" s="16"/>
      <c r="Z459" s="16"/>
    </row>
    <row r="460" spans="1:26" ht="15.75" customHeight="1">
      <c r="A460" s="103"/>
      <c r="B460" s="103"/>
      <c r="C460" s="104"/>
      <c r="D460" s="103"/>
      <c r="E460" s="103"/>
      <c r="F460" s="103"/>
      <c r="G460" s="103"/>
      <c r="H460" s="103"/>
      <c r="I460" s="103"/>
      <c r="J460" s="103"/>
      <c r="K460" s="16"/>
      <c r="L460" s="16"/>
      <c r="M460" s="16"/>
      <c r="N460" s="16"/>
      <c r="O460" s="16"/>
      <c r="P460" s="16"/>
      <c r="Q460" s="16"/>
      <c r="R460" s="16"/>
      <c r="S460" s="16"/>
      <c r="T460" s="16"/>
      <c r="U460" s="16"/>
      <c r="V460" s="16"/>
      <c r="W460" s="16"/>
      <c r="X460" s="16"/>
      <c r="Y460" s="16"/>
      <c r="Z460" s="16"/>
    </row>
    <row r="461" spans="1:26" ht="15.75" customHeight="1">
      <c r="A461" s="103"/>
      <c r="B461" s="103"/>
      <c r="C461" s="104"/>
      <c r="D461" s="103"/>
      <c r="E461" s="103"/>
      <c r="F461" s="103"/>
      <c r="G461" s="103"/>
      <c r="H461" s="103"/>
      <c r="I461" s="103"/>
      <c r="J461" s="103"/>
      <c r="K461" s="16"/>
      <c r="L461" s="16"/>
      <c r="M461" s="16"/>
      <c r="N461" s="16"/>
      <c r="O461" s="16"/>
      <c r="P461" s="16"/>
      <c r="Q461" s="16"/>
      <c r="R461" s="16"/>
      <c r="S461" s="16"/>
      <c r="T461" s="16"/>
      <c r="U461" s="16"/>
      <c r="V461" s="16"/>
      <c r="W461" s="16"/>
      <c r="X461" s="16"/>
      <c r="Y461" s="16"/>
      <c r="Z461" s="16"/>
    </row>
    <row r="462" spans="1:26" ht="15.75" customHeight="1">
      <c r="A462" s="103"/>
      <c r="B462" s="103"/>
      <c r="C462" s="104"/>
      <c r="D462" s="103"/>
      <c r="E462" s="103"/>
      <c r="F462" s="103"/>
      <c r="G462" s="103"/>
      <c r="H462" s="103"/>
      <c r="I462" s="103"/>
      <c r="J462" s="103"/>
      <c r="K462" s="16"/>
      <c r="L462" s="16"/>
      <c r="M462" s="16"/>
      <c r="N462" s="16"/>
      <c r="O462" s="16"/>
      <c r="P462" s="16"/>
      <c r="Q462" s="16"/>
      <c r="R462" s="16"/>
      <c r="S462" s="16"/>
      <c r="T462" s="16"/>
      <c r="U462" s="16"/>
      <c r="V462" s="16"/>
      <c r="W462" s="16"/>
      <c r="X462" s="16"/>
      <c r="Y462" s="16"/>
      <c r="Z462" s="16"/>
    </row>
    <row r="463" spans="1:26" ht="15.75" customHeight="1">
      <c r="A463" s="103"/>
      <c r="B463" s="103"/>
      <c r="C463" s="104"/>
      <c r="D463" s="103"/>
      <c r="E463" s="103"/>
      <c r="F463" s="103"/>
      <c r="G463" s="103"/>
      <c r="H463" s="103"/>
      <c r="I463" s="103"/>
      <c r="J463" s="103"/>
      <c r="K463" s="16"/>
      <c r="L463" s="16"/>
      <c r="M463" s="16"/>
      <c r="N463" s="16"/>
      <c r="O463" s="16"/>
      <c r="P463" s="16"/>
      <c r="Q463" s="16"/>
      <c r="R463" s="16"/>
      <c r="S463" s="16"/>
      <c r="T463" s="16"/>
      <c r="U463" s="16"/>
      <c r="V463" s="16"/>
      <c r="W463" s="16"/>
      <c r="X463" s="16"/>
      <c r="Y463" s="16"/>
      <c r="Z463" s="16"/>
    </row>
    <row r="464" spans="1:26" ht="15.75" customHeight="1">
      <c r="A464" s="103"/>
      <c r="B464" s="103"/>
      <c r="C464" s="104"/>
      <c r="D464" s="103"/>
      <c r="E464" s="103"/>
      <c r="F464" s="103"/>
      <c r="G464" s="103"/>
      <c r="H464" s="103"/>
      <c r="I464" s="103"/>
      <c r="J464" s="103"/>
      <c r="K464" s="16"/>
      <c r="L464" s="16"/>
      <c r="M464" s="16"/>
      <c r="N464" s="16"/>
      <c r="O464" s="16"/>
      <c r="P464" s="16"/>
      <c r="Q464" s="16"/>
      <c r="R464" s="16"/>
      <c r="S464" s="16"/>
      <c r="T464" s="16"/>
      <c r="U464" s="16"/>
      <c r="V464" s="16"/>
      <c r="W464" s="16"/>
      <c r="X464" s="16"/>
      <c r="Y464" s="16"/>
      <c r="Z464" s="16"/>
    </row>
    <row r="465" spans="1:26" ht="15.75" customHeight="1">
      <c r="A465" s="103"/>
      <c r="B465" s="103"/>
      <c r="C465" s="104"/>
      <c r="D465" s="103"/>
      <c r="E465" s="103"/>
      <c r="F465" s="103"/>
      <c r="G465" s="103"/>
      <c r="H465" s="103"/>
      <c r="I465" s="103"/>
      <c r="J465" s="103"/>
      <c r="K465" s="16"/>
      <c r="L465" s="16"/>
      <c r="M465" s="16"/>
      <c r="N465" s="16"/>
      <c r="O465" s="16"/>
      <c r="P465" s="16"/>
      <c r="Q465" s="16"/>
      <c r="R465" s="16"/>
      <c r="S465" s="16"/>
      <c r="T465" s="16"/>
      <c r="U465" s="16"/>
      <c r="V465" s="16"/>
      <c r="W465" s="16"/>
      <c r="X465" s="16"/>
      <c r="Y465" s="16"/>
      <c r="Z465" s="16"/>
    </row>
    <row r="466" spans="1:26" ht="15.75" customHeight="1">
      <c r="A466" s="103"/>
      <c r="B466" s="103"/>
      <c r="C466" s="104"/>
      <c r="D466" s="103"/>
      <c r="E466" s="103"/>
      <c r="F466" s="103"/>
      <c r="G466" s="103"/>
      <c r="H466" s="103"/>
      <c r="I466" s="103"/>
      <c r="J466" s="103"/>
      <c r="K466" s="16"/>
      <c r="L466" s="16"/>
      <c r="M466" s="16"/>
      <c r="N466" s="16"/>
      <c r="O466" s="16"/>
      <c r="P466" s="16"/>
      <c r="Q466" s="16"/>
      <c r="R466" s="16"/>
      <c r="S466" s="16"/>
      <c r="T466" s="16"/>
      <c r="U466" s="16"/>
      <c r="V466" s="16"/>
      <c r="W466" s="16"/>
      <c r="X466" s="16"/>
      <c r="Y466" s="16"/>
      <c r="Z466" s="16"/>
    </row>
    <row r="467" spans="1:26" ht="15.75" customHeight="1">
      <c r="A467" s="103"/>
      <c r="B467" s="103"/>
      <c r="C467" s="104"/>
      <c r="D467" s="103"/>
      <c r="E467" s="103"/>
      <c r="F467" s="103"/>
      <c r="G467" s="103"/>
      <c r="H467" s="103"/>
      <c r="I467" s="103"/>
      <c r="J467" s="103"/>
      <c r="K467" s="16"/>
      <c r="L467" s="16"/>
      <c r="M467" s="16"/>
      <c r="N467" s="16"/>
      <c r="O467" s="16"/>
      <c r="P467" s="16"/>
      <c r="Q467" s="16"/>
      <c r="R467" s="16"/>
      <c r="S467" s="16"/>
      <c r="T467" s="16"/>
      <c r="U467" s="16"/>
      <c r="V467" s="16"/>
      <c r="W467" s="16"/>
      <c r="X467" s="16"/>
      <c r="Y467" s="16"/>
      <c r="Z467" s="16"/>
    </row>
    <row r="468" spans="1:26" ht="15.75" customHeight="1">
      <c r="A468" s="103"/>
      <c r="B468" s="103"/>
      <c r="C468" s="104"/>
      <c r="D468" s="103"/>
      <c r="E468" s="103"/>
      <c r="F468" s="103"/>
      <c r="G468" s="103"/>
      <c r="H468" s="103"/>
      <c r="I468" s="103"/>
      <c r="J468" s="103"/>
      <c r="K468" s="16"/>
      <c r="L468" s="16"/>
      <c r="M468" s="16"/>
      <c r="N468" s="16"/>
      <c r="O468" s="16"/>
      <c r="P468" s="16"/>
      <c r="Q468" s="16"/>
      <c r="R468" s="16"/>
      <c r="S468" s="16"/>
      <c r="T468" s="16"/>
      <c r="U468" s="16"/>
      <c r="V468" s="16"/>
      <c r="W468" s="16"/>
      <c r="X468" s="16"/>
      <c r="Y468" s="16"/>
      <c r="Z468" s="16"/>
    </row>
    <row r="469" spans="1:26" ht="15.75" customHeight="1">
      <c r="A469" s="103"/>
      <c r="B469" s="103"/>
      <c r="C469" s="104"/>
      <c r="D469" s="103"/>
      <c r="E469" s="103"/>
      <c r="F469" s="103"/>
      <c r="G469" s="103"/>
      <c r="H469" s="103"/>
      <c r="I469" s="103"/>
      <c r="J469" s="103"/>
      <c r="K469" s="16"/>
      <c r="L469" s="16"/>
      <c r="M469" s="16"/>
      <c r="N469" s="16"/>
      <c r="O469" s="16"/>
      <c r="P469" s="16"/>
      <c r="Q469" s="16"/>
      <c r="R469" s="16"/>
      <c r="S469" s="16"/>
      <c r="T469" s="16"/>
      <c r="U469" s="16"/>
      <c r="V469" s="16"/>
      <c r="W469" s="16"/>
      <c r="X469" s="16"/>
      <c r="Y469" s="16"/>
      <c r="Z469" s="16"/>
    </row>
    <row r="470" spans="1:26" ht="15.75" customHeight="1">
      <c r="A470" s="103"/>
      <c r="B470" s="103"/>
      <c r="C470" s="104"/>
      <c r="D470" s="103"/>
      <c r="E470" s="103"/>
      <c r="F470" s="103"/>
      <c r="G470" s="103"/>
      <c r="H470" s="103"/>
      <c r="I470" s="103"/>
      <c r="J470" s="103"/>
      <c r="K470" s="16"/>
      <c r="L470" s="16"/>
      <c r="M470" s="16"/>
      <c r="N470" s="16"/>
      <c r="O470" s="16"/>
      <c r="P470" s="16"/>
      <c r="Q470" s="16"/>
      <c r="R470" s="16"/>
      <c r="S470" s="16"/>
      <c r="T470" s="16"/>
      <c r="U470" s="16"/>
      <c r="V470" s="16"/>
      <c r="W470" s="16"/>
      <c r="X470" s="16"/>
      <c r="Y470" s="16"/>
      <c r="Z470" s="16"/>
    </row>
    <row r="471" spans="1:26" ht="15.75" customHeight="1">
      <c r="A471" s="103"/>
      <c r="B471" s="103"/>
      <c r="C471" s="104"/>
      <c r="D471" s="103"/>
      <c r="E471" s="103"/>
      <c r="F471" s="103"/>
      <c r="G471" s="103"/>
      <c r="H471" s="103"/>
      <c r="I471" s="103"/>
      <c r="J471" s="103"/>
      <c r="K471" s="16"/>
      <c r="L471" s="16"/>
      <c r="M471" s="16"/>
      <c r="N471" s="16"/>
      <c r="O471" s="16"/>
      <c r="P471" s="16"/>
      <c r="Q471" s="16"/>
      <c r="R471" s="16"/>
      <c r="S471" s="16"/>
      <c r="T471" s="16"/>
      <c r="U471" s="16"/>
      <c r="V471" s="16"/>
      <c r="W471" s="16"/>
      <c r="X471" s="16"/>
      <c r="Y471" s="16"/>
      <c r="Z471" s="16"/>
    </row>
    <row r="472" spans="1:26" ht="15.75" customHeight="1">
      <c r="A472" s="103"/>
      <c r="B472" s="103"/>
      <c r="C472" s="104"/>
      <c r="D472" s="103"/>
      <c r="E472" s="103"/>
      <c r="F472" s="103"/>
      <c r="G472" s="103"/>
      <c r="H472" s="103"/>
      <c r="I472" s="103"/>
      <c r="J472" s="103"/>
      <c r="K472" s="16"/>
      <c r="L472" s="16"/>
      <c r="M472" s="16"/>
      <c r="N472" s="16"/>
      <c r="O472" s="16"/>
      <c r="P472" s="16"/>
      <c r="Q472" s="16"/>
      <c r="R472" s="16"/>
      <c r="S472" s="16"/>
      <c r="T472" s="16"/>
      <c r="U472" s="16"/>
      <c r="V472" s="16"/>
      <c r="W472" s="16"/>
      <c r="X472" s="16"/>
      <c r="Y472" s="16"/>
      <c r="Z472" s="16"/>
    </row>
    <row r="473" spans="1:26" ht="15.75" customHeight="1">
      <c r="A473" s="103"/>
      <c r="B473" s="103"/>
      <c r="C473" s="104"/>
      <c r="D473" s="103"/>
      <c r="E473" s="103"/>
      <c r="F473" s="103"/>
      <c r="G473" s="103"/>
      <c r="H473" s="103"/>
      <c r="I473" s="103"/>
      <c r="J473" s="103"/>
      <c r="K473" s="16"/>
      <c r="L473" s="16"/>
      <c r="M473" s="16"/>
      <c r="N473" s="16"/>
      <c r="O473" s="16"/>
      <c r="P473" s="16"/>
      <c r="Q473" s="16"/>
      <c r="R473" s="16"/>
      <c r="S473" s="16"/>
      <c r="T473" s="16"/>
      <c r="U473" s="16"/>
      <c r="V473" s="16"/>
      <c r="W473" s="16"/>
      <c r="X473" s="16"/>
      <c r="Y473" s="16"/>
      <c r="Z473" s="16"/>
    </row>
    <row r="474" spans="1:26" ht="15.75" customHeight="1">
      <c r="A474" s="103"/>
      <c r="B474" s="103"/>
      <c r="C474" s="104"/>
      <c r="D474" s="103"/>
      <c r="E474" s="103"/>
      <c r="F474" s="103"/>
      <c r="G474" s="103"/>
      <c r="H474" s="103"/>
      <c r="I474" s="103"/>
      <c r="J474" s="103"/>
      <c r="K474" s="16"/>
      <c r="L474" s="16"/>
      <c r="M474" s="16"/>
      <c r="N474" s="16"/>
      <c r="O474" s="16"/>
      <c r="P474" s="16"/>
      <c r="Q474" s="16"/>
      <c r="R474" s="16"/>
      <c r="S474" s="16"/>
      <c r="T474" s="16"/>
      <c r="U474" s="16"/>
      <c r="V474" s="16"/>
      <c r="W474" s="16"/>
      <c r="X474" s="16"/>
      <c r="Y474" s="16"/>
      <c r="Z474" s="16"/>
    </row>
    <row r="475" spans="1:26" ht="15.75" customHeight="1">
      <c r="A475" s="103"/>
      <c r="B475" s="103"/>
      <c r="C475" s="104"/>
      <c r="D475" s="103"/>
      <c r="E475" s="103"/>
      <c r="F475" s="103"/>
      <c r="G475" s="103"/>
      <c r="H475" s="103"/>
      <c r="I475" s="103"/>
      <c r="J475" s="103"/>
      <c r="K475" s="16"/>
      <c r="L475" s="16"/>
      <c r="M475" s="16"/>
      <c r="N475" s="16"/>
      <c r="O475" s="16"/>
      <c r="P475" s="16"/>
      <c r="Q475" s="16"/>
      <c r="R475" s="16"/>
      <c r="S475" s="16"/>
      <c r="T475" s="16"/>
      <c r="U475" s="16"/>
      <c r="V475" s="16"/>
      <c r="W475" s="16"/>
      <c r="X475" s="16"/>
      <c r="Y475" s="16"/>
      <c r="Z475" s="16"/>
    </row>
    <row r="476" spans="1:26" ht="15.75" customHeight="1">
      <c r="A476" s="103"/>
      <c r="B476" s="103"/>
      <c r="C476" s="104"/>
      <c r="D476" s="103"/>
      <c r="E476" s="103"/>
      <c r="F476" s="103"/>
      <c r="G476" s="103"/>
      <c r="H476" s="103"/>
      <c r="I476" s="103"/>
      <c r="J476" s="103"/>
      <c r="K476" s="16"/>
      <c r="L476" s="16"/>
      <c r="M476" s="16"/>
      <c r="N476" s="16"/>
      <c r="O476" s="16"/>
      <c r="P476" s="16"/>
      <c r="Q476" s="16"/>
      <c r="R476" s="16"/>
      <c r="S476" s="16"/>
      <c r="T476" s="16"/>
      <c r="U476" s="16"/>
      <c r="V476" s="16"/>
      <c r="W476" s="16"/>
      <c r="X476" s="16"/>
      <c r="Y476" s="16"/>
      <c r="Z476" s="16"/>
    </row>
    <row r="477" spans="1:26" ht="15.75" customHeight="1">
      <c r="A477" s="103"/>
      <c r="B477" s="103"/>
      <c r="C477" s="104"/>
      <c r="D477" s="103"/>
      <c r="E477" s="103"/>
      <c r="F477" s="103"/>
      <c r="G477" s="103"/>
      <c r="H477" s="103"/>
      <c r="I477" s="103"/>
      <c r="J477" s="103"/>
      <c r="K477" s="16"/>
      <c r="L477" s="16"/>
      <c r="M477" s="16"/>
      <c r="N477" s="16"/>
      <c r="O477" s="16"/>
      <c r="P477" s="16"/>
      <c r="Q477" s="16"/>
      <c r="R477" s="16"/>
      <c r="S477" s="16"/>
      <c r="T477" s="16"/>
      <c r="U477" s="16"/>
      <c r="V477" s="16"/>
      <c r="W477" s="16"/>
      <c r="X477" s="16"/>
      <c r="Y477" s="16"/>
      <c r="Z477" s="16"/>
    </row>
    <row r="478" spans="1:26" ht="15.75" customHeight="1">
      <c r="A478" s="103"/>
      <c r="B478" s="103"/>
      <c r="C478" s="104"/>
      <c r="D478" s="103"/>
      <c r="E478" s="103"/>
      <c r="F478" s="103"/>
      <c r="G478" s="103"/>
      <c r="H478" s="103"/>
      <c r="I478" s="103"/>
      <c r="J478" s="103"/>
      <c r="K478" s="16"/>
      <c r="L478" s="16"/>
      <c r="M478" s="16"/>
      <c r="N478" s="16"/>
      <c r="O478" s="16"/>
      <c r="P478" s="16"/>
      <c r="Q478" s="16"/>
      <c r="R478" s="16"/>
      <c r="S478" s="16"/>
      <c r="T478" s="16"/>
      <c r="U478" s="16"/>
      <c r="V478" s="16"/>
      <c r="W478" s="16"/>
      <c r="X478" s="16"/>
      <c r="Y478" s="16"/>
      <c r="Z478" s="16"/>
    </row>
    <row r="479" spans="1:26" ht="15.75" customHeight="1">
      <c r="A479" s="103"/>
      <c r="B479" s="103"/>
      <c r="C479" s="104"/>
      <c r="D479" s="103"/>
      <c r="E479" s="103"/>
      <c r="F479" s="103"/>
      <c r="G479" s="103"/>
      <c r="H479" s="103"/>
      <c r="I479" s="103"/>
      <c r="J479" s="103"/>
      <c r="K479" s="16"/>
      <c r="L479" s="16"/>
      <c r="M479" s="16"/>
      <c r="N479" s="16"/>
      <c r="O479" s="16"/>
      <c r="P479" s="16"/>
      <c r="Q479" s="16"/>
      <c r="R479" s="16"/>
      <c r="S479" s="16"/>
      <c r="T479" s="16"/>
      <c r="U479" s="16"/>
      <c r="V479" s="16"/>
      <c r="W479" s="16"/>
      <c r="X479" s="16"/>
      <c r="Y479" s="16"/>
      <c r="Z479" s="16"/>
    </row>
    <row r="480" spans="1:26" ht="15.75" customHeight="1">
      <c r="A480" s="103"/>
      <c r="B480" s="103"/>
      <c r="C480" s="104"/>
      <c r="D480" s="103"/>
      <c r="E480" s="103"/>
      <c r="F480" s="103"/>
      <c r="G480" s="103"/>
      <c r="H480" s="103"/>
      <c r="I480" s="103"/>
      <c r="J480" s="103"/>
      <c r="K480" s="16"/>
      <c r="L480" s="16"/>
      <c r="M480" s="16"/>
      <c r="N480" s="16"/>
      <c r="O480" s="16"/>
      <c r="P480" s="16"/>
      <c r="Q480" s="16"/>
      <c r="R480" s="16"/>
      <c r="S480" s="16"/>
      <c r="T480" s="16"/>
      <c r="U480" s="16"/>
      <c r="V480" s="16"/>
      <c r="W480" s="16"/>
      <c r="X480" s="16"/>
      <c r="Y480" s="16"/>
      <c r="Z480" s="16"/>
    </row>
    <row r="481" spans="1:26" ht="15.75" customHeight="1">
      <c r="A481" s="103"/>
      <c r="B481" s="103"/>
      <c r="C481" s="104"/>
      <c r="D481" s="103"/>
      <c r="E481" s="103"/>
      <c r="F481" s="103"/>
      <c r="G481" s="103"/>
      <c r="H481" s="103"/>
      <c r="I481" s="103"/>
      <c r="J481" s="103"/>
      <c r="K481" s="16"/>
      <c r="L481" s="16"/>
      <c r="M481" s="16"/>
      <c r="N481" s="16"/>
      <c r="O481" s="16"/>
      <c r="P481" s="16"/>
      <c r="Q481" s="16"/>
      <c r="R481" s="16"/>
      <c r="S481" s="16"/>
      <c r="T481" s="16"/>
      <c r="U481" s="16"/>
      <c r="V481" s="16"/>
      <c r="W481" s="16"/>
      <c r="X481" s="16"/>
      <c r="Y481" s="16"/>
      <c r="Z481" s="16"/>
    </row>
    <row r="482" spans="1:26" ht="15.75" customHeight="1">
      <c r="A482" s="103"/>
      <c r="B482" s="103"/>
      <c r="C482" s="104"/>
      <c r="D482" s="103"/>
      <c r="E482" s="103"/>
      <c r="F482" s="103"/>
      <c r="G482" s="103"/>
      <c r="H482" s="103"/>
      <c r="I482" s="103"/>
      <c r="J482" s="103"/>
      <c r="K482" s="16"/>
      <c r="L482" s="16"/>
      <c r="M482" s="16"/>
      <c r="N482" s="16"/>
      <c r="O482" s="16"/>
      <c r="P482" s="16"/>
      <c r="Q482" s="16"/>
      <c r="R482" s="16"/>
      <c r="S482" s="16"/>
      <c r="T482" s="16"/>
      <c r="U482" s="16"/>
      <c r="V482" s="16"/>
      <c r="W482" s="16"/>
      <c r="X482" s="16"/>
      <c r="Y482" s="16"/>
      <c r="Z482" s="16"/>
    </row>
    <row r="483" spans="1:26" ht="15.75" customHeight="1">
      <c r="A483" s="103"/>
      <c r="B483" s="103"/>
      <c r="C483" s="104"/>
      <c r="D483" s="103"/>
      <c r="E483" s="103"/>
      <c r="F483" s="103"/>
      <c r="G483" s="103"/>
      <c r="H483" s="103"/>
      <c r="I483" s="103"/>
      <c r="J483" s="103"/>
      <c r="K483" s="16"/>
      <c r="L483" s="16"/>
      <c r="M483" s="16"/>
      <c r="N483" s="16"/>
      <c r="O483" s="16"/>
      <c r="P483" s="16"/>
      <c r="Q483" s="16"/>
      <c r="R483" s="16"/>
      <c r="S483" s="16"/>
      <c r="T483" s="16"/>
      <c r="U483" s="16"/>
      <c r="V483" s="16"/>
      <c r="W483" s="16"/>
      <c r="X483" s="16"/>
      <c r="Y483" s="16"/>
      <c r="Z483" s="16"/>
    </row>
    <row r="484" spans="1:26" ht="15.75" customHeight="1">
      <c r="A484" s="103"/>
      <c r="B484" s="103"/>
      <c r="C484" s="104"/>
      <c r="D484" s="103"/>
      <c r="E484" s="103"/>
      <c r="F484" s="103"/>
      <c r="G484" s="103"/>
      <c r="H484" s="103"/>
      <c r="I484" s="103"/>
      <c r="J484" s="103"/>
      <c r="K484" s="16"/>
      <c r="L484" s="16"/>
      <c r="M484" s="16"/>
      <c r="N484" s="16"/>
      <c r="O484" s="16"/>
      <c r="P484" s="16"/>
      <c r="Q484" s="16"/>
      <c r="R484" s="16"/>
      <c r="S484" s="16"/>
      <c r="T484" s="16"/>
      <c r="U484" s="16"/>
      <c r="V484" s="16"/>
      <c r="W484" s="16"/>
      <c r="X484" s="16"/>
      <c r="Y484" s="16"/>
      <c r="Z484" s="16"/>
    </row>
    <row r="485" spans="1:26" ht="15.75" customHeight="1">
      <c r="A485" s="103"/>
      <c r="B485" s="103"/>
      <c r="C485" s="104"/>
      <c r="D485" s="103"/>
      <c r="E485" s="103"/>
      <c r="F485" s="103"/>
      <c r="G485" s="103"/>
      <c r="H485" s="103"/>
      <c r="I485" s="103"/>
      <c r="J485" s="103"/>
      <c r="K485" s="16"/>
      <c r="L485" s="16"/>
      <c r="M485" s="16"/>
      <c r="N485" s="16"/>
      <c r="O485" s="16"/>
      <c r="P485" s="16"/>
      <c r="Q485" s="16"/>
      <c r="R485" s="16"/>
      <c r="S485" s="16"/>
      <c r="T485" s="16"/>
      <c r="U485" s="16"/>
      <c r="V485" s="16"/>
      <c r="W485" s="16"/>
      <c r="X485" s="16"/>
      <c r="Y485" s="16"/>
      <c r="Z485" s="16"/>
    </row>
    <row r="486" spans="1:26" ht="15.75" customHeight="1">
      <c r="A486" s="103"/>
      <c r="B486" s="103"/>
      <c r="C486" s="104"/>
      <c r="D486" s="103"/>
      <c r="E486" s="103"/>
      <c r="F486" s="103"/>
      <c r="G486" s="103"/>
      <c r="H486" s="103"/>
      <c r="I486" s="103"/>
      <c r="J486" s="103"/>
      <c r="K486" s="16"/>
      <c r="L486" s="16"/>
      <c r="M486" s="16"/>
      <c r="N486" s="16"/>
      <c r="O486" s="16"/>
      <c r="P486" s="16"/>
      <c r="Q486" s="16"/>
      <c r="R486" s="16"/>
      <c r="S486" s="16"/>
      <c r="T486" s="16"/>
      <c r="U486" s="16"/>
      <c r="V486" s="16"/>
      <c r="W486" s="16"/>
      <c r="X486" s="16"/>
      <c r="Y486" s="16"/>
      <c r="Z486" s="16"/>
    </row>
    <row r="487" spans="1:26" ht="15.75" customHeight="1">
      <c r="A487" s="103"/>
      <c r="B487" s="103"/>
      <c r="C487" s="104"/>
      <c r="D487" s="103"/>
      <c r="E487" s="103"/>
      <c r="F487" s="103"/>
      <c r="G487" s="103"/>
      <c r="H487" s="103"/>
      <c r="I487" s="103"/>
      <c r="J487" s="103"/>
      <c r="K487" s="16"/>
      <c r="L487" s="16"/>
      <c r="M487" s="16"/>
      <c r="N487" s="16"/>
      <c r="O487" s="16"/>
      <c r="P487" s="16"/>
      <c r="Q487" s="16"/>
      <c r="R487" s="16"/>
      <c r="S487" s="16"/>
      <c r="T487" s="16"/>
      <c r="U487" s="16"/>
      <c r="V487" s="16"/>
      <c r="W487" s="16"/>
      <c r="X487" s="16"/>
      <c r="Y487" s="16"/>
      <c r="Z487" s="16"/>
    </row>
    <row r="488" spans="1:26" ht="15.75" customHeight="1">
      <c r="A488" s="103"/>
      <c r="B488" s="103"/>
      <c r="C488" s="104"/>
      <c r="D488" s="103"/>
      <c r="E488" s="103"/>
      <c r="F488" s="103"/>
      <c r="G488" s="103"/>
      <c r="H488" s="103"/>
      <c r="I488" s="103"/>
      <c r="J488" s="103"/>
      <c r="K488" s="16"/>
      <c r="L488" s="16"/>
      <c r="M488" s="16"/>
      <c r="N488" s="16"/>
      <c r="O488" s="16"/>
      <c r="P488" s="16"/>
      <c r="Q488" s="16"/>
      <c r="R488" s="16"/>
      <c r="S488" s="16"/>
      <c r="T488" s="16"/>
      <c r="U488" s="16"/>
      <c r="V488" s="16"/>
      <c r="W488" s="16"/>
      <c r="X488" s="16"/>
      <c r="Y488" s="16"/>
      <c r="Z488" s="16"/>
    </row>
    <row r="489" spans="1:26" ht="15.75" customHeight="1">
      <c r="A489" s="103"/>
      <c r="B489" s="103"/>
      <c r="C489" s="104"/>
      <c r="D489" s="103"/>
      <c r="E489" s="103"/>
      <c r="F489" s="103"/>
      <c r="G489" s="103"/>
      <c r="H489" s="103"/>
      <c r="I489" s="103"/>
      <c r="J489" s="103"/>
      <c r="K489" s="16"/>
      <c r="L489" s="16"/>
      <c r="M489" s="16"/>
      <c r="N489" s="16"/>
      <c r="O489" s="16"/>
      <c r="P489" s="16"/>
      <c r="Q489" s="16"/>
      <c r="R489" s="16"/>
      <c r="S489" s="16"/>
      <c r="T489" s="16"/>
      <c r="U489" s="16"/>
      <c r="V489" s="16"/>
      <c r="W489" s="16"/>
      <c r="X489" s="16"/>
      <c r="Y489" s="16"/>
      <c r="Z489" s="16"/>
    </row>
    <row r="490" spans="1:26" ht="15.75" customHeight="1">
      <c r="A490" s="103"/>
      <c r="B490" s="103"/>
      <c r="C490" s="104"/>
      <c r="D490" s="103"/>
      <c r="E490" s="103"/>
      <c r="F490" s="103"/>
      <c r="G490" s="103"/>
      <c r="H490" s="103"/>
      <c r="I490" s="103"/>
      <c r="J490" s="103"/>
      <c r="K490" s="16"/>
      <c r="L490" s="16"/>
      <c r="M490" s="16"/>
      <c r="N490" s="16"/>
      <c r="O490" s="16"/>
      <c r="P490" s="16"/>
      <c r="Q490" s="16"/>
      <c r="R490" s="16"/>
      <c r="S490" s="16"/>
      <c r="T490" s="16"/>
      <c r="U490" s="16"/>
      <c r="V490" s="16"/>
      <c r="W490" s="16"/>
      <c r="X490" s="16"/>
      <c r="Y490" s="16"/>
      <c r="Z490" s="16"/>
    </row>
    <row r="491" spans="1:26" ht="15.75" customHeight="1">
      <c r="A491" s="103"/>
      <c r="B491" s="103"/>
      <c r="C491" s="104"/>
      <c r="D491" s="103"/>
      <c r="E491" s="103"/>
      <c r="F491" s="103"/>
      <c r="G491" s="103"/>
      <c r="H491" s="103"/>
      <c r="I491" s="103"/>
      <c r="J491" s="103"/>
      <c r="K491" s="16"/>
      <c r="L491" s="16"/>
      <c r="M491" s="16"/>
      <c r="N491" s="16"/>
      <c r="O491" s="16"/>
      <c r="P491" s="16"/>
      <c r="Q491" s="16"/>
      <c r="R491" s="16"/>
      <c r="S491" s="16"/>
      <c r="T491" s="16"/>
      <c r="U491" s="16"/>
      <c r="V491" s="16"/>
      <c r="W491" s="16"/>
      <c r="X491" s="16"/>
      <c r="Y491" s="16"/>
      <c r="Z491" s="16"/>
    </row>
    <row r="492" spans="1:26" ht="15.75" customHeight="1">
      <c r="A492" s="103"/>
      <c r="B492" s="103"/>
      <c r="C492" s="104"/>
      <c r="D492" s="103"/>
      <c r="E492" s="103"/>
      <c r="F492" s="103"/>
      <c r="G492" s="103"/>
      <c r="H492" s="103"/>
      <c r="I492" s="103"/>
      <c r="J492" s="103"/>
      <c r="K492" s="16"/>
      <c r="L492" s="16"/>
      <c r="M492" s="16"/>
      <c r="N492" s="16"/>
      <c r="O492" s="16"/>
      <c r="P492" s="16"/>
      <c r="Q492" s="16"/>
      <c r="R492" s="16"/>
      <c r="S492" s="16"/>
      <c r="T492" s="16"/>
      <c r="U492" s="16"/>
      <c r="V492" s="16"/>
      <c r="W492" s="16"/>
      <c r="X492" s="16"/>
      <c r="Y492" s="16"/>
      <c r="Z492" s="16"/>
    </row>
    <row r="493" spans="1:26" ht="15.75" customHeight="1">
      <c r="A493" s="103"/>
      <c r="B493" s="103"/>
      <c r="C493" s="104"/>
      <c r="D493" s="103"/>
      <c r="E493" s="103"/>
      <c r="F493" s="103"/>
      <c r="G493" s="103"/>
      <c r="H493" s="103"/>
      <c r="I493" s="103"/>
      <c r="J493" s="103"/>
      <c r="K493" s="16"/>
      <c r="L493" s="16"/>
      <c r="M493" s="16"/>
      <c r="N493" s="16"/>
      <c r="O493" s="16"/>
      <c r="P493" s="16"/>
      <c r="Q493" s="16"/>
      <c r="R493" s="16"/>
      <c r="S493" s="16"/>
      <c r="T493" s="16"/>
      <c r="U493" s="16"/>
      <c r="V493" s="16"/>
      <c r="W493" s="16"/>
      <c r="X493" s="16"/>
      <c r="Y493" s="16"/>
      <c r="Z493" s="16"/>
    </row>
    <row r="494" spans="1:26" ht="15.75" customHeight="1">
      <c r="A494" s="103"/>
      <c r="B494" s="103"/>
      <c r="C494" s="104"/>
      <c r="D494" s="103"/>
      <c r="E494" s="103"/>
      <c r="F494" s="103"/>
      <c r="G494" s="103"/>
      <c r="H494" s="103"/>
      <c r="I494" s="103"/>
      <c r="J494" s="103"/>
      <c r="K494" s="16"/>
      <c r="L494" s="16"/>
      <c r="M494" s="16"/>
      <c r="N494" s="16"/>
      <c r="O494" s="16"/>
      <c r="P494" s="16"/>
      <c r="Q494" s="16"/>
      <c r="R494" s="16"/>
      <c r="S494" s="16"/>
      <c r="T494" s="16"/>
      <c r="U494" s="16"/>
      <c r="V494" s="16"/>
      <c r="W494" s="16"/>
      <c r="X494" s="16"/>
      <c r="Y494" s="16"/>
      <c r="Z494" s="16"/>
    </row>
    <row r="495" spans="1:26" ht="15.75" customHeight="1">
      <c r="A495" s="103"/>
      <c r="B495" s="103"/>
      <c r="C495" s="104"/>
      <c r="D495" s="103"/>
      <c r="E495" s="103"/>
      <c r="F495" s="103"/>
      <c r="G495" s="103"/>
      <c r="H495" s="103"/>
      <c r="I495" s="103"/>
      <c r="J495" s="103"/>
      <c r="K495" s="16"/>
      <c r="L495" s="16"/>
      <c r="M495" s="16"/>
      <c r="N495" s="16"/>
      <c r="O495" s="16"/>
      <c r="P495" s="16"/>
      <c r="Q495" s="16"/>
      <c r="R495" s="16"/>
      <c r="S495" s="16"/>
      <c r="T495" s="16"/>
      <c r="U495" s="16"/>
      <c r="V495" s="16"/>
      <c r="W495" s="16"/>
      <c r="X495" s="16"/>
      <c r="Y495" s="16"/>
      <c r="Z495" s="16"/>
    </row>
    <row r="496" spans="1:26" ht="15.75" customHeight="1">
      <c r="A496" s="103"/>
      <c r="B496" s="103"/>
      <c r="C496" s="104"/>
      <c r="D496" s="103"/>
      <c r="E496" s="103"/>
      <c r="F496" s="103"/>
      <c r="G496" s="103"/>
      <c r="H496" s="103"/>
      <c r="I496" s="103"/>
      <c r="J496" s="103"/>
      <c r="K496" s="16"/>
      <c r="L496" s="16"/>
      <c r="M496" s="16"/>
      <c r="N496" s="16"/>
      <c r="O496" s="16"/>
      <c r="P496" s="16"/>
      <c r="Q496" s="16"/>
      <c r="R496" s="16"/>
      <c r="S496" s="16"/>
      <c r="T496" s="16"/>
      <c r="U496" s="16"/>
      <c r="V496" s="16"/>
      <c r="W496" s="16"/>
      <c r="X496" s="16"/>
      <c r="Y496" s="16"/>
      <c r="Z496" s="16"/>
    </row>
    <row r="497" spans="1:26" ht="15.75" customHeight="1">
      <c r="A497" s="103"/>
      <c r="B497" s="103"/>
      <c r="C497" s="104"/>
      <c r="D497" s="103"/>
      <c r="E497" s="103"/>
      <c r="F497" s="103"/>
      <c r="G497" s="103"/>
      <c r="H497" s="103"/>
      <c r="I497" s="103"/>
      <c r="J497" s="103"/>
      <c r="K497" s="16"/>
      <c r="L497" s="16"/>
      <c r="M497" s="16"/>
      <c r="N497" s="16"/>
      <c r="O497" s="16"/>
      <c r="P497" s="16"/>
      <c r="Q497" s="16"/>
      <c r="R497" s="16"/>
      <c r="S497" s="16"/>
      <c r="T497" s="16"/>
      <c r="U497" s="16"/>
      <c r="V497" s="16"/>
      <c r="W497" s="16"/>
      <c r="X497" s="16"/>
      <c r="Y497" s="16"/>
      <c r="Z497" s="16"/>
    </row>
    <row r="498" spans="1:26" ht="15.75" customHeight="1">
      <c r="A498" s="103"/>
      <c r="B498" s="103"/>
      <c r="C498" s="104"/>
      <c r="D498" s="103"/>
      <c r="E498" s="103"/>
      <c r="F498" s="103"/>
      <c r="G498" s="103"/>
      <c r="H498" s="103"/>
      <c r="I498" s="103"/>
      <c r="J498" s="103"/>
      <c r="K498" s="16"/>
      <c r="L498" s="16"/>
      <c r="M498" s="16"/>
      <c r="N498" s="16"/>
      <c r="O498" s="16"/>
      <c r="P498" s="16"/>
      <c r="Q498" s="16"/>
      <c r="R498" s="16"/>
      <c r="S498" s="16"/>
      <c r="T498" s="16"/>
      <c r="U498" s="16"/>
      <c r="V498" s="16"/>
      <c r="W498" s="16"/>
      <c r="X498" s="16"/>
      <c r="Y498" s="16"/>
      <c r="Z498" s="16"/>
    </row>
    <row r="499" spans="1:26" ht="15.75" customHeight="1">
      <c r="A499" s="103"/>
      <c r="B499" s="103"/>
      <c r="C499" s="104"/>
      <c r="D499" s="103"/>
      <c r="E499" s="103"/>
      <c r="F499" s="103"/>
      <c r="G499" s="103"/>
      <c r="H499" s="103"/>
      <c r="I499" s="103"/>
      <c r="J499" s="103"/>
      <c r="K499" s="16"/>
      <c r="L499" s="16"/>
      <c r="M499" s="16"/>
      <c r="N499" s="16"/>
      <c r="O499" s="16"/>
      <c r="P499" s="16"/>
      <c r="Q499" s="16"/>
      <c r="R499" s="16"/>
      <c r="S499" s="16"/>
      <c r="T499" s="16"/>
      <c r="U499" s="16"/>
      <c r="V499" s="16"/>
      <c r="W499" s="16"/>
      <c r="X499" s="16"/>
      <c r="Y499" s="16"/>
      <c r="Z499" s="16"/>
    </row>
    <row r="500" spans="1:26" ht="15.75" customHeight="1">
      <c r="A500" s="103"/>
      <c r="B500" s="103"/>
      <c r="C500" s="104"/>
      <c r="D500" s="103"/>
      <c r="E500" s="103"/>
      <c r="F500" s="103"/>
      <c r="G500" s="103"/>
      <c r="H500" s="103"/>
      <c r="I500" s="103"/>
      <c r="J500" s="103"/>
      <c r="K500" s="16"/>
      <c r="L500" s="16"/>
      <c r="M500" s="16"/>
      <c r="N500" s="16"/>
      <c r="O500" s="16"/>
      <c r="P500" s="16"/>
      <c r="Q500" s="16"/>
      <c r="R500" s="16"/>
      <c r="S500" s="16"/>
      <c r="T500" s="16"/>
      <c r="U500" s="16"/>
      <c r="V500" s="16"/>
      <c r="W500" s="16"/>
      <c r="X500" s="16"/>
      <c r="Y500" s="16"/>
      <c r="Z500" s="16"/>
    </row>
    <row r="501" spans="1:26" ht="15.75" customHeight="1">
      <c r="A501" s="103"/>
      <c r="B501" s="103"/>
      <c r="C501" s="104"/>
      <c r="D501" s="103"/>
      <c r="E501" s="103"/>
      <c r="F501" s="103"/>
      <c r="G501" s="103"/>
      <c r="H501" s="103"/>
      <c r="I501" s="103"/>
      <c r="J501" s="103"/>
      <c r="K501" s="16"/>
      <c r="L501" s="16"/>
      <c r="M501" s="16"/>
      <c r="N501" s="16"/>
      <c r="O501" s="16"/>
      <c r="P501" s="16"/>
      <c r="Q501" s="16"/>
      <c r="R501" s="16"/>
      <c r="S501" s="16"/>
      <c r="T501" s="16"/>
      <c r="U501" s="16"/>
      <c r="V501" s="16"/>
      <c r="W501" s="16"/>
      <c r="X501" s="16"/>
      <c r="Y501" s="16"/>
      <c r="Z501" s="16"/>
    </row>
    <row r="502" spans="1:26" ht="15.75" customHeight="1">
      <c r="A502" s="103"/>
      <c r="B502" s="103"/>
      <c r="C502" s="104"/>
      <c r="D502" s="103"/>
      <c r="E502" s="103"/>
      <c r="F502" s="103"/>
      <c r="G502" s="103"/>
      <c r="H502" s="103"/>
      <c r="I502" s="103"/>
      <c r="J502" s="103"/>
      <c r="K502" s="16"/>
      <c r="L502" s="16"/>
      <c r="M502" s="16"/>
      <c r="N502" s="16"/>
      <c r="O502" s="16"/>
      <c r="P502" s="16"/>
      <c r="Q502" s="16"/>
      <c r="R502" s="16"/>
      <c r="S502" s="16"/>
      <c r="T502" s="16"/>
      <c r="U502" s="16"/>
      <c r="V502" s="16"/>
      <c r="W502" s="16"/>
      <c r="X502" s="16"/>
      <c r="Y502" s="16"/>
      <c r="Z502" s="16"/>
    </row>
    <row r="503" spans="1:26" ht="15.75" customHeight="1">
      <c r="A503" s="103"/>
      <c r="B503" s="103"/>
      <c r="C503" s="104"/>
      <c r="D503" s="103"/>
      <c r="E503" s="103"/>
      <c r="F503" s="103"/>
      <c r="G503" s="103"/>
      <c r="H503" s="103"/>
      <c r="I503" s="103"/>
      <c r="J503" s="103"/>
      <c r="K503" s="16"/>
      <c r="L503" s="16"/>
      <c r="M503" s="16"/>
      <c r="N503" s="16"/>
      <c r="O503" s="16"/>
      <c r="P503" s="16"/>
      <c r="Q503" s="16"/>
      <c r="R503" s="16"/>
      <c r="S503" s="16"/>
      <c r="T503" s="16"/>
      <c r="U503" s="16"/>
      <c r="V503" s="16"/>
      <c r="W503" s="16"/>
      <c r="X503" s="16"/>
      <c r="Y503" s="16"/>
      <c r="Z503" s="16"/>
    </row>
    <row r="504" spans="1:26" ht="15.75" customHeight="1">
      <c r="A504" s="103"/>
      <c r="B504" s="103"/>
      <c r="C504" s="104"/>
      <c r="D504" s="103"/>
      <c r="E504" s="103"/>
      <c r="F504" s="103"/>
      <c r="G504" s="103"/>
      <c r="H504" s="103"/>
      <c r="I504" s="103"/>
      <c r="J504" s="103"/>
      <c r="K504" s="16"/>
      <c r="L504" s="16"/>
      <c r="M504" s="16"/>
      <c r="N504" s="16"/>
      <c r="O504" s="16"/>
      <c r="P504" s="16"/>
      <c r="Q504" s="16"/>
      <c r="R504" s="16"/>
      <c r="S504" s="16"/>
      <c r="T504" s="16"/>
      <c r="U504" s="16"/>
      <c r="V504" s="16"/>
      <c r="W504" s="16"/>
      <c r="X504" s="16"/>
      <c r="Y504" s="16"/>
      <c r="Z504" s="16"/>
    </row>
    <row r="505" spans="1:26" ht="15.75" customHeight="1">
      <c r="A505" s="103"/>
      <c r="B505" s="103"/>
      <c r="C505" s="104"/>
      <c r="D505" s="103"/>
      <c r="E505" s="103"/>
      <c r="F505" s="103"/>
      <c r="G505" s="103"/>
      <c r="H505" s="103"/>
      <c r="I505" s="103"/>
      <c r="J505" s="103"/>
      <c r="K505" s="16"/>
      <c r="L505" s="16"/>
      <c r="M505" s="16"/>
      <c r="N505" s="16"/>
      <c r="O505" s="16"/>
      <c r="P505" s="16"/>
      <c r="Q505" s="16"/>
      <c r="R505" s="16"/>
      <c r="S505" s="16"/>
      <c r="T505" s="16"/>
      <c r="U505" s="16"/>
      <c r="V505" s="16"/>
      <c r="W505" s="16"/>
      <c r="X505" s="16"/>
      <c r="Y505" s="16"/>
      <c r="Z505" s="16"/>
    </row>
    <row r="506" spans="1:26" ht="15.75" customHeight="1">
      <c r="A506" s="103"/>
      <c r="B506" s="103"/>
      <c r="C506" s="104"/>
      <c r="D506" s="103"/>
      <c r="E506" s="103"/>
      <c r="F506" s="103"/>
      <c r="G506" s="103"/>
      <c r="H506" s="103"/>
      <c r="I506" s="103"/>
      <c r="J506" s="103"/>
      <c r="K506" s="16"/>
      <c r="L506" s="16"/>
      <c r="M506" s="16"/>
      <c r="N506" s="16"/>
      <c r="O506" s="16"/>
      <c r="P506" s="16"/>
      <c r="Q506" s="16"/>
      <c r="R506" s="16"/>
      <c r="S506" s="16"/>
      <c r="T506" s="16"/>
      <c r="U506" s="16"/>
      <c r="V506" s="16"/>
      <c r="W506" s="16"/>
      <c r="X506" s="16"/>
      <c r="Y506" s="16"/>
      <c r="Z506" s="16"/>
    </row>
    <row r="507" spans="1:26" ht="15.75" customHeight="1">
      <c r="A507" s="103"/>
      <c r="B507" s="103"/>
      <c r="C507" s="104"/>
      <c r="D507" s="103"/>
      <c r="E507" s="103"/>
      <c r="F507" s="103"/>
      <c r="G507" s="103"/>
      <c r="H507" s="103"/>
      <c r="I507" s="103"/>
      <c r="J507" s="103"/>
      <c r="K507" s="16"/>
      <c r="L507" s="16"/>
      <c r="M507" s="16"/>
      <c r="N507" s="16"/>
      <c r="O507" s="16"/>
      <c r="P507" s="16"/>
      <c r="Q507" s="16"/>
      <c r="R507" s="16"/>
      <c r="S507" s="16"/>
      <c r="T507" s="16"/>
      <c r="U507" s="16"/>
      <c r="V507" s="16"/>
      <c r="W507" s="16"/>
      <c r="X507" s="16"/>
      <c r="Y507" s="16"/>
      <c r="Z507" s="16"/>
    </row>
    <row r="508" spans="1:26" ht="15.75" customHeight="1">
      <c r="A508" s="103"/>
      <c r="B508" s="103"/>
      <c r="C508" s="104"/>
      <c r="D508" s="103"/>
      <c r="E508" s="103"/>
      <c r="F508" s="103"/>
      <c r="G508" s="103"/>
      <c r="H508" s="103"/>
      <c r="I508" s="103"/>
      <c r="J508" s="103"/>
      <c r="K508" s="16"/>
      <c r="L508" s="16"/>
      <c r="M508" s="16"/>
      <c r="N508" s="16"/>
      <c r="O508" s="16"/>
      <c r="P508" s="16"/>
      <c r="Q508" s="16"/>
      <c r="R508" s="16"/>
      <c r="S508" s="16"/>
      <c r="T508" s="16"/>
      <c r="U508" s="16"/>
      <c r="V508" s="16"/>
      <c r="W508" s="16"/>
      <c r="X508" s="16"/>
      <c r="Y508" s="16"/>
      <c r="Z508" s="16"/>
    </row>
    <row r="509" spans="1:26" ht="15.75" customHeight="1">
      <c r="A509" s="103"/>
      <c r="B509" s="103"/>
      <c r="C509" s="104"/>
      <c r="D509" s="103"/>
      <c r="E509" s="103"/>
      <c r="F509" s="103"/>
      <c r="G509" s="103"/>
      <c r="H509" s="103"/>
      <c r="I509" s="103"/>
      <c r="J509" s="103"/>
      <c r="K509" s="16"/>
      <c r="L509" s="16"/>
      <c r="M509" s="16"/>
      <c r="N509" s="16"/>
      <c r="O509" s="16"/>
      <c r="P509" s="16"/>
      <c r="Q509" s="16"/>
      <c r="R509" s="16"/>
      <c r="S509" s="16"/>
      <c r="T509" s="16"/>
      <c r="U509" s="16"/>
      <c r="V509" s="16"/>
      <c r="W509" s="16"/>
      <c r="X509" s="16"/>
      <c r="Y509" s="16"/>
      <c r="Z509" s="16"/>
    </row>
    <row r="510" spans="1:26" ht="15.75" customHeight="1">
      <c r="A510" s="103"/>
      <c r="B510" s="103"/>
      <c r="C510" s="104"/>
      <c r="D510" s="103"/>
      <c r="E510" s="103"/>
      <c r="F510" s="103"/>
      <c r="G510" s="103"/>
      <c r="H510" s="103"/>
      <c r="I510" s="103"/>
      <c r="J510" s="103"/>
      <c r="K510" s="16"/>
      <c r="L510" s="16"/>
      <c r="M510" s="16"/>
      <c r="N510" s="16"/>
      <c r="O510" s="16"/>
      <c r="P510" s="16"/>
      <c r="Q510" s="16"/>
      <c r="R510" s="16"/>
      <c r="S510" s="16"/>
      <c r="T510" s="16"/>
      <c r="U510" s="16"/>
      <c r="V510" s="16"/>
      <c r="W510" s="16"/>
      <c r="X510" s="16"/>
      <c r="Y510" s="16"/>
      <c r="Z510" s="16"/>
    </row>
    <row r="511" spans="1:26" ht="15.75" customHeight="1">
      <c r="A511" s="103"/>
      <c r="B511" s="103"/>
      <c r="C511" s="104"/>
      <c r="D511" s="103"/>
      <c r="E511" s="103"/>
      <c r="F511" s="103"/>
      <c r="G511" s="103"/>
      <c r="H511" s="103"/>
      <c r="I511" s="103"/>
      <c r="J511" s="103"/>
      <c r="K511" s="16"/>
      <c r="L511" s="16"/>
      <c r="M511" s="16"/>
      <c r="N511" s="16"/>
      <c r="O511" s="16"/>
      <c r="P511" s="16"/>
      <c r="Q511" s="16"/>
      <c r="R511" s="16"/>
      <c r="S511" s="16"/>
      <c r="T511" s="16"/>
      <c r="U511" s="16"/>
      <c r="V511" s="16"/>
      <c r="W511" s="16"/>
      <c r="X511" s="16"/>
      <c r="Y511" s="16"/>
      <c r="Z511" s="16"/>
    </row>
    <row r="512" spans="1:26" ht="15.75" customHeight="1">
      <c r="A512" s="103"/>
      <c r="B512" s="103"/>
      <c r="C512" s="104"/>
      <c r="D512" s="103"/>
      <c r="E512" s="103"/>
      <c r="F512" s="103"/>
      <c r="G512" s="103"/>
      <c r="H512" s="103"/>
      <c r="I512" s="103"/>
      <c r="J512" s="103"/>
      <c r="K512" s="16"/>
      <c r="L512" s="16"/>
      <c r="M512" s="16"/>
      <c r="N512" s="16"/>
      <c r="O512" s="16"/>
      <c r="P512" s="16"/>
      <c r="Q512" s="16"/>
      <c r="R512" s="16"/>
      <c r="S512" s="16"/>
      <c r="T512" s="16"/>
      <c r="U512" s="16"/>
      <c r="V512" s="16"/>
      <c r="W512" s="16"/>
      <c r="X512" s="16"/>
      <c r="Y512" s="16"/>
      <c r="Z512" s="16"/>
    </row>
    <row r="513" spans="1:26" ht="15.75" customHeight="1">
      <c r="A513" s="103"/>
      <c r="B513" s="103"/>
      <c r="C513" s="104"/>
      <c r="D513" s="103"/>
      <c r="E513" s="103"/>
      <c r="F513" s="103"/>
      <c r="G513" s="103"/>
      <c r="H513" s="103"/>
      <c r="I513" s="103"/>
      <c r="J513" s="103"/>
      <c r="K513" s="16"/>
      <c r="L513" s="16"/>
      <c r="M513" s="16"/>
      <c r="N513" s="16"/>
      <c r="O513" s="16"/>
      <c r="P513" s="16"/>
      <c r="Q513" s="16"/>
      <c r="R513" s="16"/>
      <c r="S513" s="16"/>
      <c r="T513" s="16"/>
      <c r="U513" s="16"/>
      <c r="V513" s="16"/>
      <c r="W513" s="16"/>
      <c r="X513" s="16"/>
      <c r="Y513" s="16"/>
      <c r="Z513" s="16"/>
    </row>
    <row r="514" spans="1:26" ht="15.75" customHeight="1">
      <c r="A514" s="103"/>
      <c r="B514" s="103"/>
      <c r="C514" s="104"/>
      <c r="D514" s="103"/>
      <c r="E514" s="103"/>
      <c r="F514" s="103"/>
      <c r="G514" s="103"/>
      <c r="H514" s="103"/>
      <c r="I514" s="103"/>
      <c r="J514" s="103"/>
      <c r="K514" s="16"/>
      <c r="L514" s="16"/>
      <c r="M514" s="16"/>
      <c r="N514" s="16"/>
      <c r="O514" s="16"/>
      <c r="P514" s="16"/>
      <c r="Q514" s="16"/>
      <c r="R514" s="16"/>
      <c r="S514" s="16"/>
      <c r="T514" s="16"/>
      <c r="U514" s="16"/>
      <c r="V514" s="16"/>
      <c r="W514" s="16"/>
      <c r="X514" s="16"/>
      <c r="Y514" s="16"/>
      <c r="Z514" s="16"/>
    </row>
    <row r="515" spans="1:26" ht="15.75" customHeight="1">
      <c r="A515" s="103"/>
      <c r="B515" s="103"/>
      <c r="C515" s="104"/>
      <c r="D515" s="103"/>
      <c r="E515" s="103"/>
      <c r="F515" s="103"/>
      <c r="G515" s="103"/>
      <c r="H515" s="103"/>
      <c r="I515" s="103"/>
      <c r="J515" s="103"/>
      <c r="K515" s="16"/>
      <c r="L515" s="16"/>
      <c r="M515" s="16"/>
      <c r="N515" s="16"/>
      <c r="O515" s="16"/>
      <c r="P515" s="16"/>
      <c r="Q515" s="16"/>
      <c r="R515" s="16"/>
      <c r="S515" s="16"/>
      <c r="T515" s="16"/>
      <c r="U515" s="16"/>
      <c r="V515" s="16"/>
      <c r="W515" s="16"/>
      <c r="X515" s="16"/>
      <c r="Y515" s="16"/>
      <c r="Z515" s="16"/>
    </row>
    <row r="516" spans="1:26" ht="15.75" customHeight="1">
      <c r="A516" s="103"/>
      <c r="B516" s="103"/>
      <c r="C516" s="104"/>
      <c r="D516" s="103"/>
      <c r="E516" s="103"/>
      <c r="F516" s="103"/>
      <c r="G516" s="103"/>
      <c r="H516" s="103"/>
      <c r="I516" s="103"/>
      <c r="J516" s="103"/>
      <c r="K516" s="16"/>
      <c r="L516" s="16"/>
      <c r="M516" s="16"/>
      <c r="N516" s="16"/>
      <c r="O516" s="16"/>
      <c r="P516" s="16"/>
      <c r="Q516" s="16"/>
      <c r="R516" s="16"/>
      <c r="S516" s="16"/>
      <c r="T516" s="16"/>
      <c r="U516" s="16"/>
      <c r="V516" s="16"/>
      <c r="W516" s="16"/>
      <c r="X516" s="16"/>
      <c r="Y516" s="16"/>
      <c r="Z516" s="16"/>
    </row>
    <row r="517" spans="1:26" ht="15.75" customHeight="1">
      <c r="A517" s="103"/>
      <c r="B517" s="103"/>
      <c r="C517" s="104"/>
      <c r="D517" s="103"/>
      <c r="E517" s="103"/>
      <c r="F517" s="103"/>
      <c r="G517" s="103"/>
      <c r="H517" s="103"/>
      <c r="I517" s="103"/>
      <c r="J517" s="103"/>
      <c r="K517" s="16"/>
      <c r="L517" s="16"/>
      <c r="M517" s="16"/>
      <c r="N517" s="16"/>
      <c r="O517" s="16"/>
      <c r="P517" s="16"/>
      <c r="Q517" s="16"/>
      <c r="R517" s="16"/>
      <c r="S517" s="16"/>
      <c r="T517" s="16"/>
      <c r="U517" s="16"/>
      <c r="V517" s="16"/>
      <c r="W517" s="16"/>
      <c r="X517" s="16"/>
      <c r="Y517" s="16"/>
      <c r="Z517" s="16"/>
    </row>
    <row r="518" spans="1:26" ht="15.75" customHeight="1">
      <c r="A518" s="103"/>
      <c r="B518" s="103"/>
      <c r="C518" s="104"/>
      <c r="D518" s="103"/>
      <c r="E518" s="103"/>
      <c r="F518" s="103"/>
      <c r="G518" s="103"/>
      <c r="H518" s="103"/>
      <c r="I518" s="103"/>
      <c r="J518" s="103"/>
      <c r="K518" s="16"/>
      <c r="L518" s="16"/>
      <c r="M518" s="16"/>
      <c r="N518" s="16"/>
      <c r="O518" s="16"/>
      <c r="P518" s="16"/>
      <c r="Q518" s="16"/>
      <c r="R518" s="16"/>
      <c r="S518" s="16"/>
      <c r="T518" s="16"/>
      <c r="U518" s="16"/>
      <c r="V518" s="16"/>
      <c r="W518" s="16"/>
      <c r="X518" s="16"/>
      <c r="Y518" s="16"/>
      <c r="Z518" s="16"/>
    </row>
    <row r="519" spans="1:26" ht="15.75" customHeight="1">
      <c r="A519" s="103"/>
      <c r="B519" s="103"/>
      <c r="C519" s="104"/>
      <c r="D519" s="103"/>
      <c r="E519" s="103"/>
      <c r="F519" s="103"/>
      <c r="G519" s="103"/>
      <c r="H519" s="103"/>
      <c r="I519" s="103"/>
      <c r="J519" s="103"/>
      <c r="K519" s="16"/>
      <c r="L519" s="16"/>
      <c r="M519" s="16"/>
      <c r="N519" s="16"/>
      <c r="O519" s="16"/>
      <c r="P519" s="16"/>
      <c r="Q519" s="16"/>
      <c r="R519" s="16"/>
      <c r="S519" s="16"/>
      <c r="T519" s="16"/>
      <c r="U519" s="16"/>
      <c r="V519" s="16"/>
      <c r="W519" s="16"/>
      <c r="X519" s="16"/>
      <c r="Y519" s="16"/>
      <c r="Z519" s="16"/>
    </row>
    <row r="520" spans="1:26" ht="15.75" customHeight="1">
      <c r="A520" s="103"/>
      <c r="B520" s="103"/>
      <c r="C520" s="104"/>
      <c r="D520" s="103"/>
      <c r="E520" s="103"/>
      <c r="F520" s="103"/>
      <c r="G520" s="103"/>
      <c r="H520" s="103"/>
      <c r="I520" s="103"/>
      <c r="J520" s="103"/>
      <c r="K520" s="16"/>
      <c r="L520" s="16"/>
      <c r="M520" s="16"/>
      <c r="N520" s="16"/>
      <c r="O520" s="16"/>
      <c r="P520" s="16"/>
      <c r="Q520" s="16"/>
      <c r="R520" s="16"/>
      <c r="S520" s="16"/>
      <c r="T520" s="16"/>
      <c r="U520" s="16"/>
      <c r="V520" s="16"/>
      <c r="W520" s="16"/>
      <c r="X520" s="16"/>
      <c r="Y520" s="16"/>
      <c r="Z520" s="16"/>
    </row>
    <row r="521" spans="1:26" ht="15.75" customHeight="1">
      <c r="A521" s="103"/>
      <c r="B521" s="103"/>
      <c r="C521" s="104"/>
      <c r="D521" s="103"/>
      <c r="E521" s="103"/>
      <c r="F521" s="103"/>
      <c r="G521" s="103"/>
      <c r="H521" s="103"/>
      <c r="I521" s="103"/>
      <c r="J521" s="103"/>
      <c r="K521" s="16"/>
      <c r="L521" s="16"/>
      <c r="M521" s="16"/>
      <c r="N521" s="16"/>
      <c r="O521" s="16"/>
      <c r="P521" s="16"/>
      <c r="Q521" s="16"/>
      <c r="R521" s="16"/>
      <c r="S521" s="16"/>
      <c r="T521" s="16"/>
      <c r="U521" s="16"/>
      <c r="V521" s="16"/>
      <c r="W521" s="16"/>
      <c r="X521" s="16"/>
      <c r="Y521" s="16"/>
      <c r="Z521" s="16"/>
    </row>
    <row r="522" spans="1:26" ht="15.75" customHeight="1">
      <c r="A522" s="103"/>
      <c r="B522" s="103"/>
      <c r="C522" s="104"/>
      <c r="D522" s="103"/>
      <c r="E522" s="103"/>
      <c r="F522" s="103"/>
      <c r="G522" s="103"/>
      <c r="H522" s="103"/>
      <c r="I522" s="103"/>
      <c r="J522" s="103"/>
      <c r="K522" s="16"/>
      <c r="L522" s="16"/>
      <c r="M522" s="16"/>
      <c r="N522" s="16"/>
      <c r="O522" s="16"/>
      <c r="P522" s="16"/>
      <c r="Q522" s="16"/>
      <c r="R522" s="16"/>
      <c r="S522" s="16"/>
      <c r="T522" s="16"/>
      <c r="U522" s="16"/>
      <c r="V522" s="16"/>
      <c r="W522" s="16"/>
      <c r="X522" s="16"/>
      <c r="Y522" s="16"/>
      <c r="Z522" s="16"/>
    </row>
    <row r="523" spans="1:26" ht="15.75" customHeight="1">
      <c r="A523" s="103"/>
      <c r="B523" s="103"/>
      <c r="C523" s="104"/>
      <c r="D523" s="103"/>
      <c r="E523" s="103"/>
      <c r="F523" s="103"/>
      <c r="G523" s="103"/>
      <c r="H523" s="103"/>
      <c r="I523" s="103"/>
      <c r="J523" s="103"/>
      <c r="K523" s="16"/>
      <c r="L523" s="16"/>
      <c r="M523" s="16"/>
      <c r="N523" s="16"/>
      <c r="O523" s="16"/>
      <c r="P523" s="16"/>
      <c r="Q523" s="16"/>
      <c r="R523" s="16"/>
      <c r="S523" s="16"/>
      <c r="T523" s="16"/>
      <c r="U523" s="16"/>
      <c r="V523" s="16"/>
      <c r="W523" s="16"/>
      <c r="X523" s="16"/>
      <c r="Y523" s="16"/>
      <c r="Z523" s="16"/>
    </row>
    <row r="524" spans="1:26" ht="15.75" customHeight="1">
      <c r="A524" s="103"/>
      <c r="B524" s="103"/>
      <c r="C524" s="104"/>
      <c r="D524" s="103"/>
      <c r="E524" s="103"/>
      <c r="F524" s="103"/>
      <c r="G524" s="103"/>
      <c r="H524" s="103"/>
      <c r="I524" s="103"/>
      <c r="J524" s="103"/>
      <c r="K524" s="16"/>
      <c r="L524" s="16"/>
      <c r="M524" s="16"/>
      <c r="N524" s="16"/>
      <c r="O524" s="16"/>
      <c r="P524" s="16"/>
      <c r="Q524" s="16"/>
      <c r="R524" s="16"/>
      <c r="S524" s="16"/>
      <c r="T524" s="16"/>
      <c r="U524" s="16"/>
      <c r="V524" s="16"/>
      <c r="W524" s="16"/>
      <c r="X524" s="16"/>
      <c r="Y524" s="16"/>
      <c r="Z524" s="16"/>
    </row>
    <row r="525" spans="1:26" ht="15.75" customHeight="1">
      <c r="A525" s="103"/>
      <c r="B525" s="103"/>
      <c r="C525" s="104"/>
      <c r="D525" s="103"/>
      <c r="E525" s="103"/>
      <c r="F525" s="103"/>
      <c r="G525" s="103"/>
      <c r="H525" s="103"/>
      <c r="I525" s="103"/>
      <c r="J525" s="103"/>
      <c r="K525" s="16"/>
      <c r="L525" s="16"/>
      <c r="M525" s="16"/>
      <c r="N525" s="16"/>
      <c r="O525" s="16"/>
      <c r="P525" s="16"/>
      <c r="Q525" s="16"/>
      <c r="R525" s="16"/>
      <c r="S525" s="16"/>
      <c r="T525" s="16"/>
      <c r="U525" s="16"/>
      <c r="V525" s="16"/>
      <c r="W525" s="16"/>
      <c r="X525" s="16"/>
      <c r="Y525" s="16"/>
      <c r="Z525" s="16"/>
    </row>
    <row r="526" spans="1:26" ht="15.75" customHeight="1">
      <c r="A526" s="103"/>
      <c r="B526" s="103"/>
      <c r="C526" s="104"/>
      <c r="D526" s="103"/>
      <c r="E526" s="103"/>
      <c r="F526" s="103"/>
      <c r="G526" s="103"/>
      <c r="H526" s="103"/>
      <c r="I526" s="103"/>
      <c r="J526" s="103"/>
      <c r="K526" s="16"/>
      <c r="L526" s="16"/>
      <c r="M526" s="16"/>
      <c r="N526" s="16"/>
      <c r="O526" s="16"/>
      <c r="P526" s="16"/>
      <c r="Q526" s="16"/>
      <c r="R526" s="16"/>
      <c r="S526" s="16"/>
      <c r="T526" s="16"/>
      <c r="U526" s="16"/>
      <c r="V526" s="16"/>
      <c r="W526" s="16"/>
      <c r="X526" s="16"/>
      <c r="Y526" s="16"/>
      <c r="Z526" s="16"/>
    </row>
    <row r="527" spans="1:26" ht="15.75" customHeight="1">
      <c r="A527" s="103"/>
      <c r="B527" s="103"/>
      <c r="C527" s="104"/>
      <c r="D527" s="103"/>
      <c r="E527" s="103"/>
      <c r="F527" s="103"/>
      <c r="G527" s="103"/>
      <c r="H527" s="103"/>
      <c r="I527" s="103"/>
      <c r="J527" s="103"/>
      <c r="K527" s="16"/>
      <c r="L527" s="16"/>
      <c r="M527" s="16"/>
      <c r="N527" s="16"/>
      <c r="O527" s="16"/>
      <c r="P527" s="16"/>
      <c r="Q527" s="16"/>
      <c r="R527" s="16"/>
      <c r="S527" s="16"/>
      <c r="T527" s="16"/>
      <c r="U527" s="16"/>
      <c r="V527" s="16"/>
      <c r="W527" s="16"/>
      <c r="X527" s="16"/>
      <c r="Y527" s="16"/>
      <c r="Z527" s="16"/>
    </row>
    <row r="528" spans="1:26" ht="15.75" customHeight="1">
      <c r="A528" s="103"/>
      <c r="B528" s="103"/>
      <c r="C528" s="104"/>
      <c r="D528" s="103"/>
      <c r="E528" s="103"/>
      <c r="F528" s="103"/>
      <c r="G528" s="103"/>
      <c r="H528" s="103"/>
      <c r="I528" s="103"/>
      <c r="J528" s="103"/>
      <c r="K528" s="16"/>
      <c r="L528" s="16"/>
      <c r="M528" s="16"/>
      <c r="N528" s="16"/>
      <c r="O528" s="16"/>
      <c r="P528" s="16"/>
      <c r="Q528" s="16"/>
      <c r="R528" s="16"/>
      <c r="S528" s="16"/>
      <c r="T528" s="16"/>
      <c r="U528" s="16"/>
      <c r="V528" s="16"/>
      <c r="W528" s="16"/>
      <c r="X528" s="16"/>
      <c r="Y528" s="16"/>
      <c r="Z528" s="16"/>
    </row>
    <row r="529" spans="1:26" ht="15.75" customHeight="1">
      <c r="A529" s="103"/>
      <c r="B529" s="103"/>
      <c r="C529" s="104"/>
      <c r="D529" s="103"/>
      <c r="E529" s="103"/>
      <c r="F529" s="103"/>
      <c r="G529" s="103"/>
      <c r="H529" s="103"/>
      <c r="I529" s="103"/>
      <c r="J529" s="103"/>
      <c r="K529" s="16"/>
      <c r="L529" s="16"/>
      <c r="M529" s="16"/>
      <c r="N529" s="16"/>
      <c r="O529" s="16"/>
      <c r="P529" s="16"/>
      <c r="Q529" s="16"/>
      <c r="R529" s="16"/>
      <c r="S529" s="16"/>
      <c r="T529" s="16"/>
      <c r="U529" s="16"/>
      <c r="V529" s="16"/>
      <c r="W529" s="16"/>
      <c r="X529" s="16"/>
      <c r="Y529" s="16"/>
      <c r="Z529" s="16"/>
    </row>
    <row r="530" spans="1:26" ht="15.75" customHeight="1">
      <c r="A530" s="103"/>
      <c r="B530" s="103"/>
      <c r="C530" s="104"/>
      <c r="D530" s="103"/>
      <c r="E530" s="103"/>
      <c r="F530" s="103"/>
      <c r="G530" s="103"/>
      <c r="H530" s="103"/>
      <c r="I530" s="103"/>
      <c r="J530" s="103"/>
      <c r="K530" s="16"/>
      <c r="L530" s="16"/>
      <c r="M530" s="16"/>
      <c r="N530" s="16"/>
      <c r="O530" s="16"/>
      <c r="P530" s="16"/>
      <c r="Q530" s="16"/>
      <c r="R530" s="16"/>
      <c r="S530" s="16"/>
      <c r="T530" s="16"/>
      <c r="U530" s="16"/>
      <c r="V530" s="16"/>
      <c r="W530" s="16"/>
      <c r="X530" s="16"/>
      <c r="Y530" s="16"/>
      <c r="Z530" s="16"/>
    </row>
    <row r="531" spans="1:26" ht="15.75" customHeight="1">
      <c r="A531" s="103"/>
      <c r="B531" s="103"/>
      <c r="C531" s="104"/>
      <c r="D531" s="103"/>
      <c r="E531" s="103"/>
      <c r="F531" s="103"/>
      <c r="G531" s="103"/>
      <c r="H531" s="103"/>
      <c r="I531" s="103"/>
      <c r="J531" s="103"/>
      <c r="K531" s="16"/>
      <c r="L531" s="16"/>
      <c r="M531" s="16"/>
      <c r="N531" s="16"/>
      <c r="O531" s="16"/>
      <c r="P531" s="16"/>
      <c r="Q531" s="16"/>
      <c r="R531" s="16"/>
      <c r="S531" s="16"/>
      <c r="T531" s="16"/>
      <c r="U531" s="16"/>
      <c r="V531" s="16"/>
      <c r="W531" s="16"/>
      <c r="X531" s="16"/>
      <c r="Y531" s="16"/>
      <c r="Z531" s="16"/>
    </row>
    <row r="532" spans="1:26" ht="15.75" customHeight="1">
      <c r="A532" s="103"/>
      <c r="B532" s="103"/>
      <c r="C532" s="104"/>
      <c r="D532" s="103"/>
      <c r="E532" s="103"/>
      <c r="F532" s="103"/>
      <c r="G532" s="103"/>
      <c r="H532" s="103"/>
      <c r="I532" s="103"/>
      <c r="J532" s="103"/>
      <c r="K532" s="16"/>
      <c r="L532" s="16"/>
      <c r="M532" s="16"/>
      <c r="N532" s="16"/>
      <c r="O532" s="16"/>
      <c r="P532" s="16"/>
      <c r="Q532" s="16"/>
      <c r="R532" s="16"/>
      <c r="S532" s="16"/>
      <c r="T532" s="16"/>
      <c r="U532" s="16"/>
      <c r="V532" s="16"/>
      <c r="W532" s="16"/>
      <c r="X532" s="16"/>
      <c r="Y532" s="16"/>
      <c r="Z532" s="16"/>
    </row>
    <row r="533" spans="1:26" ht="15.75" customHeight="1">
      <c r="A533" s="103"/>
      <c r="B533" s="103"/>
      <c r="C533" s="104"/>
      <c r="D533" s="103"/>
      <c r="E533" s="103"/>
      <c r="F533" s="103"/>
      <c r="G533" s="103"/>
      <c r="H533" s="103"/>
      <c r="I533" s="103"/>
      <c r="J533" s="103"/>
      <c r="K533" s="16"/>
      <c r="L533" s="16"/>
      <c r="M533" s="16"/>
      <c r="N533" s="16"/>
      <c r="O533" s="16"/>
      <c r="P533" s="16"/>
      <c r="Q533" s="16"/>
      <c r="R533" s="16"/>
      <c r="S533" s="16"/>
      <c r="T533" s="16"/>
      <c r="U533" s="16"/>
      <c r="V533" s="16"/>
      <c r="W533" s="16"/>
      <c r="X533" s="16"/>
      <c r="Y533" s="16"/>
      <c r="Z533" s="16"/>
    </row>
    <row r="534" spans="1:26" ht="15.75" customHeight="1">
      <c r="A534" s="103"/>
      <c r="B534" s="103"/>
      <c r="C534" s="104"/>
      <c r="D534" s="103"/>
      <c r="E534" s="103"/>
      <c r="F534" s="103"/>
      <c r="G534" s="103"/>
      <c r="H534" s="103"/>
      <c r="I534" s="103"/>
      <c r="J534" s="103"/>
      <c r="K534" s="16"/>
      <c r="L534" s="16"/>
      <c r="M534" s="16"/>
      <c r="N534" s="16"/>
      <c r="O534" s="16"/>
      <c r="P534" s="16"/>
      <c r="Q534" s="16"/>
      <c r="R534" s="16"/>
      <c r="S534" s="16"/>
      <c r="T534" s="16"/>
      <c r="U534" s="16"/>
      <c r="V534" s="16"/>
      <c r="W534" s="16"/>
      <c r="X534" s="16"/>
      <c r="Y534" s="16"/>
      <c r="Z534" s="16"/>
    </row>
    <row r="535" spans="1:26" ht="15.75" customHeight="1">
      <c r="A535" s="103"/>
      <c r="B535" s="103"/>
      <c r="C535" s="104"/>
      <c r="D535" s="103"/>
      <c r="E535" s="103"/>
      <c r="F535" s="103"/>
      <c r="G535" s="103"/>
      <c r="H535" s="103"/>
      <c r="I535" s="103"/>
      <c r="J535" s="103"/>
      <c r="K535" s="16"/>
      <c r="L535" s="16"/>
      <c r="M535" s="16"/>
      <c r="N535" s="16"/>
      <c r="O535" s="16"/>
      <c r="P535" s="16"/>
      <c r="Q535" s="16"/>
      <c r="R535" s="16"/>
      <c r="S535" s="16"/>
      <c r="T535" s="16"/>
      <c r="U535" s="16"/>
      <c r="V535" s="16"/>
      <c r="W535" s="16"/>
      <c r="X535" s="16"/>
      <c r="Y535" s="16"/>
      <c r="Z535" s="16"/>
    </row>
    <row r="536" spans="1:26" ht="15.75" customHeight="1">
      <c r="A536" s="103"/>
      <c r="B536" s="103"/>
      <c r="C536" s="104"/>
      <c r="D536" s="103"/>
      <c r="E536" s="103"/>
      <c r="F536" s="103"/>
      <c r="G536" s="103"/>
      <c r="H536" s="103"/>
      <c r="I536" s="103"/>
      <c r="J536" s="103"/>
      <c r="K536" s="16"/>
      <c r="L536" s="16"/>
      <c r="M536" s="16"/>
      <c r="N536" s="16"/>
      <c r="O536" s="16"/>
      <c r="P536" s="16"/>
      <c r="Q536" s="16"/>
      <c r="R536" s="16"/>
      <c r="S536" s="16"/>
      <c r="T536" s="16"/>
      <c r="U536" s="16"/>
      <c r="V536" s="16"/>
      <c r="W536" s="16"/>
      <c r="X536" s="16"/>
      <c r="Y536" s="16"/>
      <c r="Z536" s="16"/>
    </row>
    <row r="537" spans="1:26" ht="15.75" customHeight="1">
      <c r="A537" s="103"/>
      <c r="B537" s="103"/>
      <c r="C537" s="104"/>
      <c r="D537" s="103"/>
      <c r="E537" s="103"/>
      <c r="F537" s="103"/>
      <c r="G537" s="103"/>
      <c r="H537" s="103"/>
      <c r="I537" s="103"/>
      <c r="J537" s="103"/>
      <c r="K537" s="16"/>
      <c r="L537" s="16"/>
      <c r="M537" s="16"/>
      <c r="N537" s="16"/>
      <c r="O537" s="16"/>
      <c r="P537" s="16"/>
      <c r="Q537" s="16"/>
      <c r="R537" s="16"/>
      <c r="S537" s="16"/>
      <c r="T537" s="16"/>
      <c r="U537" s="16"/>
      <c r="V537" s="16"/>
      <c r="W537" s="16"/>
      <c r="X537" s="16"/>
      <c r="Y537" s="16"/>
      <c r="Z537" s="16"/>
    </row>
    <row r="538" spans="1:26" ht="15.75" customHeight="1">
      <c r="A538" s="103"/>
      <c r="B538" s="103"/>
      <c r="C538" s="104"/>
      <c r="D538" s="103"/>
      <c r="E538" s="103"/>
      <c r="F538" s="103"/>
      <c r="G538" s="103"/>
      <c r="H538" s="103"/>
      <c r="I538" s="103"/>
      <c r="J538" s="103"/>
      <c r="K538" s="16"/>
      <c r="L538" s="16"/>
      <c r="M538" s="16"/>
      <c r="N538" s="16"/>
      <c r="O538" s="16"/>
      <c r="P538" s="16"/>
      <c r="Q538" s="16"/>
      <c r="R538" s="16"/>
      <c r="S538" s="16"/>
      <c r="T538" s="16"/>
      <c r="U538" s="16"/>
      <c r="V538" s="16"/>
      <c r="W538" s="16"/>
      <c r="X538" s="16"/>
      <c r="Y538" s="16"/>
      <c r="Z538" s="16"/>
    </row>
    <row r="539" spans="1:26" ht="15.75" customHeight="1">
      <c r="A539" s="103"/>
      <c r="B539" s="103"/>
      <c r="C539" s="104"/>
      <c r="D539" s="103"/>
      <c r="E539" s="103"/>
      <c r="F539" s="103"/>
      <c r="G539" s="103"/>
      <c r="H539" s="103"/>
      <c r="I539" s="103"/>
      <c r="J539" s="103"/>
      <c r="K539" s="16"/>
      <c r="L539" s="16"/>
      <c r="M539" s="16"/>
      <c r="N539" s="16"/>
      <c r="O539" s="16"/>
      <c r="P539" s="16"/>
      <c r="Q539" s="16"/>
      <c r="R539" s="16"/>
      <c r="S539" s="16"/>
      <c r="T539" s="16"/>
      <c r="U539" s="16"/>
      <c r="V539" s="16"/>
      <c r="W539" s="16"/>
      <c r="X539" s="16"/>
      <c r="Y539" s="16"/>
      <c r="Z539" s="16"/>
    </row>
    <row r="540" spans="1:26" ht="15.75" customHeight="1">
      <c r="A540" s="103"/>
      <c r="B540" s="103"/>
      <c r="C540" s="104"/>
      <c r="D540" s="103"/>
      <c r="E540" s="103"/>
      <c r="F540" s="103"/>
      <c r="G540" s="103"/>
      <c r="H540" s="103"/>
      <c r="I540" s="103"/>
      <c r="J540" s="103"/>
      <c r="K540" s="16"/>
      <c r="L540" s="16"/>
      <c r="M540" s="16"/>
      <c r="N540" s="16"/>
      <c r="O540" s="16"/>
      <c r="P540" s="16"/>
      <c r="Q540" s="16"/>
      <c r="R540" s="16"/>
      <c r="S540" s="16"/>
      <c r="T540" s="16"/>
      <c r="U540" s="16"/>
      <c r="V540" s="16"/>
      <c r="W540" s="16"/>
      <c r="X540" s="16"/>
      <c r="Y540" s="16"/>
      <c r="Z540" s="16"/>
    </row>
    <row r="541" spans="1:26" ht="15.75" customHeight="1">
      <c r="A541" s="103"/>
      <c r="B541" s="103"/>
      <c r="C541" s="104"/>
      <c r="D541" s="103"/>
      <c r="E541" s="103"/>
      <c r="F541" s="103"/>
      <c r="G541" s="103"/>
      <c r="H541" s="103"/>
      <c r="I541" s="103"/>
      <c r="J541" s="103"/>
      <c r="K541" s="16"/>
      <c r="L541" s="16"/>
      <c r="M541" s="16"/>
      <c r="N541" s="16"/>
      <c r="O541" s="16"/>
      <c r="P541" s="16"/>
      <c r="Q541" s="16"/>
      <c r="R541" s="16"/>
      <c r="S541" s="16"/>
      <c r="T541" s="16"/>
      <c r="U541" s="16"/>
      <c r="V541" s="16"/>
      <c r="W541" s="16"/>
      <c r="X541" s="16"/>
      <c r="Y541" s="16"/>
      <c r="Z541" s="16"/>
    </row>
    <row r="542" spans="1:26" ht="15.75" customHeight="1">
      <c r="A542" s="103"/>
      <c r="B542" s="103"/>
      <c r="C542" s="104"/>
      <c r="D542" s="103"/>
      <c r="E542" s="103"/>
      <c r="F542" s="103"/>
      <c r="G542" s="103"/>
      <c r="H542" s="103"/>
      <c r="I542" s="103"/>
      <c r="J542" s="103"/>
      <c r="K542" s="16"/>
      <c r="L542" s="16"/>
      <c r="M542" s="16"/>
      <c r="N542" s="16"/>
      <c r="O542" s="16"/>
      <c r="P542" s="16"/>
      <c r="Q542" s="16"/>
      <c r="R542" s="16"/>
      <c r="S542" s="16"/>
      <c r="T542" s="16"/>
      <c r="U542" s="16"/>
      <c r="V542" s="16"/>
      <c r="W542" s="16"/>
      <c r="X542" s="16"/>
      <c r="Y542" s="16"/>
      <c r="Z542" s="16"/>
    </row>
    <row r="543" spans="1:26" ht="15.75" customHeight="1">
      <c r="A543" s="103"/>
      <c r="B543" s="103"/>
      <c r="C543" s="104"/>
      <c r="D543" s="103"/>
      <c r="E543" s="103"/>
      <c r="F543" s="103"/>
      <c r="G543" s="103"/>
      <c r="H543" s="103"/>
      <c r="I543" s="103"/>
      <c r="J543" s="103"/>
      <c r="K543" s="16"/>
      <c r="L543" s="16"/>
      <c r="M543" s="16"/>
      <c r="N543" s="16"/>
      <c r="O543" s="16"/>
      <c r="P543" s="16"/>
      <c r="Q543" s="16"/>
      <c r="R543" s="16"/>
      <c r="S543" s="16"/>
      <c r="T543" s="16"/>
      <c r="U543" s="16"/>
      <c r="V543" s="16"/>
      <c r="W543" s="16"/>
      <c r="X543" s="16"/>
      <c r="Y543" s="16"/>
      <c r="Z543" s="16"/>
    </row>
    <row r="544" spans="1:26" ht="15.75" customHeight="1">
      <c r="A544" s="103"/>
      <c r="B544" s="103"/>
      <c r="C544" s="104"/>
      <c r="D544" s="103"/>
      <c r="E544" s="103"/>
      <c r="F544" s="103"/>
      <c r="G544" s="103"/>
      <c r="H544" s="103"/>
      <c r="I544" s="103"/>
      <c r="J544" s="103"/>
      <c r="K544" s="16"/>
      <c r="L544" s="16"/>
      <c r="M544" s="16"/>
      <c r="N544" s="16"/>
      <c r="O544" s="16"/>
      <c r="P544" s="16"/>
      <c r="Q544" s="16"/>
      <c r="R544" s="16"/>
      <c r="S544" s="16"/>
      <c r="T544" s="16"/>
      <c r="U544" s="16"/>
      <c r="V544" s="16"/>
      <c r="W544" s="16"/>
      <c r="X544" s="16"/>
      <c r="Y544" s="16"/>
      <c r="Z544" s="16"/>
    </row>
    <row r="545" spans="1:26" ht="15.75" customHeight="1">
      <c r="A545" s="103"/>
      <c r="B545" s="103"/>
      <c r="C545" s="104"/>
      <c r="D545" s="103"/>
      <c r="E545" s="103"/>
      <c r="F545" s="103"/>
      <c r="G545" s="103"/>
      <c r="H545" s="103"/>
      <c r="I545" s="103"/>
      <c r="J545" s="103"/>
      <c r="K545" s="16"/>
      <c r="L545" s="16"/>
      <c r="M545" s="16"/>
      <c r="N545" s="16"/>
      <c r="O545" s="16"/>
      <c r="P545" s="16"/>
      <c r="Q545" s="16"/>
      <c r="R545" s="16"/>
      <c r="S545" s="16"/>
      <c r="T545" s="16"/>
      <c r="U545" s="16"/>
      <c r="V545" s="16"/>
      <c r="W545" s="16"/>
      <c r="X545" s="16"/>
      <c r="Y545" s="16"/>
      <c r="Z545" s="16"/>
    </row>
    <row r="546" spans="1:26" ht="15.75" customHeight="1">
      <c r="A546" s="103"/>
      <c r="B546" s="103"/>
      <c r="C546" s="104"/>
      <c r="D546" s="103"/>
      <c r="E546" s="103"/>
      <c r="F546" s="103"/>
      <c r="G546" s="103"/>
      <c r="H546" s="103"/>
      <c r="I546" s="103"/>
      <c r="J546" s="103"/>
      <c r="K546" s="16"/>
      <c r="L546" s="16"/>
      <c r="M546" s="16"/>
      <c r="N546" s="16"/>
      <c r="O546" s="16"/>
      <c r="P546" s="16"/>
      <c r="Q546" s="16"/>
      <c r="R546" s="16"/>
      <c r="S546" s="16"/>
      <c r="T546" s="16"/>
      <c r="U546" s="16"/>
      <c r="V546" s="16"/>
      <c r="W546" s="16"/>
      <c r="X546" s="16"/>
      <c r="Y546" s="16"/>
      <c r="Z546" s="16"/>
    </row>
    <row r="547" spans="1:26" ht="15.75" customHeight="1">
      <c r="A547" s="103"/>
      <c r="B547" s="103"/>
      <c r="C547" s="104"/>
      <c r="D547" s="103"/>
      <c r="E547" s="103"/>
      <c r="F547" s="103"/>
      <c r="G547" s="103"/>
      <c r="H547" s="103"/>
      <c r="I547" s="103"/>
      <c r="J547" s="103"/>
      <c r="K547" s="16"/>
      <c r="L547" s="16"/>
      <c r="M547" s="16"/>
      <c r="N547" s="16"/>
      <c r="O547" s="16"/>
      <c r="P547" s="16"/>
      <c r="Q547" s="16"/>
      <c r="R547" s="16"/>
      <c r="S547" s="16"/>
      <c r="T547" s="16"/>
      <c r="U547" s="16"/>
      <c r="V547" s="16"/>
      <c r="W547" s="16"/>
      <c r="X547" s="16"/>
      <c r="Y547" s="16"/>
      <c r="Z547" s="16"/>
    </row>
    <row r="548" spans="1:26" ht="15.75" customHeight="1">
      <c r="A548" s="103"/>
      <c r="B548" s="103"/>
      <c r="C548" s="104"/>
      <c r="D548" s="103"/>
      <c r="E548" s="103"/>
      <c r="F548" s="103"/>
      <c r="G548" s="103"/>
      <c r="H548" s="103"/>
      <c r="I548" s="103"/>
      <c r="J548" s="103"/>
      <c r="K548" s="16"/>
      <c r="L548" s="16"/>
      <c r="M548" s="16"/>
      <c r="N548" s="16"/>
      <c r="O548" s="16"/>
      <c r="P548" s="16"/>
      <c r="Q548" s="16"/>
      <c r="R548" s="16"/>
      <c r="S548" s="16"/>
      <c r="T548" s="16"/>
      <c r="U548" s="16"/>
      <c r="V548" s="16"/>
      <c r="W548" s="16"/>
      <c r="X548" s="16"/>
      <c r="Y548" s="16"/>
      <c r="Z548" s="16"/>
    </row>
    <row r="549" spans="1:26" ht="15.75" customHeight="1">
      <c r="A549" s="103"/>
      <c r="B549" s="103"/>
      <c r="C549" s="104"/>
      <c r="D549" s="103"/>
      <c r="E549" s="103"/>
      <c r="F549" s="103"/>
      <c r="G549" s="103"/>
      <c r="H549" s="103"/>
      <c r="I549" s="103"/>
      <c r="J549" s="103"/>
      <c r="K549" s="16"/>
      <c r="L549" s="16"/>
      <c r="M549" s="16"/>
      <c r="N549" s="16"/>
      <c r="O549" s="16"/>
      <c r="P549" s="16"/>
      <c r="Q549" s="16"/>
      <c r="R549" s="16"/>
      <c r="S549" s="16"/>
      <c r="T549" s="16"/>
      <c r="U549" s="16"/>
      <c r="V549" s="16"/>
      <c r="W549" s="16"/>
      <c r="X549" s="16"/>
      <c r="Y549" s="16"/>
      <c r="Z549" s="16"/>
    </row>
    <row r="550" spans="1:26" ht="15.75" customHeight="1">
      <c r="A550" s="103"/>
      <c r="B550" s="103"/>
      <c r="C550" s="104"/>
      <c r="D550" s="103"/>
      <c r="E550" s="103"/>
      <c r="F550" s="103"/>
      <c r="G550" s="103"/>
      <c r="H550" s="103"/>
      <c r="I550" s="103"/>
      <c r="J550" s="103"/>
      <c r="K550" s="16"/>
      <c r="L550" s="16"/>
      <c r="M550" s="16"/>
      <c r="N550" s="16"/>
      <c r="O550" s="16"/>
      <c r="P550" s="16"/>
      <c r="Q550" s="16"/>
      <c r="R550" s="16"/>
      <c r="S550" s="16"/>
      <c r="T550" s="16"/>
      <c r="U550" s="16"/>
      <c r="V550" s="16"/>
      <c r="W550" s="16"/>
      <c r="X550" s="16"/>
      <c r="Y550" s="16"/>
      <c r="Z550" s="16"/>
    </row>
    <row r="551" spans="1:26" ht="15.75" customHeight="1">
      <c r="A551" s="103"/>
      <c r="B551" s="103"/>
      <c r="C551" s="104"/>
      <c r="D551" s="103"/>
      <c r="E551" s="103"/>
      <c r="F551" s="103"/>
      <c r="G551" s="103"/>
      <c r="H551" s="103"/>
      <c r="I551" s="103"/>
      <c r="J551" s="103"/>
      <c r="K551" s="16"/>
      <c r="L551" s="16"/>
      <c r="M551" s="16"/>
      <c r="N551" s="16"/>
      <c r="O551" s="16"/>
      <c r="P551" s="16"/>
      <c r="Q551" s="16"/>
      <c r="R551" s="16"/>
      <c r="S551" s="16"/>
      <c r="T551" s="16"/>
      <c r="U551" s="16"/>
      <c r="V551" s="16"/>
      <c r="W551" s="16"/>
      <c r="X551" s="16"/>
      <c r="Y551" s="16"/>
      <c r="Z551" s="16"/>
    </row>
    <row r="552" spans="1:26" ht="15.75" customHeight="1">
      <c r="A552" s="103"/>
      <c r="B552" s="103"/>
      <c r="C552" s="104"/>
      <c r="D552" s="103"/>
      <c r="E552" s="103"/>
      <c r="F552" s="103"/>
      <c r="G552" s="103"/>
      <c r="H552" s="103"/>
      <c r="I552" s="103"/>
      <c r="J552" s="103"/>
      <c r="K552" s="16"/>
      <c r="L552" s="16"/>
      <c r="M552" s="16"/>
      <c r="N552" s="16"/>
      <c r="O552" s="16"/>
      <c r="P552" s="16"/>
      <c r="Q552" s="16"/>
      <c r="R552" s="16"/>
      <c r="S552" s="16"/>
      <c r="T552" s="16"/>
      <c r="U552" s="16"/>
      <c r="V552" s="16"/>
      <c r="W552" s="16"/>
      <c r="X552" s="16"/>
      <c r="Y552" s="16"/>
      <c r="Z552" s="16"/>
    </row>
    <row r="553" spans="1:26" ht="15.75" customHeight="1">
      <c r="A553" s="103"/>
      <c r="B553" s="103"/>
      <c r="C553" s="104"/>
      <c r="D553" s="103"/>
      <c r="E553" s="103"/>
      <c r="F553" s="103"/>
      <c r="G553" s="103"/>
      <c r="H553" s="103"/>
      <c r="I553" s="103"/>
      <c r="J553" s="103"/>
      <c r="K553" s="16"/>
      <c r="L553" s="16"/>
      <c r="M553" s="16"/>
      <c r="N553" s="16"/>
      <c r="O553" s="16"/>
      <c r="P553" s="16"/>
      <c r="Q553" s="16"/>
      <c r="R553" s="16"/>
      <c r="S553" s="16"/>
      <c r="T553" s="16"/>
      <c r="U553" s="16"/>
      <c r="V553" s="16"/>
      <c r="W553" s="16"/>
      <c r="X553" s="16"/>
      <c r="Y553" s="16"/>
      <c r="Z553" s="16"/>
    </row>
    <row r="554" spans="1:26" ht="15.75" customHeight="1">
      <c r="A554" s="103"/>
      <c r="B554" s="103"/>
      <c r="C554" s="104"/>
      <c r="D554" s="103"/>
      <c r="E554" s="103"/>
      <c r="F554" s="103"/>
      <c r="G554" s="103"/>
      <c r="H554" s="103"/>
      <c r="I554" s="103"/>
      <c r="J554" s="103"/>
      <c r="K554" s="16"/>
      <c r="L554" s="16"/>
      <c r="M554" s="16"/>
      <c r="N554" s="16"/>
      <c r="O554" s="16"/>
      <c r="P554" s="16"/>
      <c r="Q554" s="16"/>
      <c r="R554" s="16"/>
      <c r="S554" s="16"/>
      <c r="T554" s="16"/>
      <c r="U554" s="16"/>
      <c r="V554" s="16"/>
      <c r="W554" s="16"/>
      <c r="X554" s="16"/>
      <c r="Y554" s="16"/>
      <c r="Z554" s="16"/>
    </row>
    <row r="555" spans="1:26" ht="15.75" customHeight="1">
      <c r="A555" s="103"/>
      <c r="B555" s="103"/>
      <c r="C555" s="104"/>
      <c r="D555" s="103"/>
      <c r="E555" s="103"/>
      <c r="F555" s="103"/>
      <c r="G555" s="103"/>
      <c r="H555" s="103"/>
      <c r="I555" s="103"/>
      <c r="J555" s="103"/>
      <c r="K555" s="16"/>
      <c r="L555" s="16"/>
      <c r="M555" s="16"/>
      <c r="N555" s="16"/>
      <c r="O555" s="16"/>
      <c r="P555" s="16"/>
      <c r="Q555" s="16"/>
      <c r="R555" s="16"/>
      <c r="S555" s="16"/>
      <c r="T555" s="16"/>
      <c r="U555" s="16"/>
      <c r="V555" s="16"/>
      <c r="W555" s="16"/>
      <c r="X555" s="16"/>
      <c r="Y555" s="16"/>
      <c r="Z555" s="16"/>
    </row>
    <row r="556" spans="1:26" ht="15.75" customHeight="1">
      <c r="A556" s="103"/>
      <c r="B556" s="103"/>
      <c r="C556" s="104"/>
      <c r="D556" s="103"/>
      <c r="E556" s="103"/>
      <c r="F556" s="103"/>
      <c r="G556" s="103"/>
      <c r="H556" s="103"/>
      <c r="I556" s="103"/>
      <c r="J556" s="103"/>
      <c r="K556" s="16"/>
      <c r="L556" s="16"/>
      <c r="M556" s="16"/>
      <c r="N556" s="16"/>
      <c r="O556" s="16"/>
      <c r="P556" s="16"/>
      <c r="Q556" s="16"/>
      <c r="R556" s="16"/>
      <c r="S556" s="16"/>
      <c r="T556" s="16"/>
      <c r="U556" s="16"/>
      <c r="V556" s="16"/>
      <c r="W556" s="16"/>
      <c r="X556" s="16"/>
      <c r="Y556" s="16"/>
      <c r="Z556" s="16"/>
    </row>
    <row r="557" spans="1:26" ht="15.75" customHeight="1">
      <c r="A557" s="103"/>
      <c r="B557" s="103"/>
      <c r="C557" s="104"/>
      <c r="D557" s="103"/>
      <c r="E557" s="103"/>
      <c r="F557" s="103"/>
      <c r="G557" s="103"/>
      <c r="H557" s="103"/>
      <c r="I557" s="103"/>
      <c r="J557" s="103"/>
      <c r="K557" s="16"/>
      <c r="L557" s="16"/>
      <c r="M557" s="16"/>
      <c r="N557" s="16"/>
      <c r="O557" s="16"/>
      <c r="P557" s="16"/>
      <c r="Q557" s="16"/>
      <c r="R557" s="16"/>
      <c r="S557" s="16"/>
      <c r="T557" s="16"/>
      <c r="U557" s="16"/>
      <c r="V557" s="16"/>
      <c r="W557" s="16"/>
      <c r="X557" s="16"/>
      <c r="Y557" s="16"/>
      <c r="Z557" s="16"/>
    </row>
    <row r="558" spans="1:26" ht="15.75" customHeight="1">
      <c r="A558" s="103"/>
      <c r="B558" s="103"/>
      <c r="C558" s="104"/>
      <c r="D558" s="103"/>
      <c r="E558" s="103"/>
      <c r="F558" s="103"/>
      <c r="G558" s="103"/>
      <c r="H558" s="103"/>
      <c r="I558" s="103"/>
      <c r="J558" s="103"/>
      <c r="K558" s="16"/>
      <c r="L558" s="16"/>
      <c r="M558" s="16"/>
      <c r="N558" s="16"/>
      <c r="O558" s="16"/>
      <c r="P558" s="16"/>
      <c r="Q558" s="16"/>
      <c r="R558" s="16"/>
      <c r="S558" s="16"/>
      <c r="T558" s="16"/>
      <c r="U558" s="16"/>
      <c r="V558" s="16"/>
      <c r="W558" s="16"/>
      <c r="X558" s="16"/>
      <c r="Y558" s="16"/>
      <c r="Z558" s="16"/>
    </row>
    <row r="559" spans="1:26" ht="15.75" customHeight="1">
      <c r="A559" s="103"/>
      <c r="B559" s="103"/>
      <c r="C559" s="104"/>
      <c r="D559" s="103"/>
      <c r="E559" s="103"/>
      <c r="F559" s="103"/>
      <c r="G559" s="103"/>
      <c r="H559" s="103"/>
      <c r="I559" s="103"/>
      <c r="J559" s="103"/>
      <c r="K559" s="16"/>
      <c r="L559" s="16"/>
      <c r="M559" s="16"/>
      <c r="N559" s="16"/>
      <c r="O559" s="16"/>
      <c r="P559" s="16"/>
      <c r="Q559" s="16"/>
      <c r="R559" s="16"/>
      <c r="S559" s="16"/>
      <c r="T559" s="16"/>
      <c r="U559" s="16"/>
      <c r="V559" s="16"/>
      <c r="W559" s="16"/>
      <c r="X559" s="16"/>
      <c r="Y559" s="16"/>
      <c r="Z559" s="16"/>
    </row>
    <row r="560" spans="1:26" ht="15.75" customHeight="1">
      <c r="A560" s="103"/>
      <c r="B560" s="103"/>
      <c r="C560" s="104"/>
      <c r="D560" s="103"/>
      <c r="E560" s="103"/>
      <c r="F560" s="103"/>
      <c r="G560" s="103"/>
      <c r="H560" s="103"/>
      <c r="I560" s="103"/>
      <c r="J560" s="103"/>
      <c r="K560" s="16"/>
      <c r="L560" s="16"/>
      <c r="M560" s="16"/>
      <c r="N560" s="16"/>
      <c r="O560" s="16"/>
      <c r="P560" s="16"/>
      <c r="Q560" s="16"/>
      <c r="R560" s="16"/>
      <c r="S560" s="16"/>
      <c r="T560" s="16"/>
      <c r="U560" s="16"/>
      <c r="V560" s="16"/>
      <c r="W560" s="16"/>
      <c r="X560" s="16"/>
      <c r="Y560" s="16"/>
      <c r="Z560" s="16"/>
    </row>
    <row r="561" spans="1:26" ht="15.75" customHeight="1">
      <c r="A561" s="103"/>
      <c r="B561" s="103"/>
      <c r="C561" s="104"/>
      <c r="D561" s="103"/>
      <c r="E561" s="103"/>
      <c r="F561" s="103"/>
      <c r="G561" s="103"/>
      <c r="H561" s="103"/>
      <c r="I561" s="103"/>
      <c r="J561" s="103"/>
      <c r="K561" s="16"/>
      <c r="L561" s="16"/>
      <c r="M561" s="16"/>
      <c r="N561" s="16"/>
      <c r="O561" s="16"/>
      <c r="P561" s="16"/>
      <c r="Q561" s="16"/>
      <c r="R561" s="16"/>
      <c r="S561" s="16"/>
      <c r="T561" s="16"/>
      <c r="U561" s="16"/>
      <c r="V561" s="16"/>
      <c r="W561" s="16"/>
      <c r="X561" s="16"/>
      <c r="Y561" s="16"/>
      <c r="Z561" s="16"/>
    </row>
    <row r="562" spans="1:26" ht="15.75" customHeight="1">
      <c r="A562" s="103"/>
      <c r="B562" s="103"/>
      <c r="C562" s="104"/>
      <c r="D562" s="103"/>
      <c r="E562" s="103"/>
      <c r="F562" s="103"/>
      <c r="G562" s="103"/>
      <c r="H562" s="103"/>
      <c r="I562" s="103"/>
      <c r="J562" s="103"/>
      <c r="K562" s="16"/>
      <c r="L562" s="16"/>
      <c r="M562" s="16"/>
      <c r="N562" s="16"/>
      <c r="O562" s="16"/>
      <c r="P562" s="16"/>
      <c r="Q562" s="16"/>
      <c r="R562" s="16"/>
      <c r="S562" s="16"/>
      <c r="T562" s="16"/>
      <c r="U562" s="16"/>
      <c r="V562" s="16"/>
      <c r="W562" s="16"/>
      <c r="X562" s="16"/>
      <c r="Y562" s="16"/>
      <c r="Z562" s="16"/>
    </row>
    <row r="563" spans="1:26" ht="15.75" customHeight="1">
      <c r="A563" s="103"/>
      <c r="B563" s="103"/>
      <c r="C563" s="104"/>
      <c r="D563" s="103"/>
      <c r="E563" s="103"/>
      <c r="F563" s="103"/>
      <c r="G563" s="103"/>
      <c r="H563" s="103"/>
      <c r="I563" s="103"/>
      <c r="J563" s="103"/>
      <c r="K563" s="16"/>
      <c r="L563" s="16"/>
      <c r="M563" s="16"/>
      <c r="N563" s="16"/>
      <c r="O563" s="16"/>
      <c r="P563" s="16"/>
      <c r="Q563" s="16"/>
      <c r="R563" s="16"/>
      <c r="S563" s="16"/>
      <c r="T563" s="16"/>
      <c r="U563" s="16"/>
      <c r="V563" s="16"/>
      <c r="W563" s="16"/>
      <c r="X563" s="16"/>
      <c r="Y563" s="16"/>
      <c r="Z563" s="16"/>
    </row>
    <row r="564" spans="1:26" ht="15.75" customHeight="1">
      <c r="A564" s="103"/>
      <c r="B564" s="103"/>
      <c r="C564" s="104"/>
      <c r="D564" s="103"/>
      <c r="E564" s="103"/>
      <c r="F564" s="103"/>
      <c r="G564" s="103"/>
      <c r="H564" s="103"/>
      <c r="I564" s="103"/>
      <c r="J564" s="103"/>
      <c r="K564" s="16"/>
      <c r="L564" s="16"/>
      <c r="M564" s="16"/>
      <c r="N564" s="16"/>
      <c r="O564" s="16"/>
      <c r="P564" s="16"/>
      <c r="Q564" s="16"/>
      <c r="R564" s="16"/>
      <c r="S564" s="16"/>
      <c r="T564" s="16"/>
      <c r="U564" s="16"/>
      <c r="V564" s="16"/>
      <c r="W564" s="16"/>
      <c r="X564" s="16"/>
      <c r="Y564" s="16"/>
      <c r="Z564" s="16"/>
    </row>
    <row r="565" spans="1:26" ht="15.75" customHeight="1">
      <c r="A565" s="103"/>
      <c r="B565" s="103"/>
      <c r="C565" s="104"/>
      <c r="D565" s="103"/>
      <c r="E565" s="103"/>
      <c r="F565" s="103"/>
      <c r="G565" s="103"/>
      <c r="H565" s="103"/>
      <c r="I565" s="103"/>
      <c r="J565" s="103"/>
      <c r="K565" s="16"/>
      <c r="L565" s="16"/>
      <c r="M565" s="16"/>
      <c r="N565" s="16"/>
      <c r="O565" s="16"/>
      <c r="P565" s="16"/>
      <c r="Q565" s="16"/>
      <c r="R565" s="16"/>
      <c r="S565" s="16"/>
      <c r="T565" s="16"/>
      <c r="U565" s="16"/>
      <c r="V565" s="16"/>
      <c r="W565" s="16"/>
      <c r="X565" s="16"/>
      <c r="Y565" s="16"/>
      <c r="Z565" s="16"/>
    </row>
    <row r="566" spans="1:26" ht="15.75" customHeight="1">
      <c r="A566" s="103"/>
      <c r="B566" s="103"/>
      <c r="C566" s="104"/>
      <c r="D566" s="103"/>
      <c r="E566" s="103"/>
      <c r="F566" s="103"/>
      <c r="G566" s="103"/>
      <c r="H566" s="103"/>
      <c r="I566" s="103"/>
      <c r="J566" s="103"/>
      <c r="K566" s="16"/>
      <c r="L566" s="16"/>
      <c r="M566" s="16"/>
      <c r="N566" s="16"/>
      <c r="O566" s="16"/>
      <c r="P566" s="16"/>
      <c r="Q566" s="16"/>
      <c r="R566" s="16"/>
      <c r="S566" s="16"/>
      <c r="T566" s="16"/>
      <c r="U566" s="16"/>
      <c r="V566" s="16"/>
      <c r="W566" s="16"/>
      <c r="X566" s="16"/>
      <c r="Y566" s="16"/>
      <c r="Z566" s="16"/>
    </row>
    <row r="567" spans="1:26" ht="15.75" customHeight="1">
      <c r="A567" s="103"/>
      <c r="B567" s="103"/>
      <c r="C567" s="104"/>
      <c r="D567" s="103"/>
      <c r="E567" s="103"/>
      <c r="F567" s="103"/>
      <c r="G567" s="103"/>
      <c r="H567" s="103"/>
      <c r="I567" s="103"/>
      <c r="J567" s="103"/>
      <c r="K567" s="16"/>
      <c r="L567" s="16"/>
      <c r="M567" s="16"/>
      <c r="N567" s="16"/>
      <c r="O567" s="16"/>
      <c r="P567" s="16"/>
      <c r="Q567" s="16"/>
      <c r="R567" s="16"/>
      <c r="S567" s="16"/>
      <c r="T567" s="16"/>
      <c r="U567" s="16"/>
      <c r="V567" s="16"/>
      <c r="W567" s="16"/>
      <c r="X567" s="16"/>
      <c r="Y567" s="16"/>
      <c r="Z567" s="16"/>
    </row>
    <row r="568" spans="1:26" ht="15.75" customHeight="1">
      <c r="A568" s="103"/>
      <c r="B568" s="103"/>
      <c r="C568" s="104"/>
      <c r="D568" s="103"/>
      <c r="E568" s="103"/>
      <c r="F568" s="103"/>
      <c r="G568" s="103"/>
      <c r="H568" s="103"/>
      <c r="I568" s="103"/>
      <c r="J568" s="103"/>
      <c r="K568" s="16"/>
      <c r="L568" s="16"/>
      <c r="M568" s="16"/>
      <c r="N568" s="16"/>
      <c r="O568" s="16"/>
      <c r="P568" s="16"/>
      <c r="Q568" s="16"/>
      <c r="R568" s="16"/>
      <c r="S568" s="16"/>
      <c r="T568" s="16"/>
      <c r="U568" s="16"/>
      <c r="V568" s="16"/>
      <c r="W568" s="16"/>
      <c r="X568" s="16"/>
      <c r="Y568" s="16"/>
      <c r="Z568" s="16"/>
    </row>
    <row r="569" spans="1:26" ht="15.75" customHeight="1">
      <c r="A569" s="103"/>
      <c r="B569" s="103"/>
      <c r="C569" s="104"/>
      <c r="D569" s="103"/>
      <c r="E569" s="103"/>
      <c r="F569" s="103"/>
      <c r="G569" s="103"/>
      <c r="H569" s="103"/>
      <c r="I569" s="103"/>
      <c r="J569" s="103"/>
      <c r="K569" s="16"/>
      <c r="L569" s="16"/>
      <c r="M569" s="16"/>
      <c r="N569" s="16"/>
      <c r="O569" s="16"/>
      <c r="P569" s="16"/>
      <c r="Q569" s="16"/>
      <c r="R569" s="16"/>
      <c r="S569" s="16"/>
      <c r="T569" s="16"/>
      <c r="U569" s="16"/>
      <c r="V569" s="16"/>
      <c r="W569" s="16"/>
      <c r="X569" s="16"/>
      <c r="Y569" s="16"/>
      <c r="Z569" s="16"/>
    </row>
    <row r="570" spans="1:26" ht="15.75" customHeight="1">
      <c r="A570" s="103"/>
      <c r="B570" s="103"/>
      <c r="C570" s="104"/>
      <c r="D570" s="103"/>
      <c r="E570" s="103"/>
      <c r="F570" s="103"/>
      <c r="G570" s="103"/>
      <c r="H570" s="103"/>
      <c r="I570" s="103"/>
      <c r="J570" s="103"/>
      <c r="K570" s="16"/>
      <c r="L570" s="16"/>
      <c r="M570" s="16"/>
      <c r="N570" s="16"/>
      <c r="O570" s="16"/>
      <c r="P570" s="16"/>
      <c r="Q570" s="16"/>
      <c r="R570" s="16"/>
      <c r="S570" s="16"/>
      <c r="T570" s="16"/>
      <c r="U570" s="16"/>
      <c r="V570" s="16"/>
      <c r="W570" s="16"/>
      <c r="X570" s="16"/>
      <c r="Y570" s="16"/>
      <c r="Z570" s="16"/>
    </row>
    <row r="571" spans="1:26" ht="15.75" customHeight="1">
      <c r="A571" s="103"/>
      <c r="B571" s="103"/>
      <c r="C571" s="104"/>
      <c r="D571" s="103"/>
      <c r="E571" s="103"/>
      <c r="F571" s="103"/>
      <c r="G571" s="103"/>
      <c r="H571" s="103"/>
      <c r="I571" s="103"/>
      <c r="J571" s="103"/>
      <c r="K571" s="16"/>
      <c r="L571" s="16"/>
      <c r="M571" s="16"/>
      <c r="N571" s="16"/>
      <c r="O571" s="16"/>
      <c r="P571" s="16"/>
      <c r="Q571" s="16"/>
      <c r="R571" s="16"/>
      <c r="S571" s="16"/>
      <c r="T571" s="16"/>
      <c r="U571" s="16"/>
      <c r="V571" s="16"/>
      <c r="W571" s="16"/>
      <c r="X571" s="16"/>
      <c r="Y571" s="16"/>
      <c r="Z571" s="16"/>
    </row>
    <row r="572" spans="1:26" ht="15.75" customHeight="1">
      <c r="A572" s="103"/>
      <c r="B572" s="103"/>
      <c r="C572" s="104"/>
      <c r="D572" s="103"/>
      <c r="E572" s="103"/>
      <c r="F572" s="103"/>
      <c r="G572" s="103"/>
      <c r="H572" s="103"/>
      <c r="I572" s="103"/>
      <c r="J572" s="103"/>
      <c r="K572" s="16"/>
      <c r="L572" s="16"/>
      <c r="M572" s="16"/>
      <c r="N572" s="16"/>
      <c r="O572" s="16"/>
      <c r="P572" s="16"/>
      <c r="Q572" s="16"/>
      <c r="R572" s="16"/>
      <c r="S572" s="16"/>
      <c r="T572" s="16"/>
      <c r="U572" s="16"/>
      <c r="V572" s="16"/>
      <c r="W572" s="16"/>
      <c r="X572" s="16"/>
      <c r="Y572" s="16"/>
      <c r="Z572" s="16"/>
    </row>
    <row r="573" spans="1:26" ht="15.75" customHeight="1">
      <c r="A573" s="103"/>
      <c r="B573" s="103"/>
      <c r="C573" s="104"/>
      <c r="D573" s="103"/>
      <c r="E573" s="103"/>
      <c r="F573" s="103"/>
      <c r="G573" s="103"/>
      <c r="H573" s="103"/>
      <c r="I573" s="103"/>
      <c r="J573" s="103"/>
      <c r="K573" s="16"/>
      <c r="L573" s="16"/>
      <c r="M573" s="16"/>
      <c r="N573" s="16"/>
      <c r="O573" s="16"/>
      <c r="P573" s="16"/>
      <c r="Q573" s="16"/>
      <c r="R573" s="16"/>
      <c r="S573" s="16"/>
      <c r="T573" s="16"/>
      <c r="U573" s="16"/>
      <c r="V573" s="16"/>
      <c r="W573" s="16"/>
      <c r="X573" s="16"/>
      <c r="Y573" s="16"/>
      <c r="Z573" s="16"/>
    </row>
    <row r="574" spans="1:26" ht="15.75" customHeight="1">
      <c r="A574" s="103"/>
      <c r="B574" s="103"/>
      <c r="C574" s="104"/>
      <c r="D574" s="103"/>
      <c r="E574" s="103"/>
      <c r="F574" s="103"/>
      <c r="G574" s="103"/>
      <c r="H574" s="103"/>
      <c r="I574" s="103"/>
      <c r="J574" s="103"/>
      <c r="K574" s="16"/>
      <c r="L574" s="16"/>
      <c r="M574" s="16"/>
      <c r="N574" s="16"/>
      <c r="O574" s="16"/>
      <c r="P574" s="16"/>
      <c r="Q574" s="16"/>
      <c r="R574" s="16"/>
      <c r="S574" s="16"/>
      <c r="T574" s="16"/>
      <c r="U574" s="16"/>
      <c r="V574" s="16"/>
      <c r="W574" s="16"/>
      <c r="X574" s="16"/>
      <c r="Y574" s="16"/>
      <c r="Z574" s="16"/>
    </row>
    <row r="575" spans="1:26" ht="15.75" customHeight="1">
      <c r="A575" s="103"/>
      <c r="B575" s="103"/>
      <c r="C575" s="104"/>
      <c r="D575" s="103"/>
      <c r="E575" s="103"/>
      <c r="F575" s="103"/>
      <c r="G575" s="103"/>
      <c r="H575" s="103"/>
      <c r="I575" s="103"/>
      <c r="J575" s="103"/>
      <c r="K575" s="16"/>
      <c r="L575" s="16"/>
      <c r="M575" s="16"/>
      <c r="N575" s="16"/>
      <c r="O575" s="16"/>
      <c r="P575" s="16"/>
      <c r="Q575" s="16"/>
      <c r="R575" s="16"/>
      <c r="S575" s="16"/>
      <c r="T575" s="16"/>
      <c r="U575" s="16"/>
      <c r="V575" s="16"/>
      <c r="W575" s="16"/>
      <c r="X575" s="16"/>
      <c r="Y575" s="16"/>
      <c r="Z575" s="16"/>
    </row>
    <row r="576" spans="1:26" ht="15.75" customHeight="1">
      <c r="A576" s="103"/>
      <c r="B576" s="103"/>
      <c r="C576" s="104"/>
      <c r="D576" s="103"/>
      <c r="E576" s="103"/>
      <c r="F576" s="103"/>
      <c r="G576" s="103"/>
      <c r="H576" s="103"/>
      <c r="I576" s="103"/>
      <c r="J576" s="103"/>
      <c r="K576" s="16"/>
      <c r="L576" s="16"/>
      <c r="M576" s="16"/>
      <c r="N576" s="16"/>
      <c r="O576" s="16"/>
      <c r="P576" s="16"/>
      <c r="Q576" s="16"/>
      <c r="R576" s="16"/>
      <c r="S576" s="16"/>
      <c r="T576" s="16"/>
      <c r="U576" s="16"/>
      <c r="V576" s="16"/>
      <c r="W576" s="16"/>
      <c r="X576" s="16"/>
      <c r="Y576" s="16"/>
      <c r="Z576" s="16"/>
    </row>
    <row r="577" spans="1:26" ht="15.75" customHeight="1">
      <c r="A577" s="103"/>
      <c r="B577" s="103"/>
      <c r="C577" s="104"/>
      <c r="D577" s="103"/>
      <c r="E577" s="103"/>
      <c r="F577" s="103"/>
      <c r="G577" s="103"/>
      <c r="H577" s="103"/>
      <c r="I577" s="103"/>
      <c r="J577" s="103"/>
      <c r="K577" s="16"/>
      <c r="L577" s="16"/>
      <c r="M577" s="16"/>
      <c r="N577" s="16"/>
      <c r="O577" s="16"/>
      <c r="P577" s="16"/>
      <c r="Q577" s="16"/>
      <c r="R577" s="16"/>
      <c r="S577" s="16"/>
      <c r="T577" s="16"/>
      <c r="U577" s="16"/>
      <c r="V577" s="16"/>
      <c r="W577" s="16"/>
      <c r="X577" s="16"/>
      <c r="Y577" s="16"/>
      <c r="Z577" s="16"/>
    </row>
    <row r="578" spans="1:26" ht="15.75" customHeight="1">
      <c r="A578" s="103"/>
      <c r="B578" s="103"/>
      <c r="C578" s="104"/>
      <c r="D578" s="103"/>
      <c r="E578" s="103"/>
      <c r="F578" s="103"/>
      <c r="G578" s="103"/>
      <c r="H578" s="103"/>
      <c r="I578" s="103"/>
      <c r="J578" s="103"/>
      <c r="K578" s="16"/>
      <c r="L578" s="16"/>
      <c r="M578" s="16"/>
      <c r="N578" s="16"/>
      <c r="O578" s="16"/>
      <c r="P578" s="16"/>
      <c r="Q578" s="16"/>
      <c r="R578" s="16"/>
      <c r="S578" s="16"/>
      <c r="T578" s="16"/>
      <c r="U578" s="16"/>
      <c r="V578" s="16"/>
      <c r="W578" s="16"/>
      <c r="X578" s="16"/>
      <c r="Y578" s="16"/>
      <c r="Z578" s="16"/>
    </row>
    <row r="579" spans="1:26" ht="15.75" customHeight="1">
      <c r="A579" s="103"/>
      <c r="B579" s="103"/>
      <c r="C579" s="104"/>
      <c r="D579" s="103"/>
      <c r="E579" s="103"/>
      <c r="F579" s="103"/>
      <c r="G579" s="103"/>
      <c r="H579" s="103"/>
      <c r="I579" s="103"/>
      <c r="J579" s="103"/>
      <c r="K579" s="16"/>
      <c r="L579" s="16"/>
      <c r="M579" s="16"/>
      <c r="N579" s="16"/>
      <c r="O579" s="16"/>
      <c r="P579" s="16"/>
      <c r="Q579" s="16"/>
      <c r="R579" s="16"/>
      <c r="S579" s="16"/>
      <c r="T579" s="16"/>
      <c r="U579" s="16"/>
      <c r="V579" s="16"/>
      <c r="W579" s="16"/>
      <c r="X579" s="16"/>
      <c r="Y579" s="16"/>
      <c r="Z579" s="16"/>
    </row>
    <row r="580" spans="1:26" ht="15.75" customHeight="1">
      <c r="A580" s="103"/>
      <c r="B580" s="103"/>
      <c r="C580" s="104"/>
      <c r="D580" s="103"/>
      <c r="E580" s="103"/>
      <c r="F580" s="103"/>
      <c r="G580" s="103"/>
      <c r="H580" s="103"/>
      <c r="I580" s="103"/>
      <c r="J580" s="103"/>
      <c r="K580" s="16"/>
      <c r="L580" s="16"/>
      <c r="M580" s="16"/>
      <c r="N580" s="16"/>
      <c r="O580" s="16"/>
      <c r="P580" s="16"/>
      <c r="Q580" s="16"/>
      <c r="R580" s="16"/>
      <c r="S580" s="16"/>
      <c r="T580" s="16"/>
      <c r="U580" s="16"/>
      <c r="V580" s="16"/>
      <c r="W580" s="16"/>
      <c r="X580" s="16"/>
      <c r="Y580" s="16"/>
      <c r="Z580" s="16"/>
    </row>
    <row r="581" spans="1:26" ht="15.75" customHeight="1">
      <c r="A581" s="103"/>
      <c r="B581" s="103"/>
      <c r="C581" s="104"/>
      <c r="D581" s="103"/>
      <c r="E581" s="103"/>
      <c r="F581" s="103"/>
      <c r="G581" s="103"/>
      <c r="H581" s="103"/>
      <c r="I581" s="103"/>
      <c r="J581" s="103"/>
      <c r="K581" s="16"/>
      <c r="L581" s="16"/>
      <c r="M581" s="16"/>
      <c r="N581" s="16"/>
      <c r="O581" s="16"/>
      <c r="P581" s="16"/>
      <c r="Q581" s="16"/>
      <c r="R581" s="16"/>
      <c r="S581" s="16"/>
      <c r="T581" s="16"/>
      <c r="U581" s="16"/>
      <c r="V581" s="16"/>
      <c r="W581" s="16"/>
      <c r="X581" s="16"/>
      <c r="Y581" s="16"/>
      <c r="Z581" s="16"/>
    </row>
    <row r="582" spans="1:26" ht="15.75" customHeight="1">
      <c r="A582" s="103"/>
      <c r="B582" s="103"/>
      <c r="C582" s="104"/>
      <c r="D582" s="103"/>
      <c r="E582" s="103"/>
      <c r="F582" s="103"/>
      <c r="G582" s="103"/>
      <c r="H582" s="103"/>
      <c r="I582" s="103"/>
      <c r="J582" s="103"/>
      <c r="K582" s="16"/>
      <c r="L582" s="16"/>
      <c r="M582" s="16"/>
      <c r="N582" s="16"/>
      <c r="O582" s="16"/>
      <c r="P582" s="16"/>
      <c r="Q582" s="16"/>
      <c r="R582" s="16"/>
      <c r="S582" s="16"/>
      <c r="T582" s="16"/>
      <c r="U582" s="16"/>
      <c r="V582" s="16"/>
      <c r="W582" s="16"/>
      <c r="X582" s="16"/>
      <c r="Y582" s="16"/>
      <c r="Z582" s="16"/>
    </row>
    <row r="583" spans="1:26" ht="15.75" customHeight="1">
      <c r="A583" s="103"/>
      <c r="B583" s="103"/>
      <c r="C583" s="104"/>
      <c r="D583" s="103"/>
      <c r="E583" s="103"/>
      <c r="F583" s="103"/>
      <c r="G583" s="103"/>
      <c r="H583" s="103"/>
      <c r="I583" s="103"/>
      <c r="J583" s="103"/>
      <c r="K583" s="16"/>
      <c r="L583" s="16"/>
      <c r="M583" s="16"/>
      <c r="N583" s="16"/>
      <c r="O583" s="16"/>
      <c r="P583" s="16"/>
      <c r="Q583" s="16"/>
      <c r="R583" s="16"/>
      <c r="S583" s="16"/>
      <c r="T583" s="16"/>
      <c r="U583" s="16"/>
      <c r="V583" s="16"/>
      <c r="W583" s="16"/>
      <c r="X583" s="16"/>
      <c r="Y583" s="16"/>
      <c r="Z583" s="16"/>
    </row>
    <row r="584" spans="1:26" ht="15.75" customHeight="1">
      <c r="A584" s="103"/>
      <c r="B584" s="103"/>
      <c r="C584" s="104"/>
      <c r="D584" s="103"/>
      <c r="E584" s="103"/>
      <c r="F584" s="103"/>
      <c r="G584" s="103"/>
      <c r="H584" s="103"/>
      <c r="I584" s="103"/>
      <c r="J584" s="103"/>
      <c r="K584" s="16"/>
      <c r="L584" s="16"/>
      <c r="M584" s="16"/>
      <c r="N584" s="16"/>
      <c r="O584" s="16"/>
      <c r="P584" s="16"/>
      <c r="Q584" s="16"/>
      <c r="R584" s="16"/>
      <c r="S584" s="16"/>
      <c r="T584" s="16"/>
      <c r="U584" s="16"/>
      <c r="V584" s="16"/>
      <c r="W584" s="16"/>
      <c r="X584" s="16"/>
      <c r="Y584" s="16"/>
      <c r="Z584" s="16"/>
    </row>
    <row r="585" spans="1:26" ht="15.75" customHeight="1">
      <c r="A585" s="103"/>
      <c r="B585" s="103"/>
      <c r="C585" s="104"/>
      <c r="D585" s="103"/>
      <c r="E585" s="103"/>
      <c r="F585" s="103"/>
      <c r="G585" s="103"/>
      <c r="H585" s="103"/>
      <c r="I585" s="103"/>
      <c r="J585" s="103"/>
      <c r="K585" s="16"/>
      <c r="L585" s="16"/>
      <c r="M585" s="16"/>
      <c r="N585" s="16"/>
      <c r="O585" s="16"/>
      <c r="P585" s="16"/>
      <c r="Q585" s="16"/>
      <c r="R585" s="16"/>
      <c r="S585" s="16"/>
      <c r="T585" s="16"/>
      <c r="U585" s="16"/>
      <c r="V585" s="16"/>
      <c r="W585" s="16"/>
      <c r="X585" s="16"/>
      <c r="Y585" s="16"/>
      <c r="Z585" s="16"/>
    </row>
    <row r="586" spans="1:26" ht="15.75" customHeight="1">
      <c r="A586" s="103"/>
      <c r="B586" s="103"/>
      <c r="C586" s="104"/>
      <c r="D586" s="103"/>
      <c r="E586" s="103"/>
      <c r="F586" s="103"/>
      <c r="G586" s="103"/>
      <c r="H586" s="103"/>
      <c r="I586" s="103"/>
      <c r="J586" s="103"/>
      <c r="K586" s="16"/>
      <c r="L586" s="16"/>
      <c r="M586" s="16"/>
      <c r="N586" s="16"/>
      <c r="O586" s="16"/>
      <c r="P586" s="16"/>
      <c r="Q586" s="16"/>
      <c r="R586" s="16"/>
      <c r="S586" s="16"/>
      <c r="T586" s="16"/>
      <c r="U586" s="16"/>
      <c r="V586" s="16"/>
      <c r="W586" s="16"/>
      <c r="X586" s="16"/>
      <c r="Y586" s="16"/>
      <c r="Z586" s="16"/>
    </row>
    <row r="587" spans="1:26" ht="15.75" customHeight="1">
      <c r="A587" s="103"/>
      <c r="B587" s="103"/>
      <c r="C587" s="104"/>
      <c r="D587" s="103"/>
      <c r="E587" s="103"/>
      <c r="F587" s="103"/>
      <c r="G587" s="103"/>
      <c r="H587" s="103"/>
      <c r="I587" s="103"/>
      <c r="J587" s="103"/>
      <c r="K587" s="16"/>
      <c r="L587" s="16"/>
      <c r="M587" s="16"/>
      <c r="N587" s="16"/>
      <c r="O587" s="16"/>
      <c r="P587" s="16"/>
      <c r="Q587" s="16"/>
      <c r="R587" s="16"/>
      <c r="S587" s="16"/>
      <c r="T587" s="16"/>
      <c r="U587" s="16"/>
      <c r="V587" s="16"/>
      <c r="W587" s="16"/>
      <c r="X587" s="16"/>
      <c r="Y587" s="16"/>
      <c r="Z587" s="16"/>
    </row>
    <row r="588" spans="1:26" ht="15.75" customHeight="1">
      <c r="A588" s="103"/>
      <c r="B588" s="103"/>
      <c r="C588" s="104"/>
      <c r="D588" s="103"/>
      <c r="E588" s="103"/>
      <c r="F588" s="103"/>
      <c r="G588" s="103"/>
      <c r="H588" s="103"/>
      <c r="I588" s="103"/>
      <c r="J588" s="103"/>
      <c r="K588" s="16"/>
      <c r="L588" s="16"/>
      <c r="M588" s="16"/>
      <c r="N588" s="16"/>
      <c r="O588" s="16"/>
      <c r="P588" s="16"/>
      <c r="Q588" s="16"/>
      <c r="R588" s="16"/>
      <c r="S588" s="16"/>
      <c r="T588" s="16"/>
      <c r="U588" s="16"/>
      <c r="V588" s="16"/>
      <c r="W588" s="16"/>
      <c r="X588" s="16"/>
      <c r="Y588" s="16"/>
      <c r="Z588" s="16"/>
    </row>
    <row r="589" spans="1:26" ht="15.75" customHeight="1">
      <c r="A589" s="103"/>
      <c r="B589" s="103"/>
      <c r="C589" s="104"/>
      <c r="D589" s="103"/>
      <c r="E589" s="103"/>
      <c r="F589" s="103"/>
      <c r="G589" s="103"/>
      <c r="H589" s="103"/>
      <c r="I589" s="103"/>
      <c r="J589" s="103"/>
      <c r="K589" s="16"/>
      <c r="L589" s="16"/>
      <c r="M589" s="16"/>
      <c r="N589" s="16"/>
      <c r="O589" s="16"/>
      <c r="P589" s="16"/>
      <c r="Q589" s="16"/>
      <c r="R589" s="16"/>
      <c r="S589" s="16"/>
      <c r="T589" s="16"/>
      <c r="U589" s="16"/>
      <c r="V589" s="16"/>
      <c r="W589" s="16"/>
      <c r="X589" s="16"/>
      <c r="Y589" s="16"/>
      <c r="Z589" s="16"/>
    </row>
    <row r="590" spans="1:26" ht="15.75" customHeight="1">
      <c r="A590" s="103"/>
      <c r="B590" s="103"/>
      <c r="C590" s="104"/>
      <c r="D590" s="103"/>
      <c r="E590" s="103"/>
      <c r="F590" s="103"/>
      <c r="G590" s="103"/>
      <c r="H590" s="103"/>
      <c r="I590" s="103"/>
      <c r="J590" s="103"/>
      <c r="K590" s="16"/>
      <c r="L590" s="16"/>
      <c r="M590" s="16"/>
      <c r="N590" s="16"/>
      <c r="O590" s="16"/>
      <c r="P590" s="16"/>
      <c r="Q590" s="16"/>
      <c r="R590" s="16"/>
      <c r="S590" s="16"/>
      <c r="T590" s="16"/>
      <c r="U590" s="16"/>
      <c r="V590" s="16"/>
      <c r="W590" s="16"/>
      <c r="X590" s="16"/>
      <c r="Y590" s="16"/>
      <c r="Z590" s="16"/>
    </row>
    <row r="591" spans="1:26" ht="15.75" customHeight="1">
      <c r="A591" s="103"/>
      <c r="B591" s="103"/>
      <c r="C591" s="104"/>
      <c r="D591" s="103"/>
      <c r="E591" s="103"/>
      <c r="F591" s="103"/>
      <c r="G591" s="103"/>
      <c r="H591" s="103"/>
      <c r="I591" s="103"/>
      <c r="J591" s="103"/>
      <c r="K591" s="16"/>
      <c r="L591" s="16"/>
      <c r="M591" s="16"/>
      <c r="N591" s="16"/>
      <c r="O591" s="16"/>
      <c r="P591" s="16"/>
      <c r="Q591" s="16"/>
      <c r="R591" s="16"/>
      <c r="S591" s="16"/>
      <c r="T591" s="16"/>
      <c r="U591" s="16"/>
      <c r="V591" s="16"/>
      <c r="W591" s="16"/>
      <c r="X591" s="16"/>
      <c r="Y591" s="16"/>
      <c r="Z591" s="16"/>
    </row>
    <row r="592" spans="1:26" ht="15.75" customHeight="1">
      <c r="A592" s="103"/>
      <c r="B592" s="103"/>
      <c r="C592" s="104"/>
      <c r="D592" s="103"/>
      <c r="E592" s="103"/>
      <c r="F592" s="103"/>
      <c r="G592" s="103"/>
      <c r="H592" s="103"/>
      <c r="I592" s="103"/>
      <c r="J592" s="103"/>
      <c r="K592" s="16"/>
      <c r="L592" s="16"/>
      <c r="M592" s="16"/>
      <c r="N592" s="16"/>
      <c r="O592" s="16"/>
      <c r="P592" s="16"/>
      <c r="Q592" s="16"/>
      <c r="R592" s="16"/>
      <c r="S592" s="16"/>
      <c r="T592" s="16"/>
      <c r="U592" s="16"/>
      <c r="V592" s="16"/>
      <c r="W592" s="16"/>
      <c r="X592" s="16"/>
      <c r="Y592" s="16"/>
      <c r="Z592" s="16"/>
    </row>
    <row r="593" spans="1:26" ht="15.75" customHeight="1">
      <c r="A593" s="103"/>
      <c r="B593" s="103"/>
      <c r="C593" s="104"/>
      <c r="D593" s="103"/>
      <c r="E593" s="103"/>
      <c r="F593" s="103"/>
      <c r="G593" s="103"/>
      <c r="H593" s="103"/>
      <c r="I593" s="103"/>
      <c r="J593" s="103"/>
      <c r="K593" s="16"/>
      <c r="L593" s="16"/>
      <c r="M593" s="16"/>
      <c r="N593" s="16"/>
      <c r="O593" s="16"/>
      <c r="P593" s="16"/>
      <c r="Q593" s="16"/>
      <c r="R593" s="16"/>
      <c r="S593" s="16"/>
      <c r="T593" s="16"/>
      <c r="U593" s="16"/>
      <c r="V593" s="16"/>
      <c r="W593" s="16"/>
      <c r="X593" s="16"/>
      <c r="Y593" s="16"/>
      <c r="Z593" s="16"/>
    </row>
    <row r="594" spans="1:26" ht="15.75" customHeight="1">
      <c r="A594" s="103"/>
      <c r="B594" s="103"/>
      <c r="C594" s="104"/>
      <c r="D594" s="103"/>
      <c r="E594" s="103"/>
      <c r="F594" s="103"/>
      <c r="G594" s="103"/>
      <c r="H594" s="103"/>
      <c r="I594" s="103"/>
      <c r="J594" s="103"/>
      <c r="K594" s="16"/>
      <c r="L594" s="16"/>
      <c r="M594" s="16"/>
      <c r="N594" s="16"/>
      <c r="O594" s="16"/>
      <c r="P594" s="16"/>
      <c r="Q594" s="16"/>
      <c r="R594" s="16"/>
      <c r="S594" s="16"/>
      <c r="T594" s="16"/>
      <c r="U594" s="16"/>
      <c r="V594" s="16"/>
      <c r="W594" s="16"/>
      <c r="X594" s="16"/>
      <c r="Y594" s="16"/>
      <c r="Z594" s="16"/>
    </row>
    <row r="595" spans="1:26" ht="15.75" customHeight="1">
      <c r="A595" s="103"/>
      <c r="B595" s="103"/>
      <c r="C595" s="104"/>
      <c r="D595" s="103"/>
      <c r="E595" s="103"/>
      <c r="F595" s="103"/>
      <c r="G595" s="103"/>
      <c r="H595" s="103"/>
      <c r="I595" s="103"/>
      <c r="J595" s="103"/>
      <c r="K595" s="16"/>
      <c r="L595" s="16"/>
      <c r="M595" s="16"/>
      <c r="N595" s="16"/>
      <c r="O595" s="16"/>
      <c r="P595" s="16"/>
      <c r="Q595" s="16"/>
      <c r="R595" s="16"/>
      <c r="S595" s="16"/>
      <c r="T595" s="16"/>
      <c r="U595" s="16"/>
      <c r="V595" s="16"/>
      <c r="W595" s="16"/>
      <c r="X595" s="16"/>
      <c r="Y595" s="16"/>
      <c r="Z595" s="16"/>
    </row>
    <row r="596" spans="1:26" ht="15.75" customHeight="1">
      <c r="A596" s="103"/>
      <c r="B596" s="103"/>
      <c r="C596" s="104"/>
      <c r="D596" s="103"/>
      <c r="E596" s="103"/>
      <c r="F596" s="103"/>
      <c r="G596" s="103"/>
      <c r="H596" s="103"/>
      <c r="I596" s="103"/>
      <c r="J596" s="103"/>
      <c r="K596" s="16"/>
      <c r="L596" s="16"/>
      <c r="M596" s="16"/>
      <c r="N596" s="16"/>
      <c r="O596" s="16"/>
      <c r="P596" s="16"/>
      <c r="Q596" s="16"/>
      <c r="R596" s="16"/>
      <c r="S596" s="16"/>
      <c r="T596" s="16"/>
      <c r="U596" s="16"/>
      <c r="V596" s="16"/>
      <c r="W596" s="16"/>
      <c r="X596" s="16"/>
      <c r="Y596" s="16"/>
      <c r="Z596" s="16"/>
    </row>
    <row r="597" spans="1:26" ht="15.75" customHeight="1">
      <c r="A597" s="103"/>
      <c r="B597" s="103"/>
      <c r="C597" s="104"/>
      <c r="D597" s="103"/>
      <c r="E597" s="103"/>
      <c r="F597" s="103"/>
      <c r="G597" s="103"/>
      <c r="H597" s="103"/>
      <c r="I597" s="103"/>
      <c r="J597" s="103"/>
      <c r="K597" s="16"/>
      <c r="L597" s="16"/>
      <c r="M597" s="16"/>
      <c r="N597" s="16"/>
      <c r="O597" s="16"/>
      <c r="P597" s="16"/>
      <c r="Q597" s="16"/>
      <c r="R597" s="16"/>
      <c r="S597" s="16"/>
      <c r="T597" s="16"/>
      <c r="U597" s="16"/>
      <c r="V597" s="16"/>
      <c r="W597" s="16"/>
      <c r="X597" s="16"/>
      <c r="Y597" s="16"/>
      <c r="Z597" s="16"/>
    </row>
    <row r="598" spans="1:26" ht="15.75" customHeight="1">
      <c r="A598" s="103"/>
      <c r="B598" s="103"/>
      <c r="C598" s="104"/>
      <c r="D598" s="103"/>
      <c r="E598" s="103"/>
      <c r="F598" s="103"/>
      <c r="G598" s="103"/>
      <c r="H598" s="103"/>
      <c r="I598" s="103"/>
      <c r="J598" s="103"/>
      <c r="K598" s="16"/>
      <c r="L598" s="16"/>
      <c r="M598" s="16"/>
      <c r="N598" s="16"/>
      <c r="O598" s="16"/>
      <c r="P598" s="16"/>
      <c r="Q598" s="16"/>
      <c r="R598" s="16"/>
      <c r="S598" s="16"/>
      <c r="T598" s="16"/>
      <c r="U598" s="16"/>
      <c r="V598" s="16"/>
      <c r="W598" s="16"/>
      <c r="X598" s="16"/>
      <c r="Y598" s="16"/>
      <c r="Z598" s="16"/>
    </row>
    <row r="599" spans="1:26" ht="15.75" customHeight="1">
      <c r="A599" s="103"/>
      <c r="B599" s="103"/>
      <c r="C599" s="104"/>
      <c r="D599" s="103"/>
      <c r="E599" s="103"/>
      <c r="F599" s="103"/>
      <c r="G599" s="103"/>
      <c r="H599" s="103"/>
      <c r="I599" s="103"/>
      <c r="J599" s="103"/>
      <c r="K599" s="16"/>
      <c r="L599" s="16"/>
      <c r="M599" s="16"/>
      <c r="N599" s="16"/>
      <c r="O599" s="16"/>
      <c r="P599" s="16"/>
      <c r="Q599" s="16"/>
      <c r="R599" s="16"/>
      <c r="S599" s="16"/>
      <c r="T599" s="16"/>
      <c r="U599" s="16"/>
      <c r="V599" s="16"/>
      <c r="W599" s="16"/>
      <c r="X599" s="16"/>
      <c r="Y599" s="16"/>
      <c r="Z599" s="16"/>
    </row>
    <row r="600" spans="1:26" ht="15.75" customHeight="1">
      <c r="A600" s="103"/>
      <c r="B600" s="103"/>
      <c r="C600" s="104"/>
      <c r="D600" s="103"/>
      <c r="E600" s="103"/>
      <c r="F600" s="103"/>
      <c r="G600" s="103"/>
      <c r="H600" s="103"/>
      <c r="I600" s="103"/>
      <c r="J600" s="103"/>
      <c r="K600" s="16"/>
      <c r="L600" s="16"/>
      <c r="M600" s="16"/>
      <c r="N600" s="16"/>
      <c r="O600" s="16"/>
      <c r="P600" s="16"/>
      <c r="Q600" s="16"/>
      <c r="R600" s="16"/>
      <c r="S600" s="16"/>
      <c r="T600" s="16"/>
      <c r="U600" s="16"/>
      <c r="V600" s="16"/>
      <c r="W600" s="16"/>
      <c r="X600" s="16"/>
      <c r="Y600" s="16"/>
      <c r="Z600" s="16"/>
    </row>
    <row r="601" spans="1:26" ht="15.75" customHeight="1">
      <c r="A601" s="103"/>
      <c r="B601" s="103"/>
      <c r="C601" s="104"/>
      <c r="D601" s="103"/>
      <c r="E601" s="103"/>
      <c r="F601" s="103"/>
      <c r="G601" s="103"/>
      <c r="H601" s="103"/>
      <c r="I601" s="103"/>
      <c r="J601" s="103"/>
      <c r="K601" s="16"/>
      <c r="L601" s="16"/>
      <c r="M601" s="16"/>
      <c r="N601" s="16"/>
      <c r="O601" s="16"/>
      <c r="P601" s="16"/>
      <c r="Q601" s="16"/>
      <c r="R601" s="16"/>
      <c r="S601" s="16"/>
      <c r="T601" s="16"/>
      <c r="U601" s="16"/>
      <c r="V601" s="16"/>
      <c r="W601" s="16"/>
      <c r="X601" s="16"/>
      <c r="Y601" s="16"/>
      <c r="Z601" s="16"/>
    </row>
    <row r="602" spans="1:26" ht="15.75" customHeight="1">
      <c r="A602" s="103"/>
      <c r="B602" s="103"/>
      <c r="C602" s="104"/>
      <c r="D602" s="103"/>
      <c r="E602" s="103"/>
      <c r="F602" s="103"/>
      <c r="G602" s="103"/>
      <c r="H602" s="103"/>
      <c r="I602" s="103"/>
      <c r="J602" s="103"/>
      <c r="K602" s="16"/>
      <c r="L602" s="16"/>
      <c r="M602" s="16"/>
      <c r="N602" s="16"/>
      <c r="O602" s="16"/>
      <c r="P602" s="16"/>
      <c r="Q602" s="16"/>
      <c r="R602" s="16"/>
      <c r="S602" s="16"/>
      <c r="T602" s="16"/>
      <c r="U602" s="16"/>
      <c r="V602" s="16"/>
      <c r="W602" s="16"/>
      <c r="X602" s="16"/>
      <c r="Y602" s="16"/>
      <c r="Z602" s="16"/>
    </row>
    <row r="603" spans="1:26" ht="15.75" customHeight="1">
      <c r="A603" s="103"/>
      <c r="B603" s="103"/>
      <c r="C603" s="104"/>
      <c r="D603" s="103"/>
      <c r="E603" s="103"/>
      <c r="F603" s="103"/>
      <c r="G603" s="103"/>
      <c r="H603" s="103"/>
      <c r="I603" s="103"/>
      <c r="J603" s="103"/>
      <c r="K603" s="16"/>
      <c r="L603" s="16"/>
      <c r="M603" s="16"/>
      <c r="N603" s="16"/>
      <c r="O603" s="16"/>
      <c r="P603" s="16"/>
      <c r="Q603" s="16"/>
      <c r="R603" s="16"/>
      <c r="S603" s="16"/>
      <c r="T603" s="16"/>
      <c r="U603" s="16"/>
      <c r="V603" s="16"/>
      <c r="W603" s="16"/>
      <c r="X603" s="16"/>
      <c r="Y603" s="16"/>
      <c r="Z603" s="16"/>
    </row>
    <row r="604" spans="1:26" ht="15.75" customHeight="1">
      <c r="A604" s="103"/>
      <c r="B604" s="103"/>
      <c r="C604" s="104"/>
      <c r="D604" s="103"/>
      <c r="E604" s="103"/>
      <c r="F604" s="103"/>
      <c r="G604" s="103"/>
      <c r="H604" s="103"/>
      <c r="I604" s="103"/>
      <c r="J604" s="103"/>
      <c r="K604" s="16"/>
      <c r="L604" s="16"/>
      <c r="M604" s="16"/>
      <c r="N604" s="16"/>
      <c r="O604" s="16"/>
      <c r="P604" s="16"/>
      <c r="Q604" s="16"/>
      <c r="R604" s="16"/>
      <c r="S604" s="16"/>
      <c r="T604" s="16"/>
      <c r="U604" s="16"/>
      <c r="V604" s="16"/>
      <c r="W604" s="16"/>
      <c r="X604" s="16"/>
      <c r="Y604" s="16"/>
      <c r="Z604" s="16"/>
    </row>
    <row r="605" spans="1:26" ht="15.75" customHeight="1">
      <c r="A605" s="103"/>
      <c r="B605" s="103"/>
      <c r="C605" s="104"/>
      <c r="D605" s="103"/>
      <c r="E605" s="103"/>
      <c r="F605" s="103"/>
      <c r="G605" s="103"/>
      <c r="H605" s="103"/>
      <c r="I605" s="103"/>
      <c r="J605" s="103"/>
      <c r="K605" s="16"/>
      <c r="L605" s="16"/>
      <c r="M605" s="16"/>
      <c r="N605" s="16"/>
      <c r="O605" s="16"/>
      <c r="P605" s="16"/>
      <c r="Q605" s="16"/>
      <c r="R605" s="16"/>
      <c r="S605" s="16"/>
      <c r="T605" s="16"/>
      <c r="U605" s="16"/>
      <c r="V605" s="16"/>
      <c r="W605" s="16"/>
      <c r="X605" s="16"/>
      <c r="Y605" s="16"/>
      <c r="Z605" s="16"/>
    </row>
    <row r="606" spans="1:26" ht="15.75" customHeight="1">
      <c r="A606" s="103"/>
      <c r="B606" s="103"/>
      <c r="C606" s="104"/>
      <c r="D606" s="103"/>
      <c r="E606" s="103"/>
      <c r="F606" s="103"/>
      <c r="G606" s="103"/>
      <c r="H606" s="103"/>
      <c r="I606" s="103"/>
      <c r="J606" s="103"/>
      <c r="K606" s="16"/>
      <c r="L606" s="16"/>
      <c r="M606" s="16"/>
      <c r="N606" s="16"/>
      <c r="O606" s="16"/>
      <c r="P606" s="16"/>
      <c r="Q606" s="16"/>
      <c r="R606" s="16"/>
      <c r="S606" s="16"/>
      <c r="T606" s="16"/>
      <c r="U606" s="16"/>
      <c r="V606" s="16"/>
      <c r="W606" s="16"/>
      <c r="X606" s="16"/>
      <c r="Y606" s="16"/>
      <c r="Z606" s="16"/>
    </row>
    <row r="607" spans="1:26" ht="15.75" customHeight="1">
      <c r="A607" s="103"/>
      <c r="B607" s="103"/>
      <c r="C607" s="104"/>
      <c r="D607" s="103"/>
      <c r="E607" s="103"/>
      <c r="F607" s="103"/>
      <c r="G607" s="103"/>
      <c r="H607" s="103"/>
      <c r="I607" s="103"/>
      <c r="J607" s="103"/>
      <c r="K607" s="16"/>
      <c r="L607" s="16"/>
      <c r="M607" s="16"/>
      <c r="N607" s="16"/>
      <c r="O607" s="16"/>
      <c r="P607" s="16"/>
      <c r="Q607" s="16"/>
      <c r="R607" s="16"/>
      <c r="S607" s="16"/>
      <c r="T607" s="16"/>
      <c r="U607" s="16"/>
      <c r="V607" s="16"/>
      <c r="W607" s="16"/>
      <c r="X607" s="16"/>
      <c r="Y607" s="16"/>
      <c r="Z607" s="16"/>
    </row>
    <row r="608" spans="1:26" ht="15.75" customHeight="1">
      <c r="A608" s="103"/>
      <c r="B608" s="103"/>
      <c r="C608" s="104"/>
      <c r="D608" s="103"/>
      <c r="E608" s="103"/>
      <c r="F608" s="103"/>
      <c r="G608" s="103"/>
      <c r="H608" s="103"/>
      <c r="I608" s="103"/>
      <c r="J608" s="103"/>
      <c r="K608" s="16"/>
      <c r="L608" s="16"/>
      <c r="M608" s="16"/>
      <c r="N608" s="16"/>
      <c r="O608" s="16"/>
      <c r="P608" s="16"/>
      <c r="Q608" s="16"/>
      <c r="R608" s="16"/>
      <c r="S608" s="16"/>
      <c r="T608" s="16"/>
      <c r="U608" s="16"/>
      <c r="V608" s="16"/>
      <c r="W608" s="16"/>
      <c r="X608" s="16"/>
      <c r="Y608" s="16"/>
      <c r="Z608" s="16"/>
    </row>
    <row r="609" spans="1:26" ht="15.75" customHeight="1">
      <c r="A609" s="103"/>
      <c r="B609" s="103"/>
      <c r="C609" s="104"/>
      <c r="D609" s="103"/>
      <c r="E609" s="103"/>
      <c r="F609" s="103"/>
      <c r="G609" s="103"/>
      <c r="H609" s="103"/>
      <c r="I609" s="103"/>
      <c r="J609" s="103"/>
      <c r="K609" s="16"/>
      <c r="L609" s="16"/>
      <c r="M609" s="16"/>
      <c r="N609" s="16"/>
      <c r="O609" s="16"/>
      <c r="P609" s="16"/>
      <c r="Q609" s="16"/>
      <c r="R609" s="16"/>
      <c r="S609" s="16"/>
      <c r="T609" s="16"/>
      <c r="U609" s="16"/>
      <c r="V609" s="16"/>
      <c r="W609" s="16"/>
      <c r="X609" s="16"/>
      <c r="Y609" s="16"/>
      <c r="Z609" s="16"/>
    </row>
    <row r="610" spans="1:26" ht="15.75" customHeight="1">
      <c r="A610" s="103"/>
      <c r="B610" s="103"/>
      <c r="C610" s="104"/>
      <c r="D610" s="103"/>
      <c r="E610" s="103"/>
      <c r="F610" s="103"/>
      <c r="G610" s="103"/>
      <c r="H610" s="103"/>
      <c r="I610" s="103"/>
      <c r="J610" s="103"/>
      <c r="K610" s="16"/>
      <c r="L610" s="16"/>
      <c r="M610" s="16"/>
      <c r="N610" s="16"/>
      <c r="O610" s="16"/>
      <c r="P610" s="16"/>
      <c r="Q610" s="16"/>
      <c r="R610" s="16"/>
      <c r="S610" s="16"/>
      <c r="T610" s="16"/>
      <c r="U610" s="16"/>
      <c r="V610" s="16"/>
      <c r="W610" s="16"/>
      <c r="X610" s="16"/>
      <c r="Y610" s="16"/>
      <c r="Z610" s="16"/>
    </row>
    <row r="611" spans="1:26" ht="15.75" customHeight="1">
      <c r="A611" s="103"/>
      <c r="B611" s="103"/>
      <c r="C611" s="104"/>
      <c r="D611" s="103"/>
      <c r="E611" s="103"/>
      <c r="F611" s="103"/>
      <c r="G611" s="103"/>
      <c r="H611" s="103"/>
      <c r="I611" s="103"/>
      <c r="J611" s="103"/>
      <c r="K611" s="16"/>
      <c r="L611" s="16"/>
      <c r="M611" s="16"/>
      <c r="N611" s="16"/>
      <c r="O611" s="16"/>
      <c r="P611" s="16"/>
      <c r="Q611" s="16"/>
      <c r="R611" s="16"/>
      <c r="S611" s="16"/>
      <c r="T611" s="16"/>
      <c r="U611" s="16"/>
      <c r="V611" s="16"/>
      <c r="W611" s="16"/>
      <c r="X611" s="16"/>
      <c r="Y611" s="16"/>
      <c r="Z611" s="16"/>
    </row>
    <row r="612" spans="1:26" ht="15.75" customHeight="1">
      <c r="A612" s="103"/>
      <c r="B612" s="103"/>
      <c r="C612" s="104"/>
      <c r="D612" s="103"/>
      <c r="E612" s="103"/>
      <c r="F612" s="103"/>
      <c r="G612" s="103"/>
      <c r="H612" s="103"/>
      <c r="I612" s="103"/>
      <c r="J612" s="103"/>
      <c r="K612" s="16"/>
      <c r="L612" s="16"/>
      <c r="M612" s="16"/>
      <c r="N612" s="16"/>
      <c r="O612" s="16"/>
      <c r="P612" s="16"/>
      <c r="Q612" s="16"/>
      <c r="R612" s="16"/>
      <c r="S612" s="16"/>
      <c r="T612" s="16"/>
      <c r="U612" s="16"/>
      <c r="V612" s="16"/>
      <c r="W612" s="16"/>
      <c r="X612" s="16"/>
      <c r="Y612" s="16"/>
      <c r="Z612" s="16"/>
    </row>
    <row r="613" spans="1:26" ht="15.75" customHeight="1">
      <c r="A613" s="103"/>
      <c r="B613" s="103"/>
      <c r="C613" s="104"/>
      <c r="D613" s="103"/>
      <c r="E613" s="103"/>
      <c r="F613" s="103"/>
      <c r="G613" s="103"/>
      <c r="H613" s="103"/>
      <c r="I613" s="103"/>
      <c r="J613" s="103"/>
      <c r="K613" s="16"/>
      <c r="L613" s="16"/>
      <c r="M613" s="16"/>
      <c r="N613" s="16"/>
      <c r="O613" s="16"/>
      <c r="P613" s="16"/>
      <c r="Q613" s="16"/>
      <c r="R613" s="16"/>
      <c r="S613" s="16"/>
      <c r="T613" s="16"/>
      <c r="U613" s="16"/>
      <c r="V613" s="16"/>
      <c r="W613" s="16"/>
      <c r="X613" s="16"/>
      <c r="Y613" s="16"/>
      <c r="Z613" s="16"/>
    </row>
    <row r="614" spans="1:26" ht="15.75" customHeight="1">
      <c r="A614" s="103"/>
      <c r="B614" s="103"/>
      <c r="C614" s="104"/>
      <c r="D614" s="103"/>
      <c r="E614" s="103"/>
      <c r="F614" s="103"/>
      <c r="G614" s="103"/>
      <c r="H614" s="103"/>
      <c r="I614" s="103"/>
      <c r="J614" s="103"/>
      <c r="K614" s="16"/>
      <c r="L614" s="16"/>
      <c r="M614" s="16"/>
      <c r="N614" s="16"/>
      <c r="O614" s="16"/>
      <c r="P614" s="16"/>
      <c r="Q614" s="16"/>
      <c r="R614" s="16"/>
      <c r="S614" s="16"/>
      <c r="T614" s="16"/>
      <c r="U614" s="16"/>
      <c r="V614" s="16"/>
      <c r="W614" s="16"/>
      <c r="X614" s="16"/>
      <c r="Y614" s="16"/>
      <c r="Z614" s="16"/>
    </row>
    <row r="615" spans="1:26" ht="15.75" customHeight="1">
      <c r="A615" s="103"/>
      <c r="B615" s="103"/>
      <c r="C615" s="104"/>
      <c r="D615" s="103"/>
      <c r="E615" s="103"/>
      <c r="F615" s="103"/>
      <c r="G615" s="103"/>
      <c r="H615" s="103"/>
      <c r="I615" s="103"/>
      <c r="J615" s="103"/>
      <c r="K615" s="16"/>
      <c r="L615" s="16"/>
      <c r="M615" s="16"/>
      <c r="N615" s="16"/>
      <c r="O615" s="16"/>
      <c r="P615" s="16"/>
      <c r="Q615" s="16"/>
      <c r="R615" s="16"/>
      <c r="S615" s="16"/>
      <c r="T615" s="16"/>
      <c r="U615" s="16"/>
      <c r="V615" s="16"/>
      <c r="W615" s="16"/>
      <c r="X615" s="16"/>
      <c r="Y615" s="16"/>
      <c r="Z615" s="16"/>
    </row>
    <row r="616" spans="1:26" ht="15.75" customHeight="1">
      <c r="A616" s="103"/>
      <c r="B616" s="103"/>
      <c r="C616" s="104"/>
      <c r="D616" s="103"/>
      <c r="E616" s="103"/>
      <c r="F616" s="103"/>
      <c r="G616" s="103"/>
      <c r="H616" s="103"/>
      <c r="I616" s="103"/>
      <c r="J616" s="103"/>
      <c r="K616" s="16"/>
      <c r="L616" s="16"/>
      <c r="M616" s="16"/>
      <c r="N616" s="16"/>
      <c r="O616" s="16"/>
      <c r="P616" s="16"/>
      <c r="Q616" s="16"/>
      <c r="R616" s="16"/>
      <c r="S616" s="16"/>
      <c r="T616" s="16"/>
      <c r="U616" s="16"/>
      <c r="V616" s="16"/>
      <c r="W616" s="16"/>
      <c r="X616" s="16"/>
      <c r="Y616" s="16"/>
      <c r="Z616" s="16"/>
    </row>
    <row r="617" spans="1:26" ht="15.75" customHeight="1">
      <c r="A617" s="103"/>
      <c r="B617" s="103"/>
      <c r="C617" s="104"/>
      <c r="D617" s="103"/>
      <c r="E617" s="103"/>
      <c r="F617" s="103"/>
      <c r="G617" s="103"/>
      <c r="H617" s="103"/>
      <c r="I617" s="103"/>
      <c r="J617" s="103"/>
      <c r="K617" s="16"/>
      <c r="L617" s="16"/>
      <c r="M617" s="16"/>
      <c r="N617" s="16"/>
      <c r="O617" s="16"/>
      <c r="P617" s="16"/>
      <c r="Q617" s="16"/>
      <c r="R617" s="16"/>
      <c r="S617" s="16"/>
      <c r="T617" s="16"/>
      <c r="U617" s="16"/>
      <c r="V617" s="16"/>
      <c r="W617" s="16"/>
      <c r="X617" s="16"/>
      <c r="Y617" s="16"/>
      <c r="Z617" s="16"/>
    </row>
    <row r="618" spans="1:26" ht="15.75" customHeight="1">
      <c r="A618" s="103"/>
      <c r="B618" s="103"/>
      <c r="C618" s="104"/>
      <c r="D618" s="103"/>
      <c r="E618" s="103"/>
      <c r="F618" s="103"/>
      <c r="G618" s="103"/>
      <c r="H618" s="103"/>
      <c r="I618" s="103"/>
      <c r="J618" s="103"/>
      <c r="K618" s="16"/>
      <c r="L618" s="16"/>
      <c r="M618" s="16"/>
      <c r="N618" s="16"/>
      <c r="O618" s="16"/>
      <c r="P618" s="16"/>
      <c r="Q618" s="16"/>
      <c r="R618" s="16"/>
      <c r="S618" s="16"/>
      <c r="T618" s="16"/>
      <c r="U618" s="16"/>
      <c r="V618" s="16"/>
      <c r="W618" s="16"/>
      <c r="X618" s="16"/>
      <c r="Y618" s="16"/>
      <c r="Z618" s="16"/>
    </row>
    <row r="619" spans="1:26" ht="15.75" customHeight="1">
      <c r="A619" s="103"/>
      <c r="B619" s="103"/>
      <c r="C619" s="104"/>
      <c r="D619" s="103"/>
      <c r="E619" s="103"/>
      <c r="F619" s="103"/>
      <c r="G619" s="103"/>
      <c r="H619" s="103"/>
      <c r="I619" s="103"/>
      <c r="J619" s="103"/>
      <c r="K619" s="16"/>
      <c r="L619" s="16"/>
      <c r="M619" s="16"/>
      <c r="N619" s="16"/>
      <c r="O619" s="16"/>
      <c r="P619" s="16"/>
      <c r="Q619" s="16"/>
      <c r="R619" s="16"/>
      <c r="S619" s="16"/>
      <c r="T619" s="16"/>
      <c r="U619" s="16"/>
      <c r="V619" s="16"/>
      <c r="W619" s="16"/>
      <c r="X619" s="16"/>
      <c r="Y619" s="16"/>
      <c r="Z619" s="16"/>
    </row>
    <row r="620" spans="1:26" ht="15.75" customHeight="1">
      <c r="A620" s="103"/>
      <c r="B620" s="103"/>
      <c r="C620" s="104"/>
      <c r="D620" s="103"/>
      <c r="E620" s="103"/>
      <c r="F620" s="103"/>
      <c r="G620" s="103"/>
      <c r="H620" s="103"/>
      <c r="I620" s="103"/>
      <c r="J620" s="103"/>
      <c r="K620" s="16"/>
      <c r="L620" s="16"/>
      <c r="M620" s="16"/>
      <c r="N620" s="16"/>
      <c r="O620" s="16"/>
      <c r="P620" s="16"/>
      <c r="Q620" s="16"/>
      <c r="R620" s="16"/>
      <c r="S620" s="16"/>
      <c r="T620" s="16"/>
      <c r="U620" s="16"/>
      <c r="V620" s="16"/>
      <c r="W620" s="16"/>
      <c r="X620" s="16"/>
      <c r="Y620" s="16"/>
      <c r="Z620" s="16"/>
    </row>
    <row r="621" spans="1:26" ht="15.75" customHeight="1">
      <c r="A621" s="103"/>
      <c r="B621" s="103"/>
      <c r="C621" s="104"/>
      <c r="D621" s="103"/>
      <c r="E621" s="103"/>
      <c r="F621" s="103"/>
      <c r="G621" s="103"/>
      <c r="H621" s="103"/>
      <c r="I621" s="103"/>
      <c r="J621" s="103"/>
      <c r="K621" s="16"/>
      <c r="L621" s="16"/>
      <c r="M621" s="16"/>
      <c r="N621" s="16"/>
      <c r="O621" s="16"/>
      <c r="P621" s="16"/>
      <c r="Q621" s="16"/>
      <c r="R621" s="16"/>
      <c r="S621" s="16"/>
      <c r="T621" s="16"/>
      <c r="U621" s="16"/>
      <c r="V621" s="16"/>
      <c r="W621" s="16"/>
      <c r="X621" s="16"/>
      <c r="Y621" s="16"/>
      <c r="Z621" s="16"/>
    </row>
    <row r="622" spans="1:26" ht="15.75" customHeight="1">
      <c r="A622" s="103"/>
      <c r="B622" s="103"/>
      <c r="C622" s="104"/>
      <c r="D622" s="103"/>
      <c r="E622" s="103"/>
      <c r="F622" s="103"/>
      <c r="G622" s="103"/>
      <c r="H622" s="103"/>
      <c r="I622" s="103"/>
      <c r="J622" s="103"/>
      <c r="K622" s="16"/>
      <c r="L622" s="16"/>
      <c r="M622" s="16"/>
      <c r="N622" s="16"/>
      <c r="O622" s="16"/>
      <c r="P622" s="16"/>
      <c r="Q622" s="16"/>
      <c r="R622" s="16"/>
      <c r="S622" s="16"/>
      <c r="T622" s="16"/>
      <c r="U622" s="16"/>
      <c r="V622" s="16"/>
      <c r="W622" s="16"/>
      <c r="X622" s="16"/>
      <c r="Y622" s="16"/>
      <c r="Z622" s="16"/>
    </row>
    <row r="623" spans="1:26" ht="15.75" customHeight="1">
      <c r="A623" s="103"/>
      <c r="B623" s="103"/>
      <c r="C623" s="104"/>
      <c r="D623" s="103"/>
      <c r="E623" s="103"/>
      <c r="F623" s="103"/>
      <c r="G623" s="103"/>
      <c r="H623" s="103"/>
      <c r="I623" s="103"/>
      <c r="J623" s="103"/>
      <c r="K623" s="16"/>
      <c r="L623" s="16"/>
      <c r="M623" s="16"/>
      <c r="N623" s="16"/>
      <c r="O623" s="16"/>
      <c r="P623" s="16"/>
      <c r="Q623" s="16"/>
      <c r="R623" s="16"/>
      <c r="S623" s="16"/>
      <c r="T623" s="16"/>
      <c r="U623" s="16"/>
      <c r="V623" s="16"/>
      <c r="W623" s="16"/>
      <c r="X623" s="16"/>
      <c r="Y623" s="16"/>
      <c r="Z623" s="16"/>
    </row>
    <row r="624" spans="1:26" ht="15.75" customHeight="1">
      <c r="A624" s="103"/>
      <c r="B624" s="103"/>
      <c r="C624" s="104"/>
      <c r="D624" s="103"/>
      <c r="E624" s="103"/>
      <c r="F624" s="103"/>
      <c r="G624" s="103"/>
      <c r="H624" s="103"/>
      <c r="I624" s="103"/>
      <c r="J624" s="103"/>
      <c r="K624" s="16"/>
      <c r="L624" s="16"/>
      <c r="M624" s="16"/>
      <c r="N624" s="16"/>
      <c r="O624" s="16"/>
      <c r="P624" s="16"/>
      <c r="Q624" s="16"/>
      <c r="R624" s="16"/>
      <c r="S624" s="16"/>
      <c r="T624" s="16"/>
      <c r="U624" s="16"/>
      <c r="V624" s="16"/>
      <c r="W624" s="16"/>
      <c r="X624" s="16"/>
      <c r="Y624" s="16"/>
      <c r="Z624" s="16"/>
    </row>
    <row r="625" spans="1:26" ht="15.75" customHeight="1">
      <c r="A625" s="103"/>
      <c r="B625" s="103"/>
      <c r="C625" s="104"/>
      <c r="D625" s="103"/>
      <c r="E625" s="103"/>
      <c r="F625" s="103"/>
      <c r="G625" s="103"/>
      <c r="H625" s="103"/>
      <c r="I625" s="103"/>
      <c r="J625" s="103"/>
      <c r="K625" s="16"/>
      <c r="L625" s="16"/>
      <c r="M625" s="16"/>
      <c r="N625" s="16"/>
      <c r="O625" s="16"/>
      <c r="P625" s="16"/>
      <c r="Q625" s="16"/>
      <c r="R625" s="16"/>
      <c r="S625" s="16"/>
      <c r="T625" s="16"/>
      <c r="U625" s="16"/>
      <c r="V625" s="16"/>
      <c r="W625" s="16"/>
      <c r="X625" s="16"/>
      <c r="Y625" s="16"/>
      <c r="Z625" s="16"/>
    </row>
    <row r="626" spans="1:26" ht="15.75" customHeight="1">
      <c r="A626" s="103"/>
      <c r="B626" s="103"/>
      <c r="C626" s="104"/>
      <c r="D626" s="103"/>
      <c r="E626" s="103"/>
      <c r="F626" s="103"/>
      <c r="G626" s="103"/>
      <c r="H626" s="103"/>
      <c r="I626" s="103"/>
      <c r="J626" s="103"/>
      <c r="K626" s="16"/>
      <c r="L626" s="16"/>
      <c r="M626" s="16"/>
      <c r="N626" s="16"/>
      <c r="O626" s="16"/>
      <c r="P626" s="16"/>
      <c r="Q626" s="16"/>
      <c r="R626" s="16"/>
      <c r="S626" s="16"/>
      <c r="T626" s="16"/>
      <c r="U626" s="16"/>
      <c r="V626" s="16"/>
      <c r="W626" s="16"/>
      <c r="X626" s="16"/>
      <c r="Y626" s="16"/>
      <c r="Z626" s="16"/>
    </row>
    <row r="627" spans="1:26" ht="15.75" customHeight="1">
      <c r="A627" s="103"/>
      <c r="B627" s="103"/>
      <c r="C627" s="104"/>
      <c r="D627" s="103"/>
      <c r="E627" s="103"/>
      <c r="F627" s="103"/>
      <c r="G627" s="103"/>
      <c r="H627" s="103"/>
      <c r="I627" s="103"/>
      <c r="J627" s="103"/>
      <c r="K627" s="16"/>
      <c r="L627" s="16"/>
      <c r="M627" s="16"/>
      <c r="N627" s="16"/>
      <c r="O627" s="16"/>
      <c r="P627" s="16"/>
      <c r="Q627" s="16"/>
      <c r="R627" s="16"/>
      <c r="S627" s="16"/>
      <c r="T627" s="16"/>
      <c r="U627" s="16"/>
      <c r="V627" s="16"/>
      <c r="W627" s="16"/>
      <c r="X627" s="16"/>
      <c r="Y627" s="16"/>
      <c r="Z627" s="16"/>
    </row>
    <row r="628" spans="1:26" ht="15.75" customHeight="1">
      <c r="A628" s="103"/>
      <c r="B628" s="103"/>
      <c r="C628" s="104"/>
      <c r="D628" s="103"/>
      <c r="E628" s="103"/>
      <c r="F628" s="103"/>
      <c r="G628" s="103"/>
      <c r="H628" s="103"/>
      <c r="I628" s="103"/>
      <c r="J628" s="103"/>
      <c r="K628" s="16"/>
      <c r="L628" s="16"/>
      <c r="M628" s="16"/>
      <c r="N628" s="16"/>
      <c r="O628" s="16"/>
      <c r="P628" s="16"/>
      <c r="Q628" s="16"/>
      <c r="R628" s="16"/>
      <c r="S628" s="16"/>
      <c r="T628" s="16"/>
      <c r="U628" s="16"/>
      <c r="V628" s="16"/>
      <c r="W628" s="16"/>
      <c r="X628" s="16"/>
      <c r="Y628" s="16"/>
      <c r="Z628" s="16"/>
    </row>
    <row r="629" spans="1:26" ht="15.75" customHeight="1">
      <c r="A629" s="103"/>
      <c r="B629" s="103"/>
      <c r="C629" s="104"/>
      <c r="D629" s="103"/>
      <c r="E629" s="103"/>
      <c r="F629" s="103"/>
      <c r="G629" s="103"/>
      <c r="H629" s="103"/>
      <c r="I629" s="103"/>
      <c r="J629" s="103"/>
      <c r="K629" s="16"/>
      <c r="L629" s="16"/>
      <c r="M629" s="16"/>
      <c r="N629" s="16"/>
      <c r="O629" s="16"/>
      <c r="P629" s="16"/>
      <c r="Q629" s="16"/>
      <c r="R629" s="16"/>
      <c r="S629" s="16"/>
      <c r="T629" s="16"/>
      <c r="U629" s="16"/>
      <c r="V629" s="16"/>
      <c r="W629" s="16"/>
      <c r="X629" s="16"/>
      <c r="Y629" s="16"/>
      <c r="Z629" s="16"/>
    </row>
    <row r="630" spans="1:26" ht="15.75" customHeight="1">
      <c r="A630" s="103"/>
      <c r="B630" s="103"/>
      <c r="C630" s="104"/>
      <c r="D630" s="103"/>
      <c r="E630" s="103"/>
      <c r="F630" s="103"/>
      <c r="G630" s="103"/>
      <c r="H630" s="103"/>
      <c r="I630" s="103"/>
      <c r="J630" s="103"/>
      <c r="K630" s="16"/>
      <c r="L630" s="16"/>
      <c r="M630" s="16"/>
      <c r="N630" s="16"/>
      <c r="O630" s="16"/>
      <c r="P630" s="16"/>
      <c r="Q630" s="16"/>
      <c r="R630" s="16"/>
      <c r="S630" s="16"/>
      <c r="T630" s="16"/>
      <c r="U630" s="16"/>
      <c r="V630" s="16"/>
      <c r="W630" s="16"/>
      <c r="X630" s="16"/>
      <c r="Y630" s="16"/>
      <c r="Z630" s="16"/>
    </row>
    <row r="631" spans="1:26" ht="15.75" customHeight="1">
      <c r="A631" s="103"/>
      <c r="B631" s="103"/>
      <c r="C631" s="104"/>
      <c r="D631" s="103"/>
      <c r="E631" s="103"/>
      <c r="F631" s="103"/>
      <c r="G631" s="103"/>
      <c r="H631" s="103"/>
      <c r="I631" s="103"/>
      <c r="J631" s="103"/>
      <c r="K631" s="16"/>
      <c r="L631" s="16"/>
      <c r="M631" s="16"/>
      <c r="N631" s="16"/>
      <c r="O631" s="16"/>
      <c r="P631" s="16"/>
      <c r="Q631" s="16"/>
      <c r="R631" s="16"/>
      <c r="S631" s="16"/>
      <c r="T631" s="16"/>
      <c r="U631" s="16"/>
      <c r="V631" s="16"/>
      <c r="W631" s="16"/>
      <c r="X631" s="16"/>
      <c r="Y631" s="16"/>
      <c r="Z631" s="16"/>
    </row>
    <row r="632" spans="1:26" ht="15.75" customHeight="1">
      <c r="A632" s="103"/>
      <c r="B632" s="103"/>
      <c r="C632" s="104"/>
      <c r="D632" s="103"/>
      <c r="E632" s="103"/>
      <c r="F632" s="103"/>
      <c r="G632" s="103"/>
      <c r="H632" s="103"/>
      <c r="I632" s="103"/>
      <c r="J632" s="103"/>
      <c r="K632" s="16"/>
      <c r="L632" s="16"/>
      <c r="M632" s="16"/>
      <c r="N632" s="16"/>
      <c r="O632" s="16"/>
      <c r="P632" s="16"/>
      <c r="Q632" s="16"/>
      <c r="R632" s="16"/>
      <c r="S632" s="16"/>
      <c r="T632" s="16"/>
      <c r="U632" s="16"/>
      <c r="V632" s="16"/>
      <c r="W632" s="16"/>
      <c r="X632" s="16"/>
      <c r="Y632" s="16"/>
      <c r="Z632" s="16"/>
    </row>
    <row r="633" spans="1:26" ht="15.75" customHeight="1">
      <c r="A633" s="103"/>
      <c r="B633" s="103"/>
      <c r="C633" s="104"/>
      <c r="D633" s="103"/>
      <c r="E633" s="103"/>
      <c r="F633" s="103"/>
      <c r="G633" s="103"/>
      <c r="H633" s="103"/>
      <c r="I633" s="103"/>
      <c r="J633" s="103"/>
      <c r="K633" s="16"/>
      <c r="L633" s="16"/>
      <c r="M633" s="16"/>
      <c r="N633" s="16"/>
      <c r="O633" s="16"/>
      <c r="P633" s="16"/>
      <c r="Q633" s="16"/>
      <c r="R633" s="16"/>
      <c r="S633" s="16"/>
      <c r="T633" s="16"/>
      <c r="U633" s="16"/>
      <c r="V633" s="16"/>
      <c r="W633" s="16"/>
      <c r="X633" s="16"/>
      <c r="Y633" s="16"/>
      <c r="Z633" s="16"/>
    </row>
    <row r="634" spans="1:26" ht="15.75" customHeight="1">
      <c r="A634" s="103"/>
      <c r="B634" s="103"/>
      <c r="C634" s="104"/>
      <c r="D634" s="103"/>
      <c r="E634" s="103"/>
      <c r="F634" s="103"/>
      <c r="G634" s="103"/>
      <c r="H634" s="103"/>
      <c r="I634" s="103"/>
      <c r="J634" s="103"/>
      <c r="K634" s="16"/>
      <c r="L634" s="16"/>
      <c r="M634" s="16"/>
      <c r="N634" s="16"/>
      <c r="O634" s="16"/>
      <c r="P634" s="16"/>
      <c r="Q634" s="16"/>
      <c r="R634" s="16"/>
      <c r="S634" s="16"/>
      <c r="T634" s="16"/>
      <c r="U634" s="16"/>
      <c r="V634" s="16"/>
      <c r="W634" s="16"/>
      <c r="X634" s="16"/>
      <c r="Y634" s="16"/>
      <c r="Z634" s="16"/>
    </row>
    <row r="635" spans="1:26" ht="15.75" customHeight="1">
      <c r="A635" s="103"/>
      <c r="B635" s="103"/>
      <c r="C635" s="104"/>
      <c r="D635" s="103"/>
      <c r="E635" s="103"/>
      <c r="F635" s="103"/>
      <c r="G635" s="103"/>
      <c r="H635" s="103"/>
      <c r="I635" s="103"/>
      <c r="J635" s="103"/>
      <c r="K635" s="16"/>
      <c r="L635" s="16"/>
      <c r="M635" s="16"/>
      <c r="N635" s="16"/>
      <c r="O635" s="16"/>
      <c r="P635" s="16"/>
      <c r="Q635" s="16"/>
      <c r="R635" s="16"/>
      <c r="S635" s="16"/>
      <c r="T635" s="16"/>
      <c r="U635" s="16"/>
      <c r="V635" s="16"/>
      <c r="W635" s="16"/>
      <c r="X635" s="16"/>
      <c r="Y635" s="16"/>
      <c r="Z635" s="16"/>
    </row>
    <row r="636" spans="1:26" ht="15.75" customHeight="1">
      <c r="A636" s="103"/>
      <c r="B636" s="103"/>
      <c r="C636" s="104"/>
      <c r="D636" s="103"/>
      <c r="E636" s="103"/>
      <c r="F636" s="103"/>
      <c r="G636" s="103"/>
      <c r="H636" s="103"/>
      <c r="I636" s="103"/>
      <c r="J636" s="103"/>
      <c r="K636" s="16"/>
      <c r="L636" s="16"/>
      <c r="M636" s="16"/>
      <c r="N636" s="16"/>
      <c r="O636" s="16"/>
      <c r="P636" s="16"/>
      <c r="Q636" s="16"/>
      <c r="R636" s="16"/>
      <c r="S636" s="16"/>
      <c r="T636" s="16"/>
      <c r="U636" s="16"/>
      <c r="V636" s="16"/>
      <c r="W636" s="16"/>
      <c r="X636" s="16"/>
      <c r="Y636" s="16"/>
      <c r="Z636" s="16"/>
    </row>
    <row r="637" spans="1:26" ht="15.75" customHeight="1">
      <c r="A637" s="103"/>
      <c r="B637" s="103"/>
      <c r="C637" s="104"/>
      <c r="D637" s="103"/>
      <c r="E637" s="103"/>
      <c r="F637" s="103"/>
      <c r="G637" s="103"/>
      <c r="H637" s="103"/>
      <c r="I637" s="103"/>
      <c r="J637" s="103"/>
      <c r="K637" s="16"/>
      <c r="L637" s="16"/>
      <c r="M637" s="16"/>
      <c r="N637" s="16"/>
      <c r="O637" s="16"/>
      <c r="P637" s="16"/>
      <c r="Q637" s="16"/>
      <c r="R637" s="16"/>
      <c r="S637" s="16"/>
      <c r="T637" s="16"/>
      <c r="U637" s="16"/>
      <c r="V637" s="16"/>
      <c r="W637" s="16"/>
      <c r="X637" s="16"/>
      <c r="Y637" s="16"/>
      <c r="Z637" s="16"/>
    </row>
    <row r="638" spans="1:26" ht="15.75" customHeight="1">
      <c r="A638" s="103"/>
      <c r="B638" s="103"/>
      <c r="C638" s="104"/>
      <c r="D638" s="103"/>
      <c r="E638" s="103"/>
      <c r="F638" s="103"/>
      <c r="G638" s="103"/>
      <c r="H638" s="103"/>
      <c r="I638" s="103"/>
      <c r="J638" s="103"/>
      <c r="K638" s="16"/>
      <c r="L638" s="16"/>
      <c r="M638" s="16"/>
      <c r="N638" s="16"/>
      <c r="O638" s="16"/>
      <c r="P638" s="16"/>
      <c r="Q638" s="16"/>
      <c r="R638" s="16"/>
      <c r="S638" s="16"/>
      <c r="T638" s="16"/>
      <c r="U638" s="16"/>
      <c r="V638" s="16"/>
      <c r="W638" s="16"/>
      <c r="X638" s="16"/>
      <c r="Y638" s="16"/>
      <c r="Z638" s="16"/>
    </row>
    <row r="639" spans="1:26" ht="15.75" customHeight="1">
      <c r="A639" s="103"/>
      <c r="B639" s="103"/>
      <c r="C639" s="104"/>
      <c r="D639" s="103"/>
      <c r="E639" s="103"/>
      <c r="F639" s="103"/>
      <c r="G639" s="103"/>
      <c r="H639" s="103"/>
      <c r="I639" s="103"/>
      <c r="J639" s="103"/>
      <c r="K639" s="16"/>
      <c r="L639" s="16"/>
      <c r="M639" s="16"/>
      <c r="N639" s="16"/>
      <c r="O639" s="16"/>
      <c r="P639" s="16"/>
      <c r="Q639" s="16"/>
      <c r="R639" s="16"/>
      <c r="S639" s="16"/>
      <c r="T639" s="16"/>
      <c r="U639" s="16"/>
      <c r="V639" s="16"/>
      <c r="W639" s="16"/>
      <c r="X639" s="16"/>
      <c r="Y639" s="16"/>
      <c r="Z639" s="16"/>
    </row>
    <row r="640" spans="1:26" ht="15.75" customHeight="1">
      <c r="A640" s="103"/>
      <c r="B640" s="103"/>
      <c r="C640" s="104"/>
      <c r="D640" s="103"/>
      <c r="E640" s="103"/>
      <c r="F640" s="103"/>
      <c r="G640" s="103"/>
      <c r="H640" s="103"/>
      <c r="I640" s="103"/>
      <c r="J640" s="103"/>
      <c r="K640" s="16"/>
      <c r="L640" s="16"/>
      <c r="M640" s="16"/>
      <c r="N640" s="16"/>
      <c r="O640" s="16"/>
      <c r="P640" s="16"/>
      <c r="Q640" s="16"/>
      <c r="R640" s="16"/>
      <c r="S640" s="16"/>
      <c r="T640" s="16"/>
      <c r="U640" s="16"/>
      <c r="V640" s="16"/>
      <c r="W640" s="16"/>
      <c r="X640" s="16"/>
      <c r="Y640" s="16"/>
      <c r="Z640" s="16"/>
    </row>
    <row r="641" spans="1:26" ht="15.75" customHeight="1">
      <c r="A641" s="103"/>
      <c r="B641" s="103"/>
      <c r="C641" s="104"/>
      <c r="D641" s="103"/>
      <c r="E641" s="103"/>
      <c r="F641" s="103"/>
      <c r="G641" s="103"/>
      <c r="H641" s="103"/>
      <c r="I641" s="103"/>
      <c r="J641" s="103"/>
      <c r="K641" s="16"/>
      <c r="L641" s="16"/>
      <c r="M641" s="16"/>
      <c r="N641" s="16"/>
      <c r="O641" s="16"/>
      <c r="P641" s="16"/>
      <c r="Q641" s="16"/>
      <c r="R641" s="16"/>
      <c r="S641" s="16"/>
      <c r="T641" s="16"/>
      <c r="U641" s="16"/>
      <c r="V641" s="16"/>
      <c r="W641" s="16"/>
      <c r="X641" s="16"/>
      <c r="Y641" s="16"/>
      <c r="Z641" s="16"/>
    </row>
    <row r="642" spans="1:26" ht="15.75" customHeight="1">
      <c r="A642" s="103"/>
      <c r="B642" s="103"/>
      <c r="C642" s="104"/>
      <c r="D642" s="103"/>
      <c r="E642" s="103"/>
      <c r="F642" s="103"/>
      <c r="G642" s="103"/>
      <c r="H642" s="103"/>
      <c r="I642" s="103"/>
      <c r="J642" s="103"/>
      <c r="K642" s="16"/>
      <c r="L642" s="16"/>
      <c r="M642" s="16"/>
      <c r="N642" s="16"/>
      <c r="O642" s="16"/>
      <c r="P642" s="16"/>
      <c r="Q642" s="16"/>
      <c r="R642" s="16"/>
      <c r="S642" s="16"/>
      <c r="T642" s="16"/>
      <c r="U642" s="16"/>
      <c r="V642" s="16"/>
      <c r="W642" s="16"/>
      <c r="X642" s="16"/>
      <c r="Y642" s="16"/>
      <c r="Z642" s="16"/>
    </row>
    <row r="643" spans="1:26" ht="15.75" customHeight="1">
      <c r="A643" s="103"/>
      <c r="B643" s="103"/>
      <c r="C643" s="104"/>
      <c r="D643" s="103"/>
      <c r="E643" s="103"/>
      <c r="F643" s="103"/>
      <c r="G643" s="103"/>
      <c r="H643" s="103"/>
      <c r="I643" s="103"/>
      <c r="J643" s="103"/>
      <c r="K643" s="16"/>
      <c r="L643" s="16"/>
      <c r="M643" s="16"/>
      <c r="N643" s="16"/>
      <c r="O643" s="16"/>
      <c r="P643" s="16"/>
      <c r="Q643" s="16"/>
      <c r="R643" s="16"/>
      <c r="S643" s="16"/>
      <c r="T643" s="16"/>
      <c r="U643" s="16"/>
      <c r="V643" s="16"/>
      <c r="W643" s="16"/>
      <c r="X643" s="16"/>
      <c r="Y643" s="16"/>
      <c r="Z643" s="16"/>
    </row>
    <row r="644" spans="1:26" ht="15.75" customHeight="1">
      <c r="A644" s="103"/>
      <c r="B644" s="103"/>
      <c r="C644" s="104"/>
      <c r="D644" s="103"/>
      <c r="E644" s="103"/>
      <c r="F644" s="103"/>
      <c r="G644" s="103"/>
      <c r="H644" s="103"/>
      <c r="I644" s="103"/>
      <c r="J644" s="103"/>
      <c r="K644" s="16"/>
      <c r="L644" s="16"/>
      <c r="M644" s="16"/>
      <c r="N644" s="16"/>
      <c r="O644" s="16"/>
      <c r="P644" s="16"/>
      <c r="Q644" s="16"/>
      <c r="R644" s="16"/>
      <c r="S644" s="16"/>
      <c r="T644" s="16"/>
      <c r="U644" s="16"/>
      <c r="V644" s="16"/>
      <c r="W644" s="16"/>
      <c r="X644" s="16"/>
      <c r="Y644" s="16"/>
      <c r="Z644" s="16"/>
    </row>
    <row r="645" spans="1:26" ht="15.75" customHeight="1">
      <c r="A645" s="103"/>
      <c r="B645" s="103"/>
      <c r="C645" s="104"/>
      <c r="D645" s="103"/>
      <c r="E645" s="103"/>
      <c r="F645" s="103"/>
      <c r="G645" s="103"/>
      <c r="H645" s="103"/>
      <c r="I645" s="103"/>
      <c r="J645" s="103"/>
      <c r="K645" s="16"/>
      <c r="L645" s="16"/>
      <c r="M645" s="16"/>
      <c r="N645" s="16"/>
      <c r="O645" s="16"/>
      <c r="P645" s="16"/>
      <c r="Q645" s="16"/>
      <c r="R645" s="16"/>
      <c r="S645" s="16"/>
      <c r="T645" s="16"/>
      <c r="U645" s="16"/>
      <c r="V645" s="16"/>
      <c r="W645" s="16"/>
      <c r="X645" s="16"/>
      <c r="Y645" s="16"/>
      <c r="Z645" s="16"/>
    </row>
    <row r="646" spans="1:26" ht="15.75" customHeight="1">
      <c r="A646" s="103"/>
      <c r="B646" s="103"/>
      <c r="C646" s="104"/>
      <c r="D646" s="103"/>
      <c r="E646" s="103"/>
      <c r="F646" s="103"/>
      <c r="G646" s="103"/>
      <c r="H646" s="103"/>
      <c r="I646" s="103"/>
      <c r="J646" s="103"/>
      <c r="K646" s="16"/>
      <c r="L646" s="16"/>
      <c r="M646" s="16"/>
      <c r="N646" s="16"/>
      <c r="O646" s="16"/>
      <c r="P646" s="16"/>
      <c r="Q646" s="16"/>
      <c r="R646" s="16"/>
      <c r="S646" s="16"/>
      <c r="T646" s="16"/>
      <c r="U646" s="16"/>
      <c r="V646" s="16"/>
      <c r="W646" s="16"/>
      <c r="X646" s="16"/>
      <c r="Y646" s="16"/>
      <c r="Z646" s="16"/>
    </row>
    <row r="647" spans="1:26" ht="15.75" customHeight="1">
      <c r="A647" s="103"/>
      <c r="B647" s="103"/>
      <c r="C647" s="104"/>
      <c r="D647" s="103"/>
      <c r="E647" s="103"/>
      <c r="F647" s="103"/>
      <c r="G647" s="103"/>
      <c r="H647" s="103"/>
      <c r="I647" s="103"/>
      <c r="J647" s="103"/>
      <c r="K647" s="16"/>
      <c r="L647" s="16"/>
      <c r="M647" s="16"/>
      <c r="N647" s="16"/>
      <c r="O647" s="16"/>
      <c r="P647" s="16"/>
      <c r="Q647" s="16"/>
      <c r="R647" s="16"/>
      <c r="S647" s="16"/>
      <c r="T647" s="16"/>
      <c r="U647" s="16"/>
      <c r="V647" s="16"/>
      <c r="W647" s="16"/>
      <c r="X647" s="16"/>
      <c r="Y647" s="16"/>
      <c r="Z647" s="16"/>
    </row>
    <row r="648" spans="1:26" ht="15.75" customHeight="1">
      <c r="A648" s="103"/>
      <c r="B648" s="103"/>
      <c r="C648" s="104"/>
      <c r="D648" s="103"/>
      <c r="E648" s="103"/>
      <c r="F648" s="103"/>
      <c r="G648" s="103"/>
      <c r="H648" s="103"/>
      <c r="I648" s="103"/>
      <c r="J648" s="103"/>
      <c r="K648" s="16"/>
      <c r="L648" s="16"/>
      <c r="M648" s="16"/>
      <c r="N648" s="16"/>
      <c r="O648" s="16"/>
      <c r="P648" s="16"/>
      <c r="Q648" s="16"/>
      <c r="R648" s="16"/>
      <c r="S648" s="16"/>
      <c r="T648" s="16"/>
      <c r="U648" s="16"/>
      <c r="V648" s="16"/>
      <c r="W648" s="16"/>
      <c r="X648" s="16"/>
      <c r="Y648" s="16"/>
      <c r="Z648" s="16"/>
    </row>
    <row r="649" spans="1:26" ht="15.75" customHeight="1">
      <c r="A649" s="103"/>
      <c r="B649" s="103"/>
      <c r="C649" s="104"/>
      <c r="D649" s="103"/>
      <c r="E649" s="103"/>
      <c r="F649" s="103"/>
      <c r="G649" s="103"/>
      <c r="H649" s="103"/>
      <c r="I649" s="103"/>
      <c r="J649" s="103"/>
      <c r="K649" s="16"/>
      <c r="L649" s="16"/>
      <c r="M649" s="16"/>
      <c r="N649" s="16"/>
      <c r="O649" s="16"/>
      <c r="P649" s="16"/>
      <c r="Q649" s="16"/>
      <c r="R649" s="16"/>
      <c r="S649" s="16"/>
      <c r="T649" s="16"/>
      <c r="U649" s="16"/>
      <c r="V649" s="16"/>
      <c r="W649" s="16"/>
      <c r="X649" s="16"/>
      <c r="Y649" s="16"/>
      <c r="Z649" s="16"/>
    </row>
    <row r="650" spans="1:26" ht="15.75" customHeight="1">
      <c r="A650" s="103"/>
      <c r="B650" s="103"/>
      <c r="C650" s="104"/>
      <c r="D650" s="103"/>
      <c r="E650" s="103"/>
      <c r="F650" s="103"/>
      <c r="G650" s="103"/>
      <c r="H650" s="103"/>
      <c r="I650" s="103"/>
      <c r="J650" s="103"/>
      <c r="K650" s="16"/>
      <c r="L650" s="16"/>
      <c r="M650" s="16"/>
      <c r="N650" s="16"/>
      <c r="O650" s="16"/>
      <c r="P650" s="16"/>
      <c r="Q650" s="16"/>
      <c r="R650" s="16"/>
      <c r="S650" s="16"/>
      <c r="T650" s="16"/>
      <c r="U650" s="16"/>
      <c r="V650" s="16"/>
      <c r="W650" s="16"/>
      <c r="X650" s="16"/>
      <c r="Y650" s="16"/>
      <c r="Z650" s="16"/>
    </row>
    <row r="651" spans="1:26" ht="15.75" customHeight="1">
      <c r="A651" s="103"/>
      <c r="B651" s="103"/>
      <c r="C651" s="104"/>
      <c r="D651" s="103"/>
      <c r="E651" s="103"/>
      <c r="F651" s="103"/>
      <c r="G651" s="103"/>
      <c r="H651" s="103"/>
      <c r="I651" s="103"/>
      <c r="J651" s="103"/>
      <c r="K651" s="16"/>
      <c r="L651" s="16"/>
      <c r="M651" s="16"/>
      <c r="N651" s="16"/>
      <c r="O651" s="16"/>
      <c r="P651" s="16"/>
      <c r="Q651" s="16"/>
      <c r="R651" s="16"/>
      <c r="S651" s="16"/>
      <c r="T651" s="16"/>
      <c r="U651" s="16"/>
      <c r="V651" s="16"/>
      <c r="W651" s="16"/>
      <c r="X651" s="16"/>
      <c r="Y651" s="16"/>
      <c r="Z651" s="16"/>
    </row>
    <row r="652" spans="1:26" ht="15.75" customHeight="1">
      <c r="A652" s="103"/>
      <c r="B652" s="103"/>
      <c r="C652" s="104"/>
      <c r="D652" s="103"/>
      <c r="E652" s="103"/>
      <c r="F652" s="103"/>
      <c r="G652" s="103"/>
      <c r="H652" s="103"/>
      <c r="I652" s="103"/>
      <c r="J652" s="103"/>
      <c r="K652" s="16"/>
      <c r="L652" s="16"/>
      <c r="M652" s="16"/>
      <c r="N652" s="16"/>
      <c r="O652" s="16"/>
      <c r="P652" s="16"/>
      <c r="Q652" s="16"/>
      <c r="R652" s="16"/>
      <c r="S652" s="16"/>
      <c r="T652" s="16"/>
      <c r="U652" s="16"/>
      <c r="V652" s="16"/>
      <c r="W652" s="16"/>
      <c r="X652" s="16"/>
      <c r="Y652" s="16"/>
      <c r="Z652" s="16"/>
    </row>
    <row r="653" spans="1:26" ht="15.75" customHeight="1">
      <c r="A653" s="103"/>
      <c r="B653" s="103"/>
      <c r="C653" s="104"/>
      <c r="D653" s="103"/>
      <c r="E653" s="103"/>
      <c r="F653" s="103"/>
      <c r="G653" s="103"/>
      <c r="H653" s="103"/>
      <c r="I653" s="103"/>
      <c r="J653" s="103"/>
      <c r="K653" s="16"/>
      <c r="L653" s="16"/>
      <c r="M653" s="16"/>
      <c r="N653" s="16"/>
      <c r="O653" s="16"/>
      <c r="P653" s="16"/>
      <c r="Q653" s="16"/>
      <c r="R653" s="16"/>
      <c r="S653" s="16"/>
      <c r="T653" s="16"/>
      <c r="U653" s="16"/>
      <c r="V653" s="16"/>
      <c r="W653" s="16"/>
      <c r="X653" s="16"/>
      <c r="Y653" s="16"/>
      <c r="Z653" s="16"/>
    </row>
    <row r="654" spans="1:26" ht="15.75" customHeight="1">
      <c r="A654" s="103"/>
      <c r="B654" s="103"/>
      <c r="C654" s="104"/>
      <c r="D654" s="103"/>
      <c r="E654" s="103"/>
      <c r="F654" s="103"/>
      <c r="G654" s="103"/>
      <c r="H654" s="103"/>
      <c r="I654" s="103"/>
      <c r="J654" s="103"/>
      <c r="K654" s="16"/>
      <c r="L654" s="16"/>
      <c r="M654" s="16"/>
      <c r="N654" s="16"/>
      <c r="O654" s="16"/>
      <c r="P654" s="16"/>
      <c r="Q654" s="16"/>
      <c r="R654" s="16"/>
      <c r="S654" s="16"/>
      <c r="T654" s="16"/>
      <c r="U654" s="16"/>
      <c r="V654" s="16"/>
      <c r="W654" s="16"/>
      <c r="X654" s="16"/>
      <c r="Y654" s="16"/>
      <c r="Z654" s="16"/>
    </row>
    <row r="655" spans="1:26" ht="15.75" customHeight="1">
      <c r="A655" s="103"/>
      <c r="B655" s="103"/>
      <c r="C655" s="104"/>
      <c r="D655" s="103"/>
      <c r="E655" s="103"/>
      <c r="F655" s="103"/>
      <c r="G655" s="103"/>
      <c r="H655" s="103"/>
      <c r="I655" s="103"/>
      <c r="J655" s="103"/>
      <c r="K655" s="16"/>
      <c r="L655" s="16"/>
      <c r="M655" s="16"/>
      <c r="N655" s="16"/>
      <c r="O655" s="16"/>
      <c r="P655" s="16"/>
      <c r="Q655" s="16"/>
      <c r="R655" s="16"/>
      <c r="S655" s="16"/>
      <c r="T655" s="16"/>
      <c r="U655" s="16"/>
      <c r="V655" s="16"/>
      <c r="W655" s="16"/>
      <c r="X655" s="16"/>
      <c r="Y655" s="16"/>
      <c r="Z655" s="16"/>
    </row>
    <row r="656" spans="1:26" ht="15.75" customHeight="1">
      <c r="A656" s="103"/>
      <c r="B656" s="103"/>
      <c r="C656" s="104"/>
      <c r="D656" s="103"/>
      <c r="E656" s="103"/>
      <c r="F656" s="103"/>
      <c r="G656" s="103"/>
      <c r="H656" s="103"/>
      <c r="I656" s="103"/>
      <c r="J656" s="103"/>
      <c r="K656" s="16"/>
      <c r="L656" s="16"/>
      <c r="M656" s="16"/>
      <c r="N656" s="16"/>
      <c r="O656" s="16"/>
      <c r="P656" s="16"/>
      <c r="Q656" s="16"/>
      <c r="R656" s="16"/>
      <c r="S656" s="16"/>
      <c r="T656" s="16"/>
      <c r="U656" s="16"/>
      <c r="V656" s="16"/>
      <c r="W656" s="16"/>
      <c r="X656" s="16"/>
      <c r="Y656" s="16"/>
      <c r="Z656" s="16"/>
    </row>
    <row r="657" spans="1:26" ht="15.75" customHeight="1">
      <c r="A657" s="103"/>
      <c r="B657" s="103"/>
      <c r="C657" s="104"/>
      <c r="D657" s="103"/>
      <c r="E657" s="103"/>
      <c r="F657" s="103"/>
      <c r="G657" s="103"/>
      <c r="H657" s="103"/>
      <c r="I657" s="103"/>
      <c r="J657" s="103"/>
      <c r="K657" s="16"/>
      <c r="L657" s="16"/>
      <c r="M657" s="16"/>
      <c r="N657" s="16"/>
      <c r="O657" s="16"/>
      <c r="P657" s="16"/>
      <c r="Q657" s="16"/>
      <c r="R657" s="16"/>
      <c r="S657" s="16"/>
      <c r="T657" s="16"/>
      <c r="U657" s="16"/>
      <c r="V657" s="16"/>
      <c r="W657" s="16"/>
      <c r="X657" s="16"/>
      <c r="Y657" s="16"/>
      <c r="Z657" s="16"/>
    </row>
    <row r="658" spans="1:26" ht="15.75" customHeight="1">
      <c r="A658" s="103"/>
      <c r="B658" s="103"/>
      <c r="C658" s="104"/>
      <c r="D658" s="103"/>
      <c r="E658" s="103"/>
      <c r="F658" s="103"/>
      <c r="G658" s="103"/>
      <c r="H658" s="103"/>
      <c r="I658" s="103"/>
      <c r="J658" s="103"/>
      <c r="K658" s="16"/>
      <c r="L658" s="16"/>
      <c r="M658" s="16"/>
      <c r="N658" s="16"/>
      <c r="O658" s="16"/>
      <c r="P658" s="16"/>
      <c r="Q658" s="16"/>
      <c r="R658" s="16"/>
      <c r="S658" s="16"/>
      <c r="T658" s="16"/>
      <c r="U658" s="16"/>
      <c r="V658" s="16"/>
      <c r="W658" s="16"/>
      <c r="X658" s="16"/>
      <c r="Y658" s="16"/>
      <c r="Z658" s="16"/>
    </row>
    <row r="659" spans="1:26" ht="15.75" customHeight="1">
      <c r="A659" s="103"/>
      <c r="B659" s="103"/>
      <c r="C659" s="104"/>
      <c r="D659" s="103"/>
      <c r="E659" s="103"/>
      <c r="F659" s="103"/>
      <c r="G659" s="103"/>
      <c r="H659" s="103"/>
      <c r="I659" s="103"/>
      <c r="J659" s="103"/>
      <c r="K659" s="16"/>
      <c r="L659" s="16"/>
      <c r="M659" s="16"/>
      <c r="N659" s="16"/>
      <c r="O659" s="16"/>
      <c r="P659" s="16"/>
      <c r="Q659" s="16"/>
      <c r="R659" s="16"/>
      <c r="S659" s="16"/>
      <c r="T659" s="16"/>
      <c r="U659" s="16"/>
      <c r="V659" s="16"/>
      <c r="W659" s="16"/>
      <c r="X659" s="16"/>
      <c r="Y659" s="16"/>
      <c r="Z659" s="16"/>
    </row>
    <row r="660" spans="1:26" ht="15.75" customHeight="1">
      <c r="A660" s="103"/>
      <c r="B660" s="103"/>
      <c r="C660" s="104"/>
      <c r="D660" s="103"/>
      <c r="E660" s="103"/>
      <c r="F660" s="103"/>
      <c r="G660" s="103"/>
      <c r="H660" s="103"/>
      <c r="I660" s="103"/>
      <c r="J660" s="103"/>
      <c r="K660" s="16"/>
      <c r="L660" s="16"/>
      <c r="M660" s="16"/>
      <c r="N660" s="16"/>
      <c r="O660" s="16"/>
      <c r="P660" s="16"/>
      <c r="Q660" s="16"/>
      <c r="R660" s="16"/>
      <c r="S660" s="16"/>
      <c r="T660" s="16"/>
      <c r="U660" s="16"/>
      <c r="V660" s="16"/>
      <c r="W660" s="16"/>
      <c r="X660" s="16"/>
      <c r="Y660" s="16"/>
      <c r="Z660" s="16"/>
    </row>
    <row r="661" spans="1:26" ht="15.75" customHeight="1">
      <c r="A661" s="103"/>
      <c r="B661" s="103"/>
      <c r="C661" s="104"/>
      <c r="D661" s="103"/>
      <c r="E661" s="103"/>
      <c r="F661" s="103"/>
      <c r="G661" s="103"/>
      <c r="H661" s="103"/>
      <c r="I661" s="103"/>
      <c r="J661" s="103"/>
      <c r="K661" s="16"/>
      <c r="L661" s="16"/>
      <c r="M661" s="16"/>
      <c r="N661" s="16"/>
      <c r="O661" s="16"/>
      <c r="P661" s="16"/>
      <c r="Q661" s="16"/>
      <c r="R661" s="16"/>
      <c r="S661" s="16"/>
      <c r="T661" s="16"/>
      <c r="U661" s="16"/>
      <c r="V661" s="16"/>
      <c r="W661" s="16"/>
      <c r="X661" s="16"/>
      <c r="Y661" s="16"/>
      <c r="Z661" s="16"/>
    </row>
    <row r="662" spans="1:26" ht="15.75" customHeight="1">
      <c r="A662" s="103"/>
      <c r="B662" s="103"/>
      <c r="C662" s="104"/>
      <c r="D662" s="103"/>
      <c r="E662" s="103"/>
      <c r="F662" s="103"/>
      <c r="G662" s="103"/>
      <c r="H662" s="103"/>
      <c r="I662" s="103"/>
      <c r="J662" s="103"/>
      <c r="K662" s="16"/>
      <c r="L662" s="16"/>
      <c r="M662" s="16"/>
      <c r="N662" s="16"/>
      <c r="O662" s="16"/>
      <c r="P662" s="16"/>
      <c r="Q662" s="16"/>
      <c r="R662" s="16"/>
      <c r="S662" s="16"/>
      <c r="T662" s="16"/>
      <c r="U662" s="16"/>
      <c r="V662" s="16"/>
      <c r="W662" s="16"/>
      <c r="X662" s="16"/>
      <c r="Y662" s="16"/>
      <c r="Z662" s="16"/>
    </row>
    <row r="663" spans="1:26" ht="15.75" customHeight="1">
      <c r="A663" s="103"/>
      <c r="B663" s="103"/>
      <c r="C663" s="104"/>
      <c r="D663" s="103"/>
      <c r="E663" s="103"/>
      <c r="F663" s="103"/>
      <c r="G663" s="103"/>
      <c r="H663" s="103"/>
      <c r="I663" s="103"/>
      <c r="J663" s="103"/>
      <c r="K663" s="16"/>
      <c r="L663" s="16"/>
      <c r="M663" s="16"/>
      <c r="N663" s="16"/>
      <c r="O663" s="16"/>
      <c r="P663" s="16"/>
      <c r="Q663" s="16"/>
      <c r="R663" s="16"/>
      <c r="S663" s="16"/>
      <c r="T663" s="16"/>
      <c r="U663" s="16"/>
      <c r="V663" s="16"/>
      <c r="W663" s="16"/>
      <c r="X663" s="16"/>
      <c r="Y663" s="16"/>
      <c r="Z663" s="16"/>
    </row>
    <row r="664" spans="1:26" ht="15.75" customHeight="1">
      <c r="A664" s="103"/>
      <c r="B664" s="103"/>
      <c r="C664" s="104"/>
      <c r="D664" s="103"/>
      <c r="E664" s="103"/>
      <c r="F664" s="103"/>
      <c r="G664" s="103"/>
      <c r="H664" s="103"/>
      <c r="I664" s="103"/>
      <c r="J664" s="103"/>
      <c r="K664" s="16"/>
      <c r="L664" s="16"/>
      <c r="M664" s="16"/>
      <c r="N664" s="16"/>
      <c r="O664" s="16"/>
      <c r="P664" s="16"/>
      <c r="Q664" s="16"/>
      <c r="R664" s="16"/>
      <c r="S664" s="16"/>
      <c r="T664" s="16"/>
      <c r="U664" s="16"/>
      <c r="V664" s="16"/>
      <c r="W664" s="16"/>
      <c r="X664" s="16"/>
      <c r="Y664" s="16"/>
      <c r="Z664" s="16"/>
    </row>
    <row r="665" spans="1:26" ht="15.75" customHeight="1">
      <c r="A665" s="103"/>
      <c r="B665" s="103"/>
      <c r="C665" s="104"/>
      <c r="D665" s="103"/>
      <c r="E665" s="103"/>
      <c r="F665" s="103"/>
      <c r="G665" s="103"/>
      <c r="H665" s="103"/>
      <c r="I665" s="103"/>
      <c r="J665" s="103"/>
      <c r="K665" s="16"/>
      <c r="L665" s="16"/>
      <c r="M665" s="16"/>
      <c r="N665" s="16"/>
      <c r="O665" s="16"/>
      <c r="P665" s="16"/>
      <c r="Q665" s="16"/>
      <c r="R665" s="16"/>
      <c r="S665" s="16"/>
      <c r="T665" s="16"/>
      <c r="U665" s="16"/>
      <c r="V665" s="16"/>
      <c r="W665" s="16"/>
      <c r="X665" s="16"/>
      <c r="Y665" s="16"/>
      <c r="Z665" s="16"/>
    </row>
    <row r="666" spans="1:26" ht="15.75" customHeight="1">
      <c r="A666" s="103"/>
      <c r="B666" s="103"/>
      <c r="C666" s="104"/>
      <c r="D666" s="103"/>
      <c r="E666" s="103"/>
      <c r="F666" s="103"/>
      <c r="G666" s="103"/>
      <c r="H666" s="103"/>
      <c r="I666" s="103"/>
      <c r="J666" s="103"/>
      <c r="K666" s="16"/>
      <c r="L666" s="16"/>
      <c r="M666" s="16"/>
      <c r="N666" s="16"/>
      <c r="O666" s="16"/>
      <c r="P666" s="16"/>
      <c r="Q666" s="16"/>
      <c r="R666" s="16"/>
      <c r="S666" s="16"/>
      <c r="T666" s="16"/>
      <c r="U666" s="16"/>
      <c r="V666" s="16"/>
      <c r="W666" s="16"/>
      <c r="X666" s="16"/>
      <c r="Y666" s="16"/>
      <c r="Z666" s="16"/>
    </row>
    <row r="667" spans="1:26" ht="15.75" customHeight="1">
      <c r="A667" s="103"/>
      <c r="B667" s="103"/>
      <c r="C667" s="104"/>
      <c r="D667" s="103"/>
      <c r="E667" s="103"/>
      <c r="F667" s="103"/>
      <c r="G667" s="103"/>
      <c r="H667" s="103"/>
      <c r="I667" s="103"/>
      <c r="J667" s="103"/>
      <c r="K667" s="16"/>
      <c r="L667" s="16"/>
      <c r="M667" s="16"/>
      <c r="N667" s="16"/>
      <c r="O667" s="16"/>
      <c r="P667" s="16"/>
      <c r="Q667" s="16"/>
      <c r="R667" s="16"/>
      <c r="S667" s="16"/>
      <c r="T667" s="16"/>
      <c r="U667" s="16"/>
      <c r="V667" s="16"/>
      <c r="W667" s="16"/>
      <c r="X667" s="16"/>
      <c r="Y667" s="16"/>
      <c r="Z667" s="16"/>
    </row>
    <row r="668" spans="1:26" ht="15.75" customHeight="1">
      <c r="A668" s="103"/>
      <c r="B668" s="103"/>
      <c r="C668" s="104"/>
      <c r="D668" s="103"/>
      <c r="E668" s="103"/>
      <c r="F668" s="103"/>
      <c r="G668" s="103"/>
      <c r="H668" s="103"/>
      <c r="I668" s="103"/>
      <c r="J668" s="103"/>
      <c r="K668" s="16"/>
      <c r="L668" s="16"/>
      <c r="M668" s="16"/>
      <c r="N668" s="16"/>
      <c r="O668" s="16"/>
      <c r="P668" s="16"/>
      <c r="Q668" s="16"/>
      <c r="R668" s="16"/>
      <c r="S668" s="16"/>
      <c r="T668" s="16"/>
      <c r="U668" s="16"/>
      <c r="V668" s="16"/>
      <c r="W668" s="16"/>
      <c r="X668" s="16"/>
      <c r="Y668" s="16"/>
      <c r="Z668" s="16"/>
    </row>
    <row r="669" spans="1:26" ht="15.75" customHeight="1">
      <c r="A669" s="103"/>
      <c r="B669" s="103"/>
      <c r="C669" s="104"/>
      <c r="D669" s="103"/>
      <c r="E669" s="103"/>
      <c r="F669" s="103"/>
      <c r="G669" s="103"/>
      <c r="H669" s="103"/>
      <c r="I669" s="103"/>
      <c r="J669" s="103"/>
      <c r="K669" s="16"/>
      <c r="L669" s="16"/>
      <c r="M669" s="16"/>
      <c r="N669" s="16"/>
      <c r="O669" s="16"/>
      <c r="P669" s="16"/>
      <c r="Q669" s="16"/>
      <c r="R669" s="16"/>
      <c r="S669" s="16"/>
      <c r="T669" s="16"/>
      <c r="U669" s="16"/>
      <c r="V669" s="16"/>
      <c r="W669" s="16"/>
      <c r="X669" s="16"/>
      <c r="Y669" s="16"/>
      <c r="Z669" s="16"/>
    </row>
    <row r="670" spans="1:26" ht="15.75" customHeight="1">
      <c r="A670" s="103"/>
      <c r="B670" s="103"/>
      <c r="C670" s="104"/>
      <c r="D670" s="103"/>
      <c r="E670" s="103"/>
      <c r="F670" s="103"/>
      <c r="G670" s="103"/>
      <c r="H670" s="103"/>
      <c r="I670" s="103"/>
      <c r="J670" s="103"/>
      <c r="K670" s="16"/>
      <c r="L670" s="16"/>
      <c r="M670" s="16"/>
      <c r="N670" s="16"/>
      <c r="O670" s="16"/>
      <c r="P670" s="16"/>
      <c r="Q670" s="16"/>
      <c r="R670" s="16"/>
      <c r="S670" s="16"/>
      <c r="T670" s="16"/>
      <c r="U670" s="16"/>
      <c r="V670" s="16"/>
      <c r="W670" s="16"/>
      <c r="X670" s="16"/>
      <c r="Y670" s="16"/>
      <c r="Z670" s="16"/>
    </row>
    <row r="671" spans="1:26" ht="15.75" customHeight="1">
      <c r="A671" s="103"/>
      <c r="B671" s="103"/>
      <c r="C671" s="104"/>
      <c r="D671" s="103"/>
      <c r="E671" s="103"/>
      <c r="F671" s="103"/>
      <c r="G671" s="103"/>
      <c r="H671" s="103"/>
      <c r="I671" s="103"/>
      <c r="J671" s="103"/>
      <c r="K671" s="16"/>
      <c r="L671" s="16"/>
      <c r="M671" s="16"/>
      <c r="N671" s="16"/>
      <c r="O671" s="16"/>
      <c r="P671" s="16"/>
      <c r="Q671" s="16"/>
      <c r="R671" s="16"/>
      <c r="S671" s="16"/>
      <c r="T671" s="16"/>
      <c r="U671" s="16"/>
      <c r="V671" s="16"/>
      <c r="W671" s="16"/>
      <c r="X671" s="16"/>
      <c r="Y671" s="16"/>
      <c r="Z671" s="16"/>
    </row>
    <row r="672" spans="1:26" ht="15.75" customHeight="1">
      <c r="A672" s="103"/>
      <c r="B672" s="103"/>
      <c r="C672" s="104"/>
      <c r="D672" s="103"/>
      <c r="E672" s="103"/>
      <c r="F672" s="103"/>
      <c r="G672" s="103"/>
      <c r="H672" s="103"/>
      <c r="I672" s="103"/>
      <c r="J672" s="103"/>
      <c r="K672" s="16"/>
      <c r="L672" s="16"/>
      <c r="M672" s="16"/>
      <c r="N672" s="16"/>
      <c r="O672" s="16"/>
      <c r="P672" s="16"/>
      <c r="Q672" s="16"/>
      <c r="R672" s="16"/>
      <c r="S672" s="16"/>
      <c r="T672" s="16"/>
      <c r="U672" s="16"/>
      <c r="V672" s="16"/>
      <c r="W672" s="16"/>
      <c r="X672" s="16"/>
      <c r="Y672" s="16"/>
      <c r="Z672" s="16"/>
    </row>
    <row r="673" spans="1:26" ht="15.75" customHeight="1">
      <c r="A673" s="103"/>
      <c r="B673" s="103"/>
      <c r="C673" s="104"/>
      <c r="D673" s="103"/>
      <c r="E673" s="103"/>
      <c r="F673" s="103"/>
      <c r="G673" s="103"/>
      <c r="H673" s="103"/>
      <c r="I673" s="103"/>
      <c r="J673" s="103"/>
      <c r="K673" s="16"/>
      <c r="L673" s="16"/>
      <c r="M673" s="16"/>
      <c r="N673" s="16"/>
      <c r="O673" s="16"/>
      <c r="P673" s="16"/>
      <c r="Q673" s="16"/>
      <c r="R673" s="16"/>
      <c r="S673" s="16"/>
      <c r="T673" s="16"/>
      <c r="U673" s="16"/>
      <c r="V673" s="16"/>
      <c r="W673" s="16"/>
      <c r="X673" s="16"/>
      <c r="Y673" s="16"/>
      <c r="Z673" s="16"/>
    </row>
    <row r="674" spans="1:26" ht="15.75" customHeight="1">
      <c r="A674" s="103"/>
      <c r="B674" s="103"/>
      <c r="C674" s="104"/>
      <c r="D674" s="103"/>
      <c r="E674" s="103"/>
      <c r="F674" s="103"/>
      <c r="G674" s="103"/>
      <c r="H674" s="103"/>
      <c r="I674" s="103"/>
      <c r="J674" s="103"/>
      <c r="K674" s="16"/>
      <c r="L674" s="16"/>
      <c r="M674" s="16"/>
      <c r="N674" s="16"/>
      <c r="O674" s="16"/>
      <c r="P674" s="16"/>
      <c r="Q674" s="16"/>
      <c r="R674" s="16"/>
      <c r="S674" s="16"/>
      <c r="T674" s="16"/>
      <c r="U674" s="16"/>
      <c r="V674" s="16"/>
      <c r="W674" s="16"/>
      <c r="X674" s="16"/>
      <c r="Y674" s="16"/>
      <c r="Z674" s="16"/>
    </row>
    <row r="675" spans="1:26" ht="15.75" customHeight="1">
      <c r="A675" s="103"/>
      <c r="B675" s="103"/>
      <c r="C675" s="104"/>
      <c r="D675" s="103"/>
      <c r="E675" s="103"/>
      <c r="F675" s="103"/>
      <c r="G675" s="103"/>
      <c r="H675" s="103"/>
      <c r="I675" s="103"/>
      <c r="J675" s="103"/>
      <c r="K675" s="16"/>
      <c r="L675" s="16"/>
      <c r="M675" s="16"/>
      <c r="N675" s="16"/>
      <c r="O675" s="16"/>
      <c r="P675" s="16"/>
      <c r="Q675" s="16"/>
      <c r="R675" s="16"/>
      <c r="S675" s="16"/>
      <c r="T675" s="16"/>
      <c r="U675" s="16"/>
      <c r="V675" s="16"/>
      <c r="W675" s="16"/>
      <c r="X675" s="16"/>
      <c r="Y675" s="16"/>
      <c r="Z675" s="16"/>
    </row>
    <row r="676" spans="1:26" ht="15.75" customHeight="1">
      <c r="A676" s="103"/>
      <c r="B676" s="103"/>
      <c r="C676" s="104"/>
      <c r="D676" s="103"/>
      <c r="E676" s="103"/>
      <c r="F676" s="103"/>
      <c r="G676" s="103"/>
      <c r="H676" s="103"/>
      <c r="I676" s="103"/>
      <c r="J676" s="103"/>
      <c r="K676" s="16"/>
      <c r="L676" s="16"/>
      <c r="M676" s="16"/>
      <c r="N676" s="16"/>
      <c r="O676" s="16"/>
      <c r="P676" s="16"/>
      <c r="Q676" s="16"/>
      <c r="R676" s="16"/>
      <c r="S676" s="16"/>
      <c r="T676" s="16"/>
      <c r="U676" s="16"/>
      <c r="V676" s="16"/>
      <c r="W676" s="16"/>
      <c r="X676" s="16"/>
      <c r="Y676" s="16"/>
      <c r="Z676" s="16"/>
    </row>
    <row r="677" spans="1:26" ht="15.75" customHeight="1">
      <c r="A677" s="103"/>
      <c r="B677" s="103"/>
      <c r="C677" s="104"/>
      <c r="D677" s="103"/>
      <c r="E677" s="103"/>
      <c r="F677" s="103"/>
      <c r="G677" s="103"/>
      <c r="H677" s="103"/>
      <c r="I677" s="103"/>
      <c r="J677" s="103"/>
      <c r="K677" s="16"/>
      <c r="L677" s="16"/>
      <c r="M677" s="16"/>
      <c r="N677" s="16"/>
      <c r="O677" s="16"/>
      <c r="P677" s="16"/>
      <c r="Q677" s="16"/>
      <c r="R677" s="16"/>
      <c r="S677" s="16"/>
      <c r="T677" s="16"/>
      <c r="U677" s="16"/>
      <c r="V677" s="16"/>
      <c r="W677" s="16"/>
      <c r="X677" s="16"/>
      <c r="Y677" s="16"/>
      <c r="Z677" s="16"/>
    </row>
    <row r="678" spans="1:26" ht="15.75" customHeight="1">
      <c r="A678" s="103"/>
      <c r="B678" s="103"/>
      <c r="C678" s="104"/>
      <c r="D678" s="103"/>
      <c r="E678" s="103"/>
      <c r="F678" s="103"/>
      <c r="G678" s="103"/>
      <c r="H678" s="103"/>
      <c r="I678" s="103"/>
      <c r="J678" s="103"/>
      <c r="K678" s="16"/>
      <c r="L678" s="16"/>
      <c r="M678" s="16"/>
      <c r="N678" s="16"/>
      <c r="O678" s="16"/>
      <c r="P678" s="16"/>
      <c r="Q678" s="16"/>
      <c r="R678" s="16"/>
      <c r="S678" s="16"/>
      <c r="T678" s="16"/>
      <c r="U678" s="16"/>
      <c r="V678" s="16"/>
      <c r="W678" s="16"/>
      <c r="X678" s="16"/>
      <c r="Y678" s="16"/>
      <c r="Z678" s="16"/>
    </row>
    <row r="679" spans="1:26" ht="15.75" customHeight="1">
      <c r="A679" s="103"/>
      <c r="B679" s="103"/>
      <c r="C679" s="104"/>
      <c r="D679" s="103"/>
      <c r="E679" s="103"/>
      <c r="F679" s="103"/>
      <c r="G679" s="103"/>
      <c r="H679" s="103"/>
      <c r="I679" s="103"/>
      <c r="J679" s="103"/>
      <c r="K679" s="16"/>
      <c r="L679" s="16"/>
      <c r="M679" s="16"/>
      <c r="N679" s="16"/>
      <c r="O679" s="16"/>
      <c r="P679" s="16"/>
      <c r="Q679" s="16"/>
      <c r="R679" s="16"/>
      <c r="S679" s="16"/>
      <c r="T679" s="16"/>
      <c r="U679" s="16"/>
      <c r="V679" s="16"/>
      <c r="W679" s="16"/>
      <c r="X679" s="16"/>
      <c r="Y679" s="16"/>
      <c r="Z679" s="16"/>
    </row>
    <row r="680" spans="1:26" ht="15.75" customHeight="1">
      <c r="A680" s="103"/>
      <c r="B680" s="103"/>
      <c r="C680" s="104"/>
      <c r="D680" s="103"/>
      <c r="E680" s="103"/>
      <c r="F680" s="103"/>
      <c r="G680" s="103"/>
      <c r="H680" s="103"/>
      <c r="I680" s="103"/>
      <c r="J680" s="103"/>
      <c r="K680" s="16"/>
      <c r="L680" s="16"/>
      <c r="M680" s="16"/>
      <c r="N680" s="16"/>
      <c r="O680" s="16"/>
      <c r="P680" s="16"/>
      <c r="Q680" s="16"/>
      <c r="R680" s="16"/>
      <c r="S680" s="16"/>
      <c r="T680" s="16"/>
      <c r="U680" s="16"/>
      <c r="V680" s="16"/>
      <c r="W680" s="16"/>
      <c r="X680" s="16"/>
      <c r="Y680" s="16"/>
      <c r="Z680" s="16"/>
    </row>
    <row r="681" spans="1:26" ht="15.75" customHeight="1">
      <c r="A681" s="103"/>
      <c r="B681" s="103"/>
      <c r="C681" s="104"/>
      <c r="D681" s="103"/>
      <c r="E681" s="103"/>
      <c r="F681" s="103"/>
      <c r="G681" s="103"/>
      <c r="H681" s="103"/>
      <c r="I681" s="103"/>
      <c r="J681" s="103"/>
      <c r="K681" s="16"/>
      <c r="L681" s="16"/>
      <c r="M681" s="16"/>
      <c r="N681" s="16"/>
      <c r="O681" s="16"/>
      <c r="P681" s="16"/>
      <c r="Q681" s="16"/>
      <c r="R681" s="16"/>
      <c r="S681" s="16"/>
      <c r="T681" s="16"/>
      <c r="U681" s="16"/>
      <c r="V681" s="16"/>
      <c r="W681" s="16"/>
      <c r="X681" s="16"/>
      <c r="Y681" s="16"/>
      <c r="Z681" s="16"/>
    </row>
    <row r="682" spans="1:26" ht="15.75" customHeight="1">
      <c r="A682" s="103"/>
      <c r="B682" s="103"/>
      <c r="C682" s="104"/>
      <c r="D682" s="103"/>
      <c r="E682" s="103"/>
      <c r="F682" s="103"/>
      <c r="G682" s="103"/>
      <c r="H682" s="103"/>
      <c r="I682" s="103"/>
      <c r="J682" s="103"/>
      <c r="K682" s="16"/>
      <c r="L682" s="16"/>
      <c r="M682" s="16"/>
      <c r="N682" s="16"/>
      <c r="O682" s="16"/>
      <c r="P682" s="16"/>
      <c r="Q682" s="16"/>
      <c r="R682" s="16"/>
      <c r="S682" s="16"/>
      <c r="T682" s="16"/>
      <c r="U682" s="16"/>
      <c r="V682" s="16"/>
      <c r="W682" s="16"/>
      <c r="X682" s="16"/>
      <c r="Y682" s="16"/>
      <c r="Z682" s="16"/>
    </row>
    <row r="683" spans="1:26" ht="15.75" customHeight="1">
      <c r="A683" s="103"/>
      <c r="B683" s="103"/>
      <c r="C683" s="104"/>
      <c r="D683" s="103"/>
      <c r="E683" s="103"/>
      <c r="F683" s="103"/>
      <c r="G683" s="103"/>
      <c r="H683" s="103"/>
      <c r="I683" s="103"/>
      <c r="J683" s="103"/>
      <c r="K683" s="16"/>
      <c r="L683" s="16"/>
      <c r="M683" s="16"/>
      <c r="N683" s="16"/>
      <c r="O683" s="16"/>
      <c r="P683" s="16"/>
      <c r="Q683" s="16"/>
      <c r="R683" s="16"/>
      <c r="S683" s="16"/>
      <c r="T683" s="16"/>
      <c r="U683" s="16"/>
      <c r="V683" s="16"/>
      <c r="W683" s="16"/>
      <c r="X683" s="16"/>
      <c r="Y683" s="16"/>
      <c r="Z683" s="16"/>
    </row>
    <row r="684" spans="1:26" ht="15.75" customHeight="1">
      <c r="A684" s="103"/>
      <c r="B684" s="103"/>
      <c r="C684" s="104"/>
      <c r="D684" s="103"/>
      <c r="E684" s="103"/>
      <c r="F684" s="103"/>
      <c r="G684" s="103"/>
      <c r="H684" s="103"/>
      <c r="I684" s="103"/>
      <c r="J684" s="103"/>
      <c r="K684" s="16"/>
      <c r="L684" s="16"/>
      <c r="M684" s="16"/>
      <c r="N684" s="16"/>
      <c r="O684" s="16"/>
      <c r="P684" s="16"/>
      <c r="Q684" s="16"/>
      <c r="R684" s="16"/>
      <c r="S684" s="16"/>
      <c r="T684" s="16"/>
      <c r="U684" s="16"/>
      <c r="V684" s="16"/>
      <c r="W684" s="16"/>
      <c r="X684" s="16"/>
      <c r="Y684" s="16"/>
      <c r="Z684" s="16"/>
    </row>
    <row r="685" spans="1:26" ht="15.75" customHeight="1">
      <c r="A685" s="103"/>
      <c r="B685" s="103"/>
      <c r="C685" s="104"/>
      <c r="D685" s="103"/>
      <c r="E685" s="103"/>
      <c r="F685" s="103"/>
      <c r="G685" s="103"/>
      <c r="H685" s="103"/>
      <c r="I685" s="103"/>
      <c r="J685" s="103"/>
      <c r="K685" s="16"/>
      <c r="L685" s="16"/>
      <c r="M685" s="16"/>
      <c r="N685" s="16"/>
      <c r="O685" s="16"/>
      <c r="P685" s="16"/>
      <c r="Q685" s="16"/>
      <c r="R685" s="16"/>
      <c r="S685" s="16"/>
      <c r="T685" s="16"/>
      <c r="U685" s="16"/>
      <c r="V685" s="16"/>
      <c r="W685" s="16"/>
      <c r="X685" s="16"/>
      <c r="Y685" s="16"/>
      <c r="Z685" s="16"/>
    </row>
    <row r="686" spans="1:26" ht="15.75" customHeight="1">
      <c r="A686" s="103"/>
      <c r="B686" s="103"/>
      <c r="C686" s="104"/>
      <c r="D686" s="103"/>
      <c r="E686" s="103"/>
      <c r="F686" s="103"/>
      <c r="G686" s="103"/>
      <c r="H686" s="103"/>
      <c r="I686" s="103"/>
      <c r="J686" s="103"/>
      <c r="K686" s="16"/>
      <c r="L686" s="16"/>
      <c r="M686" s="16"/>
      <c r="N686" s="16"/>
      <c r="O686" s="16"/>
      <c r="P686" s="16"/>
      <c r="Q686" s="16"/>
      <c r="R686" s="16"/>
      <c r="S686" s="16"/>
      <c r="T686" s="16"/>
      <c r="U686" s="16"/>
      <c r="V686" s="16"/>
      <c r="W686" s="16"/>
      <c r="X686" s="16"/>
      <c r="Y686" s="16"/>
      <c r="Z686" s="16"/>
    </row>
    <row r="687" spans="1:26" ht="15.75" customHeight="1">
      <c r="A687" s="103"/>
      <c r="B687" s="103"/>
      <c r="C687" s="104"/>
      <c r="D687" s="103"/>
      <c r="E687" s="103"/>
      <c r="F687" s="103"/>
      <c r="G687" s="103"/>
      <c r="H687" s="103"/>
      <c r="I687" s="103"/>
      <c r="J687" s="103"/>
      <c r="K687" s="16"/>
      <c r="L687" s="16"/>
      <c r="M687" s="16"/>
      <c r="N687" s="16"/>
      <c r="O687" s="16"/>
      <c r="P687" s="16"/>
      <c r="Q687" s="16"/>
      <c r="R687" s="16"/>
      <c r="S687" s="16"/>
      <c r="T687" s="16"/>
      <c r="U687" s="16"/>
      <c r="V687" s="16"/>
      <c r="W687" s="16"/>
      <c r="X687" s="16"/>
      <c r="Y687" s="16"/>
      <c r="Z687" s="16"/>
    </row>
    <row r="688" spans="1:26" ht="15.75" customHeight="1">
      <c r="A688" s="103"/>
      <c r="B688" s="103"/>
      <c r="C688" s="104"/>
      <c r="D688" s="103"/>
      <c r="E688" s="103"/>
      <c r="F688" s="103"/>
      <c r="G688" s="103"/>
      <c r="H688" s="103"/>
      <c r="I688" s="103"/>
      <c r="J688" s="103"/>
      <c r="K688" s="16"/>
      <c r="L688" s="16"/>
      <c r="M688" s="16"/>
      <c r="N688" s="16"/>
      <c r="O688" s="16"/>
      <c r="P688" s="16"/>
      <c r="Q688" s="16"/>
      <c r="R688" s="16"/>
      <c r="S688" s="16"/>
      <c r="T688" s="16"/>
      <c r="U688" s="16"/>
      <c r="V688" s="16"/>
      <c r="W688" s="16"/>
      <c r="X688" s="16"/>
      <c r="Y688" s="16"/>
      <c r="Z688" s="16"/>
    </row>
    <row r="689" spans="1:26" ht="15.75" customHeight="1">
      <c r="A689" s="103"/>
      <c r="B689" s="103"/>
      <c r="C689" s="104"/>
      <c r="D689" s="103"/>
      <c r="E689" s="103"/>
      <c r="F689" s="103"/>
      <c r="G689" s="103"/>
      <c r="H689" s="103"/>
      <c r="I689" s="103"/>
      <c r="J689" s="103"/>
      <c r="K689" s="16"/>
      <c r="L689" s="16"/>
      <c r="M689" s="16"/>
      <c r="N689" s="16"/>
      <c r="O689" s="16"/>
      <c r="P689" s="16"/>
      <c r="Q689" s="16"/>
      <c r="R689" s="16"/>
      <c r="S689" s="16"/>
      <c r="T689" s="16"/>
      <c r="U689" s="16"/>
      <c r="V689" s="16"/>
      <c r="W689" s="16"/>
      <c r="X689" s="16"/>
      <c r="Y689" s="16"/>
      <c r="Z689" s="16"/>
    </row>
    <row r="690" spans="1:26" ht="15.75" customHeight="1">
      <c r="A690" s="103"/>
      <c r="B690" s="103"/>
      <c r="C690" s="104"/>
      <c r="D690" s="103"/>
      <c r="E690" s="103"/>
      <c r="F690" s="103"/>
      <c r="G690" s="103"/>
      <c r="H690" s="103"/>
      <c r="I690" s="103"/>
      <c r="J690" s="103"/>
      <c r="K690" s="16"/>
      <c r="L690" s="16"/>
      <c r="M690" s="16"/>
      <c r="N690" s="16"/>
      <c r="O690" s="16"/>
      <c r="P690" s="16"/>
      <c r="Q690" s="16"/>
      <c r="R690" s="16"/>
      <c r="S690" s="16"/>
      <c r="T690" s="16"/>
      <c r="U690" s="16"/>
      <c r="V690" s="16"/>
      <c r="W690" s="16"/>
      <c r="X690" s="16"/>
      <c r="Y690" s="16"/>
      <c r="Z690" s="16"/>
    </row>
    <row r="691" spans="1:26" ht="15.75" customHeight="1">
      <c r="A691" s="103"/>
      <c r="B691" s="103"/>
      <c r="C691" s="104"/>
      <c r="D691" s="103"/>
      <c r="E691" s="103"/>
      <c r="F691" s="103"/>
      <c r="G691" s="103"/>
      <c r="H691" s="103"/>
      <c r="I691" s="103"/>
      <c r="J691" s="103"/>
      <c r="K691" s="16"/>
      <c r="L691" s="16"/>
      <c r="M691" s="16"/>
      <c r="N691" s="16"/>
      <c r="O691" s="16"/>
      <c r="P691" s="16"/>
      <c r="Q691" s="16"/>
      <c r="R691" s="16"/>
      <c r="S691" s="16"/>
      <c r="T691" s="16"/>
      <c r="U691" s="16"/>
      <c r="V691" s="16"/>
      <c r="W691" s="16"/>
      <c r="X691" s="16"/>
      <c r="Y691" s="16"/>
      <c r="Z691" s="16"/>
    </row>
    <row r="692" spans="1:26" ht="15.75" customHeight="1">
      <c r="A692" s="103"/>
      <c r="B692" s="103"/>
      <c r="C692" s="104"/>
      <c r="D692" s="103"/>
      <c r="E692" s="103"/>
      <c r="F692" s="103"/>
      <c r="G692" s="103"/>
      <c r="H692" s="103"/>
      <c r="I692" s="103"/>
      <c r="J692" s="103"/>
      <c r="K692" s="16"/>
      <c r="L692" s="16"/>
      <c r="M692" s="16"/>
      <c r="N692" s="16"/>
      <c r="O692" s="16"/>
      <c r="P692" s="16"/>
      <c r="Q692" s="16"/>
      <c r="R692" s="16"/>
      <c r="S692" s="16"/>
      <c r="T692" s="16"/>
      <c r="U692" s="16"/>
      <c r="V692" s="16"/>
      <c r="W692" s="16"/>
      <c r="X692" s="16"/>
      <c r="Y692" s="16"/>
      <c r="Z692" s="16"/>
    </row>
    <row r="693" spans="1:26" ht="15.75" customHeight="1">
      <c r="A693" s="103"/>
      <c r="B693" s="103"/>
      <c r="C693" s="104"/>
      <c r="D693" s="103"/>
      <c r="E693" s="103"/>
      <c r="F693" s="103"/>
      <c r="G693" s="103"/>
      <c r="H693" s="103"/>
      <c r="I693" s="103"/>
      <c r="J693" s="103"/>
      <c r="K693" s="16"/>
      <c r="L693" s="16"/>
      <c r="M693" s="16"/>
      <c r="N693" s="16"/>
      <c r="O693" s="16"/>
      <c r="P693" s="16"/>
      <c r="Q693" s="16"/>
      <c r="R693" s="16"/>
      <c r="S693" s="16"/>
      <c r="T693" s="16"/>
      <c r="U693" s="16"/>
      <c r="V693" s="16"/>
      <c r="W693" s="16"/>
      <c r="X693" s="16"/>
      <c r="Y693" s="16"/>
      <c r="Z693" s="16"/>
    </row>
    <row r="694" spans="1:26" ht="15.75" customHeight="1">
      <c r="A694" s="103"/>
      <c r="B694" s="103"/>
      <c r="C694" s="104"/>
      <c r="D694" s="103"/>
      <c r="E694" s="103"/>
      <c r="F694" s="103"/>
      <c r="G694" s="103"/>
      <c r="H694" s="103"/>
      <c r="I694" s="103"/>
      <c r="J694" s="103"/>
      <c r="K694" s="16"/>
      <c r="L694" s="16"/>
      <c r="M694" s="16"/>
      <c r="N694" s="16"/>
      <c r="O694" s="16"/>
      <c r="P694" s="16"/>
      <c r="Q694" s="16"/>
      <c r="R694" s="16"/>
      <c r="S694" s="16"/>
      <c r="T694" s="16"/>
      <c r="U694" s="16"/>
      <c r="V694" s="16"/>
      <c r="W694" s="16"/>
      <c r="X694" s="16"/>
      <c r="Y694" s="16"/>
      <c r="Z694" s="16"/>
    </row>
    <row r="695" spans="1:26" ht="15.75" customHeight="1">
      <c r="A695" s="103"/>
      <c r="B695" s="103"/>
      <c r="C695" s="104"/>
      <c r="D695" s="103"/>
      <c r="E695" s="103"/>
      <c r="F695" s="103"/>
      <c r="G695" s="103"/>
      <c r="H695" s="103"/>
      <c r="I695" s="103"/>
      <c r="J695" s="103"/>
      <c r="K695" s="16"/>
      <c r="L695" s="16"/>
      <c r="M695" s="16"/>
      <c r="N695" s="16"/>
      <c r="O695" s="16"/>
      <c r="P695" s="16"/>
      <c r="Q695" s="16"/>
      <c r="R695" s="16"/>
      <c r="S695" s="16"/>
      <c r="T695" s="16"/>
      <c r="U695" s="16"/>
      <c r="V695" s="16"/>
      <c r="W695" s="16"/>
      <c r="X695" s="16"/>
      <c r="Y695" s="16"/>
      <c r="Z695" s="16"/>
    </row>
    <row r="696" spans="1:26" ht="15.75" customHeight="1">
      <c r="A696" s="103"/>
      <c r="B696" s="103"/>
      <c r="C696" s="104"/>
      <c r="D696" s="103"/>
      <c r="E696" s="103"/>
      <c r="F696" s="103"/>
      <c r="G696" s="103"/>
      <c r="H696" s="103"/>
      <c r="I696" s="103"/>
      <c r="J696" s="103"/>
      <c r="K696" s="16"/>
      <c r="L696" s="16"/>
      <c r="M696" s="16"/>
      <c r="N696" s="16"/>
      <c r="O696" s="16"/>
      <c r="P696" s="16"/>
      <c r="Q696" s="16"/>
      <c r="R696" s="16"/>
      <c r="S696" s="16"/>
      <c r="T696" s="16"/>
      <c r="U696" s="16"/>
      <c r="V696" s="16"/>
      <c r="W696" s="16"/>
      <c r="X696" s="16"/>
      <c r="Y696" s="16"/>
      <c r="Z696" s="16"/>
    </row>
    <row r="697" spans="1:26" ht="15.75" customHeight="1">
      <c r="A697" s="103"/>
      <c r="B697" s="103"/>
      <c r="C697" s="104"/>
      <c r="D697" s="103"/>
      <c r="E697" s="103"/>
      <c r="F697" s="103"/>
      <c r="G697" s="103"/>
      <c r="H697" s="103"/>
      <c r="I697" s="103"/>
      <c r="J697" s="103"/>
      <c r="K697" s="16"/>
      <c r="L697" s="16"/>
      <c r="M697" s="16"/>
      <c r="N697" s="16"/>
      <c r="O697" s="16"/>
      <c r="P697" s="16"/>
      <c r="Q697" s="16"/>
      <c r="R697" s="16"/>
      <c r="S697" s="16"/>
      <c r="T697" s="16"/>
      <c r="U697" s="16"/>
      <c r="V697" s="16"/>
      <c r="W697" s="16"/>
      <c r="X697" s="16"/>
      <c r="Y697" s="16"/>
      <c r="Z697" s="16"/>
    </row>
    <row r="698" spans="1:26" ht="15.75" customHeight="1">
      <c r="A698" s="103"/>
      <c r="B698" s="103"/>
      <c r="C698" s="104"/>
      <c r="D698" s="103"/>
      <c r="E698" s="103"/>
      <c r="F698" s="103"/>
      <c r="G698" s="103"/>
      <c r="H698" s="103"/>
      <c r="I698" s="103"/>
      <c r="J698" s="103"/>
      <c r="K698" s="16"/>
      <c r="L698" s="16"/>
      <c r="M698" s="16"/>
      <c r="N698" s="16"/>
      <c r="O698" s="16"/>
      <c r="P698" s="16"/>
      <c r="Q698" s="16"/>
      <c r="R698" s="16"/>
      <c r="S698" s="16"/>
      <c r="T698" s="16"/>
      <c r="U698" s="16"/>
      <c r="V698" s="16"/>
      <c r="W698" s="16"/>
      <c r="X698" s="16"/>
      <c r="Y698" s="16"/>
      <c r="Z698" s="16"/>
    </row>
    <row r="699" spans="1:26" ht="15.75" customHeight="1">
      <c r="A699" s="103"/>
      <c r="B699" s="103"/>
      <c r="C699" s="104"/>
      <c r="D699" s="103"/>
      <c r="E699" s="103"/>
      <c r="F699" s="103"/>
      <c r="G699" s="103"/>
      <c r="H699" s="103"/>
      <c r="I699" s="103"/>
      <c r="J699" s="103"/>
      <c r="K699" s="16"/>
      <c r="L699" s="16"/>
      <c r="M699" s="16"/>
      <c r="N699" s="16"/>
      <c r="O699" s="16"/>
      <c r="P699" s="16"/>
      <c r="Q699" s="16"/>
      <c r="R699" s="16"/>
      <c r="S699" s="16"/>
      <c r="T699" s="16"/>
      <c r="U699" s="16"/>
      <c r="V699" s="16"/>
      <c r="W699" s="16"/>
      <c r="X699" s="16"/>
      <c r="Y699" s="16"/>
      <c r="Z699" s="16"/>
    </row>
    <row r="700" spans="1:26" ht="15.75" customHeight="1">
      <c r="A700" s="103"/>
      <c r="B700" s="103"/>
      <c r="C700" s="104"/>
      <c r="D700" s="103"/>
      <c r="E700" s="103"/>
      <c r="F700" s="103"/>
      <c r="G700" s="103"/>
      <c r="H700" s="103"/>
      <c r="I700" s="103"/>
      <c r="J700" s="103"/>
      <c r="K700" s="16"/>
      <c r="L700" s="16"/>
      <c r="M700" s="16"/>
      <c r="N700" s="16"/>
      <c r="O700" s="16"/>
      <c r="P700" s="16"/>
      <c r="Q700" s="16"/>
      <c r="R700" s="16"/>
      <c r="S700" s="16"/>
      <c r="T700" s="16"/>
      <c r="U700" s="16"/>
      <c r="V700" s="16"/>
      <c r="W700" s="16"/>
      <c r="X700" s="16"/>
      <c r="Y700" s="16"/>
      <c r="Z700" s="16"/>
    </row>
    <row r="701" spans="1:26" ht="15.75" customHeight="1">
      <c r="A701" s="103"/>
      <c r="B701" s="103"/>
      <c r="C701" s="104"/>
      <c r="D701" s="103"/>
      <c r="E701" s="103"/>
      <c r="F701" s="103"/>
      <c r="G701" s="103"/>
      <c r="H701" s="103"/>
      <c r="I701" s="103"/>
      <c r="J701" s="103"/>
      <c r="K701" s="16"/>
      <c r="L701" s="16"/>
      <c r="M701" s="16"/>
      <c r="N701" s="16"/>
      <c r="O701" s="16"/>
      <c r="P701" s="16"/>
      <c r="Q701" s="16"/>
      <c r="R701" s="16"/>
      <c r="S701" s="16"/>
      <c r="T701" s="16"/>
      <c r="U701" s="16"/>
      <c r="V701" s="16"/>
      <c r="W701" s="16"/>
      <c r="X701" s="16"/>
      <c r="Y701" s="16"/>
      <c r="Z701" s="16"/>
    </row>
    <row r="702" spans="1:26" ht="15.75" customHeight="1">
      <c r="A702" s="103"/>
      <c r="B702" s="103"/>
      <c r="C702" s="104"/>
      <c r="D702" s="103"/>
      <c r="E702" s="103"/>
      <c r="F702" s="103"/>
      <c r="G702" s="103"/>
      <c r="H702" s="103"/>
      <c r="I702" s="103"/>
      <c r="J702" s="103"/>
      <c r="K702" s="16"/>
      <c r="L702" s="16"/>
      <c r="M702" s="16"/>
      <c r="N702" s="16"/>
      <c r="O702" s="16"/>
      <c r="P702" s="16"/>
      <c r="Q702" s="16"/>
      <c r="R702" s="16"/>
      <c r="S702" s="16"/>
      <c r="T702" s="16"/>
      <c r="U702" s="16"/>
      <c r="V702" s="16"/>
      <c r="W702" s="16"/>
      <c r="X702" s="16"/>
      <c r="Y702" s="16"/>
      <c r="Z702" s="16"/>
    </row>
    <row r="703" spans="1:26" ht="15.75" customHeight="1">
      <c r="A703" s="103"/>
      <c r="B703" s="103"/>
      <c r="C703" s="104"/>
      <c r="D703" s="103"/>
      <c r="E703" s="103"/>
      <c r="F703" s="103"/>
      <c r="G703" s="103"/>
      <c r="H703" s="103"/>
      <c r="I703" s="103"/>
      <c r="J703" s="103"/>
      <c r="K703" s="16"/>
      <c r="L703" s="16"/>
      <c r="M703" s="16"/>
      <c r="N703" s="16"/>
      <c r="O703" s="16"/>
      <c r="P703" s="16"/>
      <c r="Q703" s="16"/>
      <c r="R703" s="16"/>
      <c r="S703" s="16"/>
      <c r="T703" s="16"/>
      <c r="U703" s="16"/>
      <c r="V703" s="16"/>
      <c r="W703" s="16"/>
      <c r="X703" s="16"/>
      <c r="Y703" s="16"/>
      <c r="Z703" s="16"/>
    </row>
    <row r="704" spans="1:26" ht="15.75" customHeight="1">
      <c r="A704" s="103"/>
      <c r="B704" s="103"/>
      <c r="C704" s="104"/>
      <c r="D704" s="103"/>
      <c r="E704" s="103"/>
      <c r="F704" s="103"/>
      <c r="G704" s="103"/>
      <c r="H704" s="103"/>
      <c r="I704" s="103"/>
      <c r="J704" s="103"/>
      <c r="K704" s="16"/>
      <c r="L704" s="16"/>
      <c r="M704" s="16"/>
      <c r="N704" s="16"/>
      <c r="O704" s="16"/>
      <c r="P704" s="16"/>
      <c r="Q704" s="16"/>
      <c r="R704" s="16"/>
      <c r="S704" s="16"/>
      <c r="T704" s="16"/>
      <c r="U704" s="16"/>
      <c r="V704" s="16"/>
      <c r="W704" s="16"/>
      <c r="X704" s="16"/>
      <c r="Y704" s="16"/>
      <c r="Z704" s="16"/>
    </row>
    <row r="705" spans="1:26" ht="15.75" customHeight="1">
      <c r="A705" s="103"/>
      <c r="B705" s="103"/>
      <c r="C705" s="104"/>
      <c r="D705" s="103"/>
      <c r="E705" s="103"/>
      <c r="F705" s="103"/>
      <c r="G705" s="103"/>
      <c r="H705" s="103"/>
      <c r="I705" s="103"/>
      <c r="J705" s="103"/>
      <c r="K705" s="16"/>
      <c r="L705" s="16"/>
      <c r="M705" s="16"/>
      <c r="N705" s="16"/>
      <c r="O705" s="16"/>
      <c r="P705" s="16"/>
      <c r="Q705" s="16"/>
      <c r="R705" s="16"/>
      <c r="S705" s="16"/>
      <c r="T705" s="16"/>
      <c r="U705" s="16"/>
      <c r="V705" s="16"/>
      <c r="W705" s="16"/>
      <c r="X705" s="16"/>
      <c r="Y705" s="16"/>
      <c r="Z705" s="16"/>
    </row>
    <row r="706" spans="1:26" ht="15.75" customHeight="1">
      <c r="A706" s="103"/>
      <c r="B706" s="103"/>
      <c r="C706" s="104"/>
      <c r="D706" s="103"/>
      <c r="E706" s="103"/>
      <c r="F706" s="103"/>
      <c r="G706" s="103"/>
      <c r="H706" s="103"/>
      <c r="I706" s="103"/>
      <c r="J706" s="103"/>
      <c r="K706" s="16"/>
      <c r="L706" s="16"/>
      <c r="M706" s="16"/>
      <c r="N706" s="16"/>
      <c r="O706" s="16"/>
      <c r="P706" s="16"/>
      <c r="Q706" s="16"/>
      <c r="R706" s="16"/>
      <c r="S706" s="16"/>
      <c r="T706" s="16"/>
      <c r="U706" s="16"/>
      <c r="V706" s="16"/>
      <c r="W706" s="16"/>
      <c r="X706" s="16"/>
      <c r="Y706" s="16"/>
      <c r="Z706" s="16"/>
    </row>
    <row r="707" spans="1:26" ht="15.75" customHeight="1">
      <c r="A707" s="103"/>
      <c r="B707" s="103"/>
      <c r="C707" s="104"/>
      <c r="D707" s="103"/>
      <c r="E707" s="103"/>
      <c r="F707" s="103"/>
      <c r="G707" s="103"/>
      <c r="H707" s="103"/>
      <c r="I707" s="103"/>
      <c r="J707" s="103"/>
      <c r="K707" s="16"/>
      <c r="L707" s="16"/>
      <c r="M707" s="16"/>
      <c r="N707" s="16"/>
      <c r="O707" s="16"/>
      <c r="P707" s="16"/>
      <c r="Q707" s="16"/>
      <c r="R707" s="16"/>
      <c r="S707" s="16"/>
      <c r="T707" s="16"/>
      <c r="U707" s="16"/>
      <c r="V707" s="16"/>
      <c r="W707" s="16"/>
      <c r="X707" s="16"/>
      <c r="Y707" s="16"/>
      <c r="Z707" s="16"/>
    </row>
    <row r="708" spans="1:26" ht="15.75" customHeight="1">
      <c r="A708" s="103"/>
      <c r="B708" s="103"/>
      <c r="C708" s="104"/>
      <c r="D708" s="103"/>
      <c r="E708" s="103"/>
      <c r="F708" s="103"/>
      <c r="G708" s="103"/>
      <c r="H708" s="103"/>
      <c r="I708" s="103"/>
      <c r="J708" s="103"/>
      <c r="K708" s="16"/>
      <c r="L708" s="16"/>
      <c r="M708" s="16"/>
      <c r="N708" s="16"/>
      <c r="O708" s="16"/>
      <c r="P708" s="16"/>
      <c r="Q708" s="16"/>
      <c r="R708" s="16"/>
      <c r="S708" s="16"/>
      <c r="T708" s="16"/>
      <c r="U708" s="16"/>
      <c r="V708" s="16"/>
      <c r="W708" s="16"/>
      <c r="X708" s="16"/>
      <c r="Y708" s="16"/>
      <c r="Z708" s="16"/>
    </row>
    <row r="709" spans="1:26" ht="15.75" customHeight="1">
      <c r="A709" s="103"/>
      <c r="B709" s="103"/>
      <c r="C709" s="104"/>
      <c r="D709" s="103"/>
      <c r="E709" s="103"/>
      <c r="F709" s="103"/>
      <c r="G709" s="103"/>
      <c r="H709" s="103"/>
      <c r="I709" s="103"/>
      <c r="J709" s="103"/>
      <c r="K709" s="16"/>
      <c r="L709" s="16"/>
      <c r="M709" s="16"/>
      <c r="N709" s="16"/>
      <c r="O709" s="16"/>
      <c r="P709" s="16"/>
      <c r="Q709" s="16"/>
      <c r="R709" s="16"/>
      <c r="S709" s="16"/>
      <c r="T709" s="16"/>
      <c r="U709" s="16"/>
      <c r="V709" s="16"/>
      <c r="W709" s="16"/>
      <c r="X709" s="16"/>
      <c r="Y709" s="16"/>
      <c r="Z709" s="16"/>
    </row>
    <row r="710" spans="1:26" ht="15.75" customHeight="1">
      <c r="A710" s="103"/>
      <c r="B710" s="103"/>
      <c r="C710" s="104"/>
      <c r="D710" s="103"/>
      <c r="E710" s="103"/>
      <c r="F710" s="103"/>
      <c r="G710" s="103"/>
      <c r="H710" s="103"/>
      <c r="I710" s="103"/>
      <c r="J710" s="103"/>
      <c r="K710" s="16"/>
      <c r="L710" s="16"/>
      <c r="M710" s="16"/>
      <c r="N710" s="16"/>
      <c r="O710" s="16"/>
      <c r="P710" s="16"/>
      <c r="Q710" s="16"/>
      <c r="R710" s="16"/>
      <c r="S710" s="16"/>
      <c r="T710" s="16"/>
      <c r="U710" s="16"/>
      <c r="V710" s="16"/>
      <c r="W710" s="16"/>
      <c r="X710" s="16"/>
      <c r="Y710" s="16"/>
      <c r="Z710" s="16"/>
    </row>
    <row r="711" spans="1:26" ht="15.75" customHeight="1">
      <c r="A711" s="103"/>
      <c r="B711" s="103"/>
      <c r="C711" s="104"/>
      <c r="D711" s="103"/>
      <c r="E711" s="103"/>
      <c r="F711" s="103"/>
      <c r="G711" s="103"/>
      <c r="H711" s="103"/>
      <c r="I711" s="103"/>
      <c r="J711" s="103"/>
      <c r="K711" s="16"/>
      <c r="L711" s="16"/>
      <c r="M711" s="16"/>
      <c r="N711" s="16"/>
      <c r="O711" s="16"/>
      <c r="P711" s="16"/>
      <c r="Q711" s="16"/>
      <c r="R711" s="16"/>
      <c r="S711" s="16"/>
      <c r="T711" s="16"/>
      <c r="U711" s="16"/>
      <c r="V711" s="16"/>
      <c r="W711" s="16"/>
      <c r="X711" s="16"/>
      <c r="Y711" s="16"/>
      <c r="Z711" s="16"/>
    </row>
    <row r="712" spans="1:26" ht="15.75" customHeight="1">
      <c r="A712" s="103"/>
      <c r="B712" s="103"/>
      <c r="C712" s="104"/>
      <c r="D712" s="103"/>
      <c r="E712" s="103"/>
      <c r="F712" s="103"/>
      <c r="G712" s="103"/>
      <c r="H712" s="103"/>
      <c r="I712" s="103"/>
      <c r="J712" s="103"/>
      <c r="K712" s="16"/>
      <c r="L712" s="16"/>
      <c r="M712" s="16"/>
      <c r="N712" s="16"/>
      <c r="O712" s="16"/>
      <c r="P712" s="16"/>
      <c r="Q712" s="16"/>
      <c r="R712" s="16"/>
      <c r="S712" s="16"/>
      <c r="T712" s="16"/>
      <c r="U712" s="16"/>
      <c r="V712" s="16"/>
      <c r="W712" s="16"/>
      <c r="X712" s="16"/>
      <c r="Y712" s="16"/>
      <c r="Z712" s="16"/>
    </row>
    <row r="713" spans="1:26" ht="15.75" customHeight="1">
      <c r="A713" s="103"/>
      <c r="B713" s="103"/>
      <c r="C713" s="104"/>
      <c r="D713" s="103"/>
      <c r="E713" s="103"/>
      <c r="F713" s="103"/>
      <c r="G713" s="103"/>
      <c r="H713" s="103"/>
      <c r="I713" s="103"/>
      <c r="J713" s="103"/>
      <c r="K713" s="16"/>
      <c r="L713" s="16"/>
      <c r="M713" s="16"/>
      <c r="N713" s="16"/>
      <c r="O713" s="16"/>
      <c r="P713" s="16"/>
      <c r="Q713" s="16"/>
      <c r="R713" s="16"/>
      <c r="S713" s="16"/>
      <c r="T713" s="16"/>
      <c r="U713" s="16"/>
      <c r="V713" s="16"/>
      <c r="W713" s="16"/>
      <c r="X713" s="16"/>
      <c r="Y713" s="16"/>
      <c r="Z713" s="16"/>
    </row>
    <row r="714" spans="1:26" ht="15.75" customHeight="1">
      <c r="A714" s="103"/>
      <c r="B714" s="103"/>
      <c r="C714" s="104"/>
      <c r="D714" s="103"/>
      <c r="E714" s="103"/>
      <c r="F714" s="103"/>
      <c r="G714" s="103"/>
      <c r="H714" s="103"/>
      <c r="I714" s="103"/>
      <c r="J714" s="103"/>
      <c r="K714" s="16"/>
      <c r="L714" s="16"/>
      <c r="M714" s="16"/>
      <c r="N714" s="16"/>
      <c r="O714" s="16"/>
      <c r="P714" s="16"/>
      <c r="Q714" s="16"/>
      <c r="R714" s="16"/>
      <c r="S714" s="16"/>
      <c r="T714" s="16"/>
      <c r="U714" s="16"/>
      <c r="V714" s="16"/>
      <c r="W714" s="16"/>
      <c r="X714" s="16"/>
      <c r="Y714" s="16"/>
      <c r="Z714" s="16"/>
    </row>
    <row r="715" spans="1:26" ht="15.75" customHeight="1">
      <c r="A715" s="103"/>
      <c r="B715" s="103"/>
      <c r="C715" s="104"/>
      <c r="D715" s="103"/>
      <c r="E715" s="103"/>
      <c r="F715" s="103"/>
      <c r="G715" s="103"/>
      <c r="H715" s="103"/>
      <c r="I715" s="103"/>
      <c r="J715" s="103"/>
      <c r="K715" s="16"/>
      <c r="L715" s="16"/>
      <c r="M715" s="16"/>
      <c r="N715" s="16"/>
      <c r="O715" s="16"/>
      <c r="P715" s="16"/>
      <c r="Q715" s="16"/>
      <c r="R715" s="16"/>
      <c r="S715" s="16"/>
      <c r="T715" s="16"/>
      <c r="U715" s="16"/>
      <c r="V715" s="16"/>
      <c r="W715" s="16"/>
      <c r="X715" s="16"/>
      <c r="Y715" s="16"/>
      <c r="Z715" s="16"/>
    </row>
    <row r="716" spans="1:26" ht="15.75" customHeight="1">
      <c r="A716" s="103"/>
      <c r="B716" s="103"/>
      <c r="C716" s="104"/>
      <c r="D716" s="103"/>
      <c r="E716" s="103"/>
      <c r="F716" s="103"/>
      <c r="G716" s="103"/>
      <c r="H716" s="103"/>
      <c r="I716" s="103"/>
      <c r="J716" s="103"/>
      <c r="K716" s="16"/>
      <c r="L716" s="16"/>
      <c r="M716" s="16"/>
      <c r="N716" s="16"/>
      <c r="O716" s="16"/>
      <c r="P716" s="16"/>
      <c r="Q716" s="16"/>
      <c r="R716" s="16"/>
      <c r="S716" s="16"/>
      <c r="T716" s="16"/>
      <c r="U716" s="16"/>
      <c r="V716" s="16"/>
      <c r="W716" s="16"/>
      <c r="X716" s="16"/>
      <c r="Y716" s="16"/>
      <c r="Z716" s="16"/>
    </row>
    <row r="717" spans="1:26" ht="15.75" customHeight="1">
      <c r="A717" s="103"/>
      <c r="B717" s="103"/>
      <c r="C717" s="104"/>
      <c r="D717" s="103"/>
      <c r="E717" s="103"/>
      <c r="F717" s="103"/>
      <c r="G717" s="103"/>
      <c r="H717" s="103"/>
      <c r="I717" s="103"/>
      <c r="J717" s="103"/>
      <c r="K717" s="16"/>
      <c r="L717" s="16"/>
      <c r="M717" s="16"/>
      <c r="N717" s="16"/>
      <c r="O717" s="16"/>
      <c r="P717" s="16"/>
      <c r="Q717" s="16"/>
      <c r="R717" s="16"/>
      <c r="S717" s="16"/>
      <c r="T717" s="16"/>
      <c r="U717" s="16"/>
      <c r="V717" s="16"/>
      <c r="W717" s="16"/>
      <c r="X717" s="16"/>
      <c r="Y717" s="16"/>
      <c r="Z717" s="16"/>
    </row>
    <row r="718" spans="1:26" ht="15.75" customHeight="1">
      <c r="A718" s="103"/>
      <c r="B718" s="103"/>
      <c r="C718" s="104"/>
      <c r="D718" s="103"/>
      <c r="E718" s="103"/>
      <c r="F718" s="103"/>
      <c r="G718" s="103"/>
      <c r="H718" s="103"/>
      <c r="I718" s="103"/>
      <c r="J718" s="103"/>
      <c r="K718" s="16"/>
      <c r="L718" s="16"/>
      <c r="M718" s="16"/>
      <c r="N718" s="16"/>
      <c r="O718" s="16"/>
      <c r="P718" s="16"/>
      <c r="Q718" s="16"/>
      <c r="R718" s="16"/>
      <c r="S718" s="16"/>
      <c r="T718" s="16"/>
      <c r="U718" s="16"/>
      <c r="V718" s="16"/>
      <c r="W718" s="16"/>
      <c r="X718" s="16"/>
      <c r="Y718" s="16"/>
      <c r="Z718" s="16"/>
    </row>
    <row r="719" spans="1:26" ht="15.75" customHeight="1">
      <c r="A719" s="103"/>
      <c r="B719" s="103"/>
      <c r="C719" s="104"/>
      <c r="D719" s="103"/>
      <c r="E719" s="103"/>
      <c r="F719" s="103"/>
      <c r="G719" s="103"/>
      <c r="H719" s="103"/>
      <c r="I719" s="103"/>
      <c r="J719" s="103"/>
      <c r="K719" s="16"/>
      <c r="L719" s="16"/>
      <c r="M719" s="16"/>
      <c r="N719" s="16"/>
      <c r="O719" s="16"/>
      <c r="P719" s="16"/>
      <c r="Q719" s="16"/>
      <c r="R719" s="16"/>
      <c r="S719" s="16"/>
      <c r="T719" s="16"/>
      <c r="U719" s="16"/>
      <c r="V719" s="16"/>
      <c r="W719" s="16"/>
      <c r="X719" s="16"/>
      <c r="Y719" s="16"/>
      <c r="Z719" s="16"/>
    </row>
    <row r="720" spans="1:26" ht="15.75" customHeight="1">
      <c r="A720" s="103"/>
      <c r="B720" s="103"/>
      <c r="C720" s="104"/>
      <c r="D720" s="103"/>
      <c r="E720" s="103"/>
      <c r="F720" s="103"/>
      <c r="G720" s="103"/>
      <c r="H720" s="103"/>
      <c r="I720" s="103"/>
      <c r="J720" s="103"/>
      <c r="K720" s="16"/>
      <c r="L720" s="16"/>
      <c r="M720" s="16"/>
      <c r="N720" s="16"/>
      <c r="O720" s="16"/>
      <c r="P720" s="16"/>
      <c r="Q720" s="16"/>
      <c r="R720" s="16"/>
      <c r="S720" s="16"/>
      <c r="T720" s="16"/>
      <c r="U720" s="16"/>
      <c r="V720" s="16"/>
      <c r="W720" s="16"/>
      <c r="X720" s="16"/>
      <c r="Y720" s="16"/>
      <c r="Z720" s="16"/>
    </row>
    <row r="721" spans="1:26" ht="15.75" customHeight="1">
      <c r="A721" s="103"/>
      <c r="B721" s="103"/>
      <c r="C721" s="104"/>
      <c r="D721" s="103"/>
      <c r="E721" s="103"/>
      <c r="F721" s="103"/>
      <c r="G721" s="103"/>
      <c r="H721" s="103"/>
      <c r="I721" s="103"/>
      <c r="J721" s="103"/>
      <c r="K721" s="16"/>
      <c r="L721" s="16"/>
      <c r="M721" s="16"/>
      <c r="N721" s="16"/>
      <c r="O721" s="16"/>
      <c r="P721" s="16"/>
      <c r="Q721" s="16"/>
      <c r="R721" s="16"/>
      <c r="S721" s="16"/>
      <c r="T721" s="16"/>
      <c r="U721" s="16"/>
      <c r="V721" s="16"/>
      <c r="W721" s="16"/>
      <c r="X721" s="16"/>
      <c r="Y721" s="16"/>
      <c r="Z721" s="16"/>
    </row>
    <row r="722" spans="1:26" ht="15.75" customHeight="1">
      <c r="A722" s="103"/>
      <c r="B722" s="103"/>
      <c r="C722" s="104"/>
      <c r="D722" s="103"/>
      <c r="E722" s="103"/>
      <c r="F722" s="103"/>
      <c r="G722" s="103"/>
      <c r="H722" s="103"/>
      <c r="I722" s="103"/>
      <c r="J722" s="103"/>
      <c r="K722" s="16"/>
      <c r="L722" s="16"/>
      <c r="M722" s="16"/>
      <c r="N722" s="16"/>
      <c r="O722" s="16"/>
      <c r="P722" s="16"/>
      <c r="Q722" s="16"/>
      <c r="R722" s="16"/>
      <c r="S722" s="16"/>
      <c r="T722" s="16"/>
      <c r="U722" s="16"/>
      <c r="V722" s="16"/>
      <c r="W722" s="16"/>
      <c r="X722" s="16"/>
      <c r="Y722" s="16"/>
      <c r="Z722" s="16"/>
    </row>
    <row r="723" spans="1:26" ht="15.75" customHeight="1">
      <c r="A723" s="103"/>
      <c r="B723" s="103"/>
      <c r="C723" s="104"/>
      <c r="D723" s="103"/>
      <c r="E723" s="103"/>
      <c r="F723" s="103"/>
      <c r="G723" s="103"/>
      <c r="H723" s="103"/>
      <c r="I723" s="103"/>
      <c r="J723" s="103"/>
      <c r="K723" s="16"/>
      <c r="L723" s="16"/>
      <c r="M723" s="16"/>
      <c r="N723" s="16"/>
      <c r="O723" s="16"/>
      <c r="P723" s="16"/>
      <c r="Q723" s="16"/>
      <c r="R723" s="16"/>
      <c r="S723" s="16"/>
      <c r="T723" s="16"/>
      <c r="U723" s="16"/>
      <c r="V723" s="16"/>
      <c r="W723" s="16"/>
      <c r="X723" s="16"/>
      <c r="Y723" s="16"/>
      <c r="Z723" s="16"/>
    </row>
    <row r="724" spans="1:26" ht="15.75" customHeight="1">
      <c r="A724" s="103"/>
      <c r="B724" s="103"/>
      <c r="C724" s="104"/>
      <c r="D724" s="103"/>
      <c r="E724" s="103"/>
      <c r="F724" s="103"/>
      <c r="G724" s="103"/>
      <c r="H724" s="103"/>
      <c r="I724" s="103"/>
      <c r="J724" s="103"/>
      <c r="K724" s="16"/>
      <c r="L724" s="16"/>
      <c r="M724" s="16"/>
      <c r="N724" s="16"/>
      <c r="O724" s="16"/>
      <c r="P724" s="16"/>
      <c r="Q724" s="16"/>
      <c r="R724" s="16"/>
      <c r="S724" s="16"/>
      <c r="T724" s="16"/>
      <c r="U724" s="16"/>
      <c r="V724" s="16"/>
      <c r="W724" s="16"/>
      <c r="X724" s="16"/>
      <c r="Y724" s="16"/>
      <c r="Z724" s="16"/>
    </row>
    <row r="725" spans="1:26" ht="15.75" customHeight="1">
      <c r="A725" s="103"/>
      <c r="B725" s="103"/>
      <c r="C725" s="104"/>
      <c r="D725" s="103"/>
      <c r="E725" s="103"/>
      <c r="F725" s="103"/>
      <c r="G725" s="103"/>
      <c r="H725" s="103"/>
      <c r="I725" s="103"/>
      <c r="J725" s="103"/>
      <c r="K725" s="16"/>
      <c r="L725" s="16"/>
      <c r="M725" s="16"/>
      <c r="N725" s="16"/>
      <c r="O725" s="16"/>
      <c r="P725" s="16"/>
      <c r="Q725" s="16"/>
      <c r="R725" s="16"/>
      <c r="S725" s="16"/>
      <c r="T725" s="16"/>
      <c r="U725" s="16"/>
      <c r="V725" s="16"/>
      <c r="W725" s="16"/>
      <c r="X725" s="16"/>
      <c r="Y725" s="16"/>
      <c r="Z725" s="16"/>
    </row>
    <row r="726" spans="1:26" ht="15.75" customHeight="1">
      <c r="A726" s="103"/>
      <c r="B726" s="103"/>
      <c r="C726" s="104"/>
      <c r="D726" s="103"/>
      <c r="E726" s="103"/>
      <c r="F726" s="103"/>
      <c r="G726" s="103"/>
      <c r="H726" s="103"/>
      <c r="I726" s="103"/>
      <c r="J726" s="103"/>
      <c r="K726" s="16"/>
      <c r="L726" s="16"/>
      <c r="M726" s="16"/>
      <c r="N726" s="16"/>
      <c r="O726" s="16"/>
      <c r="P726" s="16"/>
      <c r="Q726" s="16"/>
      <c r="R726" s="16"/>
      <c r="S726" s="16"/>
      <c r="T726" s="16"/>
      <c r="U726" s="16"/>
      <c r="V726" s="16"/>
      <c r="W726" s="16"/>
      <c r="X726" s="16"/>
      <c r="Y726" s="16"/>
      <c r="Z726" s="16"/>
    </row>
    <row r="727" spans="1:26" ht="15.75" customHeight="1">
      <c r="A727" s="103"/>
      <c r="B727" s="103"/>
      <c r="C727" s="104"/>
      <c r="D727" s="103"/>
      <c r="E727" s="103"/>
      <c r="F727" s="103"/>
      <c r="G727" s="103"/>
      <c r="H727" s="103"/>
      <c r="I727" s="103"/>
      <c r="J727" s="103"/>
      <c r="K727" s="16"/>
      <c r="L727" s="16"/>
      <c r="M727" s="16"/>
      <c r="N727" s="16"/>
      <c r="O727" s="16"/>
      <c r="P727" s="16"/>
      <c r="Q727" s="16"/>
      <c r="R727" s="16"/>
      <c r="S727" s="16"/>
      <c r="T727" s="16"/>
      <c r="U727" s="16"/>
      <c r="V727" s="16"/>
      <c r="W727" s="16"/>
      <c r="X727" s="16"/>
      <c r="Y727" s="16"/>
      <c r="Z727" s="16"/>
    </row>
    <row r="728" spans="1:26" ht="15.75" customHeight="1">
      <c r="A728" s="103"/>
      <c r="B728" s="103"/>
      <c r="C728" s="104"/>
      <c r="D728" s="103"/>
      <c r="E728" s="103"/>
      <c r="F728" s="103"/>
      <c r="G728" s="103"/>
      <c r="H728" s="103"/>
      <c r="I728" s="103"/>
      <c r="J728" s="103"/>
      <c r="K728" s="16"/>
      <c r="L728" s="16"/>
      <c r="M728" s="16"/>
      <c r="N728" s="16"/>
      <c r="O728" s="16"/>
      <c r="P728" s="16"/>
      <c r="Q728" s="16"/>
      <c r="R728" s="16"/>
      <c r="S728" s="16"/>
      <c r="T728" s="16"/>
      <c r="U728" s="16"/>
      <c r="V728" s="16"/>
      <c r="W728" s="16"/>
      <c r="X728" s="16"/>
      <c r="Y728" s="16"/>
      <c r="Z728" s="16"/>
    </row>
    <row r="729" spans="1:26" ht="15.75" customHeight="1">
      <c r="A729" s="103"/>
      <c r="B729" s="103"/>
      <c r="C729" s="104"/>
      <c r="D729" s="103"/>
      <c r="E729" s="103"/>
      <c r="F729" s="103"/>
      <c r="G729" s="103"/>
      <c r="H729" s="103"/>
      <c r="I729" s="103"/>
      <c r="J729" s="103"/>
      <c r="K729" s="16"/>
      <c r="L729" s="16"/>
      <c r="M729" s="16"/>
      <c r="N729" s="16"/>
      <c r="O729" s="16"/>
      <c r="P729" s="16"/>
      <c r="Q729" s="16"/>
      <c r="R729" s="16"/>
      <c r="S729" s="16"/>
      <c r="T729" s="16"/>
      <c r="U729" s="16"/>
      <c r="V729" s="16"/>
      <c r="W729" s="16"/>
      <c r="X729" s="16"/>
      <c r="Y729" s="16"/>
      <c r="Z729" s="16"/>
    </row>
    <row r="730" spans="1:26" ht="15.75" customHeight="1">
      <c r="A730" s="103"/>
      <c r="B730" s="103"/>
      <c r="C730" s="104"/>
      <c r="D730" s="103"/>
      <c r="E730" s="103"/>
      <c r="F730" s="103"/>
      <c r="G730" s="103"/>
      <c r="H730" s="103"/>
      <c r="I730" s="103"/>
      <c r="J730" s="103"/>
      <c r="K730" s="16"/>
      <c r="L730" s="16"/>
      <c r="M730" s="16"/>
      <c r="N730" s="16"/>
      <c r="O730" s="16"/>
      <c r="P730" s="16"/>
      <c r="Q730" s="16"/>
      <c r="R730" s="16"/>
      <c r="S730" s="16"/>
      <c r="T730" s="16"/>
      <c r="U730" s="16"/>
      <c r="V730" s="16"/>
      <c r="W730" s="16"/>
      <c r="X730" s="16"/>
      <c r="Y730" s="16"/>
      <c r="Z730" s="16"/>
    </row>
    <row r="731" spans="1:26" ht="15.75" customHeight="1">
      <c r="A731" s="103"/>
      <c r="B731" s="103"/>
      <c r="C731" s="104"/>
      <c r="D731" s="103"/>
      <c r="E731" s="103"/>
      <c r="F731" s="103"/>
      <c r="G731" s="103"/>
      <c r="H731" s="103"/>
      <c r="I731" s="103"/>
      <c r="J731" s="103"/>
      <c r="K731" s="16"/>
      <c r="L731" s="16"/>
      <c r="M731" s="16"/>
      <c r="N731" s="16"/>
      <c r="O731" s="16"/>
      <c r="P731" s="16"/>
      <c r="Q731" s="16"/>
      <c r="R731" s="16"/>
      <c r="S731" s="16"/>
      <c r="T731" s="16"/>
      <c r="U731" s="16"/>
      <c r="V731" s="16"/>
      <c r="W731" s="16"/>
      <c r="X731" s="16"/>
      <c r="Y731" s="16"/>
      <c r="Z731" s="16"/>
    </row>
    <row r="732" spans="1:26" ht="15.75" customHeight="1">
      <c r="A732" s="103"/>
      <c r="B732" s="103"/>
      <c r="C732" s="104"/>
      <c r="D732" s="103"/>
      <c r="E732" s="103"/>
      <c r="F732" s="103"/>
      <c r="G732" s="103"/>
      <c r="H732" s="103"/>
      <c r="I732" s="103"/>
      <c r="J732" s="103"/>
      <c r="K732" s="16"/>
      <c r="L732" s="16"/>
      <c r="M732" s="16"/>
      <c r="N732" s="16"/>
      <c r="O732" s="16"/>
      <c r="P732" s="16"/>
      <c r="Q732" s="16"/>
      <c r="R732" s="16"/>
      <c r="S732" s="16"/>
      <c r="T732" s="16"/>
      <c r="U732" s="16"/>
      <c r="V732" s="16"/>
      <c r="W732" s="16"/>
      <c r="X732" s="16"/>
      <c r="Y732" s="16"/>
      <c r="Z732" s="16"/>
    </row>
    <row r="733" spans="1:26" ht="15.75" customHeight="1">
      <c r="A733" s="103"/>
      <c r="B733" s="103"/>
      <c r="C733" s="104"/>
      <c r="D733" s="103"/>
      <c r="E733" s="103"/>
      <c r="F733" s="103"/>
      <c r="G733" s="103"/>
      <c r="H733" s="103"/>
      <c r="I733" s="103"/>
      <c r="J733" s="103"/>
      <c r="K733" s="16"/>
      <c r="L733" s="16"/>
      <c r="M733" s="16"/>
      <c r="N733" s="16"/>
      <c r="O733" s="16"/>
      <c r="P733" s="16"/>
      <c r="Q733" s="16"/>
      <c r="R733" s="16"/>
      <c r="S733" s="16"/>
      <c r="T733" s="16"/>
      <c r="U733" s="16"/>
      <c r="V733" s="16"/>
      <c r="W733" s="16"/>
      <c r="X733" s="16"/>
      <c r="Y733" s="16"/>
      <c r="Z733" s="16"/>
    </row>
    <row r="734" spans="1:26" ht="15.75" customHeight="1">
      <c r="A734" s="103"/>
      <c r="B734" s="103"/>
      <c r="C734" s="104"/>
      <c r="D734" s="103"/>
      <c r="E734" s="103"/>
      <c r="F734" s="103"/>
      <c r="G734" s="103"/>
      <c r="H734" s="103"/>
      <c r="I734" s="103"/>
      <c r="J734" s="103"/>
      <c r="K734" s="16"/>
      <c r="L734" s="16"/>
      <c r="M734" s="16"/>
      <c r="N734" s="16"/>
      <c r="O734" s="16"/>
      <c r="P734" s="16"/>
      <c r="Q734" s="16"/>
      <c r="R734" s="16"/>
      <c r="S734" s="16"/>
      <c r="T734" s="16"/>
      <c r="U734" s="16"/>
      <c r="V734" s="16"/>
      <c r="W734" s="16"/>
      <c r="X734" s="16"/>
      <c r="Y734" s="16"/>
      <c r="Z734" s="16"/>
    </row>
    <row r="735" spans="1:26" ht="15.75" customHeight="1">
      <c r="A735" s="103"/>
      <c r="B735" s="103"/>
      <c r="C735" s="104"/>
      <c r="D735" s="103"/>
      <c r="E735" s="103"/>
      <c r="F735" s="103"/>
      <c r="G735" s="103"/>
      <c r="H735" s="103"/>
      <c r="I735" s="103"/>
      <c r="J735" s="103"/>
      <c r="K735" s="16"/>
      <c r="L735" s="16"/>
      <c r="M735" s="16"/>
      <c r="N735" s="16"/>
      <c r="O735" s="16"/>
      <c r="P735" s="16"/>
      <c r="Q735" s="16"/>
      <c r="R735" s="16"/>
      <c r="S735" s="16"/>
      <c r="T735" s="16"/>
      <c r="U735" s="16"/>
      <c r="V735" s="16"/>
      <c r="W735" s="16"/>
      <c r="X735" s="16"/>
      <c r="Y735" s="16"/>
      <c r="Z735" s="16"/>
    </row>
    <row r="736" spans="1:26" ht="15.75" customHeight="1">
      <c r="A736" s="103"/>
      <c r="B736" s="103"/>
      <c r="C736" s="104"/>
      <c r="D736" s="103"/>
      <c r="E736" s="103"/>
      <c r="F736" s="103"/>
      <c r="G736" s="103"/>
      <c r="H736" s="103"/>
      <c r="I736" s="103"/>
      <c r="J736" s="103"/>
      <c r="K736" s="16"/>
      <c r="L736" s="16"/>
      <c r="M736" s="16"/>
      <c r="N736" s="16"/>
      <c r="O736" s="16"/>
      <c r="P736" s="16"/>
      <c r="Q736" s="16"/>
      <c r="R736" s="16"/>
      <c r="S736" s="16"/>
      <c r="T736" s="16"/>
      <c r="U736" s="16"/>
      <c r="V736" s="16"/>
      <c r="W736" s="16"/>
      <c r="X736" s="16"/>
      <c r="Y736" s="16"/>
      <c r="Z736" s="16"/>
    </row>
    <row r="737" spans="1:26" ht="15.75" customHeight="1">
      <c r="A737" s="103"/>
      <c r="B737" s="103"/>
      <c r="C737" s="104"/>
      <c r="D737" s="103"/>
      <c r="E737" s="103"/>
      <c r="F737" s="103"/>
      <c r="G737" s="103"/>
      <c r="H737" s="103"/>
      <c r="I737" s="103"/>
      <c r="J737" s="103"/>
      <c r="K737" s="16"/>
      <c r="L737" s="16"/>
      <c r="M737" s="16"/>
      <c r="N737" s="16"/>
      <c r="O737" s="16"/>
      <c r="P737" s="16"/>
      <c r="Q737" s="16"/>
      <c r="R737" s="16"/>
      <c r="S737" s="16"/>
      <c r="T737" s="16"/>
      <c r="U737" s="16"/>
      <c r="V737" s="16"/>
      <c r="W737" s="16"/>
      <c r="X737" s="16"/>
      <c r="Y737" s="16"/>
      <c r="Z737" s="16"/>
    </row>
    <row r="738" spans="1:26" ht="15.75" customHeight="1">
      <c r="A738" s="103"/>
      <c r="B738" s="103"/>
      <c r="C738" s="104"/>
      <c r="D738" s="103"/>
      <c r="E738" s="103"/>
      <c r="F738" s="103"/>
      <c r="G738" s="103"/>
      <c r="H738" s="103"/>
      <c r="I738" s="103"/>
      <c r="J738" s="103"/>
      <c r="K738" s="16"/>
      <c r="L738" s="16"/>
      <c r="M738" s="16"/>
      <c r="N738" s="16"/>
      <c r="O738" s="16"/>
      <c r="P738" s="16"/>
      <c r="Q738" s="16"/>
      <c r="R738" s="16"/>
      <c r="S738" s="16"/>
      <c r="T738" s="16"/>
      <c r="U738" s="16"/>
      <c r="V738" s="16"/>
      <c r="W738" s="16"/>
      <c r="X738" s="16"/>
      <c r="Y738" s="16"/>
      <c r="Z738" s="16"/>
    </row>
    <row r="739" spans="1:26" ht="15.75" customHeight="1">
      <c r="A739" s="103"/>
      <c r="B739" s="103"/>
      <c r="C739" s="104"/>
      <c r="D739" s="103"/>
      <c r="E739" s="103"/>
      <c r="F739" s="103"/>
      <c r="G739" s="103"/>
      <c r="H739" s="103"/>
      <c r="I739" s="103"/>
      <c r="J739" s="103"/>
      <c r="K739" s="16"/>
      <c r="L739" s="16"/>
      <c r="M739" s="16"/>
      <c r="N739" s="16"/>
      <c r="O739" s="16"/>
      <c r="P739" s="16"/>
      <c r="Q739" s="16"/>
      <c r="R739" s="16"/>
      <c r="S739" s="16"/>
      <c r="T739" s="16"/>
      <c r="U739" s="16"/>
      <c r="V739" s="16"/>
      <c r="W739" s="16"/>
      <c r="X739" s="16"/>
      <c r="Y739" s="16"/>
      <c r="Z739" s="16"/>
    </row>
    <row r="740" spans="1:26" ht="15.75" customHeight="1">
      <c r="A740" s="103"/>
      <c r="B740" s="103"/>
      <c r="C740" s="104"/>
      <c r="D740" s="103"/>
      <c r="E740" s="103"/>
      <c r="F740" s="103"/>
      <c r="G740" s="103"/>
      <c r="H740" s="103"/>
      <c r="I740" s="103"/>
      <c r="J740" s="103"/>
      <c r="K740" s="16"/>
      <c r="L740" s="16"/>
      <c r="M740" s="16"/>
      <c r="N740" s="16"/>
      <c r="O740" s="16"/>
      <c r="P740" s="16"/>
      <c r="Q740" s="16"/>
      <c r="R740" s="16"/>
      <c r="S740" s="16"/>
      <c r="T740" s="16"/>
      <c r="U740" s="16"/>
      <c r="V740" s="16"/>
      <c r="W740" s="16"/>
      <c r="X740" s="16"/>
      <c r="Y740" s="16"/>
      <c r="Z740" s="16"/>
    </row>
    <row r="741" spans="1:26" ht="15.75" customHeight="1">
      <c r="A741" s="103"/>
      <c r="B741" s="103"/>
      <c r="C741" s="104"/>
      <c r="D741" s="103"/>
      <c r="E741" s="103"/>
      <c r="F741" s="103"/>
      <c r="G741" s="103"/>
      <c r="H741" s="103"/>
      <c r="I741" s="103"/>
      <c r="J741" s="103"/>
      <c r="K741" s="16"/>
      <c r="L741" s="16"/>
      <c r="M741" s="16"/>
      <c r="N741" s="16"/>
      <c r="O741" s="16"/>
      <c r="P741" s="16"/>
      <c r="Q741" s="16"/>
      <c r="R741" s="16"/>
      <c r="S741" s="16"/>
      <c r="T741" s="16"/>
      <c r="U741" s="16"/>
      <c r="V741" s="16"/>
      <c r="W741" s="16"/>
      <c r="X741" s="16"/>
      <c r="Y741" s="16"/>
      <c r="Z741" s="16"/>
    </row>
    <row r="742" spans="1:26" ht="15.75" customHeight="1">
      <c r="A742" s="103"/>
      <c r="B742" s="103"/>
      <c r="C742" s="104"/>
      <c r="D742" s="103"/>
      <c r="E742" s="103"/>
      <c r="F742" s="103"/>
      <c r="G742" s="103"/>
      <c r="H742" s="103"/>
      <c r="I742" s="103"/>
      <c r="J742" s="103"/>
      <c r="K742" s="16"/>
      <c r="L742" s="16"/>
      <c r="M742" s="16"/>
      <c r="N742" s="16"/>
      <c r="O742" s="16"/>
      <c r="P742" s="16"/>
      <c r="Q742" s="16"/>
      <c r="R742" s="16"/>
      <c r="S742" s="16"/>
      <c r="T742" s="16"/>
      <c r="U742" s="16"/>
      <c r="V742" s="16"/>
      <c r="W742" s="16"/>
      <c r="X742" s="16"/>
      <c r="Y742" s="16"/>
      <c r="Z742" s="16"/>
    </row>
    <row r="743" spans="1:26" ht="15.75" customHeight="1">
      <c r="A743" s="103"/>
      <c r="B743" s="103"/>
      <c r="C743" s="104"/>
      <c r="D743" s="103"/>
      <c r="E743" s="103"/>
      <c r="F743" s="103"/>
      <c r="G743" s="103"/>
      <c r="H743" s="103"/>
      <c r="I743" s="103"/>
      <c r="J743" s="103"/>
      <c r="K743" s="16"/>
      <c r="L743" s="16"/>
      <c r="M743" s="16"/>
      <c r="N743" s="16"/>
      <c r="O743" s="16"/>
      <c r="P743" s="16"/>
      <c r="Q743" s="16"/>
      <c r="R743" s="16"/>
      <c r="S743" s="16"/>
      <c r="T743" s="16"/>
      <c r="U743" s="16"/>
      <c r="V743" s="16"/>
      <c r="W743" s="16"/>
      <c r="X743" s="16"/>
      <c r="Y743" s="16"/>
      <c r="Z743" s="16"/>
    </row>
    <row r="744" spans="1:26" ht="15.75" customHeight="1">
      <c r="A744" s="103"/>
      <c r="B744" s="103"/>
      <c r="C744" s="104"/>
      <c r="D744" s="103"/>
      <c r="E744" s="103"/>
      <c r="F744" s="103"/>
      <c r="G744" s="103"/>
      <c r="H744" s="103"/>
      <c r="I744" s="103"/>
      <c r="J744" s="103"/>
      <c r="K744" s="16"/>
      <c r="L744" s="16"/>
      <c r="M744" s="16"/>
      <c r="N744" s="16"/>
      <c r="O744" s="16"/>
      <c r="P744" s="16"/>
      <c r="Q744" s="16"/>
      <c r="R744" s="16"/>
      <c r="S744" s="16"/>
      <c r="T744" s="16"/>
      <c r="U744" s="16"/>
      <c r="V744" s="16"/>
      <c r="W744" s="16"/>
      <c r="X744" s="16"/>
      <c r="Y744" s="16"/>
      <c r="Z744" s="16"/>
    </row>
    <row r="745" spans="1:26" ht="15.75" customHeight="1">
      <c r="A745" s="103"/>
      <c r="B745" s="103"/>
      <c r="C745" s="104"/>
      <c r="D745" s="103"/>
      <c r="E745" s="103"/>
      <c r="F745" s="103"/>
      <c r="G745" s="103"/>
      <c r="H745" s="103"/>
      <c r="I745" s="103"/>
      <c r="J745" s="103"/>
      <c r="K745" s="16"/>
      <c r="L745" s="16"/>
      <c r="M745" s="16"/>
      <c r="N745" s="16"/>
      <c r="O745" s="16"/>
      <c r="P745" s="16"/>
      <c r="Q745" s="16"/>
      <c r="R745" s="16"/>
      <c r="S745" s="16"/>
      <c r="T745" s="16"/>
      <c r="U745" s="16"/>
      <c r="V745" s="16"/>
      <c r="W745" s="16"/>
      <c r="X745" s="16"/>
      <c r="Y745" s="16"/>
      <c r="Z745" s="16"/>
    </row>
    <row r="746" spans="1:26" ht="15.75" customHeight="1">
      <c r="A746" s="103"/>
      <c r="B746" s="103"/>
      <c r="C746" s="104"/>
      <c r="D746" s="103"/>
      <c r="E746" s="103"/>
      <c r="F746" s="103"/>
      <c r="G746" s="103"/>
      <c r="H746" s="103"/>
      <c r="I746" s="103"/>
      <c r="J746" s="103"/>
      <c r="K746" s="16"/>
      <c r="L746" s="16"/>
      <c r="M746" s="16"/>
      <c r="N746" s="16"/>
      <c r="O746" s="16"/>
      <c r="P746" s="16"/>
      <c r="Q746" s="16"/>
      <c r="R746" s="16"/>
      <c r="S746" s="16"/>
      <c r="T746" s="16"/>
      <c r="U746" s="16"/>
      <c r="V746" s="16"/>
      <c r="W746" s="16"/>
      <c r="X746" s="16"/>
      <c r="Y746" s="16"/>
      <c r="Z746" s="16"/>
    </row>
    <row r="747" spans="1:26" ht="15.75" customHeight="1">
      <c r="A747" s="103"/>
      <c r="B747" s="103"/>
      <c r="C747" s="104"/>
      <c r="D747" s="103"/>
      <c r="E747" s="103"/>
      <c r="F747" s="103"/>
      <c r="G747" s="103"/>
      <c r="H747" s="103"/>
      <c r="I747" s="103"/>
      <c r="J747" s="103"/>
      <c r="K747" s="16"/>
      <c r="L747" s="16"/>
      <c r="M747" s="16"/>
      <c r="N747" s="16"/>
      <c r="O747" s="16"/>
      <c r="P747" s="16"/>
      <c r="Q747" s="16"/>
      <c r="R747" s="16"/>
      <c r="S747" s="16"/>
      <c r="T747" s="16"/>
      <c r="U747" s="16"/>
      <c r="V747" s="16"/>
      <c r="W747" s="16"/>
      <c r="X747" s="16"/>
      <c r="Y747" s="16"/>
      <c r="Z747" s="16"/>
    </row>
    <row r="748" spans="1:26" ht="15.75" customHeight="1">
      <c r="A748" s="103"/>
      <c r="B748" s="103"/>
      <c r="C748" s="104"/>
      <c r="D748" s="103"/>
      <c r="E748" s="103"/>
      <c r="F748" s="103"/>
      <c r="G748" s="103"/>
      <c r="H748" s="103"/>
      <c r="I748" s="103"/>
      <c r="J748" s="103"/>
      <c r="K748" s="16"/>
      <c r="L748" s="16"/>
      <c r="M748" s="16"/>
      <c r="N748" s="16"/>
      <c r="O748" s="16"/>
      <c r="P748" s="16"/>
      <c r="Q748" s="16"/>
      <c r="R748" s="16"/>
      <c r="S748" s="16"/>
      <c r="T748" s="16"/>
      <c r="U748" s="16"/>
      <c r="V748" s="16"/>
      <c r="W748" s="16"/>
      <c r="X748" s="16"/>
      <c r="Y748" s="16"/>
      <c r="Z748" s="16"/>
    </row>
    <row r="749" spans="1:26" ht="15.75" customHeight="1">
      <c r="A749" s="103"/>
      <c r="B749" s="103"/>
      <c r="C749" s="104"/>
      <c r="D749" s="103"/>
      <c r="E749" s="103"/>
      <c r="F749" s="103"/>
      <c r="G749" s="103"/>
      <c r="H749" s="103"/>
      <c r="I749" s="103"/>
      <c r="J749" s="103"/>
      <c r="K749" s="16"/>
      <c r="L749" s="16"/>
      <c r="M749" s="16"/>
      <c r="N749" s="16"/>
      <c r="O749" s="16"/>
      <c r="P749" s="16"/>
      <c r="Q749" s="16"/>
      <c r="R749" s="16"/>
      <c r="S749" s="16"/>
      <c r="T749" s="16"/>
      <c r="U749" s="16"/>
      <c r="V749" s="16"/>
      <c r="W749" s="16"/>
      <c r="X749" s="16"/>
      <c r="Y749" s="16"/>
      <c r="Z749" s="16"/>
    </row>
    <row r="750" spans="1:26" ht="15.75" customHeight="1">
      <c r="A750" s="103"/>
      <c r="B750" s="103"/>
      <c r="C750" s="104"/>
      <c r="D750" s="103"/>
      <c r="E750" s="103"/>
      <c r="F750" s="103"/>
      <c r="G750" s="103"/>
      <c r="H750" s="103"/>
      <c r="I750" s="103"/>
      <c r="J750" s="103"/>
      <c r="K750" s="16"/>
      <c r="L750" s="16"/>
      <c r="M750" s="16"/>
      <c r="N750" s="16"/>
      <c r="O750" s="16"/>
      <c r="P750" s="16"/>
      <c r="Q750" s="16"/>
      <c r="R750" s="16"/>
      <c r="S750" s="16"/>
      <c r="T750" s="16"/>
      <c r="U750" s="16"/>
      <c r="V750" s="16"/>
      <c r="W750" s="16"/>
      <c r="X750" s="16"/>
      <c r="Y750" s="16"/>
      <c r="Z750" s="16"/>
    </row>
    <row r="751" spans="1:26" ht="15.75" customHeight="1">
      <c r="A751" s="103"/>
      <c r="B751" s="103"/>
      <c r="C751" s="104"/>
      <c r="D751" s="103"/>
      <c r="E751" s="103"/>
      <c r="F751" s="103"/>
      <c r="G751" s="103"/>
      <c r="H751" s="103"/>
      <c r="I751" s="103"/>
      <c r="J751" s="103"/>
      <c r="K751" s="16"/>
      <c r="L751" s="16"/>
      <c r="M751" s="16"/>
      <c r="N751" s="16"/>
      <c r="O751" s="16"/>
      <c r="P751" s="16"/>
      <c r="Q751" s="16"/>
      <c r="R751" s="16"/>
      <c r="S751" s="16"/>
      <c r="T751" s="16"/>
      <c r="U751" s="16"/>
      <c r="V751" s="16"/>
      <c r="W751" s="16"/>
      <c r="X751" s="16"/>
      <c r="Y751" s="16"/>
      <c r="Z751" s="16"/>
    </row>
    <row r="752" spans="1:26" ht="15.75" customHeight="1">
      <c r="A752" s="103"/>
      <c r="B752" s="103"/>
      <c r="C752" s="104"/>
      <c r="D752" s="103"/>
      <c r="E752" s="103"/>
      <c r="F752" s="103"/>
      <c r="G752" s="103"/>
      <c r="H752" s="103"/>
      <c r="I752" s="103"/>
      <c r="J752" s="103"/>
      <c r="K752" s="16"/>
      <c r="L752" s="16"/>
      <c r="M752" s="16"/>
      <c r="N752" s="16"/>
      <c r="O752" s="16"/>
      <c r="P752" s="16"/>
      <c r="Q752" s="16"/>
      <c r="R752" s="16"/>
      <c r="S752" s="16"/>
      <c r="T752" s="16"/>
      <c r="U752" s="16"/>
      <c r="V752" s="16"/>
      <c r="W752" s="16"/>
      <c r="X752" s="16"/>
      <c r="Y752" s="16"/>
      <c r="Z752" s="16"/>
    </row>
    <row r="753" spans="1:26" ht="15.75" customHeight="1">
      <c r="A753" s="103"/>
      <c r="B753" s="103"/>
      <c r="C753" s="104"/>
      <c r="D753" s="103"/>
      <c r="E753" s="103"/>
      <c r="F753" s="103"/>
      <c r="G753" s="103"/>
      <c r="H753" s="103"/>
      <c r="I753" s="103"/>
      <c r="J753" s="103"/>
      <c r="K753" s="16"/>
      <c r="L753" s="16"/>
      <c r="M753" s="16"/>
      <c r="N753" s="16"/>
      <c r="O753" s="16"/>
      <c r="P753" s="16"/>
      <c r="Q753" s="16"/>
      <c r="R753" s="16"/>
      <c r="S753" s="16"/>
      <c r="T753" s="16"/>
      <c r="U753" s="16"/>
      <c r="V753" s="16"/>
      <c r="W753" s="16"/>
      <c r="X753" s="16"/>
      <c r="Y753" s="16"/>
      <c r="Z753" s="16"/>
    </row>
    <row r="754" spans="1:26" ht="15.75" customHeight="1">
      <c r="A754" s="103"/>
      <c r="B754" s="103"/>
      <c r="C754" s="104"/>
      <c r="D754" s="103"/>
      <c r="E754" s="103"/>
      <c r="F754" s="103"/>
      <c r="G754" s="103"/>
      <c r="H754" s="103"/>
      <c r="I754" s="103"/>
      <c r="J754" s="103"/>
      <c r="K754" s="16"/>
      <c r="L754" s="16"/>
      <c r="M754" s="16"/>
      <c r="N754" s="16"/>
      <c r="O754" s="16"/>
      <c r="P754" s="16"/>
      <c r="Q754" s="16"/>
      <c r="R754" s="16"/>
      <c r="S754" s="16"/>
      <c r="T754" s="16"/>
      <c r="U754" s="16"/>
      <c r="V754" s="16"/>
      <c r="W754" s="16"/>
      <c r="X754" s="16"/>
      <c r="Y754" s="16"/>
      <c r="Z754" s="16"/>
    </row>
    <row r="755" spans="1:26" ht="15.75" customHeight="1">
      <c r="A755" s="103"/>
      <c r="B755" s="103"/>
      <c r="C755" s="104"/>
      <c r="D755" s="103"/>
      <c r="E755" s="103"/>
      <c r="F755" s="103"/>
      <c r="G755" s="103"/>
      <c r="H755" s="103"/>
      <c r="I755" s="103"/>
      <c r="J755" s="103"/>
      <c r="K755" s="16"/>
      <c r="L755" s="16"/>
      <c r="M755" s="16"/>
      <c r="N755" s="16"/>
      <c r="O755" s="16"/>
      <c r="P755" s="16"/>
      <c r="Q755" s="16"/>
      <c r="R755" s="16"/>
      <c r="S755" s="16"/>
      <c r="T755" s="16"/>
      <c r="U755" s="16"/>
      <c r="V755" s="16"/>
      <c r="W755" s="16"/>
      <c r="X755" s="16"/>
      <c r="Y755" s="16"/>
      <c r="Z755" s="16"/>
    </row>
    <row r="756" spans="1:26" ht="15.75" customHeight="1">
      <c r="A756" s="103"/>
      <c r="B756" s="103"/>
      <c r="C756" s="104"/>
      <c r="D756" s="103"/>
      <c r="E756" s="103"/>
      <c r="F756" s="103"/>
      <c r="G756" s="103"/>
      <c r="H756" s="103"/>
      <c r="I756" s="103"/>
      <c r="J756" s="103"/>
      <c r="K756" s="16"/>
      <c r="L756" s="16"/>
      <c r="M756" s="16"/>
      <c r="N756" s="16"/>
      <c r="O756" s="16"/>
      <c r="P756" s="16"/>
      <c r="Q756" s="16"/>
      <c r="R756" s="16"/>
      <c r="S756" s="16"/>
      <c r="T756" s="16"/>
      <c r="U756" s="16"/>
      <c r="V756" s="16"/>
      <c r="W756" s="16"/>
      <c r="X756" s="16"/>
      <c r="Y756" s="16"/>
      <c r="Z756" s="16"/>
    </row>
    <row r="757" spans="1:26" ht="15.75" customHeight="1">
      <c r="A757" s="103"/>
      <c r="B757" s="103"/>
      <c r="C757" s="104"/>
      <c r="D757" s="103"/>
      <c r="E757" s="103"/>
      <c r="F757" s="103"/>
      <c r="G757" s="103"/>
      <c r="H757" s="103"/>
      <c r="I757" s="103"/>
      <c r="J757" s="103"/>
      <c r="K757" s="16"/>
      <c r="L757" s="16"/>
      <c r="M757" s="16"/>
      <c r="N757" s="16"/>
      <c r="O757" s="16"/>
      <c r="P757" s="16"/>
      <c r="Q757" s="16"/>
      <c r="R757" s="16"/>
      <c r="S757" s="16"/>
      <c r="T757" s="16"/>
      <c r="U757" s="16"/>
      <c r="V757" s="16"/>
      <c r="W757" s="16"/>
      <c r="X757" s="16"/>
      <c r="Y757" s="16"/>
      <c r="Z757" s="16"/>
    </row>
    <row r="758" spans="1:26" ht="15.75" customHeight="1">
      <c r="A758" s="103"/>
      <c r="B758" s="103"/>
      <c r="C758" s="104"/>
      <c r="D758" s="103"/>
      <c r="E758" s="103"/>
      <c r="F758" s="103"/>
      <c r="G758" s="103"/>
      <c r="H758" s="103"/>
      <c r="I758" s="103"/>
      <c r="J758" s="103"/>
      <c r="K758" s="16"/>
      <c r="L758" s="16"/>
      <c r="M758" s="16"/>
      <c r="N758" s="16"/>
      <c r="O758" s="16"/>
      <c r="P758" s="16"/>
      <c r="Q758" s="16"/>
      <c r="R758" s="16"/>
      <c r="S758" s="16"/>
      <c r="T758" s="16"/>
      <c r="U758" s="16"/>
      <c r="V758" s="16"/>
      <c r="W758" s="16"/>
      <c r="X758" s="16"/>
      <c r="Y758" s="16"/>
      <c r="Z758" s="16"/>
    </row>
    <row r="759" spans="1:26" ht="15.75" customHeight="1">
      <c r="A759" s="103"/>
      <c r="B759" s="103"/>
      <c r="C759" s="104"/>
      <c r="D759" s="103"/>
      <c r="E759" s="103"/>
      <c r="F759" s="103"/>
      <c r="G759" s="103"/>
      <c r="H759" s="103"/>
      <c r="I759" s="103"/>
      <c r="J759" s="103"/>
      <c r="K759" s="16"/>
      <c r="L759" s="16"/>
      <c r="M759" s="16"/>
      <c r="N759" s="16"/>
      <c r="O759" s="16"/>
      <c r="P759" s="16"/>
      <c r="Q759" s="16"/>
      <c r="R759" s="16"/>
      <c r="S759" s="16"/>
      <c r="T759" s="16"/>
      <c r="U759" s="16"/>
      <c r="V759" s="16"/>
      <c r="W759" s="16"/>
      <c r="X759" s="16"/>
      <c r="Y759" s="16"/>
      <c r="Z759" s="16"/>
    </row>
    <row r="760" spans="1:26" ht="15.75" customHeight="1">
      <c r="A760" s="103"/>
      <c r="B760" s="103"/>
      <c r="C760" s="104"/>
      <c r="D760" s="103"/>
      <c r="E760" s="103"/>
      <c r="F760" s="103"/>
      <c r="G760" s="103"/>
      <c r="H760" s="103"/>
      <c r="I760" s="103"/>
      <c r="J760" s="103"/>
      <c r="K760" s="16"/>
      <c r="L760" s="16"/>
      <c r="M760" s="16"/>
      <c r="N760" s="16"/>
      <c r="O760" s="16"/>
      <c r="P760" s="16"/>
      <c r="Q760" s="16"/>
      <c r="R760" s="16"/>
      <c r="S760" s="16"/>
      <c r="T760" s="16"/>
      <c r="U760" s="16"/>
      <c r="V760" s="16"/>
      <c r="W760" s="16"/>
      <c r="X760" s="16"/>
      <c r="Y760" s="16"/>
      <c r="Z760" s="16"/>
    </row>
    <row r="761" spans="1:26" ht="15.75" customHeight="1">
      <c r="A761" s="103"/>
      <c r="B761" s="103"/>
      <c r="C761" s="104"/>
      <c r="D761" s="103"/>
      <c r="E761" s="103"/>
      <c r="F761" s="103"/>
      <c r="G761" s="103"/>
      <c r="H761" s="103"/>
      <c r="I761" s="103"/>
      <c r="J761" s="103"/>
      <c r="K761" s="16"/>
      <c r="L761" s="16"/>
      <c r="M761" s="16"/>
      <c r="N761" s="16"/>
      <c r="O761" s="16"/>
      <c r="P761" s="16"/>
      <c r="Q761" s="16"/>
      <c r="R761" s="16"/>
      <c r="S761" s="16"/>
      <c r="T761" s="16"/>
      <c r="U761" s="16"/>
      <c r="V761" s="16"/>
      <c r="W761" s="16"/>
      <c r="X761" s="16"/>
      <c r="Y761" s="16"/>
      <c r="Z761" s="16"/>
    </row>
    <row r="762" spans="1:26" ht="15.75" customHeight="1">
      <c r="A762" s="103"/>
      <c r="B762" s="103"/>
      <c r="C762" s="104"/>
      <c r="D762" s="103"/>
      <c r="E762" s="103"/>
      <c r="F762" s="103"/>
      <c r="G762" s="103"/>
      <c r="H762" s="103"/>
      <c r="I762" s="103"/>
      <c r="J762" s="103"/>
      <c r="K762" s="16"/>
      <c r="L762" s="16"/>
      <c r="M762" s="16"/>
      <c r="N762" s="16"/>
      <c r="O762" s="16"/>
      <c r="P762" s="16"/>
      <c r="Q762" s="16"/>
      <c r="R762" s="16"/>
      <c r="S762" s="16"/>
      <c r="T762" s="16"/>
      <c r="U762" s="16"/>
      <c r="V762" s="16"/>
      <c r="W762" s="16"/>
      <c r="X762" s="16"/>
      <c r="Y762" s="16"/>
      <c r="Z762" s="16"/>
    </row>
    <row r="763" spans="1:26" ht="15.75" customHeight="1">
      <c r="A763" s="103"/>
      <c r="B763" s="103"/>
      <c r="C763" s="104"/>
      <c r="D763" s="103"/>
      <c r="E763" s="103"/>
      <c r="F763" s="103"/>
      <c r="G763" s="103"/>
      <c r="H763" s="103"/>
      <c r="I763" s="103"/>
      <c r="J763" s="103"/>
      <c r="K763" s="16"/>
      <c r="L763" s="16"/>
      <c r="M763" s="16"/>
      <c r="N763" s="16"/>
      <c r="O763" s="16"/>
      <c r="P763" s="16"/>
      <c r="Q763" s="16"/>
      <c r="R763" s="16"/>
      <c r="S763" s="16"/>
      <c r="T763" s="16"/>
      <c r="U763" s="16"/>
      <c r="V763" s="16"/>
      <c r="W763" s="16"/>
      <c r="X763" s="16"/>
      <c r="Y763" s="16"/>
      <c r="Z763" s="16"/>
    </row>
    <row r="764" spans="1:26" ht="15.75" customHeight="1">
      <c r="A764" s="103"/>
      <c r="B764" s="103"/>
      <c r="C764" s="104"/>
      <c r="D764" s="103"/>
      <c r="E764" s="103"/>
      <c r="F764" s="103"/>
      <c r="G764" s="103"/>
      <c r="H764" s="103"/>
      <c r="I764" s="103"/>
      <c r="J764" s="103"/>
      <c r="K764" s="16"/>
      <c r="L764" s="16"/>
      <c r="M764" s="16"/>
      <c r="N764" s="16"/>
      <c r="O764" s="16"/>
      <c r="P764" s="16"/>
      <c r="Q764" s="16"/>
      <c r="R764" s="16"/>
      <c r="S764" s="16"/>
      <c r="T764" s="16"/>
      <c r="U764" s="16"/>
      <c r="V764" s="16"/>
      <c r="W764" s="16"/>
      <c r="X764" s="16"/>
      <c r="Y764" s="16"/>
      <c r="Z764" s="16"/>
    </row>
    <row r="765" spans="1:26" ht="15.75" customHeight="1">
      <c r="A765" s="103"/>
      <c r="B765" s="103"/>
      <c r="C765" s="104"/>
      <c r="D765" s="103"/>
      <c r="E765" s="103"/>
      <c r="F765" s="103"/>
      <c r="G765" s="103"/>
      <c r="H765" s="103"/>
      <c r="I765" s="103"/>
      <c r="J765" s="103"/>
      <c r="K765" s="16"/>
      <c r="L765" s="16"/>
      <c r="M765" s="16"/>
      <c r="N765" s="16"/>
      <c r="O765" s="16"/>
      <c r="P765" s="16"/>
      <c r="Q765" s="16"/>
      <c r="R765" s="16"/>
      <c r="S765" s="16"/>
      <c r="T765" s="16"/>
      <c r="U765" s="16"/>
      <c r="V765" s="16"/>
      <c r="W765" s="16"/>
      <c r="X765" s="16"/>
      <c r="Y765" s="16"/>
      <c r="Z765" s="16"/>
    </row>
    <row r="766" spans="1:26" ht="15.75" customHeight="1">
      <c r="A766" s="103"/>
      <c r="B766" s="103"/>
      <c r="C766" s="104"/>
      <c r="D766" s="103"/>
      <c r="E766" s="103"/>
      <c r="F766" s="103"/>
      <c r="G766" s="103"/>
      <c r="H766" s="103"/>
      <c r="I766" s="103"/>
      <c r="J766" s="103"/>
      <c r="K766" s="16"/>
      <c r="L766" s="16"/>
      <c r="M766" s="16"/>
      <c r="N766" s="16"/>
      <c r="O766" s="16"/>
      <c r="P766" s="16"/>
      <c r="Q766" s="16"/>
      <c r="R766" s="16"/>
      <c r="S766" s="16"/>
      <c r="T766" s="16"/>
      <c r="U766" s="16"/>
      <c r="V766" s="16"/>
      <c r="W766" s="16"/>
      <c r="X766" s="16"/>
      <c r="Y766" s="16"/>
      <c r="Z766" s="16"/>
    </row>
    <row r="767" spans="1:26" ht="15.75" customHeight="1">
      <c r="A767" s="103"/>
      <c r="B767" s="103"/>
      <c r="C767" s="104"/>
      <c r="D767" s="103"/>
      <c r="E767" s="103"/>
      <c r="F767" s="103"/>
      <c r="G767" s="103"/>
      <c r="H767" s="103"/>
      <c r="I767" s="103"/>
      <c r="J767" s="103"/>
      <c r="K767" s="16"/>
      <c r="L767" s="16"/>
      <c r="M767" s="16"/>
      <c r="N767" s="16"/>
      <c r="O767" s="16"/>
      <c r="P767" s="16"/>
      <c r="Q767" s="16"/>
      <c r="R767" s="16"/>
      <c r="S767" s="16"/>
      <c r="T767" s="16"/>
      <c r="U767" s="16"/>
      <c r="V767" s="16"/>
      <c r="W767" s="16"/>
      <c r="X767" s="16"/>
      <c r="Y767" s="16"/>
      <c r="Z767" s="16"/>
    </row>
    <row r="768" spans="1:26" ht="15.75" customHeight="1">
      <c r="A768" s="103"/>
      <c r="B768" s="103"/>
      <c r="C768" s="104"/>
      <c r="D768" s="103"/>
      <c r="E768" s="103"/>
      <c r="F768" s="103"/>
      <c r="G768" s="103"/>
      <c r="H768" s="103"/>
      <c r="I768" s="103"/>
      <c r="J768" s="103"/>
      <c r="K768" s="16"/>
      <c r="L768" s="16"/>
      <c r="M768" s="16"/>
      <c r="N768" s="16"/>
      <c r="O768" s="16"/>
      <c r="P768" s="16"/>
      <c r="Q768" s="16"/>
      <c r="R768" s="16"/>
      <c r="S768" s="16"/>
      <c r="T768" s="16"/>
      <c r="U768" s="16"/>
      <c r="V768" s="16"/>
      <c r="W768" s="16"/>
      <c r="X768" s="16"/>
      <c r="Y768" s="16"/>
      <c r="Z768" s="16"/>
    </row>
    <row r="769" spans="1:26" ht="15.75" customHeight="1">
      <c r="A769" s="103"/>
      <c r="B769" s="103"/>
      <c r="C769" s="104"/>
      <c r="D769" s="103"/>
      <c r="E769" s="103"/>
      <c r="F769" s="103"/>
      <c r="G769" s="103"/>
      <c r="H769" s="103"/>
      <c r="I769" s="103"/>
      <c r="J769" s="103"/>
      <c r="K769" s="16"/>
      <c r="L769" s="16"/>
      <c r="M769" s="16"/>
      <c r="N769" s="16"/>
      <c r="O769" s="16"/>
      <c r="P769" s="16"/>
      <c r="Q769" s="16"/>
      <c r="R769" s="16"/>
      <c r="S769" s="16"/>
      <c r="T769" s="16"/>
      <c r="U769" s="16"/>
      <c r="V769" s="16"/>
      <c r="W769" s="16"/>
      <c r="X769" s="16"/>
      <c r="Y769" s="16"/>
      <c r="Z769" s="16"/>
    </row>
    <row r="770" spans="1:26" ht="15.75" customHeight="1">
      <c r="A770" s="103"/>
      <c r="B770" s="103"/>
      <c r="C770" s="104"/>
      <c r="D770" s="103"/>
      <c r="E770" s="103"/>
      <c r="F770" s="103"/>
      <c r="G770" s="103"/>
      <c r="H770" s="103"/>
      <c r="I770" s="103"/>
      <c r="J770" s="103"/>
      <c r="K770" s="16"/>
      <c r="L770" s="16"/>
      <c r="M770" s="16"/>
      <c r="N770" s="16"/>
      <c r="O770" s="16"/>
      <c r="P770" s="16"/>
      <c r="Q770" s="16"/>
      <c r="R770" s="16"/>
      <c r="S770" s="16"/>
      <c r="T770" s="16"/>
      <c r="U770" s="16"/>
      <c r="V770" s="16"/>
      <c r="W770" s="16"/>
      <c r="X770" s="16"/>
      <c r="Y770" s="16"/>
      <c r="Z770" s="16"/>
    </row>
    <row r="771" spans="1:26" ht="15.75" customHeight="1">
      <c r="A771" s="103"/>
      <c r="B771" s="103"/>
      <c r="C771" s="104"/>
      <c r="D771" s="103"/>
      <c r="E771" s="103"/>
      <c r="F771" s="103"/>
      <c r="G771" s="103"/>
      <c r="H771" s="103"/>
      <c r="I771" s="103"/>
      <c r="J771" s="103"/>
      <c r="K771" s="16"/>
      <c r="L771" s="16"/>
      <c r="M771" s="16"/>
      <c r="N771" s="16"/>
      <c r="O771" s="16"/>
      <c r="P771" s="16"/>
      <c r="Q771" s="16"/>
      <c r="R771" s="16"/>
      <c r="S771" s="16"/>
      <c r="T771" s="16"/>
      <c r="U771" s="16"/>
      <c r="V771" s="16"/>
      <c r="W771" s="16"/>
      <c r="X771" s="16"/>
      <c r="Y771" s="16"/>
      <c r="Z771" s="16"/>
    </row>
    <row r="772" spans="1:26" ht="15.75" customHeight="1">
      <c r="A772" s="103"/>
      <c r="B772" s="103"/>
      <c r="C772" s="104"/>
      <c r="D772" s="103"/>
      <c r="E772" s="103"/>
      <c r="F772" s="103"/>
      <c r="G772" s="103"/>
      <c r="H772" s="103"/>
      <c r="I772" s="103"/>
      <c r="J772" s="103"/>
      <c r="K772" s="16"/>
      <c r="L772" s="16"/>
      <c r="M772" s="16"/>
      <c r="N772" s="16"/>
      <c r="O772" s="16"/>
      <c r="P772" s="16"/>
      <c r="Q772" s="16"/>
      <c r="R772" s="16"/>
      <c r="S772" s="16"/>
      <c r="T772" s="16"/>
      <c r="U772" s="16"/>
      <c r="V772" s="16"/>
      <c r="W772" s="16"/>
      <c r="X772" s="16"/>
      <c r="Y772" s="16"/>
      <c r="Z772" s="16"/>
    </row>
    <row r="773" spans="1:26" ht="15.75" customHeight="1">
      <c r="A773" s="103"/>
      <c r="B773" s="103"/>
      <c r="C773" s="104"/>
      <c r="D773" s="103"/>
      <c r="E773" s="103"/>
      <c r="F773" s="103"/>
      <c r="G773" s="103"/>
      <c r="H773" s="103"/>
      <c r="I773" s="103"/>
      <c r="J773" s="103"/>
      <c r="K773" s="16"/>
      <c r="L773" s="16"/>
      <c r="M773" s="16"/>
      <c r="N773" s="16"/>
      <c r="O773" s="16"/>
      <c r="P773" s="16"/>
      <c r="Q773" s="16"/>
      <c r="R773" s="16"/>
      <c r="S773" s="16"/>
      <c r="T773" s="16"/>
      <c r="U773" s="16"/>
      <c r="V773" s="16"/>
      <c r="W773" s="16"/>
      <c r="X773" s="16"/>
      <c r="Y773" s="16"/>
      <c r="Z773" s="16"/>
    </row>
    <row r="774" spans="1:26" ht="15.75" customHeight="1">
      <c r="A774" s="103"/>
      <c r="B774" s="103"/>
      <c r="C774" s="104"/>
      <c r="D774" s="103"/>
      <c r="E774" s="103"/>
      <c r="F774" s="103"/>
      <c r="G774" s="103"/>
      <c r="H774" s="103"/>
      <c r="I774" s="103"/>
      <c r="J774" s="103"/>
      <c r="K774" s="16"/>
      <c r="L774" s="16"/>
      <c r="M774" s="16"/>
      <c r="N774" s="16"/>
      <c r="O774" s="16"/>
      <c r="P774" s="16"/>
      <c r="Q774" s="16"/>
      <c r="R774" s="16"/>
      <c r="S774" s="16"/>
      <c r="T774" s="16"/>
      <c r="U774" s="16"/>
      <c r="V774" s="16"/>
      <c r="W774" s="16"/>
      <c r="X774" s="16"/>
      <c r="Y774" s="16"/>
      <c r="Z774" s="16"/>
    </row>
    <row r="775" spans="1:26" ht="15.75" customHeight="1">
      <c r="A775" s="103"/>
      <c r="B775" s="103"/>
      <c r="C775" s="104"/>
      <c r="D775" s="103"/>
      <c r="E775" s="103"/>
      <c r="F775" s="103"/>
      <c r="G775" s="103"/>
      <c r="H775" s="103"/>
      <c r="I775" s="103"/>
      <c r="J775" s="103"/>
      <c r="K775" s="16"/>
      <c r="L775" s="16"/>
      <c r="M775" s="16"/>
      <c r="N775" s="16"/>
      <c r="O775" s="16"/>
      <c r="P775" s="16"/>
      <c r="Q775" s="16"/>
      <c r="R775" s="16"/>
      <c r="S775" s="16"/>
      <c r="T775" s="16"/>
      <c r="U775" s="16"/>
      <c r="V775" s="16"/>
      <c r="W775" s="16"/>
      <c r="X775" s="16"/>
      <c r="Y775" s="16"/>
      <c r="Z775" s="16"/>
    </row>
    <row r="776" spans="1:26" ht="15.75" customHeight="1">
      <c r="A776" s="103"/>
      <c r="B776" s="103"/>
      <c r="C776" s="104"/>
      <c r="D776" s="103"/>
      <c r="E776" s="103"/>
      <c r="F776" s="103"/>
      <c r="G776" s="103"/>
      <c r="H776" s="103"/>
      <c r="I776" s="103"/>
      <c r="J776" s="103"/>
      <c r="K776" s="16"/>
      <c r="L776" s="16"/>
      <c r="M776" s="16"/>
      <c r="N776" s="16"/>
      <c r="O776" s="16"/>
      <c r="P776" s="16"/>
      <c r="Q776" s="16"/>
      <c r="R776" s="16"/>
      <c r="S776" s="16"/>
      <c r="T776" s="16"/>
      <c r="U776" s="16"/>
      <c r="V776" s="16"/>
      <c r="W776" s="16"/>
      <c r="X776" s="16"/>
      <c r="Y776" s="16"/>
      <c r="Z776" s="16"/>
    </row>
    <row r="777" spans="1:26" ht="15.75" customHeight="1">
      <c r="A777" s="103"/>
      <c r="B777" s="103"/>
      <c r="C777" s="104"/>
      <c r="D777" s="103"/>
      <c r="E777" s="103"/>
      <c r="F777" s="103"/>
      <c r="G777" s="103"/>
      <c r="H777" s="103"/>
      <c r="I777" s="103"/>
      <c r="J777" s="103"/>
      <c r="K777" s="16"/>
      <c r="L777" s="16"/>
      <c r="M777" s="16"/>
      <c r="N777" s="16"/>
      <c r="O777" s="16"/>
      <c r="P777" s="16"/>
      <c r="Q777" s="16"/>
      <c r="R777" s="16"/>
      <c r="S777" s="16"/>
      <c r="T777" s="16"/>
      <c r="U777" s="16"/>
      <c r="V777" s="16"/>
      <c r="W777" s="16"/>
      <c r="X777" s="16"/>
      <c r="Y777" s="16"/>
      <c r="Z777" s="16"/>
    </row>
    <row r="778" spans="1:26" ht="15.75" customHeight="1">
      <c r="A778" s="103"/>
      <c r="B778" s="103"/>
      <c r="C778" s="104"/>
      <c r="D778" s="103"/>
      <c r="E778" s="103"/>
      <c r="F778" s="103"/>
      <c r="G778" s="103"/>
      <c r="H778" s="103"/>
      <c r="I778" s="103"/>
      <c r="J778" s="103"/>
      <c r="K778" s="16"/>
      <c r="L778" s="16"/>
      <c r="M778" s="16"/>
      <c r="N778" s="16"/>
      <c r="O778" s="16"/>
      <c r="P778" s="16"/>
      <c r="Q778" s="16"/>
      <c r="R778" s="16"/>
      <c r="S778" s="16"/>
      <c r="T778" s="16"/>
      <c r="U778" s="16"/>
      <c r="V778" s="16"/>
      <c r="W778" s="16"/>
      <c r="X778" s="16"/>
      <c r="Y778" s="16"/>
      <c r="Z778" s="16"/>
    </row>
    <row r="779" spans="1:26" ht="15.75" customHeight="1">
      <c r="A779" s="103"/>
      <c r="B779" s="103"/>
      <c r="C779" s="104"/>
      <c r="D779" s="103"/>
      <c r="E779" s="103"/>
      <c r="F779" s="103"/>
      <c r="G779" s="103"/>
      <c r="H779" s="103"/>
      <c r="I779" s="103"/>
      <c r="J779" s="103"/>
      <c r="K779" s="16"/>
      <c r="L779" s="16"/>
      <c r="M779" s="16"/>
      <c r="N779" s="16"/>
      <c r="O779" s="16"/>
      <c r="P779" s="16"/>
      <c r="Q779" s="16"/>
      <c r="R779" s="16"/>
      <c r="S779" s="16"/>
      <c r="T779" s="16"/>
      <c r="U779" s="16"/>
      <c r="V779" s="16"/>
      <c r="W779" s="16"/>
      <c r="X779" s="16"/>
      <c r="Y779" s="16"/>
      <c r="Z779" s="16"/>
    </row>
    <row r="780" spans="1:26" ht="15.75" customHeight="1">
      <c r="A780" s="103"/>
      <c r="B780" s="103"/>
      <c r="C780" s="104"/>
      <c r="D780" s="103"/>
      <c r="E780" s="103"/>
      <c r="F780" s="103"/>
      <c r="G780" s="103"/>
      <c r="H780" s="103"/>
      <c r="I780" s="103"/>
      <c r="J780" s="103"/>
      <c r="K780" s="16"/>
      <c r="L780" s="16"/>
      <c r="M780" s="16"/>
      <c r="N780" s="16"/>
      <c r="O780" s="16"/>
      <c r="P780" s="16"/>
      <c r="Q780" s="16"/>
      <c r="R780" s="16"/>
      <c r="S780" s="16"/>
      <c r="T780" s="16"/>
      <c r="U780" s="16"/>
      <c r="V780" s="16"/>
      <c r="W780" s="16"/>
      <c r="X780" s="16"/>
      <c r="Y780" s="16"/>
      <c r="Z780" s="16"/>
    </row>
    <row r="781" spans="1:26" ht="15.75" customHeight="1">
      <c r="A781" s="103"/>
      <c r="B781" s="103"/>
      <c r="C781" s="104"/>
      <c r="D781" s="103"/>
      <c r="E781" s="103"/>
      <c r="F781" s="103"/>
      <c r="G781" s="103"/>
      <c r="H781" s="103"/>
      <c r="I781" s="103"/>
      <c r="J781" s="103"/>
      <c r="K781" s="16"/>
      <c r="L781" s="16"/>
      <c r="M781" s="16"/>
      <c r="N781" s="16"/>
      <c r="O781" s="16"/>
      <c r="P781" s="16"/>
      <c r="Q781" s="16"/>
      <c r="R781" s="16"/>
      <c r="S781" s="16"/>
      <c r="T781" s="16"/>
      <c r="U781" s="16"/>
      <c r="V781" s="16"/>
      <c r="W781" s="16"/>
      <c r="X781" s="16"/>
      <c r="Y781" s="16"/>
      <c r="Z781" s="16"/>
    </row>
    <row r="782" spans="1:26" ht="15.75" customHeight="1">
      <c r="A782" s="103"/>
      <c r="B782" s="103"/>
      <c r="C782" s="104"/>
      <c r="D782" s="103"/>
      <c r="E782" s="103"/>
      <c r="F782" s="103"/>
      <c r="G782" s="103"/>
      <c r="H782" s="103"/>
      <c r="I782" s="103"/>
      <c r="J782" s="103"/>
      <c r="K782" s="16"/>
      <c r="L782" s="16"/>
      <c r="M782" s="16"/>
      <c r="N782" s="16"/>
      <c r="O782" s="16"/>
      <c r="P782" s="16"/>
      <c r="Q782" s="16"/>
      <c r="R782" s="16"/>
      <c r="S782" s="16"/>
      <c r="T782" s="16"/>
      <c r="U782" s="16"/>
      <c r="V782" s="16"/>
      <c r="W782" s="16"/>
      <c r="X782" s="16"/>
      <c r="Y782" s="16"/>
      <c r="Z782" s="16"/>
    </row>
    <row r="783" spans="1:26" ht="15.75" customHeight="1">
      <c r="A783" s="103"/>
      <c r="B783" s="103"/>
      <c r="C783" s="104"/>
      <c r="D783" s="103"/>
      <c r="E783" s="103"/>
      <c r="F783" s="103"/>
      <c r="G783" s="103"/>
      <c r="H783" s="103"/>
      <c r="I783" s="103"/>
      <c r="J783" s="103"/>
      <c r="K783" s="16"/>
      <c r="L783" s="16"/>
      <c r="M783" s="16"/>
      <c r="N783" s="16"/>
      <c r="O783" s="16"/>
      <c r="P783" s="16"/>
      <c r="Q783" s="16"/>
      <c r="R783" s="16"/>
      <c r="S783" s="16"/>
      <c r="T783" s="16"/>
      <c r="U783" s="16"/>
      <c r="V783" s="16"/>
      <c r="W783" s="16"/>
      <c r="X783" s="16"/>
      <c r="Y783" s="16"/>
      <c r="Z783" s="16"/>
    </row>
    <row r="784" spans="1:26" ht="15.75" customHeight="1">
      <c r="A784" s="103"/>
      <c r="B784" s="103"/>
      <c r="C784" s="104"/>
      <c r="D784" s="103"/>
      <c r="E784" s="103"/>
      <c r="F784" s="103"/>
      <c r="G784" s="103"/>
      <c r="H784" s="103"/>
      <c r="I784" s="103"/>
      <c r="J784" s="103"/>
      <c r="K784" s="16"/>
      <c r="L784" s="16"/>
      <c r="M784" s="16"/>
      <c r="N784" s="16"/>
      <c r="O784" s="16"/>
      <c r="P784" s="16"/>
      <c r="Q784" s="16"/>
      <c r="R784" s="16"/>
      <c r="S784" s="16"/>
      <c r="T784" s="16"/>
      <c r="U784" s="16"/>
      <c r="V784" s="16"/>
      <c r="W784" s="16"/>
      <c r="X784" s="16"/>
      <c r="Y784" s="16"/>
      <c r="Z784" s="16"/>
    </row>
    <row r="785" spans="1:26" ht="15.75" customHeight="1">
      <c r="A785" s="103"/>
      <c r="B785" s="103"/>
      <c r="C785" s="104"/>
      <c r="D785" s="103"/>
      <c r="E785" s="103"/>
      <c r="F785" s="103"/>
      <c r="G785" s="103"/>
      <c r="H785" s="103"/>
      <c r="I785" s="103"/>
      <c r="J785" s="103"/>
      <c r="K785" s="16"/>
      <c r="L785" s="16"/>
      <c r="M785" s="16"/>
      <c r="N785" s="16"/>
      <c r="O785" s="16"/>
      <c r="P785" s="16"/>
      <c r="Q785" s="16"/>
      <c r="R785" s="16"/>
      <c r="S785" s="16"/>
      <c r="T785" s="16"/>
      <c r="U785" s="16"/>
      <c r="V785" s="16"/>
      <c r="W785" s="16"/>
      <c r="X785" s="16"/>
      <c r="Y785" s="16"/>
      <c r="Z785" s="16"/>
    </row>
    <row r="786" spans="1:26" ht="15.75" customHeight="1">
      <c r="A786" s="103"/>
      <c r="B786" s="103"/>
      <c r="C786" s="104"/>
      <c r="D786" s="103"/>
      <c r="E786" s="103"/>
      <c r="F786" s="103"/>
      <c r="G786" s="103"/>
      <c r="H786" s="103"/>
      <c r="I786" s="103"/>
      <c r="J786" s="103"/>
      <c r="K786" s="16"/>
      <c r="L786" s="16"/>
      <c r="M786" s="16"/>
      <c r="N786" s="16"/>
      <c r="O786" s="16"/>
      <c r="P786" s="16"/>
      <c r="Q786" s="16"/>
      <c r="R786" s="16"/>
      <c r="S786" s="16"/>
      <c r="T786" s="16"/>
      <c r="U786" s="16"/>
      <c r="V786" s="16"/>
      <c r="W786" s="16"/>
      <c r="X786" s="16"/>
      <c r="Y786" s="16"/>
      <c r="Z786" s="16"/>
    </row>
    <row r="787" spans="1:26" ht="15.75" customHeight="1">
      <c r="A787" s="103"/>
      <c r="B787" s="103"/>
      <c r="C787" s="104"/>
      <c r="D787" s="103"/>
      <c r="E787" s="103"/>
      <c r="F787" s="103"/>
      <c r="G787" s="103"/>
      <c r="H787" s="103"/>
      <c r="I787" s="103"/>
      <c r="J787" s="103"/>
      <c r="K787" s="16"/>
      <c r="L787" s="16"/>
      <c r="M787" s="16"/>
      <c r="N787" s="16"/>
      <c r="O787" s="16"/>
      <c r="P787" s="16"/>
      <c r="Q787" s="16"/>
      <c r="R787" s="16"/>
      <c r="S787" s="16"/>
      <c r="T787" s="16"/>
      <c r="U787" s="16"/>
      <c r="V787" s="16"/>
      <c r="W787" s="16"/>
      <c r="X787" s="16"/>
      <c r="Y787" s="16"/>
      <c r="Z787" s="16"/>
    </row>
    <row r="788" spans="1:26" ht="15.75" customHeight="1">
      <c r="A788" s="103"/>
      <c r="B788" s="103"/>
      <c r="C788" s="104"/>
      <c r="D788" s="103"/>
      <c r="E788" s="103"/>
      <c r="F788" s="103"/>
      <c r="G788" s="103"/>
      <c r="H788" s="103"/>
      <c r="I788" s="103"/>
      <c r="J788" s="103"/>
      <c r="K788" s="16"/>
      <c r="L788" s="16"/>
      <c r="M788" s="16"/>
      <c r="N788" s="16"/>
      <c r="O788" s="16"/>
      <c r="P788" s="16"/>
      <c r="Q788" s="16"/>
      <c r="R788" s="16"/>
      <c r="S788" s="16"/>
      <c r="T788" s="16"/>
      <c r="U788" s="16"/>
      <c r="V788" s="16"/>
      <c r="W788" s="16"/>
      <c r="X788" s="16"/>
      <c r="Y788" s="16"/>
      <c r="Z788" s="16"/>
    </row>
    <row r="789" spans="1:26" ht="15.75" customHeight="1">
      <c r="A789" s="103"/>
      <c r="B789" s="103"/>
      <c r="C789" s="104"/>
      <c r="D789" s="103"/>
      <c r="E789" s="103"/>
      <c r="F789" s="103"/>
      <c r="G789" s="103"/>
      <c r="H789" s="103"/>
      <c r="I789" s="103"/>
      <c r="J789" s="103"/>
      <c r="K789" s="16"/>
      <c r="L789" s="16"/>
      <c r="M789" s="16"/>
      <c r="N789" s="16"/>
      <c r="O789" s="16"/>
      <c r="P789" s="16"/>
      <c r="Q789" s="16"/>
      <c r="R789" s="16"/>
      <c r="S789" s="16"/>
      <c r="T789" s="16"/>
      <c r="U789" s="16"/>
      <c r="V789" s="16"/>
      <c r="W789" s="16"/>
      <c r="X789" s="16"/>
      <c r="Y789" s="16"/>
      <c r="Z789" s="16"/>
    </row>
    <row r="790" spans="1:26" ht="15.75" customHeight="1">
      <c r="A790" s="103"/>
      <c r="B790" s="103"/>
      <c r="C790" s="104"/>
      <c r="D790" s="103"/>
      <c r="E790" s="103"/>
      <c r="F790" s="103"/>
      <c r="G790" s="103"/>
      <c r="H790" s="103"/>
      <c r="I790" s="103"/>
      <c r="J790" s="103"/>
      <c r="K790" s="16"/>
      <c r="L790" s="16"/>
      <c r="M790" s="16"/>
      <c r="N790" s="16"/>
      <c r="O790" s="16"/>
      <c r="P790" s="16"/>
      <c r="Q790" s="16"/>
      <c r="R790" s="16"/>
      <c r="S790" s="16"/>
      <c r="T790" s="16"/>
      <c r="U790" s="16"/>
      <c r="V790" s="16"/>
      <c r="W790" s="16"/>
      <c r="X790" s="16"/>
      <c r="Y790" s="16"/>
      <c r="Z790" s="16"/>
    </row>
    <row r="791" spans="1:26" ht="15.75" customHeight="1">
      <c r="A791" s="103"/>
      <c r="B791" s="103"/>
      <c r="C791" s="104"/>
      <c r="D791" s="103"/>
      <c r="E791" s="103"/>
      <c r="F791" s="103"/>
      <c r="G791" s="103"/>
      <c r="H791" s="103"/>
      <c r="I791" s="103"/>
      <c r="J791" s="103"/>
      <c r="K791" s="16"/>
      <c r="L791" s="16"/>
      <c r="M791" s="16"/>
      <c r="N791" s="16"/>
      <c r="O791" s="16"/>
      <c r="P791" s="16"/>
      <c r="Q791" s="16"/>
      <c r="R791" s="16"/>
      <c r="S791" s="16"/>
      <c r="T791" s="16"/>
      <c r="U791" s="16"/>
      <c r="V791" s="16"/>
      <c r="W791" s="16"/>
      <c r="X791" s="16"/>
      <c r="Y791" s="16"/>
      <c r="Z791" s="16"/>
    </row>
    <row r="792" spans="1:26" ht="15.75" customHeight="1">
      <c r="A792" s="103"/>
      <c r="B792" s="103"/>
      <c r="C792" s="104"/>
      <c r="D792" s="103"/>
      <c r="E792" s="103"/>
      <c r="F792" s="103"/>
      <c r="G792" s="103"/>
      <c r="H792" s="103"/>
      <c r="I792" s="103"/>
      <c r="J792" s="103"/>
      <c r="K792" s="16"/>
      <c r="L792" s="16"/>
      <c r="M792" s="16"/>
      <c r="N792" s="16"/>
      <c r="O792" s="16"/>
      <c r="P792" s="16"/>
      <c r="Q792" s="16"/>
      <c r="R792" s="16"/>
      <c r="S792" s="16"/>
      <c r="T792" s="16"/>
      <c r="U792" s="16"/>
      <c r="V792" s="16"/>
      <c r="W792" s="16"/>
      <c r="X792" s="16"/>
      <c r="Y792" s="16"/>
      <c r="Z792" s="16"/>
    </row>
    <row r="793" spans="1:26" ht="15.75" customHeight="1">
      <c r="A793" s="103"/>
      <c r="B793" s="103"/>
      <c r="C793" s="104"/>
      <c r="D793" s="103"/>
      <c r="E793" s="103"/>
      <c r="F793" s="103"/>
      <c r="G793" s="103"/>
      <c r="H793" s="103"/>
      <c r="I793" s="103"/>
      <c r="J793" s="103"/>
      <c r="K793" s="16"/>
      <c r="L793" s="16"/>
      <c r="M793" s="16"/>
      <c r="N793" s="16"/>
      <c r="O793" s="16"/>
      <c r="P793" s="16"/>
      <c r="Q793" s="16"/>
      <c r="R793" s="16"/>
      <c r="S793" s="16"/>
      <c r="T793" s="16"/>
      <c r="U793" s="16"/>
      <c r="V793" s="16"/>
      <c r="W793" s="16"/>
      <c r="X793" s="16"/>
      <c r="Y793" s="16"/>
      <c r="Z793" s="16"/>
    </row>
    <row r="794" spans="1:26" ht="15.75" customHeight="1">
      <c r="A794" s="103"/>
      <c r="B794" s="103"/>
      <c r="C794" s="104"/>
      <c r="D794" s="103"/>
      <c r="E794" s="103"/>
      <c r="F794" s="103"/>
      <c r="G794" s="103"/>
      <c r="H794" s="103"/>
      <c r="I794" s="103"/>
      <c r="J794" s="103"/>
      <c r="K794" s="16"/>
      <c r="L794" s="16"/>
      <c r="M794" s="16"/>
      <c r="N794" s="16"/>
      <c r="O794" s="16"/>
      <c r="P794" s="16"/>
      <c r="Q794" s="16"/>
      <c r="R794" s="16"/>
      <c r="S794" s="16"/>
      <c r="T794" s="16"/>
      <c r="U794" s="16"/>
      <c r="V794" s="16"/>
      <c r="W794" s="16"/>
      <c r="X794" s="16"/>
      <c r="Y794" s="16"/>
      <c r="Z794" s="16"/>
    </row>
    <row r="795" spans="1:26" ht="15.75" customHeight="1">
      <c r="A795" s="103"/>
      <c r="B795" s="103"/>
      <c r="C795" s="104"/>
      <c r="D795" s="103"/>
      <c r="E795" s="103"/>
      <c r="F795" s="103"/>
      <c r="G795" s="103"/>
      <c r="H795" s="103"/>
      <c r="I795" s="103"/>
      <c r="J795" s="103"/>
      <c r="K795" s="16"/>
      <c r="L795" s="16"/>
      <c r="M795" s="16"/>
      <c r="N795" s="16"/>
      <c r="O795" s="16"/>
      <c r="P795" s="16"/>
      <c r="Q795" s="16"/>
      <c r="R795" s="16"/>
      <c r="S795" s="16"/>
      <c r="T795" s="16"/>
      <c r="U795" s="16"/>
      <c r="V795" s="16"/>
      <c r="W795" s="16"/>
      <c r="X795" s="16"/>
      <c r="Y795" s="16"/>
      <c r="Z795" s="16"/>
    </row>
    <row r="796" spans="1:26" ht="15.75" customHeight="1">
      <c r="A796" s="103"/>
      <c r="B796" s="103"/>
      <c r="C796" s="104"/>
      <c r="D796" s="103"/>
      <c r="E796" s="103"/>
      <c r="F796" s="103"/>
      <c r="G796" s="103"/>
      <c r="H796" s="103"/>
      <c r="I796" s="103"/>
      <c r="J796" s="103"/>
      <c r="K796" s="16"/>
      <c r="L796" s="16"/>
      <c r="M796" s="16"/>
      <c r="N796" s="16"/>
      <c r="O796" s="16"/>
      <c r="P796" s="16"/>
      <c r="Q796" s="16"/>
      <c r="R796" s="16"/>
      <c r="S796" s="16"/>
      <c r="T796" s="16"/>
      <c r="U796" s="16"/>
      <c r="V796" s="16"/>
      <c r="W796" s="16"/>
      <c r="X796" s="16"/>
      <c r="Y796" s="16"/>
      <c r="Z796" s="16"/>
    </row>
    <row r="797" spans="1:26" ht="15.75" customHeight="1">
      <c r="A797" s="103"/>
      <c r="B797" s="103"/>
      <c r="C797" s="104"/>
      <c r="D797" s="103"/>
      <c r="E797" s="103"/>
      <c r="F797" s="103"/>
      <c r="G797" s="103"/>
      <c r="H797" s="103"/>
      <c r="I797" s="103"/>
      <c r="J797" s="103"/>
      <c r="K797" s="16"/>
      <c r="L797" s="16"/>
      <c r="M797" s="16"/>
      <c r="N797" s="16"/>
      <c r="O797" s="16"/>
      <c r="P797" s="16"/>
      <c r="Q797" s="16"/>
      <c r="R797" s="16"/>
      <c r="S797" s="16"/>
      <c r="T797" s="16"/>
      <c r="U797" s="16"/>
      <c r="V797" s="16"/>
      <c r="W797" s="16"/>
      <c r="X797" s="16"/>
      <c r="Y797" s="16"/>
      <c r="Z797" s="16"/>
    </row>
    <row r="798" spans="1:26" ht="15.75" customHeight="1">
      <c r="A798" s="103"/>
      <c r="B798" s="103"/>
      <c r="C798" s="104"/>
      <c r="D798" s="103"/>
      <c r="E798" s="103"/>
      <c r="F798" s="103"/>
      <c r="G798" s="103"/>
      <c r="H798" s="103"/>
      <c r="I798" s="103"/>
      <c r="J798" s="103"/>
      <c r="K798" s="16"/>
      <c r="L798" s="16"/>
      <c r="M798" s="16"/>
      <c r="N798" s="16"/>
      <c r="O798" s="16"/>
      <c r="P798" s="16"/>
      <c r="Q798" s="16"/>
      <c r="R798" s="16"/>
      <c r="S798" s="16"/>
      <c r="T798" s="16"/>
      <c r="U798" s="16"/>
      <c r="V798" s="16"/>
      <c r="W798" s="16"/>
      <c r="X798" s="16"/>
      <c r="Y798" s="16"/>
      <c r="Z798" s="16"/>
    </row>
    <row r="799" spans="1:26" ht="15.75" customHeight="1">
      <c r="A799" s="103"/>
      <c r="B799" s="103"/>
      <c r="C799" s="104"/>
      <c r="D799" s="103"/>
      <c r="E799" s="103"/>
      <c r="F799" s="103"/>
      <c r="G799" s="103"/>
      <c r="H799" s="103"/>
      <c r="I799" s="103"/>
      <c r="J799" s="103"/>
      <c r="K799" s="16"/>
      <c r="L799" s="16"/>
      <c r="M799" s="16"/>
      <c r="N799" s="16"/>
      <c r="O799" s="16"/>
      <c r="P799" s="16"/>
      <c r="Q799" s="16"/>
      <c r="R799" s="16"/>
      <c r="S799" s="16"/>
      <c r="T799" s="16"/>
      <c r="U799" s="16"/>
      <c r="V799" s="16"/>
      <c r="W799" s="16"/>
      <c r="X799" s="16"/>
      <c r="Y799" s="16"/>
      <c r="Z799" s="16"/>
    </row>
    <row r="800" spans="1:26" ht="15.75" customHeight="1">
      <c r="A800" s="103"/>
      <c r="B800" s="103"/>
      <c r="C800" s="104"/>
      <c r="D800" s="103"/>
      <c r="E800" s="103"/>
      <c r="F800" s="103"/>
      <c r="G800" s="103"/>
      <c r="H800" s="103"/>
      <c r="I800" s="103"/>
      <c r="J800" s="103"/>
      <c r="K800" s="16"/>
      <c r="L800" s="16"/>
      <c r="M800" s="16"/>
      <c r="N800" s="16"/>
      <c r="O800" s="16"/>
      <c r="P800" s="16"/>
      <c r="Q800" s="16"/>
      <c r="R800" s="16"/>
      <c r="S800" s="16"/>
      <c r="T800" s="16"/>
      <c r="U800" s="16"/>
      <c r="V800" s="16"/>
      <c r="W800" s="16"/>
      <c r="X800" s="16"/>
      <c r="Y800" s="16"/>
      <c r="Z800" s="16"/>
    </row>
    <row r="801" spans="1:26" ht="15.75" customHeight="1">
      <c r="A801" s="103"/>
      <c r="B801" s="103"/>
      <c r="C801" s="104"/>
      <c r="D801" s="103"/>
      <c r="E801" s="103"/>
      <c r="F801" s="103"/>
      <c r="G801" s="103"/>
      <c r="H801" s="103"/>
      <c r="I801" s="103"/>
      <c r="J801" s="103"/>
      <c r="K801" s="16"/>
      <c r="L801" s="16"/>
      <c r="M801" s="16"/>
      <c r="N801" s="16"/>
      <c r="O801" s="16"/>
      <c r="P801" s="16"/>
      <c r="Q801" s="16"/>
      <c r="R801" s="16"/>
      <c r="S801" s="16"/>
      <c r="T801" s="16"/>
      <c r="U801" s="16"/>
      <c r="V801" s="16"/>
      <c r="W801" s="16"/>
      <c r="X801" s="16"/>
      <c r="Y801" s="16"/>
      <c r="Z801" s="16"/>
    </row>
    <row r="802" spans="1:26" ht="15.75" customHeight="1">
      <c r="A802" s="103"/>
      <c r="B802" s="103"/>
      <c r="C802" s="104"/>
      <c r="D802" s="103"/>
      <c r="E802" s="103"/>
      <c r="F802" s="103"/>
      <c r="G802" s="103"/>
      <c r="H802" s="103"/>
      <c r="I802" s="103"/>
      <c r="J802" s="103"/>
      <c r="K802" s="16"/>
      <c r="L802" s="16"/>
      <c r="M802" s="16"/>
      <c r="N802" s="16"/>
      <c r="O802" s="16"/>
      <c r="P802" s="16"/>
      <c r="Q802" s="16"/>
      <c r="R802" s="16"/>
      <c r="S802" s="16"/>
      <c r="T802" s="16"/>
      <c r="U802" s="16"/>
      <c r="V802" s="16"/>
      <c r="W802" s="16"/>
      <c r="X802" s="16"/>
      <c r="Y802" s="16"/>
      <c r="Z802" s="16"/>
    </row>
    <row r="803" spans="1:26" ht="15.75" customHeight="1">
      <c r="A803" s="103"/>
      <c r="B803" s="103"/>
      <c r="C803" s="104"/>
      <c r="D803" s="103"/>
      <c r="E803" s="103"/>
      <c r="F803" s="103"/>
      <c r="G803" s="103"/>
      <c r="H803" s="103"/>
      <c r="I803" s="103"/>
      <c r="J803" s="103"/>
      <c r="K803" s="16"/>
      <c r="L803" s="16"/>
      <c r="M803" s="16"/>
      <c r="N803" s="16"/>
      <c r="O803" s="16"/>
      <c r="P803" s="16"/>
      <c r="Q803" s="16"/>
      <c r="R803" s="16"/>
      <c r="S803" s="16"/>
      <c r="T803" s="16"/>
      <c r="U803" s="16"/>
      <c r="V803" s="16"/>
      <c r="W803" s="16"/>
      <c r="X803" s="16"/>
      <c r="Y803" s="16"/>
      <c r="Z803" s="16"/>
    </row>
    <row r="804" spans="1:26" ht="15.75" customHeight="1">
      <c r="A804" s="103"/>
      <c r="B804" s="103"/>
      <c r="C804" s="104"/>
      <c r="D804" s="103"/>
      <c r="E804" s="103"/>
      <c r="F804" s="103"/>
      <c r="G804" s="103"/>
      <c r="H804" s="103"/>
      <c r="I804" s="103"/>
      <c r="J804" s="103"/>
      <c r="K804" s="16"/>
      <c r="L804" s="16"/>
      <c r="M804" s="16"/>
      <c r="N804" s="16"/>
      <c r="O804" s="16"/>
      <c r="P804" s="16"/>
      <c r="Q804" s="16"/>
      <c r="R804" s="16"/>
      <c r="S804" s="16"/>
      <c r="T804" s="16"/>
      <c r="U804" s="16"/>
      <c r="V804" s="16"/>
      <c r="W804" s="16"/>
      <c r="X804" s="16"/>
      <c r="Y804" s="16"/>
      <c r="Z804" s="16"/>
    </row>
    <row r="805" spans="1:26" ht="15.75" customHeight="1">
      <c r="A805" s="103"/>
      <c r="B805" s="103"/>
      <c r="C805" s="104"/>
      <c r="D805" s="103"/>
      <c r="E805" s="103"/>
      <c r="F805" s="103"/>
      <c r="G805" s="103"/>
      <c r="H805" s="103"/>
      <c r="I805" s="103"/>
      <c r="J805" s="103"/>
      <c r="K805" s="16"/>
      <c r="L805" s="16"/>
      <c r="M805" s="16"/>
      <c r="N805" s="16"/>
      <c r="O805" s="16"/>
      <c r="P805" s="16"/>
      <c r="Q805" s="16"/>
      <c r="R805" s="16"/>
      <c r="S805" s="16"/>
      <c r="T805" s="16"/>
      <c r="U805" s="16"/>
      <c r="V805" s="16"/>
      <c r="W805" s="16"/>
      <c r="X805" s="16"/>
      <c r="Y805" s="16"/>
      <c r="Z805" s="16"/>
    </row>
    <row r="806" spans="1:26" ht="15.75" customHeight="1">
      <c r="A806" s="103"/>
      <c r="B806" s="103"/>
      <c r="C806" s="104"/>
      <c r="D806" s="103"/>
      <c r="E806" s="103"/>
      <c r="F806" s="103"/>
      <c r="G806" s="103"/>
      <c r="H806" s="103"/>
      <c r="I806" s="103"/>
      <c r="J806" s="103"/>
      <c r="K806" s="16"/>
      <c r="L806" s="16"/>
      <c r="M806" s="16"/>
      <c r="N806" s="16"/>
      <c r="O806" s="16"/>
      <c r="P806" s="16"/>
      <c r="Q806" s="16"/>
      <c r="R806" s="16"/>
      <c r="S806" s="16"/>
      <c r="T806" s="16"/>
      <c r="U806" s="16"/>
      <c r="V806" s="16"/>
      <c r="W806" s="16"/>
      <c r="X806" s="16"/>
      <c r="Y806" s="16"/>
      <c r="Z806" s="16"/>
    </row>
    <row r="807" spans="1:26" ht="15.75" customHeight="1">
      <c r="A807" s="103"/>
      <c r="B807" s="103"/>
      <c r="C807" s="104"/>
      <c r="D807" s="103"/>
      <c r="E807" s="103"/>
      <c r="F807" s="103"/>
      <c r="G807" s="103"/>
      <c r="H807" s="103"/>
      <c r="I807" s="103"/>
      <c r="J807" s="103"/>
      <c r="K807" s="16"/>
      <c r="L807" s="16"/>
      <c r="M807" s="16"/>
      <c r="N807" s="16"/>
      <c r="O807" s="16"/>
      <c r="P807" s="16"/>
      <c r="Q807" s="16"/>
      <c r="R807" s="16"/>
      <c r="S807" s="16"/>
      <c r="T807" s="16"/>
      <c r="U807" s="16"/>
      <c r="V807" s="16"/>
      <c r="W807" s="16"/>
      <c r="X807" s="16"/>
      <c r="Y807" s="16"/>
      <c r="Z807" s="16"/>
    </row>
    <row r="808" spans="1:26" ht="15.75" customHeight="1">
      <c r="A808" s="103"/>
      <c r="B808" s="103"/>
      <c r="C808" s="104"/>
      <c r="D808" s="103"/>
      <c r="E808" s="103"/>
      <c r="F808" s="103"/>
      <c r="G808" s="103"/>
      <c r="H808" s="103"/>
      <c r="I808" s="103"/>
      <c r="J808" s="103"/>
      <c r="K808" s="16"/>
      <c r="L808" s="16"/>
      <c r="M808" s="16"/>
      <c r="N808" s="16"/>
      <c r="O808" s="16"/>
      <c r="P808" s="16"/>
      <c r="Q808" s="16"/>
      <c r="R808" s="16"/>
      <c r="S808" s="16"/>
      <c r="T808" s="16"/>
      <c r="U808" s="16"/>
      <c r="V808" s="16"/>
      <c r="W808" s="16"/>
      <c r="X808" s="16"/>
      <c r="Y808" s="16"/>
      <c r="Z808" s="16"/>
    </row>
    <row r="809" spans="1:26" ht="15.75" customHeight="1">
      <c r="A809" s="103"/>
      <c r="B809" s="103"/>
      <c r="C809" s="104"/>
      <c r="D809" s="103"/>
      <c r="E809" s="103"/>
      <c r="F809" s="103"/>
      <c r="G809" s="103"/>
      <c r="H809" s="103"/>
      <c r="I809" s="103"/>
      <c r="J809" s="103"/>
      <c r="K809" s="16"/>
      <c r="L809" s="16"/>
      <c r="M809" s="16"/>
      <c r="N809" s="16"/>
      <c r="O809" s="16"/>
      <c r="P809" s="16"/>
      <c r="Q809" s="16"/>
      <c r="R809" s="16"/>
      <c r="S809" s="16"/>
      <c r="T809" s="16"/>
      <c r="U809" s="16"/>
      <c r="V809" s="16"/>
      <c r="W809" s="16"/>
      <c r="X809" s="16"/>
      <c r="Y809" s="16"/>
      <c r="Z809" s="16"/>
    </row>
    <row r="810" spans="1:26" ht="15.75" customHeight="1">
      <c r="A810" s="103"/>
      <c r="B810" s="103"/>
      <c r="C810" s="104"/>
      <c r="D810" s="103"/>
      <c r="E810" s="103"/>
      <c r="F810" s="103"/>
      <c r="G810" s="103"/>
      <c r="H810" s="103"/>
      <c r="I810" s="103"/>
      <c r="J810" s="103"/>
      <c r="K810" s="16"/>
      <c r="L810" s="16"/>
      <c r="M810" s="16"/>
      <c r="N810" s="16"/>
      <c r="O810" s="16"/>
      <c r="P810" s="16"/>
      <c r="Q810" s="16"/>
      <c r="R810" s="16"/>
      <c r="S810" s="16"/>
      <c r="T810" s="16"/>
      <c r="U810" s="16"/>
      <c r="V810" s="16"/>
      <c r="W810" s="16"/>
      <c r="X810" s="16"/>
      <c r="Y810" s="16"/>
      <c r="Z810" s="16"/>
    </row>
    <row r="811" spans="1:26" ht="15.75" customHeight="1">
      <c r="A811" s="103"/>
      <c r="B811" s="103"/>
      <c r="C811" s="104"/>
      <c r="D811" s="103"/>
      <c r="E811" s="103"/>
      <c r="F811" s="103"/>
      <c r="G811" s="103"/>
      <c r="H811" s="103"/>
      <c r="I811" s="103"/>
      <c r="J811" s="103"/>
      <c r="K811" s="16"/>
      <c r="L811" s="16"/>
      <c r="M811" s="16"/>
      <c r="N811" s="16"/>
      <c r="O811" s="16"/>
      <c r="P811" s="16"/>
      <c r="Q811" s="16"/>
      <c r="R811" s="16"/>
      <c r="S811" s="16"/>
      <c r="T811" s="16"/>
      <c r="U811" s="16"/>
      <c r="V811" s="16"/>
      <c r="W811" s="16"/>
      <c r="X811" s="16"/>
      <c r="Y811" s="16"/>
      <c r="Z811" s="16"/>
    </row>
    <row r="812" spans="1:26" ht="15.75" customHeight="1">
      <c r="A812" s="103"/>
      <c r="B812" s="103"/>
      <c r="C812" s="104"/>
      <c r="D812" s="103"/>
      <c r="E812" s="103"/>
      <c r="F812" s="103"/>
      <c r="G812" s="103"/>
      <c r="H812" s="103"/>
      <c r="I812" s="103"/>
      <c r="J812" s="103"/>
      <c r="K812" s="16"/>
      <c r="L812" s="16"/>
      <c r="M812" s="16"/>
      <c r="N812" s="16"/>
      <c r="O812" s="16"/>
      <c r="P812" s="16"/>
      <c r="Q812" s="16"/>
      <c r="R812" s="16"/>
      <c r="S812" s="16"/>
      <c r="T812" s="16"/>
      <c r="U812" s="16"/>
      <c r="V812" s="16"/>
      <c r="W812" s="16"/>
      <c r="X812" s="16"/>
      <c r="Y812" s="16"/>
      <c r="Z812" s="16"/>
    </row>
    <row r="813" spans="1:26" ht="15.75" customHeight="1">
      <c r="A813" s="103"/>
      <c r="B813" s="103"/>
      <c r="C813" s="104"/>
      <c r="D813" s="103"/>
      <c r="E813" s="103"/>
      <c r="F813" s="103"/>
      <c r="G813" s="103"/>
      <c r="H813" s="103"/>
      <c r="I813" s="103"/>
      <c r="J813" s="103"/>
      <c r="K813" s="16"/>
      <c r="L813" s="16"/>
      <c r="M813" s="16"/>
      <c r="N813" s="16"/>
      <c r="O813" s="16"/>
      <c r="P813" s="16"/>
      <c r="Q813" s="16"/>
      <c r="R813" s="16"/>
      <c r="S813" s="16"/>
      <c r="T813" s="16"/>
      <c r="U813" s="16"/>
      <c r="V813" s="16"/>
      <c r="W813" s="16"/>
      <c r="X813" s="16"/>
      <c r="Y813" s="16"/>
      <c r="Z813" s="16"/>
    </row>
    <row r="814" spans="1:26" ht="15.75" customHeight="1">
      <c r="A814" s="103"/>
      <c r="B814" s="103"/>
      <c r="C814" s="104"/>
      <c r="D814" s="103"/>
      <c r="E814" s="103"/>
      <c r="F814" s="103"/>
      <c r="G814" s="103"/>
      <c r="H814" s="103"/>
      <c r="I814" s="103"/>
      <c r="J814" s="103"/>
      <c r="K814" s="16"/>
      <c r="L814" s="16"/>
      <c r="M814" s="16"/>
      <c r="N814" s="16"/>
      <c r="O814" s="16"/>
      <c r="P814" s="16"/>
      <c r="Q814" s="16"/>
      <c r="R814" s="16"/>
      <c r="S814" s="16"/>
      <c r="T814" s="16"/>
      <c r="U814" s="16"/>
      <c r="V814" s="16"/>
      <c r="W814" s="16"/>
      <c r="X814" s="16"/>
      <c r="Y814" s="16"/>
      <c r="Z814" s="16"/>
    </row>
    <row r="815" spans="1:26" ht="15.75" customHeight="1">
      <c r="A815" s="103"/>
      <c r="B815" s="103"/>
      <c r="C815" s="104"/>
      <c r="D815" s="103"/>
      <c r="E815" s="103"/>
      <c r="F815" s="103"/>
      <c r="G815" s="103"/>
      <c r="H815" s="103"/>
      <c r="I815" s="103"/>
      <c r="J815" s="103"/>
      <c r="K815" s="16"/>
      <c r="L815" s="16"/>
      <c r="M815" s="16"/>
      <c r="N815" s="16"/>
      <c r="O815" s="16"/>
      <c r="P815" s="16"/>
      <c r="Q815" s="16"/>
      <c r="R815" s="16"/>
      <c r="S815" s="16"/>
      <c r="T815" s="16"/>
      <c r="U815" s="16"/>
      <c r="V815" s="16"/>
      <c r="W815" s="16"/>
      <c r="X815" s="16"/>
      <c r="Y815" s="16"/>
      <c r="Z815" s="16"/>
    </row>
    <row r="816" spans="1:26" ht="15.75" customHeight="1">
      <c r="A816" s="103"/>
      <c r="B816" s="103"/>
      <c r="C816" s="104"/>
      <c r="D816" s="103"/>
      <c r="E816" s="103"/>
      <c r="F816" s="103"/>
      <c r="G816" s="103"/>
      <c r="H816" s="103"/>
      <c r="I816" s="103"/>
      <c r="J816" s="103"/>
      <c r="K816" s="16"/>
      <c r="L816" s="16"/>
      <c r="M816" s="16"/>
      <c r="N816" s="16"/>
      <c r="O816" s="16"/>
      <c r="P816" s="16"/>
      <c r="Q816" s="16"/>
      <c r="R816" s="16"/>
      <c r="S816" s="16"/>
      <c r="T816" s="16"/>
      <c r="U816" s="16"/>
      <c r="V816" s="16"/>
      <c r="W816" s="16"/>
      <c r="X816" s="16"/>
      <c r="Y816" s="16"/>
      <c r="Z816" s="16"/>
    </row>
    <row r="817" spans="1:26" ht="15.75" customHeight="1">
      <c r="A817" s="103"/>
      <c r="B817" s="103"/>
      <c r="C817" s="104"/>
      <c r="D817" s="103"/>
      <c r="E817" s="103"/>
      <c r="F817" s="103"/>
      <c r="G817" s="103"/>
      <c r="H817" s="103"/>
      <c r="I817" s="103"/>
      <c r="J817" s="103"/>
      <c r="K817" s="16"/>
      <c r="L817" s="16"/>
      <c r="M817" s="16"/>
      <c r="N817" s="16"/>
      <c r="O817" s="16"/>
      <c r="P817" s="16"/>
      <c r="Q817" s="16"/>
      <c r="R817" s="16"/>
      <c r="S817" s="16"/>
      <c r="T817" s="16"/>
      <c r="U817" s="16"/>
      <c r="V817" s="16"/>
      <c r="W817" s="16"/>
      <c r="X817" s="16"/>
      <c r="Y817" s="16"/>
      <c r="Z817" s="16"/>
    </row>
    <row r="818" spans="1:26" ht="15.75" customHeight="1">
      <c r="A818" s="103"/>
      <c r="B818" s="103"/>
      <c r="C818" s="104"/>
      <c r="D818" s="103"/>
      <c r="E818" s="103"/>
      <c r="F818" s="103"/>
      <c r="G818" s="103"/>
      <c r="H818" s="103"/>
      <c r="I818" s="103"/>
      <c r="J818" s="103"/>
      <c r="K818" s="16"/>
      <c r="L818" s="16"/>
      <c r="M818" s="16"/>
      <c r="N818" s="16"/>
      <c r="O818" s="16"/>
      <c r="P818" s="16"/>
      <c r="Q818" s="16"/>
      <c r="R818" s="16"/>
      <c r="S818" s="16"/>
      <c r="T818" s="16"/>
      <c r="U818" s="16"/>
      <c r="V818" s="16"/>
      <c r="W818" s="16"/>
      <c r="X818" s="16"/>
      <c r="Y818" s="16"/>
      <c r="Z818" s="16"/>
    </row>
    <row r="819" spans="1:26" ht="15.75" customHeight="1">
      <c r="A819" s="103"/>
      <c r="B819" s="103"/>
      <c r="C819" s="104"/>
      <c r="D819" s="103"/>
      <c r="E819" s="103"/>
      <c r="F819" s="103"/>
      <c r="G819" s="103"/>
      <c r="H819" s="103"/>
      <c r="I819" s="103"/>
      <c r="J819" s="103"/>
      <c r="K819" s="16"/>
      <c r="L819" s="16"/>
      <c r="M819" s="16"/>
      <c r="N819" s="16"/>
      <c r="O819" s="16"/>
      <c r="P819" s="16"/>
      <c r="Q819" s="16"/>
      <c r="R819" s="16"/>
      <c r="S819" s="16"/>
      <c r="T819" s="16"/>
      <c r="U819" s="16"/>
      <c r="V819" s="16"/>
      <c r="W819" s="16"/>
      <c r="X819" s="16"/>
      <c r="Y819" s="16"/>
      <c r="Z819" s="16"/>
    </row>
    <row r="820" spans="1:26" ht="15.75" customHeight="1">
      <c r="A820" s="103"/>
      <c r="B820" s="103"/>
      <c r="C820" s="104"/>
      <c r="D820" s="103"/>
      <c r="E820" s="103"/>
      <c r="F820" s="103"/>
      <c r="G820" s="103"/>
      <c r="H820" s="103"/>
      <c r="I820" s="103"/>
      <c r="J820" s="103"/>
      <c r="K820" s="16"/>
      <c r="L820" s="16"/>
      <c r="M820" s="16"/>
      <c r="N820" s="16"/>
      <c r="O820" s="16"/>
      <c r="P820" s="16"/>
      <c r="Q820" s="16"/>
      <c r="R820" s="16"/>
      <c r="S820" s="16"/>
      <c r="T820" s="16"/>
      <c r="U820" s="16"/>
      <c r="V820" s="16"/>
      <c r="W820" s="16"/>
      <c r="X820" s="16"/>
      <c r="Y820" s="16"/>
      <c r="Z820" s="16"/>
    </row>
    <row r="821" spans="1:26" ht="15.75" customHeight="1">
      <c r="A821" s="103"/>
      <c r="B821" s="103"/>
      <c r="C821" s="104"/>
      <c r="D821" s="103"/>
      <c r="E821" s="103"/>
      <c r="F821" s="103"/>
      <c r="G821" s="103"/>
      <c r="H821" s="103"/>
      <c r="I821" s="103"/>
      <c r="J821" s="103"/>
      <c r="K821" s="16"/>
      <c r="L821" s="16"/>
      <c r="M821" s="16"/>
      <c r="N821" s="16"/>
      <c r="O821" s="16"/>
      <c r="P821" s="16"/>
      <c r="Q821" s="16"/>
      <c r="R821" s="16"/>
      <c r="S821" s="16"/>
      <c r="T821" s="16"/>
      <c r="U821" s="16"/>
      <c r="V821" s="16"/>
      <c r="W821" s="16"/>
      <c r="X821" s="16"/>
      <c r="Y821" s="16"/>
      <c r="Z821" s="16"/>
    </row>
    <row r="822" spans="1:26" ht="15.75" customHeight="1">
      <c r="A822" s="103"/>
      <c r="B822" s="103"/>
      <c r="C822" s="104"/>
      <c r="D822" s="103"/>
      <c r="E822" s="103"/>
      <c r="F822" s="103"/>
      <c r="G822" s="103"/>
      <c r="H822" s="103"/>
      <c r="I822" s="103"/>
      <c r="J822" s="103"/>
      <c r="K822" s="16"/>
      <c r="L822" s="16"/>
      <c r="M822" s="16"/>
      <c r="N822" s="16"/>
      <c r="O822" s="16"/>
      <c r="P822" s="16"/>
      <c r="Q822" s="16"/>
      <c r="R822" s="16"/>
      <c r="S822" s="16"/>
      <c r="T822" s="16"/>
      <c r="U822" s="16"/>
      <c r="V822" s="16"/>
      <c r="W822" s="16"/>
      <c r="X822" s="16"/>
      <c r="Y822" s="16"/>
      <c r="Z822" s="16"/>
    </row>
    <row r="823" spans="1:26" ht="15.75" customHeight="1">
      <c r="A823" s="103"/>
      <c r="B823" s="103"/>
      <c r="C823" s="104"/>
      <c r="D823" s="103"/>
      <c r="E823" s="103"/>
      <c r="F823" s="103"/>
      <c r="G823" s="103"/>
      <c r="H823" s="103"/>
      <c r="I823" s="103"/>
      <c r="J823" s="103"/>
      <c r="K823" s="16"/>
      <c r="L823" s="16"/>
      <c r="M823" s="16"/>
      <c r="N823" s="16"/>
      <c r="O823" s="16"/>
      <c r="P823" s="16"/>
      <c r="Q823" s="16"/>
      <c r="R823" s="16"/>
      <c r="S823" s="16"/>
      <c r="T823" s="16"/>
      <c r="U823" s="16"/>
      <c r="V823" s="16"/>
      <c r="W823" s="16"/>
      <c r="X823" s="16"/>
      <c r="Y823" s="16"/>
      <c r="Z823" s="16"/>
    </row>
    <row r="824" spans="1:26" ht="15.75" customHeight="1">
      <c r="A824" s="103"/>
      <c r="B824" s="103"/>
      <c r="C824" s="104"/>
      <c r="D824" s="103"/>
      <c r="E824" s="103"/>
      <c r="F824" s="103"/>
      <c r="G824" s="103"/>
      <c r="H824" s="103"/>
      <c r="I824" s="103"/>
      <c r="J824" s="103"/>
      <c r="K824" s="16"/>
      <c r="L824" s="16"/>
      <c r="M824" s="16"/>
      <c r="N824" s="16"/>
      <c r="O824" s="16"/>
      <c r="P824" s="16"/>
      <c r="Q824" s="16"/>
      <c r="R824" s="16"/>
      <c r="S824" s="16"/>
      <c r="T824" s="16"/>
      <c r="U824" s="16"/>
      <c r="V824" s="16"/>
      <c r="W824" s="16"/>
      <c r="X824" s="16"/>
      <c r="Y824" s="16"/>
      <c r="Z824" s="16"/>
    </row>
    <row r="825" spans="1:26" ht="15.75" customHeight="1">
      <c r="A825" s="103"/>
      <c r="B825" s="103"/>
      <c r="C825" s="104"/>
      <c r="D825" s="103"/>
      <c r="E825" s="103"/>
      <c r="F825" s="103"/>
      <c r="G825" s="103"/>
      <c r="H825" s="103"/>
      <c r="I825" s="103"/>
      <c r="J825" s="103"/>
      <c r="K825" s="16"/>
      <c r="L825" s="16"/>
      <c r="M825" s="16"/>
      <c r="N825" s="16"/>
      <c r="O825" s="16"/>
      <c r="P825" s="16"/>
      <c r="Q825" s="16"/>
      <c r="R825" s="16"/>
      <c r="S825" s="16"/>
      <c r="T825" s="16"/>
      <c r="U825" s="16"/>
      <c r="V825" s="16"/>
      <c r="W825" s="16"/>
      <c r="X825" s="16"/>
      <c r="Y825" s="16"/>
      <c r="Z825" s="16"/>
    </row>
    <row r="826" spans="1:26" ht="15.75" customHeight="1">
      <c r="A826" s="103"/>
      <c r="B826" s="103"/>
      <c r="C826" s="104"/>
      <c r="D826" s="103"/>
      <c r="E826" s="103"/>
      <c r="F826" s="103"/>
      <c r="G826" s="103"/>
      <c r="H826" s="103"/>
      <c r="I826" s="103"/>
      <c r="J826" s="103"/>
      <c r="K826" s="16"/>
      <c r="L826" s="16"/>
      <c r="M826" s="16"/>
      <c r="N826" s="16"/>
      <c r="O826" s="16"/>
      <c r="P826" s="16"/>
      <c r="Q826" s="16"/>
      <c r="R826" s="16"/>
      <c r="S826" s="16"/>
      <c r="T826" s="16"/>
      <c r="U826" s="16"/>
      <c r="V826" s="16"/>
      <c r="W826" s="16"/>
      <c r="X826" s="16"/>
      <c r="Y826" s="16"/>
      <c r="Z826" s="16"/>
    </row>
    <row r="827" spans="1:26" ht="15.75" customHeight="1">
      <c r="A827" s="103"/>
      <c r="B827" s="103"/>
      <c r="C827" s="104"/>
      <c r="D827" s="103"/>
      <c r="E827" s="103"/>
      <c r="F827" s="103"/>
      <c r="G827" s="103"/>
      <c r="H827" s="103"/>
      <c r="I827" s="103"/>
      <c r="J827" s="103"/>
      <c r="K827" s="16"/>
      <c r="L827" s="16"/>
      <c r="M827" s="16"/>
      <c r="N827" s="16"/>
      <c r="O827" s="16"/>
      <c r="P827" s="16"/>
      <c r="Q827" s="16"/>
      <c r="R827" s="16"/>
      <c r="S827" s="16"/>
      <c r="T827" s="16"/>
      <c r="U827" s="16"/>
      <c r="V827" s="16"/>
      <c r="W827" s="16"/>
      <c r="X827" s="16"/>
      <c r="Y827" s="16"/>
      <c r="Z827" s="16"/>
    </row>
    <row r="828" spans="1:26" ht="15.75" customHeight="1">
      <c r="A828" s="103"/>
      <c r="B828" s="103"/>
      <c r="C828" s="104"/>
      <c r="D828" s="103"/>
      <c r="E828" s="103"/>
      <c r="F828" s="103"/>
      <c r="G828" s="103"/>
      <c r="H828" s="103"/>
      <c r="I828" s="103"/>
      <c r="J828" s="103"/>
      <c r="K828" s="16"/>
      <c r="L828" s="16"/>
      <c r="M828" s="16"/>
      <c r="N828" s="16"/>
      <c r="O828" s="16"/>
      <c r="P828" s="16"/>
      <c r="Q828" s="16"/>
      <c r="R828" s="16"/>
      <c r="S828" s="16"/>
      <c r="T828" s="16"/>
      <c r="U828" s="16"/>
      <c r="V828" s="16"/>
      <c r="W828" s="16"/>
      <c r="X828" s="16"/>
      <c r="Y828" s="16"/>
      <c r="Z828" s="16"/>
    </row>
    <row r="829" spans="1:26" ht="15.75" customHeight="1">
      <c r="A829" s="103"/>
      <c r="B829" s="103"/>
      <c r="C829" s="104"/>
      <c r="D829" s="103"/>
      <c r="E829" s="103"/>
      <c r="F829" s="103"/>
      <c r="G829" s="103"/>
      <c r="H829" s="103"/>
      <c r="I829" s="103"/>
      <c r="J829" s="103"/>
      <c r="K829" s="16"/>
      <c r="L829" s="16"/>
      <c r="M829" s="16"/>
      <c r="N829" s="16"/>
      <c r="O829" s="16"/>
      <c r="P829" s="16"/>
      <c r="Q829" s="16"/>
      <c r="R829" s="16"/>
      <c r="S829" s="16"/>
      <c r="T829" s="16"/>
      <c r="U829" s="16"/>
      <c r="V829" s="16"/>
      <c r="W829" s="16"/>
      <c r="X829" s="16"/>
      <c r="Y829" s="16"/>
      <c r="Z829" s="16"/>
    </row>
    <row r="830" spans="1:26" ht="15.75" customHeight="1">
      <c r="A830" s="103"/>
      <c r="B830" s="103"/>
      <c r="C830" s="104"/>
      <c r="D830" s="103"/>
      <c r="E830" s="103"/>
      <c r="F830" s="103"/>
      <c r="G830" s="103"/>
      <c r="H830" s="103"/>
      <c r="I830" s="103"/>
      <c r="J830" s="103"/>
      <c r="K830" s="16"/>
      <c r="L830" s="16"/>
      <c r="M830" s="16"/>
      <c r="N830" s="16"/>
      <c r="O830" s="16"/>
      <c r="P830" s="16"/>
      <c r="Q830" s="16"/>
      <c r="R830" s="16"/>
      <c r="S830" s="16"/>
      <c r="T830" s="16"/>
      <c r="U830" s="16"/>
      <c r="V830" s="16"/>
      <c r="W830" s="16"/>
      <c r="X830" s="16"/>
      <c r="Y830" s="16"/>
      <c r="Z830" s="16"/>
    </row>
    <row r="831" spans="1:26" ht="15.75" customHeight="1">
      <c r="A831" s="103"/>
      <c r="B831" s="103"/>
      <c r="C831" s="104"/>
      <c r="D831" s="103"/>
      <c r="E831" s="103"/>
      <c r="F831" s="103"/>
      <c r="G831" s="103"/>
      <c r="H831" s="103"/>
      <c r="I831" s="103"/>
      <c r="J831" s="103"/>
      <c r="K831" s="16"/>
      <c r="L831" s="16"/>
      <c r="M831" s="16"/>
      <c r="N831" s="16"/>
      <c r="O831" s="16"/>
      <c r="P831" s="16"/>
      <c r="Q831" s="16"/>
      <c r="R831" s="16"/>
      <c r="S831" s="16"/>
      <c r="T831" s="16"/>
      <c r="U831" s="16"/>
      <c r="V831" s="16"/>
      <c r="W831" s="16"/>
      <c r="X831" s="16"/>
      <c r="Y831" s="16"/>
      <c r="Z831" s="16"/>
    </row>
    <row r="832" spans="1:26" ht="15.75" customHeight="1">
      <c r="A832" s="103"/>
      <c r="B832" s="103"/>
      <c r="C832" s="104"/>
      <c r="D832" s="103"/>
      <c r="E832" s="103"/>
      <c r="F832" s="103"/>
      <c r="G832" s="103"/>
      <c r="H832" s="103"/>
      <c r="I832" s="103"/>
      <c r="J832" s="103"/>
      <c r="K832" s="16"/>
      <c r="L832" s="16"/>
      <c r="M832" s="16"/>
      <c r="N832" s="16"/>
      <c r="O832" s="16"/>
      <c r="P832" s="16"/>
      <c r="Q832" s="16"/>
      <c r="R832" s="16"/>
      <c r="S832" s="16"/>
      <c r="T832" s="16"/>
      <c r="U832" s="16"/>
      <c r="V832" s="16"/>
      <c r="W832" s="16"/>
      <c r="X832" s="16"/>
      <c r="Y832" s="16"/>
      <c r="Z832" s="16"/>
    </row>
    <row r="833" spans="1:26" ht="15.75" customHeight="1">
      <c r="A833" s="103"/>
      <c r="B833" s="103"/>
      <c r="C833" s="104"/>
      <c r="D833" s="103"/>
      <c r="E833" s="103"/>
      <c r="F833" s="103"/>
      <c r="G833" s="103"/>
      <c r="H833" s="103"/>
      <c r="I833" s="103"/>
      <c r="J833" s="103"/>
      <c r="K833" s="16"/>
      <c r="L833" s="16"/>
      <c r="M833" s="16"/>
      <c r="N833" s="16"/>
      <c r="O833" s="16"/>
      <c r="P833" s="16"/>
      <c r="Q833" s="16"/>
      <c r="R833" s="16"/>
      <c r="S833" s="16"/>
      <c r="T833" s="16"/>
      <c r="U833" s="16"/>
      <c r="V833" s="16"/>
      <c r="W833" s="16"/>
      <c r="X833" s="16"/>
      <c r="Y833" s="16"/>
      <c r="Z833" s="16"/>
    </row>
    <row r="834" spans="1:26" ht="15.75" customHeight="1">
      <c r="A834" s="103"/>
      <c r="B834" s="103"/>
      <c r="C834" s="104"/>
      <c r="D834" s="103"/>
      <c r="E834" s="103"/>
      <c r="F834" s="103"/>
      <c r="G834" s="103"/>
      <c r="H834" s="103"/>
      <c r="I834" s="103"/>
      <c r="J834" s="103"/>
      <c r="K834" s="16"/>
      <c r="L834" s="16"/>
      <c r="M834" s="16"/>
      <c r="N834" s="16"/>
      <c r="O834" s="16"/>
      <c r="P834" s="16"/>
      <c r="Q834" s="16"/>
      <c r="R834" s="16"/>
      <c r="S834" s="16"/>
      <c r="T834" s="16"/>
      <c r="U834" s="16"/>
      <c r="V834" s="16"/>
      <c r="W834" s="16"/>
      <c r="X834" s="16"/>
      <c r="Y834" s="16"/>
      <c r="Z834" s="16"/>
    </row>
    <row r="835" spans="1:26" ht="15.75" customHeight="1">
      <c r="A835" s="103"/>
      <c r="B835" s="103"/>
      <c r="C835" s="104"/>
      <c r="D835" s="103"/>
      <c r="E835" s="103"/>
      <c r="F835" s="103"/>
      <c r="G835" s="103"/>
      <c r="H835" s="103"/>
      <c r="I835" s="103"/>
      <c r="J835" s="103"/>
      <c r="K835" s="16"/>
      <c r="L835" s="16"/>
      <c r="M835" s="16"/>
      <c r="N835" s="16"/>
      <c r="O835" s="16"/>
      <c r="P835" s="16"/>
      <c r="Q835" s="16"/>
      <c r="R835" s="16"/>
      <c r="S835" s="16"/>
      <c r="T835" s="16"/>
      <c r="U835" s="16"/>
      <c r="V835" s="16"/>
      <c r="W835" s="16"/>
      <c r="X835" s="16"/>
      <c r="Y835" s="16"/>
      <c r="Z835" s="16"/>
    </row>
    <row r="836" spans="1:26" ht="15.75" customHeight="1">
      <c r="A836" s="103"/>
      <c r="B836" s="103"/>
      <c r="C836" s="104"/>
      <c r="D836" s="103"/>
      <c r="E836" s="103"/>
      <c r="F836" s="103"/>
      <c r="G836" s="103"/>
      <c r="H836" s="103"/>
      <c r="I836" s="103"/>
      <c r="J836" s="103"/>
      <c r="K836" s="16"/>
      <c r="L836" s="16"/>
      <c r="M836" s="16"/>
      <c r="N836" s="16"/>
      <c r="O836" s="16"/>
      <c r="P836" s="16"/>
      <c r="Q836" s="16"/>
      <c r="R836" s="16"/>
      <c r="S836" s="16"/>
      <c r="T836" s="16"/>
      <c r="U836" s="16"/>
      <c r="V836" s="16"/>
      <c r="W836" s="16"/>
      <c r="X836" s="16"/>
      <c r="Y836" s="16"/>
      <c r="Z836" s="16"/>
    </row>
    <row r="837" spans="1:26" ht="15.75" customHeight="1">
      <c r="A837" s="103"/>
      <c r="B837" s="103"/>
      <c r="C837" s="104"/>
      <c r="D837" s="103"/>
      <c r="E837" s="103"/>
      <c r="F837" s="103"/>
      <c r="G837" s="103"/>
      <c r="H837" s="103"/>
      <c r="I837" s="103"/>
      <c r="J837" s="103"/>
      <c r="K837" s="16"/>
      <c r="L837" s="16"/>
      <c r="M837" s="16"/>
      <c r="N837" s="16"/>
      <c r="O837" s="16"/>
      <c r="P837" s="16"/>
      <c r="Q837" s="16"/>
      <c r="R837" s="16"/>
      <c r="S837" s="16"/>
      <c r="T837" s="16"/>
      <c r="U837" s="16"/>
      <c r="V837" s="16"/>
      <c r="W837" s="16"/>
      <c r="X837" s="16"/>
      <c r="Y837" s="16"/>
      <c r="Z837" s="16"/>
    </row>
    <row r="838" spans="1:26" ht="15.75" customHeight="1">
      <c r="A838" s="103"/>
      <c r="B838" s="103"/>
      <c r="C838" s="104"/>
      <c r="D838" s="103"/>
      <c r="E838" s="103"/>
      <c r="F838" s="103"/>
      <c r="G838" s="103"/>
      <c r="H838" s="103"/>
      <c r="I838" s="103"/>
      <c r="J838" s="103"/>
      <c r="K838" s="16"/>
      <c r="L838" s="16"/>
      <c r="M838" s="16"/>
      <c r="N838" s="16"/>
      <c r="O838" s="16"/>
      <c r="P838" s="16"/>
      <c r="Q838" s="16"/>
      <c r="R838" s="16"/>
      <c r="S838" s="16"/>
      <c r="T838" s="16"/>
      <c r="U838" s="16"/>
      <c r="V838" s="16"/>
      <c r="W838" s="16"/>
      <c r="X838" s="16"/>
      <c r="Y838" s="16"/>
      <c r="Z838" s="16"/>
    </row>
    <row r="839" spans="1:26" ht="15.75" customHeight="1">
      <c r="A839" s="103"/>
      <c r="B839" s="103"/>
      <c r="C839" s="104"/>
      <c r="D839" s="103"/>
      <c r="E839" s="103"/>
      <c r="F839" s="103"/>
      <c r="G839" s="103"/>
      <c r="H839" s="103"/>
      <c r="I839" s="103"/>
      <c r="J839" s="103"/>
      <c r="K839" s="16"/>
      <c r="L839" s="16"/>
      <c r="M839" s="16"/>
      <c r="N839" s="16"/>
      <c r="O839" s="16"/>
      <c r="P839" s="16"/>
      <c r="Q839" s="16"/>
      <c r="R839" s="16"/>
      <c r="S839" s="16"/>
      <c r="T839" s="16"/>
      <c r="U839" s="16"/>
      <c r="V839" s="16"/>
      <c r="W839" s="16"/>
      <c r="X839" s="16"/>
      <c r="Y839" s="16"/>
      <c r="Z839" s="16"/>
    </row>
    <row r="840" spans="1:26" ht="15.75" customHeight="1">
      <c r="A840" s="103"/>
      <c r="B840" s="103"/>
      <c r="C840" s="104"/>
      <c r="D840" s="103"/>
      <c r="E840" s="103"/>
      <c r="F840" s="103"/>
      <c r="G840" s="103"/>
      <c r="H840" s="103"/>
      <c r="I840" s="103"/>
      <c r="J840" s="103"/>
      <c r="K840" s="16"/>
      <c r="L840" s="16"/>
      <c r="M840" s="16"/>
      <c r="N840" s="16"/>
      <c r="O840" s="16"/>
      <c r="P840" s="16"/>
      <c r="Q840" s="16"/>
      <c r="R840" s="16"/>
      <c r="S840" s="16"/>
      <c r="T840" s="16"/>
      <c r="U840" s="16"/>
      <c r="V840" s="16"/>
      <c r="W840" s="16"/>
      <c r="X840" s="16"/>
      <c r="Y840" s="16"/>
      <c r="Z840" s="16"/>
    </row>
    <row r="841" spans="1:26" ht="15.75" customHeight="1">
      <c r="A841" s="103"/>
      <c r="B841" s="103"/>
      <c r="C841" s="104"/>
      <c r="D841" s="103"/>
      <c r="E841" s="103"/>
      <c r="F841" s="103"/>
      <c r="G841" s="103"/>
      <c r="H841" s="103"/>
      <c r="I841" s="103"/>
      <c r="J841" s="103"/>
      <c r="K841" s="16"/>
      <c r="L841" s="16"/>
      <c r="M841" s="16"/>
      <c r="N841" s="16"/>
      <c r="O841" s="16"/>
      <c r="P841" s="16"/>
      <c r="Q841" s="16"/>
      <c r="R841" s="16"/>
      <c r="S841" s="16"/>
      <c r="T841" s="16"/>
      <c r="U841" s="16"/>
      <c r="V841" s="16"/>
      <c r="W841" s="16"/>
      <c r="X841" s="16"/>
      <c r="Y841" s="16"/>
      <c r="Z841" s="16"/>
    </row>
    <row r="842" spans="1:26" ht="15.75" customHeight="1">
      <c r="A842" s="103"/>
      <c r="B842" s="103"/>
      <c r="C842" s="104"/>
      <c r="D842" s="103"/>
      <c r="E842" s="103"/>
      <c r="F842" s="103"/>
      <c r="G842" s="103"/>
      <c r="H842" s="103"/>
      <c r="I842" s="103"/>
      <c r="J842" s="103"/>
      <c r="K842" s="16"/>
      <c r="L842" s="16"/>
      <c r="M842" s="16"/>
      <c r="N842" s="16"/>
      <c r="O842" s="16"/>
      <c r="P842" s="16"/>
      <c r="Q842" s="16"/>
      <c r="R842" s="16"/>
      <c r="S842" s="16"/>
      <c r="T842" s="16"/>
      <c r="U842" s="16"/>
      <c r="V842" s="16"/>
      <c r="W842" s="16"/>
      <c r="X842" s="16"/>
      <c r="Y842" s="16"/>
      <c r="Z842" s="16"/>
    </row>
    <row r="843" spans="1:26" ht="15.75" customHeight="1">
      <c r="A843" s="103"/>
      <c r="B843" s="103"/>
      <c r="C843" s="104"/>
      <c r="D843" s="103"/>
      <c r="E843" s="103"/>
      <c r="F843" s="103"/>
      <c r="G843" s="103"/>
      <c r="H843" s="103"/>
      <c r="I843" s="103"/>
      <c r="J843" s="103"/>
      <c r="K843" s="16"/>
      <c r="L843" s="16"/>
      <c r="M843" s="16"/>
      <c r="N843" s="16"/>
      <c r="O843" s="16"/>
      <c r="P843" s="16"/>
      <c r="Q843" s="16"/>
      <c r="R843" s="16"/>
      <c r="S843" s="16"/>
      <c r="T843" s="16"/>
      <c r="U843" s="16"/>
      <c r="V843" s="16"/>
      <c r="W843" s="16"/>
      <c r="X843" s="16"/>
      <c r="Y843" s="16"/>
      <c r="Z843" s="16"/>
    </row>
    <row r="844" spans="1:26" ht="15.75" customHeight="1">
      <c r="A844" s="103"/>
      <c r="B844" s="103"/>
      <c r="C844" s="104"/>
      <c r="D844" s="103"/>
      <c r="E844" s="103"/>
      <c r="F844" s="103"/>
      <c r="G844" s="103"/>
      <c r="H844" s="103"/>
      <c r="I844" s="103"/>
      <c r="J844" s="103"/>
      <c r="K844" s="16"/>
      <c r="L844" s="16"/>
      <c r="M844" s="16"/>
      <c r="N844" s="16"/>
      <c r="O844" s="16"/>
      <c r="P844" s="16"/>
      <c r="Q844" s="16"/>
      <c r="R844" s="16"/>
      <c r="S844" s="16"/>
      <c r="T844" s="16"/>
      <c r="U844" s="16"/>
      <c r="V844" s="16"/>
      <c r="W844" s="16"/>
      <c r="X844" s="16"/>
      <c r="Y844" s="16"/>
      <c r="Z844" s="16"/>
    </row>
    <row r="845" spans="1:26" ht="15.75" customHeight="1">
      <c r="A845" s="103"/>
      <c r="B845" s="103"/>
      <c r="C845" s="104"/>
      <c r="D845" s="103"/>
      <c r="E845" s="103"/>
      <c r="F845" s="103"/>
      <c r="G845" s="103"/>
      <c r="H845" s="103"/>
      <c r="I845" s="103"/>
      <c r="J845" s="103"/>
      <c r="K845" s="16"/>
      <c r="L845" s="16"/>
      <c r="M845" s="16"/>
      <c r="N845" s="16"/>
      <c r="O845" s="16"/>
      <c r="P845" s="16"/>
      <c r="Q845" s="16"/>
      <c r="R845" s="16"/>
      <c r="S845" s="16"/>
      <c r="T845" s="16"/>
      <c r="U845" s="16"/>
      <c r="V845" s="16"/>
      <c r="W845" s="16"/>
      <c r="X845" s="16"/>
      <c r="Y845" s="16"/>
      <c r="Z845" s="16"/>
    </row>
    <row r="846" spans="1:26" ht="15.75" customHeight="1">
      <c r="A846" s="103"/>
      <c r="B846" s="103"/>
      <c r="C846" s="104"/>
      <c r="D846" s="103"/>
      <c r="E846" s="103"/>
      <c r="F846" s="103"/>
      <c r="G846" s="103"/>
      <c r="H846" s="103"/>
      <c r="I846" s="103"/>
      <c r="J846" s="103"/>
      <c r="K846" s="16"/>
      <c r="L846" s="16"/>
      <c r="M846" s="16"/>
      <c r="N846" s="16"/>
      <c r="O846" s="16"/>
      <c r="P846" s="16"/>
      <c r="Q846" s="16"/>
      <c r="R846" s="16"/>
      <c r="S846" s="16"/>
      <c r="T846" s="16"/>
      <c r="U846" s="16"/>
      <c r="V846" s="16"/>
      <c r="W846" s="16"/>
      <c r="X846" s="16"/>
      <c r="Y846" s="16"/>
      <c r="Z846" s="16"/>
    </row>
    <row r="847" spans="1:26" ht="15.75" customHeight="1">
      <c r="A847" s="103"/>
      <c r="B847" s="103"/>
      <c r="C847" s="104"/>
      <c r="D847" s="103"/>
      <c r="E847" s="103"/>
      <c r="F847" s="103"/>
      <c r="G847" s="103"/>
      <c r="H847" s="103"/>
      <c r="I847" s="103"/>
      <c r="J847" s="103"/>
      <c r="K847" s="16"/>
      <c r="L847" s="16"/>
      <c r="M847" s="16"/>
      <c r="N847" s="16"/>
      <c r="O847" s="16"/>
      <c r="P847" s="16"/>
      <c r="Q847" s="16"/>
      <c r="R847" s="16"/>
      <c r="S847" s="16"/>
      <c r="T847" s="16"/>
      <c r="U847" s="16"/>
      <c r="V847" s="16"/>
      <c r="W847" s="16"/>
      <c r="X847" s="16"/>
      <c r="Y847" s="16"/>
      <c r="Z847" s="16"/>
    </row>
    <row r="848" spans="1:26" ht="15.75" customHeight="1">
      <c r="A848" s="103"/>
      <c r="B848" s="103"/>
      <c r="C848" s="104"/>
      <c r="D848" s="103"/>
      <c r="E848" s="103"/>
      <c r="F848" s="103"/>
      <c r="G848" s="103"/>
      <c r="H848" s="103"/>
      <c r="I848" s="103"/>
      <c r="J848" s="103"/>
      <c r="K848" s="16"/>
      <c r="L848" s="16"/>
      <c r="M848" s="16"/>
      <c r="N848" s="16"/>
      <c r="O848" s="16"/>
      <c r="P848" s="16"/>
      <c r="Q848" s="16"/>
      <c r="R848" s="16"/>
      <c r="S848" s="16"/>
      <c r="T848" s="16"/>
      <c r="U848" s="16"/>
      <c r="V848" s="16"/>
      <c r="W848" s="16"/>
      <c r="X848" s="16"/>
      <c r="Y848" s="16"/>
      <c r="Z848" s="16"/>
    </row>
    <row r="849" spans="1:26" ht="15.75" customHeight="1">
      <c r="A849" s="103"/>
      <c r="B849" s="103"/>
      <c r="C849" s="104"/>
      <c r="D849" s="103"/>
      <c r="E849" s="103"/>
      <c r="F849" s="103"/>
      <c r="G849" s="103"/>
      <c r="H849" s="103"/>
      <c r="I849" s="103"/>
      <c r="J849" s="103"/>
      <c r="K849" s="16"/>
      <c r="L849" s="16"/>
      <c r="M849" s="16"/>
      <c r="N849" s="16"/>
      <c r="O849" s="16"/>
      <c r="P849" s="16"/>
      <c r="Q849" s="16"/>
      <c r="R849" s="16"/>
      <c r="S849" s="16"/>
      <c r="T849" s="16"/>
      <c r="U849" s="16"/>
      <c r="V849" s="16"/>
      <c r="W849" s="16"/>
      <c r="X849" s="16"/>
      <c r="Y849" s="16"/>
      <c r="Z849" s="16"/>
    </row>
    <row r="850" spans="1:26" ht="15.75" customHeight="1">
      <c r="A850" s="103"/>
      <c r="B850" s="103"/>
      <c r="C850" s="104"/>
      <c r="D850" s="103"/>
      <c r="E850" s="103"/>
      <c r="F850" s="103"/>
      <c r="G850" s="103"/>
      <c r="H850" s="103"/>
      <c r="I850" s="103"/>
      <c r="J850" s="103"/>
      <c r="K850" s="16"/>
      <c r="L850" s="16"/>
      <c r="M850" s="16"/>
      <c r="N850" s="16"/>
      <c r="O850" s="16"/>
      <c r="P850" s="16"/>
      <c r="Q850" s="16"/>
      <c r="R850" s="16"/>
      <c r="S850" s="16"/>
      <c r="T850" s="16"/>
      <c r="U850" s="16"/>
      <c r="V850" s="16"/>
      <c r="W850" s="16"/>
      <c r="X850" s="16"/>
      <c r="Y850" s="16"/>
      <c r="Z850" s="16"/>
    </row>
    <row r="851" spans="1:26" ht="15.75" customHeight="1">
      <c r="A851" s="103"/>
      <c r="B851" s="103"/>
      <c r="C851" s="104"/>
      <c r="D851" s="103"/>
      <c r="E851" s="103"/>
      <c r="F851" s="103"/>
      <c r="G851" s="103"/>
      <c r="H851" s="103"/>
      <c r="I851" s="103"/>
      <c r="J851" s="103"/>
      <c r="K851" s="16"/>
      <c r="L851" s="16"/>
      <c r="M851" s="16"/>
      <c r="N851" s="16"/>
      <c r="O851" s="16"/>
      <c r="P851" s="16"/>
      <c r="Q851" s="16"/>
      <c r="R851" s="16"/>
      <c r="S851" s="16"/>
      <c r="T851" s="16"/>
      <c r="U851" s="16"/>
      <c r="V851" s="16"/>
      <c r="W851" s="16"/>
      <c r="X851" s="16"/>
      <c r="Y851" s="16"/>
      <c r="Z851" s="16"/>
    </row>
    <row r="852" spans="1:26" ht="15.75" customHeight="1">
      <c r="A852" s="103"/>
      <c r="B852" s="103"/>
      <c r="C852" s="104"/>
      <c r="D852" s="103"/>
      <c r="E852" s="103"/>
      <c r="F852" s="103"/>
      <c r="G852" s="103"/>
      <c r="H852" s="103"/>
      <c r="I852" s="103"/>
      <c r="J852" s="103"/>
      <c r="K852" s="16"/>
      <c r="L852" s="16"/>
      <c r="M852" s="16"/>
      <c r="N852" s="16"/>
      <c r="O852" s="16"/>
      <c r="P852" s="16"/>
      <c r="Q852" s="16"/>
      <c r="R852" s="16"/>
      <c r="S852" s="16"/>
      <c r="T852" s="16"/>
      <c r="U852" s="16"/>
      <c r="V852" s="16"/>
      <c r="W852" s="16"/>
      <c r="X852" s="16"/>
      <c r="Y852" s="16"/>
      <c r="Z852" s="16"/>
    </row>
    <row r="853" spans="1:26" ht="15.75" customHeight="1">
      <c r="A853" s="103"/>
      <c r="B853" s="103"/>
      <c r="C853" s="104"/>
      <c r="D853" s="103"/>
      <c r="E853" s="103"/>
      <c r="F853" s="103"/>
      <c r="G853" s="103"/>
      <c r="H853" s="103"/>
      <c r="I853" s="103"/>
      <c r="J853" s="103"/>
      <c r="K853" s="16"/>
      <c r="L853" s="16"/>
      <c r="M853" s="16"/>
      <c r="N853" s="16"/>
      <c r="O853" s="16"/>
      <c r="P853" s="16"/>
      <c r="Q853" s="16"/>
      <c r="R853" s="16"/>
      <c r="S853" s="16"/>
      <c r="T853" s="16"/>
      <c r="U853" s="16"/>
      <c r="V853" s="16"/>
      <c r="W853" s="16"/>
      <c r="X853" s="16"/>
      <c r="Y853" s="16"/>
      <c r="Z853" s="16"/>
    </row>
    <row r="854" spans="1:26" ht="15.75" customHeight="1">
      <c r="A854" s="103"/>
      <c r="B854" s="103"/>
      <c r="C854" s="104"/>
      <c r="D854" s="103"/>
      <c r="E854" s="103"/>
      <c r="F854" s="103"/>
      <c r="G854" s="103"/>
      <c r="H854" s="103"/>
      <c r="I854" s="103"/>
      <c r="J854" s="103"/>
      <c r="K854" s="16"/>
      <c r="L854" s="16"/>
      <c r="M854" s="16"/>
      <c r="N854" s="16"/>
      <c r="O854" s="16"/>
      <c r="P854" s="16"/>
      <c r="Q854" s="16"/>
      <c r="R854" s="16"/>
      <c r="S854" s="16"/>
      <c r="T854" s="16"/>
      <c r="U854" s="16"/>
      <c r="V854" s="16"/>
      <c r="W854" s="16"/>
      <c r="X854" s="16"/>
      <c r="Y854" s="16"/>
      <c r="Z854" s="16"/>
    </row>
    <row r="855" spans="1:26" ht="15.75" customHeight="1">
      <c r="A855" s="103"/>
      <c r="B855" s="103"/>
      <c r="C855" s="104"/>
      <c r="D855" s="103"/>
      <c r="E855" s="103"/>
      <c r="F855" s="103"/>
      <c r="G855" s="103"/>
      <c r="H855" s="103"/>
      <c r="I855" s="103"/>
      <c r="J855" s="103"/>
      <c r="K855" s="16"/>
      <c r="L855" s="16"/>
      <c r="M855" s="16"/>
      <c r="N855" s="16"/>
      <c r="O855" s="16"/>
      <c r="P855" s="16"/>
      <c r="Q855" s="16"/>
      <c r="R855" s="16"/>
      <c r="S855" s="16"/>
      <c r="T855" s="16"/>
      <c r="U855" s="16"/>
      <c r="V855" s="16"/>
      <c r="W855" s="16"/>
      <c r="X855" s="16"/>
      <c r="Y855" s="16"/>
      <c r="Z855" s="16"/>
    </row>
    <row r="856" spans="1:26" ht="15.75" customHeight="1">
      <c r="A856" s="103"/>
      <c r="B856" s="103"/>
      <c r="C856" s="104"/>
      <c r="D856" s="103"/>
      <c r="E856" s="103"/>
      <c r="F856" s="103"/>
      <c r="G856" s="103"/>
      <c r="H856" s="103"/>
      <c r="I856" s="103"/>
      <c r="J856" s="103"/>
      <c r="K856" s="16"/>
      <c r="L856" s="16"/>
      <c r="M856" s="16"/>
      <c r="N856" s="16"/>
      <c r="O856" s="16"/>
      <c r="P856" s="16"/>
      <c r="Q856" s="16"/>
      <c r="R856" s="16"/>
      <c r="S856" s="16"/>
      <c r="T856" s="16"/>
      <c r="U856" s="16"/>
      <c r="V856" s="16"/>
      <c r="W856" s="16"/>
      <c r="X856" s="16"/>
      <c r="Y856" s="16"/>
      <c r="Z856" s="16"/>
    </row>
    <row r="857" spans="1:26" ht="15.75" customHeight="1">
      <c r="A857" s="103"/>
      <c r="B857" s="103"/>
      <c r="C857" s="104"/>
      <c r="D857" s="103"/>
      <c r="E857" s="103"/>
      <c r="F857" s="103"/>
      <c r="G857" s="103"/>
      <c r="H857" s="103"/>
      <c r="I857" s="103"/>
      <c r="J857" s="103"/>
      <c r="K857" s="16"/>
      <c r="L857" s="16"/>
      <c r="M857" s="16"/>
      <c r="N857" s="16"/>
      <c r="O857" s="16"/>
      <c r="P857" s="16"/>
      <c r="Q857" s="16"/>
      <c r="R857" s="16"/>
      <c r="S857" s="16"/>
      <c r="T857" s="16"/>
      <c r="U857" s="16"/>
      <c r="V857" s="16"/>
      <c r="W857" s="16"/>
      <c r="X857" s="16"/>
      <c r="Y857" s="16"/>
      <c r="Z857" s="16"/>
    </row>
    <row r="858" spans="1:26" ht="15.75" customHeight="1">
      <c r="A858" s="103"/>
      <c r="B858" s="103"/>
      <c r="C858" s="104"/>
      <c r="D858" s="103"/>
      <c r="E858" s="103"/>
      <c r="F858" s="103"/>
      <c r="G858" s="103"/>
      <c r="H858" s="103"/>
      <c r="I858" s="103"/>
      <c r="J858" s="103"/>
      <c r="K858" s="16"/>
      <c r="L858" s="16"/>
      <c r="M858" s="16"/>
      <c r="N858" s="16"/>
      <c r="O858" s="16"/>
      <c r="P858" s="16"/>
      <c r="Q858" s="16"/>
      <c r="R858" s="16"/>
      <c r="S858" s="16"/>
      <c r="T858" s="16"/>
      <c r="U858" s="16"/>
      <c r="V858" s="16"/>
      <c r="W858" s="16"/>
      <c r="X858" s="16"/>
      <c r="Y858" s="16"/>
      <c r="Z858" s="16"/>
    </row>
    <row r="859" spans="1:26" ht="15.75" customHeight="1">
      <c r="A859" s="103"/>
      <c r="B859" s="103"/>
      <c r="C859" s="104"/>
      <c r="D859" s="103"/>
      <c r="E859" s="103"/>
      <c r="F859" s="103"/>
      <c r="G859" s="103"/>
      <c r="H859" s="103"/>
      <c r="I859" s="103"/>
      <c r="J859" s="103"/>
      <c r="K859" s="16"/>
      <c r="L859" s="16"/>
      <c r="M859" s="16"/>
      <c r="N859" s="16"/>
      <c r="O859" s="16"/>
      <c r="P859" s="16"/>
      <c r="Q859" s="16"/>
      <c r="R859" s="16"/>
      <c r="S859" s="16"/>
      <c r="T859" s="16"/>
      <c r="U859" s="16"/>
      <c r="V859" s="16"/>
      <c r="W859" s="16"/>
      <c r="X859" s="16"/>
      <c r="Y859" s="16"/>
      <c r="Z859" s="16"/>
    </row>
    <row r="860" spans="1:26" ht="15.75" customHeight="1">
      <c r="A860" s="103"/>
      <c r="B860" s="103"/>
      <c r="C860" s="104"/>
      <c r="D860" s="103"/>
      <c r="E860" s="103"/>
      <c r="F860" s="103"/>
      <c r="G860" s="103"/>
      <c r="H860" s="103"/>
      <c r="I860" s="103"/>
      <c r="J860" s="103"/>
      <c r="K860" s="16"/>
      <c r="L860" s="16"/>
      <c r="M860" s="16"/>
      <c r="N860" s="16"/>
      <c r="O860" s="16"/>
      <c r="P860" s="16"/>
      <c r="Q860" s="16"/>
      <c r="R860" s="16"/>
      <c r="S860" s="16"/>
      <c r="T860" s="16"/>
      <c r="U860" s="16"/>
      <c r="V860" s="16"/>
      <c r="W860" s="16"/>
      <c r="X860" s="16"/>
      <c r="Y860" s="16"/>
      <c r="Z860" s="16"/>
    </row>
    <row r="861" spans="1:26" ht="15.75" customHeight="1">
      <c r="A861" s="103"/>
      <c r="B861" s="103"/>
      <c r="C861" s="104"/>
      <c r="D861" s="103"/>
      <c r="E861" s="103"/>
      <c r="F861" s="103"/>
      <c r="G861" s="103"/>
      <c r="H861" s="103"/>
      <c r="I861" s="103"/>
      <c r="J861" s="103"/>
      <c r="K861" s="16"/>
      <c r="L861" s="16"/>
      <c r="M861" s="16"/>
      <c r="N861" s="16"/>
      <c r="O861" s="16"/>
      <c r="P861" s="16"/>
      <c r="Q861" s="16"/>
      <c r="R861" s="16"/>
      <c r="S861" s="16"/>
      <c r="T861" s="16"/>
      <c r="U861" s="16"/>
      <c r="V861" s="16"/>
      <c r="W861" s="16"/>
      <c r="X861" s="16"/>
      <c r="Y861" s="16"/>
      <c r="Z861" s="16"/>
    </row>
    <row r="862" spans="1:26" ht="15.75" customHeight="1">
      <c r="A862" s="103"/>
      <c r="B862" s="103"/>
      <c r="C862" s="104"/>
      <c r="D862" s="103"/>
      <c r="E862" s="103"/>
      <c r="F862" s="103"/>
      <c r="G862" s="103"/>
      <c r="H862" s="103"/>
      <c r="I862" s="103"/>
      <c r="J862" s="103"/>
      <c r="K862" s="16"/>
      <c r="L862" s="16"/>
      <c r="M862" s="16"/>
      <c r="N862" s="16"/>
      <c r="O862" s="16"/>
      <c r="P862" s="16"/>
      <c r="Q862" s="16"/>
      <c r="R862" s="16"/>
      <c r="S862" s="16"/>
      <c r="T862" s="16"/>
      <c r="U862" s="16"/>
      <c r="V862" s="16"/>
      <c r="W862" s="16"/>
      <c r="X862" s="16"/>
      <c r="Y862" s="16"/>
      <c r="Z862" s="16"/>
    </row>
    <row r="863" spans="1:26" ht="15.75" customHeight="1">
      <c r="A863" s="103"/>
      <c r="B863" s="103"/>
      <c r="C863" s="104"/>
      <c r="D863" s="103"/>
      <c r="E863" s="103"/>
      <c r="F863" s="103"/>
      <c r="G863" s="103"/>
      <c r="H863" s="103"/>
      <c r="I863" s="103"/>
      <c r="J863" s="103"/>
      <c r="K863" s="16"/>
      <c r="L863" s="16"/>
      <c r="M863" s="16"/>
      <c r="N863" s="16"/>
      <c r="O863" s="16"/>
      <c r="P863" s="16"/>
      <c r="Q863" s="16"/>
      <c r="R863" s="16"/>
      <c r="S863" s="16"/>
      <c r="T863" s="16"/>
      <c r="U863" s="16"/>
      <c r="V863" s="16"/>
      <c r="W863" s="16"/>
      <c r="X863" s="16"/>
      <c r="Y863" s="16"/>
      <c r="Z863" s="16"/>
    </row>
    <row r="864" spans="1:26" ht="15.75" customHeight="1">
      <c r="A864" s="103"/>
      <c r="B864" s="103"/>
      <c r="C864" s="104"/>
      <c r="D864" s="103"/>
      <c r="E864" s="103"/>
      <c r="F864" s="103"/>
      <c r="G864" s="103"/>
      <c r="H864" s="103"/>
      <c r="I864" s="103"/>
      <c r="J864" s="103"/>
      <c r="K864" s="16"/>
      <c r="L864" s="16"/>
      <c r="M864" s="16"/>
      <c r="N864" s="16"/>
      <c r="O864" s="16"/>
      <c r="P864" s="16"/>
      <c r="Q864" s="16"/>
      <c r="R864" s="16"/>
      <c r="S864" s="16"/>
      <c r="T864" s="16"/>
      <c r="U864" s="16"/>
      <c r="V864" s="16"/>
      <c r="W864" s="16"/>
      <c r="X864" s="16"/>
      <c r="Y864" s="16"/>
      <c r="Z864" s="16"/>
    </row>
    <row r="865" spans="1:26" ht="15.75" customHeight="1">
      <c r="A865" s="103"/>
      <c r="B865" s="103"/>
      <c r="C865" s="104"/>
      <c r="D865" s="103"/>
      <c r="E865" s="103"/>
      <c r="F865" s="103"/>
      <c r="G865" s="103"/>
      <c r="H865" s="103"/>
      <c r="I865" s="103"/>
      <c r="J865" s="103"/>
      <c r="K865" s="16"/>
      <c r="L865" s="16"/>
      <c r="M865" s="16"/>
      <c r="N865" s="16"/>
      <c r="O865" s="16"/>
      <c r="P865" s="16"/>
      <c r="Q865" s="16"/>
      <c r="R865" s="16"/>
      <c r="S865" s="16"/>
      <c r="T865" s="16"/>
      <c r="U865" s="16"/>
      <c r="V865" s="16"/>
      <c r="W865" s="16"/>
      <c r="X865" s="16"/>
      <c r="Y865" s="16"/>
      <c r="Z865" s="16"/>
    </row>
    <row r="866" spans="1:26" ht="15.75" customHeight="1">
      <c r="A866" s="103"/>
      <c r="B866" s="103"/>
      <c r="C866" s="104"/>
      <c r="D866" s="103"/>
      <c r="E866" s="103"/>
      <c r="F866" s="103"/>
      <c r="G866" s="103"/>
      <c r="H866" s="103"/>
      <c r="I866" s="103"/>
      <c r="J866" s="103"/>
      <c r="K866" s="16"/>
      <c r="L866" s="16"/>
      <c r="M866" s="16"/>
      <c r="N866" s="16"/>
      <c r="O866" s="16"/>
      <c r="P866" s="16"/>
      <c r="Q866" s="16"/>
      <c r="R866" s="16"/>
      <c r="S866" s="16"/>
      <c r="T866" s="16"/>
      <c r="U866" s="16"/>
      <c r="V866" s="16"/>
      <c r="W866" s="16"/>
      <c r="X866" s="16"/>
      <c r="Y866" s="16"/>
      <c r="Z866" s="16"/>
    </row>
    <row r="867" spans="1:26" ht="15.75" customHeight="1">
      <c r="A867" s="103"/>
      <c r="B867" s="103"/>
      <c r="C867" s="104"/>
      <c r="D867" s="103"/>
      <c r="E867" s="103"/>
      <c r="F867" s="103"/>
      <c r="G867" s="103"/>
      <c r="H867" s="103"/>
      <c r="I867" s="103"/>
      <c r="J867" s="103"/>
      <c r="K867" s="16"/>
      <c r="L867" s="16"/>
      <c r="M867" s="16"/>
      <c r="N867" s="16"/>
      <c r="O867" s="16"/>
      <c r="P867" s="16"/>
      <c r="Q867" s="16"/>
      <c r="R867" s="16"/>
      <c r="S867" s="16"/>
      <c r="T867" s="16"/>
      <c r="U867" s="16"/>
      <c r="V867" s="16"/>
      <c r="W867" s="16"/>
      <c r="X867" s="16"/>
      <c r="Y867" s="16"/>
      <c r="Z867" s="16"/>
    </row>
    <row r="868" spans="1:26" ht="15.75" customHeight="1">
      <c r="A868" s="103"/>
      <c r="B868" s="103"/>
      <c r="C868" s="104"/>
      <c r="D868" s="103"/>
      <c r="E868" s="103"/>
      <c r="F868" s="103"/>
      <c r="G868" s="103"/>
      <c r="H868" s="103"/>
      <c r="I868" s="103"/>
      <c r="J868" s="103"/>
      <c r="K868" s="16"/>
      <c r="L868" s="16"/>
      <c r="M868" s="16"/>
      <c r="N868" s="16"/>
      <c r="O868" s="16"/>
      <c r="P868" s="16"/>
      <c r="Q868" s="16"/>
      <c r="R868" s="16"/>
      <c r="S868" s="16"/>
      <c r="T868" s="16"/>
      <c r="U868" s="16"/>
      <c r="V868" s="16"/>
      <c r="W868" s="16"/>
      <c r="X868" s="16"/>
      <c r="Y868" s="16"/>
      <c r="Z868" s="16"/>
    </row>
    <row r="869" spans="1:26" ht="15.75" customHeight="1">
      <c r="A869" s="103"/>
      <c r="B869" s="103"/>
      <c r="C869" s="104"/>
      <c r="D869" s="103"/>
      <c r="E869" s="103"/>
      <c r="F869" s="103"/>
      <c r="G869" s="103"/>
      <c r="H869" s="103"/>
      <c r="I869" s="103"/>
      <c r="J869" s="103"/>
      <c r="K869" s="16"/>
      <c r="L869" s="16"/>
      <c r="M869" s="16"/>
      <c r="N869" s="16"/>
      <c r="O869" s="16"/>
      <c r="P869" s="16"/>
      <c r="Q869" s="16"/>
      <c r="R869" s="16"/>
      <c r="S869" s="16"/>
      <c r="T869" s="16"/>
      <c r="U869" s="16"/>
      <c r="V869" s="16"/>
      <c r="W869" s="16"/>
      <c r="X869" s="16"/>
      <c r="Y869" s="16"/>
      <c r="Z869" s="16"/>
    </row>
    <row r="870" spans="1:26" ht="15.75" customHeight="1">
      <c r="A870" s="103"/>
      <c r="B870" s="103"/>
      <c r="C870" s="104"/>
      <c r="D870" s="103"/>
      <c r="E870" s="103"/>
      <c r="F870" s="103"/>
      <c r="G870" s="103"/>
      <c r="H870" s="103"/>
      <c r="I870" s="103"/>
      <c r="J870" s="103"/>
      <c r="K870" s="16"/>
      <c r="L870" s="16"/>
      <c r="M870" s="16"/>
      <c r="N870" s="16"/>
      <c r="O870" s="16"/>
      <c r="P870" s="16"/>
      <c r="Q870" s="16"/>
      <c r="R870" s="16"/>
      <c r="S870" s="16"/>
      <c r="T870" s="16"/>
      <c r="U870" s="16"/>
      <c r="V870" s="16"/>
      <c r="W870" s="16"/>
      <c r="X870" s="16"/>
      <c r="Y870" s="16"/>
      <c r="Z870" s="16"/>
    </row>
    <row r="871" spans="1:26" ht="15.75" customHeight="1">
      <c r="A871" s="103"/>
      <c r="B871" s="103"/>
      <c r="C871" s="104"/>
      <c r="D871" s="103"/>
      <c r="E871" s="103"/>
      <c r="F871" s="103"/>
      <c r="G871" s="103"/>
      <c r="H871" s="103"/>
      <c r="I871" s="103"/>
      <c r="J871" s="103"/>
      <c r="K871" s="16"/>
      <c r="L871" s="16"/>
      <c r="M871" s="16"/>
      <c r="N871" s="16"/>
      <c r="O871" s="16"/>
      <c r="P871" s="16"/>
      <c r="Q871" s="16"/>
      <c r="R871" s="16"/>
      <c r="S871" s="16"/>
      <c r="T871" s="16"/>
      <c r="U871" s="16"/>
      <c r="V871" s="16"/>
      <c r="W871" s="16"/>
      <c r="X871" s="16"/>
      <c r="Y871" s="16"/>
      <c r="Z871" s="16"/>
    </row>
    <row r="872" spans="1:26" ht="15.75" customHeight="1">
      <c r="A872" s="103"/>
      <c r="B872" s="103"/>
      <c r="C872" s="104"/>
      <c r="D872" s="103"/>
      <c r="E872" s="103"/>
      <c r="F872" s="103"/>
      <c r="G872" s="103"/>
      <c r="H872" s="103"/>
      <c r="I872" s="103"/>
      <c r="J872" s="103"/>
      <c r="K872" s="16"/>
      <c r="L872" s="16"/>
      <c r="M872" s="16"/>
      <c r="N872" s="16"/>
      <c r="O872" s="16"/>
      <c r="P872" s="16"/>
      <c r="Q872" s="16"/>
      <c r="R872" s="16"/>
      <c r="S872" s="16"/>
      <c r="T872" s="16"/>
      <c r="U872" s="16"/>
      <c r="V872" s="16"/>
      <c r="W872" s="16"/>
      <c r="X872" s="16"/>
      <c r="Y872" s="16"/>
      <c r="Z872" s="16"/>
    </row>
    <row r="873" spans="1:26" ht="15.75" customHeight="1">
      <c r="A873" s="103"/>
      <c r="B873" s="103"/>
      <c r="C873" s="104"/>
      <c r="D873" s="103"/>
      <c r="E873" s="103"/>
      <c r="F873" s="103"/>
      <c r="G873" s="103"/>
      <c r="H873" s="103"/>
      <c r="I873" s="103"/>
      <c r="J873" s="103"/>
      <c r="K873" s="16"/>
      <c r="L873" s="16"/>
      <c r="M873" s="16"/>
      <c r="N873" s="16"/>
      <c r="O873" s="16"/>
      <c r="P873" s="16"/>
      <c r="Q873" s="16"/>
      <c r="R873" s="16"/>
      <c r="S873" s="16"/>
      <c r="T873" s="16"/>
      <c r="U873" s="16"/>
      <c r="V873" s="16"/>
      <c r="W873" s="16"/>
      <c r="X873" s="16"/>
      <c r="Y873" s="16"/>
      <c r="Z873" s="16"/>
    </row>
    <row r="874" spans="1:26" ht="15.75" customHeight="1">
      <c r="A874" s="103"/>
      <c r="B874" s="103"/>
      <c r="C874" s="104"/>
      <c r="D874" s="103"/>
      <c r="E874" s="103"/>
      <c r="F874" s="103"/>
      <c r="G874" s="103"/>
      <c r="H874" s="103"/>
      <c r="I874" s="103"/>
      <c r="J874" s="103"/>
      <c r="K874" s="16"/>
      <c r="L874" s="16"/>
      <c r="M874" s="16"/>
      <c r="N874" s="16"/>
      <c r="O874" s="16"/>
      <c r="P874" s="16"/>
      <c r="Q874" s="16"/>
      <c r="R874" s="16"/>
      <c r="S874" s="16"/>
      <c r="T874" s="16"/>
      <c r="U874" s="16"/>
      <c r="V874" s="16"/>
      <c r="W874" s="16"/>
      <c r="X874" s="16"/>
      <c r="Y874" s="16"/>
      <c r="Z874" s="16"/>
    </row>
    <row r="875" spans="1:26" ht="15.75" customHeight="1">
      <c r="A875" s="103"/>
      <c r="B875" s="103"/>
      <c r="C875" s="104"/>
      <c r="D875" s="103"/>
      <c r="E875" s="103"/>
      <c r="F875" s="103"/>
      <c r="G875" s="103"/>
      <c r="H875" s="103"/>
      <c r="I875" s="103"/>
      <c r="J875" s="103"/>
      <c r="K875" s="16"/>
      <c r="L875" s="16"/>
      <c r="M875" s="16"/>
      <c r="N875" s="16"/>
      <c r="O875" s="16"/>
      <c r="P875" s="16"/>
      <c r="Q875" s="16"/>
      <c r="R875" s="16"/>
      <c r="S875" s="16"/>
      <c r="T875" s="16"/>
      <c r="U875" s="16"/>
      <c r="V875" s="16"/>
      <c r="W875" s="16"/>
      <c r="X875" s="16"/>
      <c r="Y875" s="16"/>
      <c r="Z875" s="16"/>
    </row>
    <row r="876" spans="1:26" ht="15.75" customHeight="1">
      <c r="A876" s="103"/>
      <c r="B876" s="103"/>
      <c r="C876" s="104"/>
      <c r="D876" s="103"/>
      <c r="E876" s="103"/>
      <c r="F876" s="103"/>
      <c r="G876" s="103"/>
      <c r="H876" s="103"/>
      <c r="I876" s="103"/>
      <c r="J876" s="103"/>
      <c r="K876" s="16"/>
      <c r="L876" s="16"/>
      <c r="M876" s="16"/>
      <c r="N876" s="16"/>
      <c r="O876" s="16"/>
      <c r="P876" s="16"/>
      <c r="Q876" s="16"/>
      <c r="R876" s="16"/>
      <c r="S876" s="16"/>
      <c r="T876" s="16"/>
      <c r="U876" s="16"/>
      <c r="V876" s="16"/>
      <c r="W876" s="16"/>
      <c r="X876" s="16"/>
      <c r="Y876" s="16"/>
      <c r="Z876" s="16"/>
    </row>
    <row r="877" spans="1:26" ht="15.75" customHeight="1">
      <c r="A877" s="103"/>
      <c r="B877" s="103"/>
      <c r="C877" s="104"/>
      <c r="D877" s="103"/>
      <c r="E877" s="103"/>
      <c r="F877" s="103"/>
      <c r="G877" s="103"/>
      <c r="H877" s="103"/>
      <c r="I877" s="103"/>
      <c r="J877" s="103"/>
      <c r="K877" s="16"/>
      <c r="L877" s="16"/>
      <c r="M877" s="16"/>
      <c r="N877" s="16"/>
      <c r="O877" s="16"/>
      <c r="P877" s="16"/>
      <c r="Q877" s="16"/>
      <c r="R877" s="16"/>
      <c r="S877" s="16"/>
      <c r="T877" s="16"/>
      <c r="U877" s="16"/>
      <c r="V877" s="16"/>
      <c r="W877" s="16"/>
      <c r="X877" s="16"/>
      <c r="Y877" s="16"/>
      <c r="Z877" s="16"/>
    </row>
    <row r="878" spans="1:26" ht="15.75" customHeight="1">
      <c r="A878" s="103"/>
      <c r="B878" s="103"/>
      <c r="C878" s="104"/>
      <c r="D878" s="103"/>
      <c r="E878" s="103"/>
      <c r="F878" s="103"/>
      <c r="G878" s="103"/>
      <c r="H878" s="103"/>
      <c r="I878" s="103"/>
      <c r="J878" s="103"/>
      <c r="K878" s="16"/>
      <c r="L878" s="16"/>
      <c r="M878" s="16"/>
      <c r="N878" s="16"/>
      <c r="O878" s="16"/>
      <c r="P878" s="16"/>
      <c r="Q878" s="16"/>
      <c r="R878" s="16"/>
      <c r="S878" s="16"/>
      <c r="T878" s="16"/>
      <c r="U878" s="16"/>
      <c r="V878" s="16"/>
      <c r="W878" s="16"/>
      <c r="X878" s="16"/>
      <c r="Y878" s="16"/>
      <c r="Z878" s="16"/>
    </row>
    <row r="879" spans="1:26" ht="15.75" customHeight="1">
      <c r="A879" s="103"/>
      <c r="B879" s="103"/>
      <c r="C879" s="104"/>
      <c r="D879" s="103"/>
      <c r="E879" s="103"/>
      <c r="F879" s="103"/>
      <c r="G879" s="103"/>
      <c r="H879" s="103"/>
      <c r="I879" s="103"/>
      <c r="J879" s="103"/>
      <c r="K879" s="16"/>
      <c r="L879" s="16"/>
      <c r="M879" s="16"/>
      <c r="N879" s="16"/>
      <c r="O879" s="16"/>
      <c r="P879" s="16"/>
      <c r="Q879" s="16"/>
      <c r="R879" s="16"/>
      <c r="S879" s="16"/>
      <c r="T879" s="16"/>
      <c r="U879" s="16"/>
      <c r="V879" s="16"/>
      <c r="W879" s="16"/>
      <c r="X879" s="16"/>
      <c r="Y879" s="16"/>
      <c r="Z879" s="16"/>
    </row>
    <row r="880" spans="1:26" ht="15.75" customHeight="1">
      <c r="A880" s="103"/>
      <c r="B880" s="103"/>
      <c r="C880" s="104"/>
      <c r="D880" s="103"/>
      <c r="E880" s="103"/>
      <c r="F880" s="103"/>
      <c r="G880" s="103"/>
      <c r="H880" s="103"/>
      <c r="I880" s="103"/>
      <c r="J880" s="103"/>
      <c r="K880" s="16"/>
      <c r="L880" s="16"/>
      <c r="M880" s="16"/>
      <c r="N880" s="16"/>
      <c r="O880" s="16"/>
      <c r="P880" s="16"/>
      <c r="Q880" s="16"/>
      <c r="R880" s="16"/>
      <c r="S880" s="16"/>
      <c r="T880" s="16"/>
      <c r="U880" s="16"/>
      <c r="V880" s="16"/>
      <c r="W880" s="16"/>
      <c r="X880" s="16"/>
      <c r="Y880" s="16"/>
      <c r="Z880" s="16"/>
    </row>
    <row r="881" spans="1:26" ht="15.75" customHeight="1">
      <c r="A881" s="103"/>
      <c r="B881" s="103"/>
      <c r="C881" s="104"/>
      <c r="D881" s="103"/>
      <c r="E881" s="103"/>
      <c r="F881" s="103"/>
      <c r="G881" s="103"/>
      <c r="H881" s="103"/>
      <c r="I881" s="103"/>
      <c r="J881" s="103"/>
      <c r="K881" s="16"/>
      <c r="L881" s="16"/>
      <c r="M881" s="16"/>
      <c r="N881" s="16"/>
      <c r="O881" s="16"/>
      <c r="P881" s="16"/>
      <c r="Q881" s="16"/>
      <c r="R881" s="16"/>
      <c r="S881" s="16"/>
      <c r="T881" s="16"/>
      <c r="U881" s="16"/>
      <c r="V881" s="16"/>
      <c r="W881" s="16"/>
      <c r="X881" s="16"/>
      <c r="Y881" s="16"/>
      <c r="Z881" s="16"/>
    </row>
    <row r="882" spans="1:26" ht="15.75" customHeight="1">
      <c r="A882" s="103"/>
      <c r="B882" s="103"/>
      <c r="C882" s="104"/>
      <c r="D882" s="103"/>
      <c r="E882" s="103"/>
      <c r="F882" s="103"/>
      <c r="G882" s="103"/>
      <c r="H882" s="103"/>
      <c r="I882" s="103"/>
      <c r="J882" s="103"/>
      <c r="K882" s="16"/>
      <c r="L882" s="16"/>
      <c r="M882" s="16"/>
      <c r="N882" s="16"/>
      <c r="O882" s="16"/>
      <c r="P882" s="16"/>
      <c r="Q882" s="16"/>
      <c r="R882" s="16"/>
      <c r="S882" s="16"/>
      <c r="T882" s="16"/>
      <c r="U882" s="16"/>
      <c r="V882" s="16"/>
      <c r="W882" s="16"/>
      <c r="X882" s="16"/>
      <c r="Y882" s="16"/>
      <c r="Z882" s="16"/>
    </row>
    <row r="883" spans="1:26" ht="15.75" customHeight="1">
      <c r="A883" s="103"/>
      <c r="B883" s="103"/>
      <c r="C883" s="104"/>
      <c r="D883" s="103"/>
      <c r="E883" s="103"/>
      <c r="F883" s="103"/>
      <c r="G883" s="103"/>
      <c r="H883" s="103"/>
      <c r="I883" s="103"/>
      <c r="J883" s="103"/>
      <c r="K883" s="16"/>
      <c r="L883" s="16"/>
      <c r="M883" s="16"/>
      <c r="N883" s="16"/>
      <c r="O883" s="16"/>
      <c r="P883" s="16"/>
      <c r="Q883" s="16"/>
      <c r="R883" s="16"/>
      <c r="S883" s="16"/>
      <c r="T883" s="16"/>
      <c r="U883" s="16"/>
      <c r="V883" s="16"/>
      <c r="W883" s="16"/>
      <c r="X883" s="16"/>
      <c r="Y883" s="16"/>
      <c r="Z883" s="16"/>
    </row>
    <row r="884" spans="1:26" ht="15.75" customHeight="1">
      <c r="A884" s="103"/>
      <c r="B884" s="103"/>
      <c r="C884" s="104"/>
      <c r="D884" s="103"/>
      <c r="E884" s="103"/>
      <c r="F884" s="103"/>
      <c r="G884" s="103"/>
      <c r="H884" s="103"/>
      <c r="I884" s="103"/>
      <c r="J884" s="103"/>
      <c r="K884" s="16"/>
      <c r="L884" s="16"/>
      <c r="M884" s="16"/>
      <c r="N884" s="16"/>
      <c r="O884" s="16"/>
      <c r="P884" s="16"/>
      <c r="Q884" s="16"/>
      <c r="R884" s="16"/>
      <c r="S884" s="16"/>
      <c r="T884" s="16"/>
      <c r="U884" s="16"/>
      <c r="V884" s="16"/>
      <c r="W884" s="16"/>
      <c r="X884" s="16"/>
      <c r="Y884" s="16"/>
      <c r="Z884" s="16"/>
    </row>
    <row r="885" spans="1:26" ht="15.75" customHeight="1">
      <c r="A885" s="103"/>
      <c r="B885" s="103"/>
      <c r="C885" s="104"/>
      <c r="D885" s="103"/>
      <c r="E885" s="103"/>
      <c r="F885" s="103"/>
      <c r="G885" s="103"/>
      <c r="H885" s="103"/>
      <c r="I885" s="103"/>
      <c r="J885" s="103"/>
      <c r="K885" s="16"/>
      <c r="L885" s="16"/>
      <c r="M885" s="16"/>
      <c r="N885" s="16"/>
      <c r="O885" s="16"/>
      <c r="P885" s="16"/>
      <c r="Q885" s="16"/>
      <c r="R885" s="16"/>
      <c r="S885" s="16"/>
      <c r="T885" s="16"/>
      <c r="U885" s="16"/>
      <c r="V885" s="16"/>
      <c r="W885" s="16"/>
      <c r="X885" s="16"/>
      <c r="Y885" s="16"/>
      <c r="Z885" s="16"/>
    </row>
    <row r="886" spans="1:26" ht="15.75" customHeight="1">
      <c r="A886" s="103"/>
      <c r="B886" s="103"/>
      <c r="C886" s="104"/>
      <c r="D886" s="103"/>
      <c r="E886" s="103"/>
      <c r="F886" s="103"/>
      <c r="G886" s="103"/>
      <c r="H886" s="103"/>
      <c r="I886" s="103"/>
      <c r="J886" s="103"/>
      <c r="K886" s="16"/>
      <c r="L886" s="16"/>
      <c r="M886" s="16"/>
      <c r="N886" s="16"/>
      <c r="O886" s="16"/>
      <c r="P886" s="16"/>
      <c r="Q886" s="16"/>
      <c r="R886" s="16"/>
      <c r="S886" s="16"/>
      <c r="T886" s="16"/>
      <c r="U886" s="16"/>
      <c r="V886" s="16"/>
      <c r="W886" s="16"/>
      <c r="X886" s="16"/>
      <c r="Y886" s="16"/>
      <c r="Z886" s="16"/>
    </row>
    <row r="887" spans="1:26" ht="15.75" customHeight="1">
      <c r="A887" s="103"/>
      <c r="B887" s="103"/>
      <c r="C887" s="104"/>
      <c r="D887" s="103"/>
      <c r="E887" s="103"/>
      <c r="F887" s="103"/>
      <c r="G887" s="103"/>
      <c r="H887" s="103"/>
      <c r="I887" s="103"/>
      <c r="J887" s="103"/>
      <c r="K887" s="16"/>
      <c r="L887" s="16"/>
      <c r="M887" s="16"/>
      <c r="N887" s="16"/>
      <c r="O887" s="16"/>
      <c r="P887" s="16"/>
      <c r="Q887" s="16"/>
      <c r="R887" s="16"/>
      <c r="S887" s="16"/>
      <c r="T887" s="16"/>
      <c r="U887" s="16"/>
      <c r="V887" s="16"/>
      <c r="W887" s="16"/>
      <c r="X887" s="16"/>
      <c r="Y887" s="16"/>
      <c r="Z887" s="16"/>
    </row>
    <row r="888" spans="1:26" ht="15.75" customHeight="1">
      <c r="A888" s="103"/>
      <c r="B888" s="103"/>
      <c r="C888" s="104"/>
      <c r="D888" s="103"/>
      <c r="E888" s="103"/>
      <c r="F888" s="103"/>
      <c r="G888" s="103"/>
      <c r="H888" s="103"/>
      <c r="I888" s="103"/>
      <c r="J888" s="103"/>
      <c r="K888" s="16"/>
      <c r="L888" s="16"/>
      <c r="M888" s="16"/>
      <c r="N888" s="16"/>
      <c r="O888" s="16"/>
      <c r="P888" s="16"/>
      <c r="Q888" s="16"/>
      <c r="R888" s="16"/>
      <c r="S888" s="16"/>
      <c r="T888" s="16"/>
      <c r="U888" s="16"/>
      <c r="V888" s="16"/>
      <c r="W888" s="16"/>
      <c r="X888" s="16"/>
      <c r="Y888" s="16"/>
      <c r="Z888" s="16"/>
    </row>
    <row r="889" spans="1:26" ht="15.75" customHeight="1">
      <c r="A889" s="103"/>
      <c r="B889" s="103"/>
      <c r="C889" s="104"/>
      <c r="D889" s="103"/>
      <c r="E889" s="103"/>
      <c r="F889" s="103"/>
      <c r="G889" s="103"/>
      <c r="H889" s="103"/>
      <c r="I889" s="103"/>
      <c r="J889" s="103"/>
      <c r="K889" s="16"/>
      <c r="L889" s="16"/>
      <c r="M889" s="16"/>
      <c r="N889" s="16"/>
      <c r="O889" s="16"/>
      <c r="P889" s="16"/>
      <c r="Q889" s="16"/>
      <c r="R889" s="16"/>
      <c r="S889" s="16"/>
      <c r="T889" s="16"/>
      <c r="U889" s="16"/>
      <c r="V889" s="16"/>
      <c r="W889" s="16"/>
      <c r="X889" s="16"/>
      <c r="Y889" s="16"/>
      <c r="Z889" s="16"/>
    </row>
    <row r="890" spans="1:26" ht="15.75" customHeight="1">
      <c r="A890" s="103"/>
      <c r="B890" s="103"/>
      <c r="C890" s="104"/>
      <c r="D890" s="103"/>
      <c r="E890" s="103"/>
      <c r="F890" s="103"/>
      <c r="G890" s="103"/>
      <c r="H890" s="103"/>
      <c r="I890" s="103"/>
      <c r="J890" s="103"/>
      <c r="K890" s="16"/>
      <c r="L890" s="16"/>
      <c r="M890" s="16"/>
      <c r="N890" s="16"/>
      <c r="O890" s="16"/>
      <c r="P890" s="16"/>
      <c r="Q890" s="16"/>
      <c r="R890" s="16"/>
      <c r="S890" s="16"/>
      <c r="T890" s="16"/>
      <c r="U890" s="16"/>
      <c r="V890" s="16"/>
      <c r="W890" s="16"/>
      <c r="X890" s="16"/>
      <c r="Y890" s="16"/>
      <c r="Z890" s="16"/>
    </row>
    <row r="891" spans="1:26" ht="15.75" customHeight="1">
      <c r="A891" s="103"/>
      <c r="B891" s="103"/>
      <c r="C891" s="104"/>
      <c r="D891" s="103"/>
      <c r="E891" s="103"/>
      <c r="F891" s="103"/>
      <c r="G891" s="103"/>
      <c r="H891" s="103"/>
      <c r="I891" s="103"/>
      <c r="J891" s="103"/>
      <c r="K891" s="16"/>
      <c r="L891" s="16"/>
      <c r="M891" s="16"/>
      <c r="N891" s="16"/>
      <c r="O891" s="16"/>
      <c r="P891" s="16"/>
      <c r="Q891" s="16"/>
      <c r="R891" s="16"/>
      <c r="S891" s="16"/>
      <c r="T891" s="16"/>
      <c r="U891" s="16"/>
      <c r="V891" s="16"/>
      <c r="W891" s="16"/>
      <c r="X891" s="16"/>
      <c r="Y891" s="16"/>
      <c r="Z891" s="16"/>
    </row>
    <row r="892" spans="1:26" ht="15.75" customHeight="1">
      <c r="A892" s="103"/>
      <c r="B892" s="103"/>
      <c r="C892" s="104"/>
      <c r="D892" s="103"/>
      <c r="E892" s="103"/>
      <c r="F892" s="103"/>
      <c r="G892" s="103"/>
      <c r="H892" s="103"/>
      <c r="I892" s="103"/>
      <c r="J892" s="103"/>
      <c r="K892" s="16"/>
      <c r="L892" s="16"/>
      <c r="M892" s="16"/>
      <c r="N892" s="16"/>
      <c r="O892" s="16"/>
      <c r="P892" s="16"/>
      <c r="Q892" s="16"/>
      <c r="R892" s="16"/>
      <c r="S892" s="16"/>
      <c r="T892" s="16"/>
      <c r="U892" s="16"/>
      <c r="V892" s="16"/>
      <c r="W892" s="16"/>
      <c r="X892" s="16"/>
      <c r="Y892" s="16"/>
      <c r="Z892" s="16"/>
    </row>
    <row r="893" spans="1:26" ht="15.75" customHeight="1">
      <c r="A893" s="103"/>
      <c r="B893" s="103"/>
      <c r="C893" s="104"/>
      <c r="D893" s="103"/>
      <c r="E893" s="103"/>
      <c r="F893" s="103"/>
      <c r="G893" s="103"/>
      <c r="H893" s="103"/>
      <c r="I893" s="103"/>
      <c r="J893" s="103"/>
      <c r="K893" s="16"/>
      <c r="L893" s="16"/>
      <c r="M893" s="16"/>
      <c r="N893" s="16"/>
      <c r="O893" s="16"/>
      <c r="P893" s="16"/>
      <c r="Q893" s="16"/>
      <c r="R893" s="16"/>
      <c r="S893" s="16"/>
      <c r="T893" s="16"/>
      <c r="U893" s="16"/>
      <c r="V893" s="16"/>
      <c r="W893" s="16"/>
      <c r="X893" s="16"/>
      <c r="Y893" s="16"/>
      <c r="Z893" s="16"/>
    </row>
    <row r="894" spans="1:26" ht="15.75" customHeight="1">
      <c r="A894" s="103"/>
      <c r="B894" s="103"/>
      <c r="C894" s="104"/>
      <c r="D894" s="103"/>
      <c r="E894" s="103"/>
      <c r="F894" s="103"/>
      <c r="G894" s="103"/>
      <c r="H894" s="103"/>
      <c r="I894" s="103"/>
      <c r="J894" s="103"/>
      <c r="K894" s="16"/>
      <c r="L894" s="16"/>
      <c r="M894" s="16"/>
      <c r="N894" s="16"/>
      <c r="O894" s="16"/>
      <c r="P894" s="16"/>
      <c r="Q894" s="16"/>
      <c r="R894" s="16"/>
      <c r="S894" s="16"/>
      <c r="T894" s="16"/>
      <c r="U894" s="16"/>
      <c r="V894" s="16"/>
      <c r="W894" s="16"/>
      <c r="X894" s="16"/>
      <c r="Y894" s="16"/>
      <c r="Z894" s="16"/>
    </row>
    <row r="895" spans="1:26" ht="15.75" customHeight="1">
      <c r="A895" s="103"/>
      <c r="B895" s="103"/>
      <c r="C895" s="104"/>
      <c r="D895" s="103"/>
      <c r="E895" s="103"/>
      <c r="F895" s="103"/>
      <c r="G895" s="103"/>
      <c r="H895" s="103"/>
      <c r="I895" s="103"/>
      <c r="J895" s="103"/>
      <c r="K895" s="16"/>
      <c r="L895" s="16"/>
      <c r="M895" s="16"/>
      <c r="N895" s="16"/>
      <c r="O895" s="16"/>
      <c r="P895" s="16"/>
      <c r="Q895" s="16"/>
      <c r="R895" s="16"/>
      <c r="S895" s="16"/>
      <c r="T895" s="16"/>
      <c r="U895" s="16"/>
      <c r="V895" s="16"/>
      <c r="W895" s="16"/>
      <c r="X895" s="16"/>
      <c r="Y895" s="16"/>
      <c r="Z895" s="16"/>
    </row>
    <row r="896" spans="1:26" ht="15.75" customHeight="1">
      <c r="A896" s="103"/>
      <c r="B896" s="103"/>
      <c r="C896" s="104"/>
      <c r="D896" s="103"/>
      <c r="E896" s="103"/>
      <c r="F896" s="103"/>
      <c r="G896" s="103"/>
      <c r="H896" s="103"/>
      <c r="I896" s="103"/>
      <c r="J896" s="103"/>
      <c r="K896" s="16"/>
      <c r="L896" s="16"/>
      <c r="M896" s="16"/>
      <c r="N896" s="16"/>
      <c r="O896" s="16"/>
      <c r="P896" s="16"/>
      <c r="Q896" s="16"/>
      <c r="R896" s="16"/>
      <c r="S896" s="16"/>
      <c r="T896" s="16"/>
      <c r="U896" s="16"/>
      <c r="V896" s="16"/>
      <c r="W896" s="16"/>
      <c r="X896" s="16"/>
      <c r="Y896" s="16"/>
      <c r="Z896" s="16"/>
    </row>
    <row r="897" spans="1:26" ht="15.75" customHeight="1">
      <c r="A897" s="103"/>
      <c r="B897" s="103"/>
      <c r="C897" s="104"/>
      <c r="D897" s="103"/>
      <c r="E897" s="103"/>
      <c r="F897" s="103"/>
      <c r="G897" s="103"/>
      <c r="H897" s="103"/>
      <c r="I897" s="103"/>
      <c r="J897" s="103"/>
      <c r="K897" s="16"/>
      <c r="L897" s="16"/>
      <c r="M897" s="16"/>
      <c r="N897" s="16"/>
      <c r="O897" s="16"/>
      <c r="P897" s="16"/>
      <c r="Q897" s="16"/>
      <c r="R897" s="16"/>
      <c r="S897" s="16"/>
      <c r="T897" s="16"/>
      <c r="U897" s="16"/>
      <c r="V897" s="16"/>
      <c r="W897" s="16"/>
      <c r="X897" s="16"/>
      <c r="Y897" s="16"/>
      <c r="Z897" s="16"/>
    </row>
    <row r="898" spans="1:26" ht="15.75" customHeight="1">
      <c r="A898" s="103"/>
      <c r="B898" s="103"/>
      <c r="C898" s="104"/>
      <c r="D898" s="103"/>
      <c r="E898" s="103"/>
      <c r="F898" s="103"/>
      <c r="G898" s="103"/>
      <c r="H898" s="103"/>
      <c r="I898" s="103"/>
      <c r="J898" s="103"/>
      <c r="K898" s="16"/>
      <c r="L898" s="16"/>
      <c r="M898" s="16"/>
      <c r="N898" s="16"/>
      <c r="O898" s="16"/>
      <c r="P898" s="16"/>
      <c r="Q898" s="16"/>
      <c r="R898" s="16"/>
      <c r="S898" s="16"/>
      <c r="T898" s="16"/>
      <c r="U898" s="16"/>
      <c r="V898" s="16"/>
      <c r="W898" s="16"/>
      <c r="X898" s="16"/>
      <c r="Y898" s="16"/>
      <c r="Z898" s="16"/>
    </row>
    <row r="899" spans="1:26" ht="15.75" customHeight="1">
      <c r="A899" s="103"/>
      <c r="B899" s="103"/>
      <c r="C899" s="104"/>
      <c r="D899" s="103"/>
      <c r="E899" s="103"/>
      <c r="F899" s="103"/>
      <c r="G899" s="103"/>
      <c r="H899" s="103"/>
      <c r="I899" s="103"/>
      <c r="J899" s="103"/>
      <c r="K899" s="16"/>
      <c r="L899" s="16"/>
      <c r="M899" s="16"/>
      <c r="N899" s="16"/>
      <c r="O899" s="16"/>
      <c r="P899" s="16"/>
      <c r="Q899" s="16"/>
      <c r="R899" s="16"/>
      <c r="S899" s="16"/>
      <c r="T899" s="16"/>
      <c r="U899" s="16"/>
      <c r="V899" s="16"/>
      <c r="W899" s="16"/>
      <c r="X899" s="16"/>
      <c r="Y899" s="16"/>
      <c r="Z899" s="16"/>
    </row>
    <row r="900" spans="1:26" ht="15.75" customHeight="1">
      <c r="A900" s="103"/>
      <c r="B900" s="103"/>
      <c r="C900" s="104"/>
      <c r="D900" s="103"/>
      <c r="E900" s="103"/>
      <c r="F900" s="103"/>
      <c r="G900" s="103"/>
      <c r="H900" s="103"/>
      <c r="I900" s="103"/>
      <c r="J900" s="103"/>
      <c r="K900" s="16"/>
      <c r="L900" s="16"/>
      <c r="M900" s="16"/>
      <c r="N900" s="16"/>
      <c r="O900" s="16"/>
      <c r="P900" s="16"/>
      <c r="Q900" s="16"/>
      <c r="R900" s="16"/>
      <c r="S900" s="16"/>
      <c r="T900" s="16"/>
      <c r="U900" s="16"/>
      <c r="V900" s="16"/>
      <c r="W900" s="16"/>
      <c r="X900" s="16"/>
      <c r="Y900" s="16"/>
      <c r="Z900" s="16"/>
    </row>
    <row r="901" spans="1:26" ht="15.75" customHeight="1">
      <c r="A901" s="103"/>
      <c r="B901" s="103"/>
      <c r="C901" s="104"/>
      <c r="D901" s="103"/>
      <c r="E901" s="103"/>
      <c r="F901" s="103"/>
      <c r="G901" s="103"/>
      <c r="H901" s="103"/>
      <c r="I901" s="103"/>
      <c r="J901" s="103"/>
      <c r="K901" s="16"/>
      <c r="L901" s="16"/>
      <c r="M901" s="16"/>
      <c r="N901" s="16"/>
      <c r="O901" s="16"/>
      <c r="P901" s="16"/>
      <c r="Q901" s="16"/>
      <c r="R901" s="16"/>
      <c r="S901" s="16"/>
      <c r="T901" s="16"/>
      <c r="U901" s="16"/>
      <c r="V901" s="16"/>
      <c r="W901" s="16"/>
      <c r="X901" s="16"/>
      <c r="Y901" s="16"/>
      <c r="Z901" s="16"/>
    </row>
    <row r="902" spans="1:26" ht="15.75" customHeight="1">
      <c r="A902" s="103"/>
      <c r="B902" s="103"/>
      <c r="C902" s="104"/>
      <c r="D902" s="103"/>
      <c r="E902" s="103"/>
      <c r="F902" s="103"/>
      <c r="G902" s="103"/>
      <c r="H902" s="103"/>
      <c r="I902" s="103"/>
      <c r="J902" s="103"/>
      <c r="K902" s="16"/>
      <c r="L902" s="16"/>
      <c r="M902" s="16"/>
      <c r="N902" s="16"/>
      <c r="O902" s="16"/>
      <c r="P902" s="16"/>
      <c r="Q902" s="16"/>
      <c r="R902" s="16"/>
      <c r="S902" s="16"/>
      <c r="T902" s="16"/>
      <c r="U902" s="16"/>
      <c r="V902" s="16"/>
      <c r="W902" s="16"/>
      <c r="X902" s="16"/>
      <c r="Y902" s="16"/>
      <c r="Z902" s="16"/>
    </row>
    <row r="903" spans="1:26" ht="15.75" customHeight="1">
      <c r="A903" s="103"/>
      <c r="B903" s="103"/>
      <c r="C903" s="104"/>
      <c r="D903" s="103"/>
      <c r="E903" s="103"/>
      <c r="F903" s="103"/>
      <c r="G903" s="103"/>
      <c r="H903" s="103"/>
      <c r="I903" s="103"/>
      <c r="J903" s="103"/>
      <c r="K903" s="16"/>
      <c r="L903" s="16"/>
      <c r="M903" s="16"/>
      <c r="N903" s="16"/>
      <c r="O903" s="16"/>
      <c r="P903" s="16"/>
      <c r="Q903" s="16"/>
      <c r="R903" s="16"/>
      <c r="S903" s="16"/>
      <c r="T903" s="16"/>
      <c r="U903" s="16"/>
      <c r="V903" s="16"/>
      <c r="W903" s="16"/>
      <c r="X903" s="16"/>
      <c r="Y903" s="16"/>
      <c r="Z903" s="16"/>
    </row>
    <row r="904" spans="1:26" ht="15.75" customHeight="1">
      <c r="A904" s="103"/>
      <c r="B904" s="103"/>
      <c r="C904" s="104"/>
      <c r="D904" s="103"/>
      <c r="E904" s="103"/>
      <c r="F904" s="103"/>
      <c r="G904" s="103"/>
      <c r="H904" s="103"/>
      <c r="I904" s="103"/>
      <c r="J904" s="103"/>
      <c r="K904" s="16"/>
      <c r="L904" s="16"/>
      <c r="M904" s="16"/>
      <c r="N904" s="16"/>
      <c r="O904" s="16"/>
      <c r="P904" s="16"/>
      <c r="Q904" s="16"/>
      <c r="R904" s="16"/>
      <c r="S904" s="16"/>
      <c r="T904" s="16"/>
      <c r="U904" s="16"/>
      <c r="V904" s="16"/>
      <c r="W904" s="16"/>
      <c r="X904" s="16"/>
      <c r="Y904" s="16"/>
      <c r="Z904" s="16"/>
    </row>
    <row r="905" spans="1:26" ht="15.75" customHeight="1">
      <c r="A905" s="103"/>
      <c r="B905" s="103"/>
      <c r="C905" s="104"/>
      <c r="D905" s="103"/>
      <c r="E905" s="103"/>
      <c r="F905" s="103"/>
      <c r="G905" s="103"/>
      <c r="H905" s="103"/>
      <c r="I905" s="103"/>
      <c r="J905" s="103"/>
      <c r="K905" s="16"/>
      <c r="L905" s="16"/>
      <c r="M905" s="16"/>
      <c r="N905" s="16"/>
      <c r="O905" s="16"/>
      <c r="P905" s="16"/>
      <c r="Q905" s="16"/>
      <c r="R905" s="16"/>
      <c r="S905" s="16"/>
      <c r="T905" s="16"/>
      <c r="U905" s="16"/>
      <c r="V905" s="16"/>
      <c r="W905" s="16"/>
      <c r="X905" s="16"/>
      <c r="Y905" s="16"/>
      <c r="Z905" s="16"/>
    </row>
    <row r="906" spans="1:26" ht="15.75" customHeight="1">
      <c r="A906" s="103"/>
      <c r="B906" s="103"/>
      <c r="C906" s="104"/>
      <c r="D906" s="103"/>
      <c r="E906" s="103"/>
      <c r="F906" s="103"/>
      <c r="G906" s="103"/>
      <c r="H906" s="103"/>
      <c r="I906" s="103"/>
      <c r="J906" s="103"/>
      <c r="K906" s="16"/>
      <c r="L906" s="16"/>
      <c r="M906" s="16"/>
      <c r="N906" s="16"/>
      <c r="O906" s="16"/>
      <c r="P906" s="16"/>
      <c r="Q906" s="16"/>
      <c r="R906" s="16"/>
      <c r="S906" s="16"/>
      <c r="T906" s="16"/>
      <c r="U906" s="16"/>
      <c r="V906" s="16"/>
      <c r="W906" s="16"/>
      <c r="X906" s="16"/>
      <c r="Y906" s="16"/>
      <c r="Z906" s="16"/>
    </row>
    <row r="907" spans="1:26" ht="15.75" customHeight="1">
      <c r="A907" s="103"/>
      <c r="B907" s="103"/>
      <c r="C907" s="104"/>
      <c r="D907" s="103"/>
      <c r="E907" s="103"/>
      <c r="F907" s="103"/>
      <c r="G907" s="103"/>
      <c r="H907" s="103"/>
      <c r="I907" s="103"/>
      <c r="J907" s="103"/>
      <c r="K907" s="16"/>
      <c r="L907" s="16"/>
      <c r="M907" s="16"/>
      <c r="N907" s="16"/>
      <c r="O907" s="16"/>
      <c r="P907" s="16"/>
      <c r="Q907" s="16"/>
      <c r="R907" s="16"/>
      <c r="S907" s="16"/>
      <c r="T907" s="16"/>
      <c r="U907" s="16"/>
      <c r="V907" s="16"/>
      <c r="W907" s="16"/>
      <c r="X907" s="16"/>
      <c r="Y907" s="16"/>
      <c r="Z907" s="16"/>
    </row>
    <row r="908" spans="1:26" ht="15.75" customHeight="1">
      <c r="A908" s="103"/>
      <c r="B908" s="103"/>
      <c r="C908" s="104"/>
      <c r="D908" s="103"/>
      <c r="E908" s="103"/>
      <c r="F908" s="103"/>
      <c r="G908" s="103"/>
      <c r="H908" s="103"/>
      <c r="I908" s="103"/>
      <c r="J908" s="103"/>
      <c r="K908" s="16"/>
      <c r="L908" s="16"/>
      <c r="M908" s="16"/>
      <c r="N908" s="16"/>
      <c r="O908" s="16"/>
      <c r="P908" s="16"/>
      <c r="Q908" s="16"/>
      <c r="R908" s="16"/>
      <c r="S908" s="16"/>
      <c r="T908" s="16"/>
      <c r="U908" s="16"/>
      <c r="V908" s="16"/>
      <c r="W908" s="16"/>
      <c r="X908" s="16"/>
      <c r="Y908" s="16"/>
      <c r="Z908" s="16"/>
    </row>
    <row r="909" spans="1:26" ht="15.75" customHeight="1">
      <c r="A909" s="103"/>
      <c r="B909" s="103"/>
      <c r="C909" s="104"/>
      <c r="D909" s="103"/>
      <c r="E909" s="103"/>
      <c r="F909" s="103"/>
      <c r="G909" s="103"/>
      <c r="H909" s="103"/>
      <c r="I909" s="103"/>
      <c r="J909" s="103"/>
      <c r="K909" s="16"/>
      <c r="L909" s="16"/>
      <c r="M909" s="16"/>
      <c r="N909" s="16"/>
      <c r="O909" s="16"/>
      <c r="P909" s="16"/>
      <c r="Q909" s="16"/>
      <c r="R909" s="16"/>
      <c r="S909" s="16"/>
      <c r="T909" s="16"/>
      <c r="U909" s="16"/>
      <c r="V909" s="16"/>
      <c r="W909" s="16"/>
      <c r="X909" s="16"/>
      <c r="Y909" s="16"/>
      <c r="Z909" s="16"/>
    </row>
    <row r="910" spans="1:26" ht="15.75" customHeight="1">
      <c r="A910" s="103"/>
      <c r="B910" s="103"/>
      <c r="C910" s="104"/>
      <c r="D910" s="103"/>
      <c r="E910" s="103"/>
      <c r="F910" s="103"/>
      <c r="G910" s="103"/>
      <c r="H910" s="103"/>
      <c r="I910" s="103"/>
      <c r="J910" s="103"/>
      <c r="K910" s="16"/>
      <c r="L910" s="16"/>
      <c r="M910" s="16"/>
      <c r="N910" s="16"/>
      <c r="O910" s="16"/>
      <c r="P910" s="16"/>
      <c r="Q910" s="16"/>
      <c r="R910" s="16"/>
      <c r="S910" s="16"/>
      <c r="T910" s="16"/>
      <c r="U910" s="16"/>
      <c r="V910" s="16"/>
      <c r="W910" s="16"/>
      <c r="X910" s="16"/>
      <c r="Y910" s="16"/>
      <c r="Z910" s="16"/>
    </row>
    <row r="911" spans="1:26" ht="15.75" customHeight="1">
      <c r="A911" s="103"/>
      <c r="B911" s="103"/>
      <c r="C911" s="104"/>
      <c r="D911" s="103"/>
      <c r="E911" s="103"/>
      <c r="F911" s="103"/>
      <c r="G911" s="103"/>
      <c r="H911" s="103"/>
      <c r="I911" s="103"/>
      <c r="J911" s="103"/>
      <c r="K911" s="16"/>
      <c r="L911" s="16"/>
      <c r="M911" s="16"/>
      <c r="N911" s="16"/>
      <c r="O911" s="16"/>
      <c r="P911" s="16"/>
      <c r="Q911" s="16"/>
      <c r="R911" s="16"/>
      <c r="S911" s="16"/>
      <c r="T911" s="16"/>
      <c r="U911" s="16"/>
      <c r="V911" s="16"/>
      <c r="W911" s="16"/>
      <c r="X911" s="16"/>
      <c r="Y911" s="16"/>
      <c r="Z911" s="16"/>
    </row>
    <row r="912" spans="1:26" ht="15.75" customHeight="1">
      <c r="A912" s="103"/>
      <c r="B912" s="103"/>
      <c r="C912" s="104"/>
      <c r="D912" s="103"/>
      <c r="E912" s="103"/>
      <c r="F912" s="103"/>
      <c r="G912" s="103"/>
      <c r="H912" s="103"/>
      <c r="I912" s="103"/>
      <c r="J912" s="103"/>
      <c r="K912" s="16"/>
      <c r="L912" s="16"/>
      <c r="M912" s="16"/>
      <c r="N912" s="16"/>
      <c r="O912" s="16"/>
      <c r="P912" s="16"/>
      <c r="Q912" s="16"/>
      <c r="R912" s="16"/>
      <c r="S912" s="16"/>
      <c r="T912" s="16"/>
      <c r="U912" s="16"/>
      <c r="V912" s="16"/>
      <c r="W912" s="16"/>
      <c r="X912" s="16"/>
      <c r="Y912" s="16"/>
      <c r="Z912" s="16"/>
    </row>
    <row r="913" spans="1:26" ht="15.75" customHeight="1">
      <c r="A913" s="103"/>
      <c r="B913" s="103"/>
      <c r="C913" s="104"/>
      <c r="D913" s="103"/>
      <c r="E913" s="103"/>
      <c r="F913" s="103"/>
      <c r="G913" s="103"/>
      <c r="H913" s="103"/>
      <c r="I913" s="103"/>
      <c r="J913" s="103"/>
      <c r="K913" s="16"/>
      <c r="L913" s="16"/>
      <c r="M913" s="16"/>
      <c r="N913" s="16"/>
      <c r="O913" s="16"/>
      <c r="P913" s="16"/>
      <c r="Q913" s="16"/>
      <c r="R913" s="16"/>
      <c r="S913" s="16"/>
      <c r="T913" s="16"/>
      <c r="U913" s="16"/>
      <c r="V913" s="16"/>
      <c r="W913" s="16"/>
      <c r="X913" s="16"/>
      <c r="Y913" s="16"/>
      <c r="Z913" s="16"/>
    </row>
    <row r="914" spans="1:26" ht="15.75" customHeight="1">
      <c r="A914" s="103"/>
      <c r="B914" s="103"/>
      <c r="C914" s="104"/>
      <c r="D914" s="103"/>
      <c r="E914" s="103"/>
      <c r="F914" s="103"/>
      <c r="G914" s="103"/>
      <c r="H914" s="103"/>
      <c r="I914" s="103"/>
      <c r="J914" s="103"/>
      <c r="K914" s="16"/>
      <c r="L914" s="16"/>
      <c r="M914" s="16"/>
      <c r="N914" s="16"/>
      <c r="O914" s="16"/>
      <c r="P914" s="16"/>
      <c r="Q914" s="16"/>
      <c r="R914" s="16"/>
      <c r="S914" s="16"/>
      <c r="T914" s="16"/>
      <c r="U914" s="16"/>
      <c r="V914" s="16"/>
      <c r="W914" s="16"/>
      <c r="X914" s="16"/>
      <c r="Y914" s="16"/>
      <c r="Z914" s="16"/>
    </row>
    <row r="915" spans="1:26" ht="15.75" customHeight="1">
      <c r="A915" s="103"/>
      <c r="B915" s="103"/>
      <c r="C915" s="104"/>
      <c r="D915" s="103"/>
      <c r="E915" s="103"/>
      <c r="F915" s="103"/>
      <c r="G915" s="103"/>
      <c r="H915" s="103"/>
      <c r="I915" s="103"/>
      <c r="J915" s="103"/>
      <c r="K915" s="16"/>
      <c r="L915" s="16"/>
      <c r="M915" s="16"/>
      <c r="N915" s="16"/>
      <c r="O915" s="16"/>
      <c r="P915" s="16"/>
      <c r="Q915" s="16"/>
      <c r="R915" s="16"/>
      <c r="S915" s="16"/>
      <c r="T915" s="16"/>
      <c r="U915" s="16"/>
      <c r="V915" s="16"/>
      <c r="W915" s="16"/>
      <c r="X915" s="16"/>
      <c r="Y915" s="16"/>
      <c r="Z915" s="16"/>
    </row>
    <row r="916" spans="1:26" ht="15.75" customHeight="1">
      <c r="A916" s="103"/>
      <c r="B916" s="103"/>
      <c r="C916" s="104"/>
      <c r="D916" s="103"/>
      <c r="E916" s="103"/>
      <c r="F916" s="103"/>
      <c r="G916" s="103"/>
      <c r="H916" s="103"/>
      <c r="I916" s="103"/>
      <c r="J916" s="103"/>
      <c r="K916" s="16"/>
      <c r="L916" s="16"/>
      <c r="M916" s="16"/>
      <c r="N916" s="16"/>
      <c r="O916" s="16"/>
      <c r="P916" s="16"/>
      <c r="Q916" s="16"/>
      <c r="R916" s="16"/>
      <c r="S916" s="16"/>
      <c r="T916" s="16"/>
      <c r="U916" s="16"/>
      <c r="V916" s="16"/>
      <c r="W916" s="16"/>
      <c r="X916" s="16"/>
      <c r="Y916" s="16"/>
      <c r="Z916" s="16"/>
    </row>
    <row r="917" spans="1:26" ht="15.75" customHeight="1">
      <c r="A917" s="103"/>
      <c r="B917" s="103"/>
      <c r="C917" s="104"/>
      <c r="D917" s="103"/>
      <c r="E917" s="103"/>
      <c r="F917" s="103"/>
      <c r="G917" s="103"/>
      <c r="H917" s="103"/>
      <c r="I917" s="103"/>
      <c r="J917" s="103"/>
      <c r="K917" s="16"/>
      <c r="L917" s="16"/>
      <c r="M917" s="16"/>
      <c r="N917" s="16"/>
      <c r="O917" s="16"/>
      <c r="P917" s="16"/>
      <c r="Q917" s="16"/>
      <c r="R917" s="16"/>
      <c r="S917" s="16"/>
      <c r="T917" s="16"/>
      <c r="U917" s="16"/>
      <c r="V917" s="16"/>
      <c r="W917" s="16"/>
      <c r="X917" s="16"/>
      <c r="Y917" s="16"/>
      <c r="Z917" s="16"/>
    </row>
    <row r="918" spans="1:26" ht="15.75" customHeight="1">
      <c r="A918" s="103"/>
      <c r="B918" s="103"/>
      <c r="C918" s="104"/>
      <c r="D918" s="103"/>
      <c r="E918" s="103"/>
      <c r="F918" s="103"/>
      <c r="G918" s="103"/>
      <c r="H918" s="103"/>
      <c r="I918" s="103"/>
      <c r="J918" s="103"/>
      <c r="K918" s="16"/>
      <c r="L918" s="16"/>
      <c r="M918" s="16"/>
      <c r="N918" s="16"/>
      <c r="O918" s="16"/>
      <c r="P918" s="16"/>
      <c r="Q918" s="16"/>
      <c r="R918" s="16"/>
      <c r="S918" s="16"/>
      <c r="T918" s="16"/>
      <c r="U918" s="16"/>
      <c r="V918" s="16"/>
      <c r="W918" s="16"/>
      <c r="X918" s="16"/>
      <c r="Y918" s="16"/>
      <c r="Z918" s="16"/>
    </row>
    <row r="919" spans="1:26" ht="15.75" customHeight="1">
      <c r="A919" s="103"/>
      <c r="B919" s="103"/>
      <c r="C919" s="104"/>
      <c r="D919" s="103"/>
      <c r="E919" s="103"/>
      <c r="F919" s="103"/>
      <c r="G919" s="103"/>
      <c r="H919" s="103"/>
      <c r="I919" s="103"/>
      <c r="J919" s="103"/>
      <c r="K919" s="16"/>
      <c r="L919" s="16"/>
      <c r="M919" s="16"/>
      <c r="N919" s="16"/>
      <c r="O919" s="16"/>
      <c r="P919" s="16"/>
      <c r="Q919" s="16"/>
      <c r="R919" s="16"/>
      <c r="S919" s="16"/>
      <c r="T919" s="16"/>
      <c r="U919" s="16"/>
      <c r="V919" s="16"/>
      <c r="W919" s="16"/>
      <c r="X919" s="16"/>
      <c r="Y919" s="16"/>
      <c r="Z919" s="16"/>
    </row>
    <row r="920" spans="1:26" ht="15.75" customHeight="1">
      <c r="A920" s="103"/>
      <c r="B920" s="103"/>
      <c r="C920" s="104"/>
      <c r="D920" s="103"/>
      <c r="E920" s="103"/>
      <c r="F920" s="103"/>
      <c r="G920" s="103"/>
      <c r="H920" s="103"/>
      <c r="I920" s="103"/>
      <c r="J920" s="103"/>
      <c r="K920" s="16"/>
      <c r="L920" s="16"/>
      <c r="M920" s="16"/>
      <c r="N920" s="16"/>
      <c r="O920" s="16"/>
      <c r="P920" s="16"/>
      <c r="Q920" s="16"/>
      <c r="R920" s="16"/>
      <c r="S920" s="16"/>
      <c r="T920" s="16"/>
      <c r="U920" s="16"/>
      <c r="V920" s="16"/>
      <c r="W920" s="16"/>
      <c r="X920" s="16"/>
      <c r="Y920" s="16"/>
      <c r="Z920" s="16"/>
    </row>
    <row r="921" spans="1:26" ht="15.75" customHeight="1">
      <c r="A921" s="103"/>
      <c r="B921" s="103"/>
      <c r="C921" s="104"/>
      <c r="D921" s="103"/>
      <c r="E921" s="103"/>
      <c r="F921" s="103"/>
      <c r="G921" s="103"/>
      <c r="H921" s="103"/>
      <c r="I921" s="103"/>
      <c r="J921" s="103"/>
      <c r="K921" s="16"/>
      <c r="L921" s="16"/>
      <c r="M921" s="16"/>
      <c r="N921" s="16"/>
      <c r="O921" s="16"/>
      <c r="P921" s="16"/>
      <c r="Q921" s="16"/>
      <c r="R921" s="16"/>
      <c r="S921" s="16"/>
      <c r="T921" s="16"/>
      <c r="U921" s="16"/>
      <c r="V921" s="16"/>
      <c r="W921" s="16"/>
      <c r="X921" s="16"/>
      <c r="Y921" s="16"/>
      <c r="Z921" s="16"/>
    </row>
    <row r="922" spans="1:26" ht="15.75" customHeight="1">
      <c r="A922" s="103"/>
      <c r="B922" s="103"/>
      <c r="C922" s="104"/>
      <c r="D922" s="103"/>
      <c r="E922" s="103"/>
      <c r="F922" s="103"/>
      <c r="G922" s="103"/>
      <c r="H922" s="103"/>
      <c r="I922" s="103"/>
      <c r="J922" s="103"/>
      <c r="K922" s="16"/>
      <c r="L922" s="16"/>
      <c r="M922" s="16"/>
      <c r="N922" s="16"/>
      <c r="O922" s="16"/>
      <c r="P922" s="16"/>
      <c r="Q922" s="16"/>
      <c r="R922" s="16"/>
      <c r="S922" s="16"/>
      <c r="T922" s="16"/>
      <c r="U922" s="16"/>
      <c r="V922" s="16"/>
      <c r="W922" s="16"/>
      <c r="X922" s="16"/>
      <c r="Y922" s="16"/>
      <c r="Z922" s="16"/>
    </row>
    <row r="923" spans="1:26" ht="15.75" customHeight="1">
      <c r="A923" s="103"/>
      <c r="B923" s="103"/>
      <c r="C923" s="104"/>
      <c r="D923" s="103"/>
      <c r="E923" s="103"/>
      <c r="F923" s="103"/>
      <c r="G923" s="103"/>
      <c r="H923" s="103"/>
      <c r="I923" s="103"/>
      <c r="J923" s="103"/>
      <c r="K923" s="16"/>
      <c r="L923" s="16"/>
      <c r="M923" s="16"/>
      <c r="N923" s="16"/>
      <c r="O923" s="16"/>
      <c r="P923" s="16"/>
      <c r="Q923" s="16"/>
      <c r="R923" s="16"/>
      <c r="S923" s="16"/>
      <c r="T923" s="16"/>
      <c r="U923" s="16"/>
      <c r="V923" s="16"/>
      <c r="W923" s="16"/>
      <c r="X923" s="16"/>
      <c r="Y923" s="16"/>
      <c r="Z923" s="16"/>
    </row>
    <row r="924" spans="1:26" ht="15.75" customHeight="1">
      <c r="A924" s="103"/>
      <c r="B924" s="103"/>
      <c r="C924" s="104"/>
      <c r="D924" s="103"/>
      <c r="E924" s="103"/>
      <c r="F924" s="103"/>
      <c r="G924" s="103"/>
      <c r="H924" s="103"/>
      <c r="I924" s="103"/>
      <c r="J924" s="103"/>
      <c r="K924" s="16"/>
      <c r="L924" s="16"/>
      <c r="M924" s="16"/>
      <c r="N924" s="16"/>
      <c r="O924" s="16"/>
      <c r="P924" s="16"/>
      <c r="Q924" s="16"/>
      <c r="R924" s="16"/>
      <c r="S924" s="16"/>
      <c r="T924" s="16"/>
      <c r="U924" s="16"/>
      <c r="V924" s="16"/>
      <c r="W924" s="16"/>
      <c r="X924" s="16"/>
      <c r="Y924" s="16"/>
      <c r="Z924" s="16"/>
    </row>
    <row r="925" spans="1:26" ht="15.75" customHeight="1">
      <c r="A925" s="103"/>
      <c r="B925" s="103"/>
      <c r="C925" s="104"/>
      <c r="D925" s="103"/>
      <c r="E925" s="103"/>
      <c r="F925" s="103"/>
      <c r="G925" s="103"/>
      <c r="H925" s="103"/>
      <c r="I925" s="103"/>
      <c r="J925" s="103"/>
      <c r="K925" s="16"/>
      <c r="L925" s="16"/>
      <c r="M925" s="16"/>
      <c r="N925" s="16"/>
      <c r="O925" s="16"/>
      <c r="P925" s="16"/>
      <c r="Q925" s="16"/>
      <c r="R925" s="16"/>
      <c r="S925" s="16"/>
      <c r="T925" s="16"/>
      <c r="U925" s="16"/>
      <c r="V925" s="16"/>
      <c r="W925" s="16"/>
      <c r="X925" s="16"/>
      <c r="Y925" s="16"/>
      <c r="Z925" s="16"/>
    </row>
    <row r="926" spans="1:26" ht="15.75" customHeight="1">
      <c r="A926" s="103"/>
      <c r="B926" s="103"/>
      <c r="C926" s="104"/>
      <c r="D926" s="103"/>
      <c r="E926" s="103"/>
      <c r="F926" s="103"/>
      <c r="G926" s="103"/>
      <c r="H926" s="103"/>
      <c r="I926" s="103"/>
      <c r="J926" s="103"/>
      <c r="K926" s="16"/>
      <c r="L926" s="16"/>
      <c r="M926" s="16"/>
      <c r="N926" s="16"/>
      <c r="O926" s="16"/>
      <c r="P926" s="16"/>
      <c r="Q926" s="16"/>
      <c r="R926" s="16"/>
      <c r="S926" s="16"/>
      <c r="T926" s="16"/>
      <c r="U926" s="16"/>
      <c r="V926" s="16"/>
      <c r="W926" s="16"/>
      <c r="X926" s="16"/>
      <c r="Y926" s="16"/>
      <c r="Z926" s="16"/>
    </row>
    <row r="927" spans="1:26" ht="15.75" customHeight="1">
      <c r="A927" s="103"/>
      <c r="B927" s="103"/>
      <c r="C927" s="104"/>
      <c r="D927" s="103"/>
      <c r="E927" s="103"/>
      <c r="F927" s="103"/>
      <c r="G927" s="103"/>
      <c r="H927" s="103"/>
      <c r="I927" s="103"/>
      <c r="J927" s="103"/>
      <c r="K927" s="16"/>
      <c r="L927" s="16"/>
      <c r="M927" s="16"/>
      <c r="N927" s="16"/>
      <c r="O927" s="16"/>
      <c r="P927" s="16"/>
      <c r="Q927" s="16"/>
      <c r="R927" s="16"/>
      <c r="S927" s="16"/>
      <c r="T927" s="16"/>
      <c r="U927" s="16"/>
      <c r="V927" s="16"/>
      <c r="W927" s="16"/>
      <c r="X927" s="16"/>
      <c r="Y927" s="16"/>
      <c r="Z927" s="16"/>
    </row>
    <row r="928" spans="1:26" ht="15.75" customHeight="1">
      <c r="A928" s="103"/>
      <c r="B928" s="103"/>
      <c r="C928" s="104"/>
      <c r="D928" s="103"/>
      <c r="E928" s="103"/>
      <c r="F928" s="103"/>
      <c r="G928" s="103"/>
      <c r="H928" s="103"/>
      <c r="I928" s="103"/>
      <c r="J928" s="103"/>
      <c r="K928" s="16"/>
      <c r="L928" s="16"/>
      <c r="M928" s="16"/>
      <c r="N928" s="16"/>
      <c r="O928" s="16"/>
      <c r="P928" s="16"/>
      <c r="Q928" s="16"/>
      <c r="R928" s="16"/>
      <c r="S928" s="16"/>
      <c r="T928" s="16"/>
      <c r="U928" s="16"/>
      <c r="V928" s="16"/>
      <c r="W928" s="16"/>
      <c r="X928" s="16"/>
      <c r="Y928" s="16"/>
      <c r="Z928" s="16"/>
    </row>
    <row r="929" spans="1:26" ht="15.75" customHeight="1">
      <c r="A929" s="103"/>
      <c r="B929" s="103"/>
      <c r="C929" s="104"/>
      <c r="D929" s="103"/>
      <c r="E929" s="103"/>
      <c r="F929" s="103"/>
      <c r="G929" s="103"/>
      <c r="H929" s="103"/>
      <c r="I929" s="103"/>
      <c r="J929" s="103"/>
      <c r="K929" s="16"/>
      <c r="L929" s="16"/>
      <c r="M929" s="16"/>
      <c r="N929" s="16"/>
      <c r="O929" s="16"/>
      <c r="P929" s="16"/>
      <c r="Q929" s="16"/>
      <c r="R929" s="16"/>
      <c r="S929" s="16"/>
      <c r="T929" s="16"/>
      <c r="U929" s="16"/>
      <c r="V929" s="16"/>
      <c r="W929" s="16"/>
      <c r="X929" s="16"/>
      <c r="Y929" s="16"/>
      <c r="Z929" s="16"/>
    </row>
    <row r="930" spans="1:26" ht="15.75" customHeight="1">
      <c r="A930" s="103"/>
      <c r="B930" s="103"/>
      <c r="C930" s="104"/>
      <c r="D930" s="103"/>
      <c r="E930" s="103"/>
      <c r="F930" s="103"/>
      <c r="G930" s="103"/>
      <c r="H930" s="103"/>
      <c r="I930" s="103"/>
      <c r="J930" s="103"/>
      <c r="K930" s="16"/>
      <c r="L930" s="16"/>
      <c r="M930" s="16"/>
      <c r="N930" s="16"/>
      <c r="O930" s="16"/>
      <c r="P930" s="16"/>
      <c r="Q930" s="16"/>
      <c r="R930" s="16"/>
      <c r="S930" s="16"/>
      <c r="T930" s="16"/>
      <c r="U930" s="16"/>
      <c r="V930" s="16"/>
      <c r="W930" s="16"/>
      <c r="X930" s="16"/>
      <c r="Y930" s="16"/>
      <c r="Z930" s="16"/>
    </row>
    <row r="931" spans="1:26" ht="15.75" customHeight="1">
      <c r="A931" s="103"/>
      <c r="B931" s="103"/>
      <c r="C931" s="104"/>
      <c r="D931" s="103"/>
      <c r="E931" s="103"/>
      <c r="F931" s="103"/>
      <c r="G931" s="103"/>
      <c r="H931" s="103"/>
      <c r="I931" s="103"/>
      <c r="J931" s="103"/>
      <c r="K931" s="16"/>
      <c r="L931" s="16"/>
      <c r="M931" s="16"/>
      <c r="N931" s="16"/>
      <c r="O931" s="16"/>
      <c r="P931" s="16"/>
      <c r="Q931" s="16"/>
      <c r="R931" s="16"/>
      <c r="S931" s="16"/>
      <c r="T931" s="16"/>
      <c r="U931" s="16"/>
      <c r="V931" s="16"/>
      <c r="W931" s="16"/>
      <c r="X931" s="16"/>
      <c r="Y931" s="16"/>
      <c r="Z931" s="16"/>
    </row>
    <row r="932" spans="1:26" ht="15.75" customHeight="1">
      <c r="A932" s="103"/>
      <c r="B932" s="103"/>
      <c r="C932" s="104"/>
      <c r="D932" s="103"/>
      <c r="E932" s="103"/>
      <c r="F932" s="103"/>
      <c r="G932" s="103"/>
      <c r="H932" s="103"/>
      <c r="I932" s="103"/>
      <c r="J932" s="103"/>
      <c r="K932" s="16"/>
      <c r="L932" s="16"/>
      <c r="M932" s="16"/>
      <c r="N932" s="16"/>
      <c r="O932" s="16"/>
      <c r="P932" s="16"/>
      <c r="Q932" s="16"/>
      <c r="R932" s="16"/>
      <c r="S932" s="16"/>
      <c r="T932" s="16"/>
      <c r="U932" s="16"/>
      <c r="V932" s="16"/>
      <c r="W932" s="16"/>
      <c r="X932" s="16"/>
      <c r="Y932" s="16"/>
      <c r="Z932" s="16"/>
    </row>
    <row r="933" spans="1:26" ht="15.75" customHeight="1">
      <c r="A933" s="103"/>
      <c r="B933" s="103"/>
      <c r="C933" s="104"/>
      <c r="D933" s="103"/>
      <c r="E933" s="103"/>
      <c r="F933" s="103"/>
      <c r="G933" s="103"/>
      <c r="H933" s="103"/>
      <c r="I933" s="103"/>
      <c r="J933" s="103"/>
      <c r="K933" s="16"/>
      <c r="L933" s="16"/>
      <c r="M933" s="16"/>
      <c r="N933" s="16"/>
      <c r="O933" s="16"/>
      <c r="P933" s="16"/>
      <c r="Q933" s="16"/>
      <c r="R933" s="16"/>
      <c r="S933" s="16"/>
      <c r="T933" s="16"/>
      <c r="U933" s="16"/>
      <c r="V933" s="16"/>
      <c r="W933" s="16"/>
      <c r="X933" s="16"/>
      <c r="Y933" s="16"/>
      <c r="Z933" s="16"/>
    </row>
    <row r="934" spans="1:26" ht="15.75" customHeight="1">
      <c r="A934" s="103"/>
      <c r="B934" s="103"/>
      <c r="C934" s="104"/>
      <c r="D934" s="103"/>
      <c r="E934" s="103"/>
      <c r="F934" s="103"/>
      <c r="G934" s="103"/>
      <c r="H934" s="103"/>
      <c r="I934" s="103"/>
      <c r="J934" s="103"/>
      <c r="K934" s="16"/>
      <c r="L934" s="16"/>
      <c r="M934" s="16"/>
      <c r="N934" s="16"/>
      <c r="O934" s="16"/>
      <c r="P934" s="16"/>
      <c r="Q934" s="16"/>
      <c r="R934" s="16"/>
      <c r="S934" s="16"/>
      <c r="T934" s="16"/>
      <c r="U934" s="16"/>
      <c r="V934" s="16"/>
      <c r="W934" s="16"/>
      <c r="X934" s="16"/>
      <c r="Y934" s="16"/>
      <c r="Z934" s="16"/>
    </row>
    <row r="935" spans="1:26" ht="15.75" customHeight="1">
      <c r="A935" s="103"/>
      <c r="B935" s="103"/>
      <c r="C935" s="104"/>
      <c r="D935" s="103"/>
      <c r="E935" s="103"/>
      <c r="F935" s="103"/>
      <c r="G935" s="103"/>
      <c r="H935" s="103"/>
      <c r="I935" s="103"/>
      <c r="J935" s="103"/>
      <c r="K935" s="16"/>
      <c r="L935" s="16"/>
      <c r="M935" s="16"/>
      <c r="N935" s="16"/>
      <c r="O935" s="16"/>
      <c r="P935" s="16"/>
      <c r="Q935" s="16"/>
      <c r="R935" s="16"/>
      <c r="S935" s="16"/>
      <c r="T935" s="16"/>
      <c r="U935" s="16"/>
      <c r="V935" s="16"/>
      <c r="W935" s="16"/>
      <c r="X935" s="16"/>
      <c r="Y935" s="16"/>
      <c r="Z935" s="16"/>
    </row>
    <row r="936" spans="1:26" ht="15.75" customHeight="1">
      <c r="A936" s="103"/>
      <c r="B936" s="103"/>
      <c r="C936" s="104"/>
      <c r="D936" s="103"/>
      <c r="E936" s="103"/>
      <c r="F936" s="103"/>
      <c r="G936" s="103"/>
      <c r="H936" s="103"/>
      <c r="I936" s="103"/>
      <c r="J936" s="103"/>
      <c r="K936" s="16"/>
      <c r="L936" s="16"/>
      <c r="M936" s="16"/>
      <c r="N936" s="16"/>
      <c r="O936" s="16"/>
      <c r="P936" s="16"/>
      <c r="Q936" s="16"/>
      <c r="R936" s="16"/>
      <c r="S936" s="16"/>
      <c r="T936" s="16"/>
      <c r="U936" s="16"/>
      <c r="V936" s="16"/>
      <c r="W936" s="16"/>
      <c r="X936" s="16"/>
      <c r="Y936" s="16"/>
      <c r="Z936" s="16"/>
    </row>
    <row r="937" spans="1:26" ht="15.75" customHeight="1">
      <c r="A937" s="103"/>
      <c r="B937" s="103"/>
      <c r="C937" s="104"/>
      <c r="D937" s="103"/>
      <c r="E937" s="103"/>
      <c r="F937" s="103"/>
      <c r="G937" s="103"/>
      <c r="H937" s="103"/>
      <c r="I937" s="103"/>
      <c r="J937" s="103"/>
      <c r="K937" s="16"/>
      <c r="L937" s="16"/>
      <c r="M937" s="16"/>
      <c r="N937" s="16"/>
      <c r="O937" s="16"/>
      <c r="P937" s="16"/>
      <c r="Q937" s="16"/>
      <c r="R937" s="16"/>
      <c r="S937" s="16"/>
      <c r="T937" s="16"/>
      <c r="U937" s="16"/>
      <c r="V937" s="16"/>
      <c r="W937" s="16"/>
      <c r="X937" s="16"/>
      <c r="Y937" s="16"/>
      <c r="Z937" s="16"/>
    </row>
    <row r="938" spans="1:26" ht="15.75" customHeight="1">
      <c r="A938" s="103"/>
      <c r="B938" s="103"/>
      <c r="C938" s="104"/>
      <c r="D938" s="103"/>
      <c r="E938" s="103"/>
      <c r="F938" s="103"/>
      <c r="G938" s="103"/>
      <c r="H938" s="103"/>
      <c r="I938" s="103"/>
      <c r="J938" s="103"/>
      <c r="K938" s="16"/>
      <c r="L938" s="16"/>
      <c r="M938" s="16"/>
      <c r="N938" s="16"/>
      <c r="O938" s="16"/>
      <c r="P938" s="16"/>
      <c r="Q938" s="16"/>
      <c r="R938" s="16"/>
      <c r="S938" s="16"/>
      <c r="T938" s="16"/>
      <c r="U938" s="16"/>
      <c r="V938" s="16"/>
      <c r="W938" s="16"/>
      <c r="X938" s="16"/>
      <c r="Y938" s="16"/>
      <c r="Z938" s="16"/>
    </row>
    <row r="939" spans="1:26" ht="15.75" customHeight="1">
      <c r="A939" s="103"/>
      <c r="B939" s="103"/>
      <c r="C939" s="104"/>
      <c r="D939" s="103"/>
      <c r="E939" s="103"/>
      <c r="F939" s="103"/>
      <c r="G939" s="103"/>
      <c r="H939" s="103"/>
      <c r="I939" s="103"/>
      <c r="J939" s="103"/>
      <c r="K939" s="16"/>
      <c r="L939" s="16"/>
      <c r="M939" s="16"/>
      <c r="N939" s="16"/>
      <c r="O939" s="16"/>
      <c r="P939" s="16"/>
      <c r="Q939" s="16"/>
      <c r="R939" s="16"/>
      <c r="S939" s="16"/>
      <c r="T939" s="16"/>
      <c r="U939" s="16"/>
      <c r="V939" s="16"/>
      <c r="W939" s="16"/>
      <c r="X939" s="16"/>
      <c r="Y939" s="16"/>
      <c r="Z939" s="16"/>
    </row>
    <row r="940" spans="1:26" ht="15.75" customHeight="1">
      <c r="A940" s="103"/>
      <c r="B940" s="103"/>
      <c r="C940" s="104"/>
      <c r="D940" s="103"/>
      <c r="E940" s="103"/>
      <c r="F940" s="103"/>
      <c r="G940" s="103"/>
      <c r="H940" s="103"/>
      <c r="I940" s="103"/>
      <c r="J940" s="103"/>
      <c r="K940" s="16"/>
      <c r="L940" s="16"/>
      <c r="M940" s="16"/>
      <c r="N940" s="16"/>
      <c r="O940" s="16"/>
      <c r="P940" s="16"/>
      <c r="Q940" s="16"/>
      <c r="R940" s="16"/>
      <c r="S940" s="16"/>
      <c r="T940" s="16"/>
      <c r="U940" s="16"/>
      <c r="V940" s="16"/>
      <c r="W940" s="16"/>
      <c r="X940" s="16"/>
      <c r="Y940" s="16"/>
      <c r="Z940" s="16"/>
    </row>
    <row r="941" spans="1:26" ht="15.75" customHeight="1">
      <c r="A941" s="103"/>
      <c r="B941" s="103"/>
      <c r="C941" s="104"/>
      <c r="D941" s="103"/>
      <c r="E941" s="103"/>
      <c r="F941" s="103"/>
      <c r="G941" s="103"/>
      <c r="H941" s="103"/>
      <c r="I941" s="103"/>
      <c r="J941" s="103"/>
      <c r="K941" s="16"/>
      <c r="L941" s="16"/>
      <c r="M941" s="16"/>
      <c r="N941" s="16"/>
      <c r="O941" s="16"/>
      <c r="P941" s="16"/>
      <c r="Q941" s="16"/>
      <c r="R941" s="16"/>
      <c r="S941" s="16"/>
      <c r="T941" s="16"/>
      <c r="U941" s="16"/>
      <c r="V941" s="16"/>
      <c r="W941" s="16"/>
      <c r="X941" s="16"/>
      <c r="Y941" s="16"/>
      <c r="Z941" s="16"/>
    </row>
    <row r="942" spans="1:26" ht="15.75" customHeight="1">
      <c r="A942" s="103"/>
      <c r="B942" s="103"/>
      <c r="C942" s="104"/>
      <c r="D942" s="103"/>
      <c r="E942" s="103"/>
      <c r="F942" s="103"/>
      <c r="G942" s="103"/>
      <c r="H942" s="103"/>
      <c r="I942" s="103"/>
      <c r="J942" s="103"/>
      <c r="K942" s="16"/>
      <c r="L942" s="16"/>
      <c r="M942" s="16"/>
      <c r="N942" s="16"/>
      <c r="O942" s="16"/>
      <c r="P942" s="16"/>
      <c r="Q942" s="16"/>
      <c r="R942" s="16"/>
      <c r="S942" s="16"/>
      <c r="T942" s="16"/>
      <c r="U942" s="16"/>
      <c r="V942" s="16"/>
      <c r="W942" s="16"/>
      <c r="X942" s="16"/>
      <c r="Y942" s="16"/>
      <c r="Z942" s="16"/>
    </row>
    <row r="943" spans="1:26" ht="15.75" customHeight="1">
      <c r="A943" s="103"/>
      <c r="B943" s="103"/>
      <c r="C943" s="104"/>
      <c r="D943" s="103"/>
      <c r="E943" s="103"/>
      <c r="F943" s="103"/>
      <c r="G943" s="103"/>
      <c r="H943" s="103"/>
      <c r="I943" s="103"/>
      <c r="J943" s="103"/>
      <c r="K943" s="16"/>
      <c r="L943" s="16"/>
      <c r="M943" s="16"/>
      <c r="N943" s="16"/>
      <c r="O943" s="16"/>
      <c r="P943" s="16"/>
      <c r="Q943" s="16"/>
      <c r="R943" s="16"/>
      <c r="S943" s="16"/>
      <c r="T943" s="16"/>
      <c r="U943" s="16"/>
      <c r="V943" s="16"/>
      <c r="W943" s="16"/>
      <c r="X943" s="16"/>
      <c r="Y943" s="16"/>
      <c r="Z943" s="16"/>
    </row>
    <row r="944" spans="1:26" ht="15.75" customHeight="1">
      <c r="A944" s="103"/>
      <c r="B944" s="103"/>
      <c r="C944" s="104"/>
      <c r="D944" s="103"/>
      <c r="E944" s="103"/>
      <c r="F944" s="103"/>
      <c r="G944" s="103"/>
      <c r="H944" s="103"/>
      <c r="I944" s="103"/>
      <c r="J944" s="103"/>
      <c r="K944" s="16"/>
      <c r="L944" s="16"/>
      <c r="M944" s="16"/>
      <c r="N944" s="16"/>
      <c r="O944" s="16"/>
      <c r="P944" s="16"/>
      <c r="Q944" s="16"/>
      <c r="R944" s="16"/>
      <c r="S944" s="16"/>
      <c r="T944" s="16"/>
      <c r="U944" s="16"/>
      <c r="V944" s="16"/>
      <c r="W944" s="16"/>
      <c r="X944" s="16"/>
      <c r="Y944" s="16"/>
      <c r="Z944" s="16"/>
    </row>
    <row r="945" spans="1:26" ht="15.75" customHeight="1">
      <c r="A945" s="103"/>
      <c r="B945" s="103"/>
      <c r="C945" s="104"/>
      <c r="D945" s="103"/>
      <c r="E945" s="103"/>
      <c r="F945" s="103"/>
      <c r="G945" s="103"/>
      <c r="H945" s="103"/>
      <c r="I945" s="103"/>
      <c r="J945" s="103"/>
      <c r="K945" s="16"/>
      <c r="L945" s="16"/>
      <c r="M945" s="16"/>
      <c r="N945" s="16"/>
      <c r="O945" s="16"/>
      <c r="P945" s="16"/>
      <c r="Q945" s="16"/>
      <c r="R945" s="16"/>
      <c r="S945" s="16"/>
      <c r="T945" s="16"/>
      <c r="U945" s="16"/>
      <c r="V945" s="16"/>
      <c r="W945" s="16"/>
      <c r="X945" s="16"/>
      <c r="Y945" s="16"/>
      <c r="Z945" s="16"/>
    </row>
    <row r="946" spans="1:26" ht="15.75" customHeight="1">
      <c r="A946" s="103"/>
      <c r="B946" s="103"/>
      <c r="C946" s="104"/>
      <c r="D946" s="103"/>
      <c r="E946" s="103"/>
      <c r="F946" s="103"/>
      <c r="G946" s="103"/>
      <c r="H946" s="103"/>
      <c r="I946" s="103"/>
      <c r="J946" s="103"/>
      <c r="K946" s="16"/>
      <c r="L946" s="16"/>
      <c r="M946" s="16"/>
      <c r="N946" s="16"/>
      <c r="O946" s="16"/>
      <c r="P946" s="16"/>
      <c r="Q946" s="16"/>
      <c r="R946" s="16"/>
      <c r="S946" s="16"/>
      <c r="T946" s="16"/>
      <c r="U946" s="16"/>
      <c r="V946" s="16"/>
      <c r="W946" s="16"/>
      <c r="X946" s="16"/>
      <c r="Y946" s="16"/>
      <c r="Z946" s="16"/>
    </row>
    <row r="947" spans="1:26" ht="15.75" customHeight="1">
      <c r="A947" s="103"/>
      <c r="B947" s="103"/>
      <c r="C947" s="104"/>
      <c r="D947" s="103"/>
      <c r="E947" s="103"/>
      <c r="F947" s="103"/>
      <c r="G947" s="103"/>
      <c r="H947" s="103"/>
      <c r="I947" s="103"/>
      <c r="J947" s="103"/>
      <c r="K947" s="16"/>
      <c r="L947" s="16"/>
      <c r="M947" s="16"/>
      <c r="N947" s="16"/>
      <c r="O947" s="16"/>
      <c r="P947" s="16"/>
      <c r="Q947" s="16"/>
      <c r="R947" s="16"/>
      <c r="S947" s="16"/>
      <c r="T947" s="16"/>
      <c r="U947" s="16"/>
      <c r="V947" s="16"/>
      <c r="W947" s="16"/>
      <c r="X947" s="16"/>
      <c r="Y947" s="16"/>
      <c r="Z947" s="16"/>
    </row>
    <row r="948" spans="1:26" ht="15.75" customHeight="1">
      <c r="A948" s="103"/>
      <c r="B948" s="103"/>
      <c r="C948" s="104"/>
      <c r="D948" s="103"/>
      <c r="E948" s="103"/>
      <c r="F948" s="103"/>
      <c r="G948" s="103"/>
      <c r="H948" s="103"/>
      <c r="I948" s="103"/>
      <c r="J948" s="103"/>
      <c r="K948" s="16"/>
      <c r="L948" s="16"/>
      <c r="M948" s="16"/>
      <c r="N948" s="16"/>
      <c r="O948" s="16"/>
      <c r="P948" s="16"/>
      <c r="Q948" s="16"/>
      <c r="R948" s="16"/>
      <c r="S948" s="16"/>
      <c r="T948" s="16"/>
      <c r="U948" s="16"/>
      <c r="V948" s="16"/>
      <c r="W948" s="16"/>
      <c r="X948" s="16"/>
      <c r="Y948" s="16"/>
      <c r="Z948" s="16"/>
    </row>
    <row r="949" spans="1:26" ht="15.75" customHeight="1">
      <c r="A949" s="103"/>
      <c r="B949" s="103"/>
      <c r="C949" s="104"/>
      <c r="D949" s="103"/>
      <c r="E949" s="103"/>
      <c r="F949" s="103"/>
      <c r="G949" s="103"/>
      <c r="H949" s="103"/>
      <c r="I949" s="103"/>
      <c r="J949" s="103"/>
      <c r="K949" s="16"/>
      <c r="L949" s="16"/>
      <c r="M949" s="16"/>
      <c r="N949" s="16"/>
      <c r="O949" s="16"/>
      <c r="P949" s="16"/>
      <c r="Q949" s="16"/>
      <c r="R949" s="16"/>
      <c r="S949" s="16"/>
      <c r="T949" s="16"/>
      <c r="U949" s="16"/>
      <c r="V949" s="16"/>
      <c r="W949" s="16"/>
      <c r="X949" s="16"/>
      <c r="Y949" s="16"/>
      <c r="Z949" s="16"/>
    </row>
    <row r="950" spans="1:26" ht="15.75" customHeight="1">
      <c r="A950" s="103"/>
      <c r="B950" s="103"/>
      <c r="C950" s="104"/>
      <c r="D950" s="103"/>
      <c r="E950" s="103"/>
      <c r="F950" s="103"/>
      <c r="G950" s="103"/>
      <c r="H950" s="103"/>
      <c r="I950" s="103"/>
      <c r="J950" s="103"/>
      <c r="K950" s="16"/>
      <c r="L950" s="16"/>
      <c r="M950" s="16"/>
      <c r="N950" s="16"/>
      <c r="O950" s="16"/>
      <c r="P950" s="16"/>
      <c r="Q950" s="16"/>
      <c r="R950" s="16"/>
      <c r="S950" s="16"/>
      <c r="T950" s="16"/>
      <c r="U950" s="16"/>
      <c r="V950" s="16"/>
      <c r="W950" s="16"/>
      <c r="X950" s="16"/>
      <c r="Y950" s="16"/>
      <c r="Z950" s="16"/>
    </row>
    <row r="951" spans="1:26" ht="15.75" customHeight="1">
      <c r="A951" s="103"/>
      <c r="B951" s="103"/>
      <c r="C951" s="104"/>
      <c r="D951" s="103"/>
      <c r="E951" s="103"/>
      <c r="F951" s="103"/>
      <c r="G951" s="103"/>
      <c r="H951" s="103"/>
      <c r="I951" s="103"/>
      <c r="J951" s="103"/>
      <c r="K951" s="16"/>
      <c r="L951" s="16"/>
      <c r="M951" s="16"/>
      <c r="N951" s="16"/>
      <c r="O951" s="16"/>
      <c r="P951" s="16"/>
      <c r="Q951" s="16"/>
      <c r="R951" s="16"/>
      <c r="S951" s="16"/>
      <c r="T951" s="16"/>
      <c r="U951" s="16"/>
      <c r="V951" s="16"/>
      <c r="W951" s="16"/>
      <c r="X951" s="16"/>
      <c r="Y951" s="16"/>
      <c r="Z951" s="16"/>
    </row>
    <row r="952" spans="1:26" ht="15.75" customHeight="1">
      <c r="A952" s="103"/>
      <c r="B952" s="103"/>
      <c r="C952" s="104"/>
      <c r="D952" s="103"/>
      <c r="E952" s="103"/>
      <c r="F952" s="103"/>
      <c r="G952" s="103"/>
      <c r="H952" s="103"/>
      <c r="I952" s="103"/>
      <c r="J952" s="103"/>
      <c r="K952" s="16"/>
      <c r="L952" s="16"/>
      <c r="M952" s="16"/>
      <c r="N952" s="16"/>
      <c r="O952" s="16"/>
      <c r="P952" s="16"/>
      <c r="Q952" s="16"/>
      <c r="R952" s="16"/>
      <c r="S952" s="16"/>
      <c r="T952" s="16"/>
      <c r="U952" s="16"/>
      <c r="V952" s="16"/>
      <c r="W952" s="16"/>
      <c r="X952" s="16"/>
      <c r="Y952" s="16"/>
      <c r="Z952" s="16"/>
    </row>
    <row r="953" spans="1:26" ht="15.75" customHeight="1">
      <c r="A953" s="103"/>
      <c r="B953" s="103"/>
      <c r="C953" s="104"/>
      <c r="D953" s="103"/>
      <c r="E953" s="103"/>
      <c r="F953" s="103"/>
      <c r="G953" s="103"/>
      <c r="H953" s="103"/>
      <c r="I953" s="103"/>
      <c r="J953" s="103"/>
      <c r="K953" s="16"/>
      <c r="L953" s="16"/>
      <c r="M953" s="16"/>
      <c r="N953" s="16"/>
      <c r="O953" s="16"/>
      <c r="P953" s="16"/>
      <c r="Q953" s="16"/>
      <c r="R953" s="16"/>
      <c r="S953" s="16"/>
      <c r="T953" s="16"/>
      <c r="U953" s="16"/>
      <c r="V953" s="16"/>
      <c r="W953" s="16"/>
      <c r="X953" s="16"/>
      <c r="Y953" s="16"/>
      <c r="Z953" s="16"/>
    </row>
    <row r="954" spans="1:26" ht="15.75" customHeight="1">
      <c r="A954" s="103"/>
      <c r="B954" s="103"/>
      <c r="C954" s="104"/>
      <c r="D954" s="103"/>
      <c r="E954" s="103"/>
      <c r="F954" s="103"/>
      <c r="G954" s="103"/>
      <c r="H954" s="103"/>
      <c r="I954" s="103"/>
      <c r="J954" s="103"/>
      <c r="K954" s="16"/>
      <c r="L954" s="16"/>
      <c r="M954" s="16"/>
      <c r="N954" s="16"/>
      <c r="O954" s="16"/>
      <c r="P954" s="16"/>
      <c r="Q954" s="16"/>
      <c r="R954" s="16"/>
      <c r="S954" s="16"/>
      <c r="T954" s="16"/>
      <c r="U954" s="16"/>
      <c r="V954" s="16"/>
      <c r="W954" s="16"/>
      <c r="X954" s="16"/>
      <c r="Y954" s="16"/>
      <c r="Z954" s="16"/>
    </row>
    <row r="955" spans="1:26" ht="15.75" customHeight="1">
      <c r="A955" s="103"/>
      <c r="B955" s="103"/>
      <c r="C955" s="104"/>
      <c r="D955" s="103"/>
      <c r="E955" s="103"/>
      <c r="F955" s="103"/>
      <c r="G955" s="103"/>
      <c r="H955" s="103"/>
      <c r="I955" s="103"/>
      <c r="J955" s="103"/>
      <c r="K955" s="16"/>
      <c r="L955" s="16"/>
      <c r="M955" s="16"/>
      <c r="N955" s="16"/>
      <c r="O955" s="16"/>
      <c r="P955" s="16"/>
      <c r="Q955" s="16"/>
      <c r="R955" s="16"/>
      <c r="S955" s="16"/>
      <c r="T955" s="16"/>
      <c r="U955" s="16"/>
      <c r="V955" s="16"/>
      <c r="W955" s="16"/>
      <c r="X955" s="16"/>
      <c r="Y955" s="16"/>
      <c r="Z955" s="16"/>
    </row>
    <row r="956" spans="1:26" ht="15.75" customHeight="1">
      <c r="A956" s="103"/>
      <c r="B956" s="103"/>
      <c r="C956" s="104"/>
      <c r="D956" s="103"/>
      <c r="E956" s="103"/>
      <c r="F956" s="103"/>
      <c r="G956" s="103"/>
      <c r="H956" s="103"/>
      <c r="I956" s="103"/>
      <c r="J956" s="103"/>
      <c r="K956" s="16"/>
      <c r="L956" s="16"/>
      <c r="M956" s="16"/>
      <c r="N956" s="16"/>
      <c r="O956" s="16"/>
      <c r="P956" s="16"/>
      <c r="Q956" s="16"/>
      <c r="R956" s="16"/>
      <c r="S956" s="16"/>
      <c r="T956" s="16"/>
      <c r="U956" s="16"/>
      <c r="V956" s="16"/>
      <c r="W956" s="16"/>
      <c r="X956" s="16"/>
      <c r="Y956" s="16"/>
      <c r="Z956" s="16"/>
    </row>
    <row r="957" spans="1:26" ht="15.75" customHeight="1">
      <c r="A957" s="103"/>
      <c r="B957" s="103"/>
      <c r="C957" s="104"/>
      <c r="D957" s="103"/>
      <c r="E957" s="103"/>
      <c r="F957" s="103"/>
      <c r="G957" s="103"/>
      <c r="H957" s="103"/>
      <c r="I957" s="103"/>
      <c r="J957" s="103"/>
      <c r="K957" s="16"/>
      <c r="L957" s="16"/>
      <c r="M957" s="16"/>
      <c r="N957" s="16"/>
      <c r="O957" s="16"/>
      <c r="P957" s="16"/>
      <c r="Q957" s="16"/>
      <c r="R957" s="16"/>
      <c r="S957" s="16"/>
      <c r="T957" s="16"/>
      <c r="U957" s="16"/>
      <c r="V957" s="16"/>
      <c r="W957" s="16"/>
      <c r="X957" s="16"/>
      <c r="Y957" s="16"/>
      <c r="Z957" s="16"/>
    </row>
    <row r="958" spans="1:26" ht="15.75" customHeight="1">
      <c r="A958" s="103"/>
      <c r="B958" s="103"/>
      <c r="C958" s="104"/>
      <c r="D958" s="103"/>
      <c r="E958" s="103"/>
      <c r="F958" s="103"/>
      <c r="G958" s="103"/>
      <c r="H958" s="103"/>
      <c r="I958" s="103"/>
      <c r="J958" s="103"/>
      <c r="K958" s="16"/>
      <c r="L958" s="16"/>
      <c r="M958" s="16"/>
      <c r="N958" s="16"/>
      <c r="O958" s="16"/>
      <c r="P958" s="16"/>
      <c r="Q958" s="16"/>
      <c r="R958" s="16"/>
      <c r="S958" s="16"/>
      <c r="T958" s="16"/>
      <c r="U958" s="16"/>
      <c r="V958" s="16"/>
      <c r="W958" s="16"/>
      <c r="X958" s="16"/>
      <c r="Y958" s="16"/>
      <c r="Z958" s="16"/>
    </row>
    <row r="959" spans="1:26" ht="15.75" customHeight="1">
      <c r="A959" s="103"/>
      <c r="B959" s="103"/>
      <c r="C959" s="104"/>
      <c r="D959" s="103"/>
      <c r="E959" s="103"/>
      <c r="F959" s="103"/>
      <c r="G959" s="103"/>
      <c r="H959" s="103"/>
      <c r="I959" s="103"/>
      <c r="J959" s="103"/>
      <c r="K959" s="16"/>
      <c r="L959" s="16"/>
      <c r="M959" s="16"/>
      <c r="N959" s="16"/>
      <c r="O959" s="16"/>
      <c r="P959" s="16"/>
      <c r="Q959" s="16"/>
      <c r="R959" s="16"/>
      <c r="S959" s="16"/>
      <c r="T959" s="16"/>
      <c r="U959" s="16"/>
      <c r="V959" s="16"/>
      <c r="W959" s="16"/>
      <c r="X959" s="16"/>
      <c r="Y959" s="16"/>
      <c r="Z959" s="16"/>
    </row>
    <row r="960" spans="1:26" ht="15.75" customHeight="1">
      <c r="A960" s="103"/>
      <c r="B960" s="103"/>
      <c r="C960" s="104"/>
      <c r="D960" s="103"/>
      <c r="E960" s="103"/>
      <c r="F960" s="103"/>
      <c r="G960" s="103"/>
      <c r="H960" s="103"/>
      <c r="I960" s="103"/>
      <c r="J960" s="103"/>
      <c r="K960" s="16"/>
      <c r="L960" s="16"/>
      <c r="M960" s="16"/>
      <c r="N960" s="16"/>
      <c r="O960" s="16"/>
      <c r="P960" s="16"/>
      <c r="Q960" s="16"/>
      <c r="R960" s="16"/>
      <c r="S960" s="16"/>
      <c r="T960" s="16"/>
      <c r="U960" s="16"/>
      <c r="V960" s="16"/>
      <c r="W960" s="16"/>
      <c r="X960" s="16"/>
      <c r="Y960" s="16"/>
      <c r="Z960" s="16"/>
    </row>
    <row r="961" spans="1:26" ht="15.75" customHeight="1">
      <c r="A961" s="103"/>
      <c r="B961" s="103"/>
      <c r="C961" s="104"/>
      <c r="D961" s="103"/>
      <c r="E961" s="103"/>
      <c r="F961" s="103"/>
      <c r="G961" s="103"/>
      <c r="H961" s="103"/>
      <c r="I961" s="103"/>
      <c r="J961" s="103"/>
      <c r="K961" s="16"/>
      <c r="L961" s="16"/>
      <c r="M961" s="16"/>
      <c r="N961" s="16"/>
      <c r="O961" s="16"/>
      <c r="P961" s="16"/>
      <c r="Q961" s="16"/>
      <c r="R961" s="16"/>
      <c r="S961" s="16"/>
      <c r="T961" s="16"/>
      <c r="U961" s="16"/>
      <c r="V961" s="16"/>
      <c r="W961" s="16"/>
      <c r="X961" s="16"/>
      <c r="Y961" s="16"/>
      <c r="Z961" s="16"/>
    </row>
    <row r="962" spans="1:26" ht="15.75" customHeight="1">
      <c r="A962" s="103"/>
      <c r="B962" s="103"/>
      <c r="C962" s="104"/>
      <c r="D962" s="103"/>
      <c r="E962" s="103"/>
      <c r="F962" s="103"/>
      <c r="G962" s="103"/>
      <c r="H962" s="103"/>
      <c r="I962" s="103"/>
      <c r="J962" s="103"/>
      <c r="K962" s="16"/>
      <c r="L962" s="16"/>
      <c r="M962" s="16"/>
      <c r="N962" s="16"/>
      <c r="O962" s="16"/>
      <c r="P962" s="16"/>
      <c r="Q962" s="16"/>
      <c r="R962" s="16"/>
      <c r="S962" s="16"/>
      <c r="T962" s="16"/>
      <c r="U962" s="16"/>
      <c r="V962" s="16"/>
      <c r="W962" s="16"/>
      <c r="X962" s="16"/>
      <c r="Y962" s="16"/>
      <c r="Z962" s="16"/>
    </row>
    <row r="963" spans="1:26" ht="15.75" customHeight="1">
      <c r="A963" s="103"/>
      <c r="B963" s="103"/>
      <c r="C963" s="104"/>
      <c r="D963" s="103"/>
      <c r="E963" s="103"/>
      <c r="F963" s="103"/>
      <c r="G963" s="103"/>
      <c r="H963" s="103"/>
      <c r="I963" s="103"/>
      <c r="J963" s="103"/>
      <c r="K963" s="16"/>
      <c r="L963" s="16"/>
      <c r="M963" s="16"/>
      <c r="N963" s="16"/>
      <c r="O963" s="16"/>
      <c r="P963" s="16"/>
      <c r="Q963" s="16"/>
      <c r="R963" s="16"/>
      <c r="S963" s="16"/>
      <c r="T963" s="16"/>
      <c r="U963" s="16"/>
      <c r="V963" s="16"/>
      <c r="W963" s="16"/>
      <c r="X963" s="16"/>
      <c r="Y963" s="16"/>
      <c r="Z963" s="16"/>
    </row>
    <row r="964" spans="1:26" ht="15.75" customHeight="1">
      <c r="A964" s="103"/>
      <c r="B964" s="103"/>
      <c r="C964" s="104"/>
      <c r="D964" s="103"/>
      <c r="E964" s="103"/>
      <c r="F964" s="103"/>
      <c r="G964" s="103"/>
      <c r="H964" s="103"/>
      <c r="I964" s="103"/>
      <c r="J964" s="103"/>
      <c r="K964" s="16"/>
      <c r="L964" s="16"/>
      <c r="M964" s="16"/>
      <c r="N964" s="16"/>
      <c r="O964" s="16"/>
      <c r="P964" s="16"/>
      <c r="Q964" s="16"/>
      <c r="R964" s="16"/>
      <c r="S964" s="16"/>
      <c r="T964" s="16"/>
      <c r="U964" s="16"/>
      <c r="V964" s="16"/>
      <c r="W964" s="16"/>
      <c r="X964" s="16"/>
      <c r="Y964" s="16"/>
      <c r="Z964" s="16"/>
    </row>
    <row r="965" spans="1:26" ht="15.75" customHeight="1">
      <c r="A965" s="103"/>
      <c r="B965" s="103"/>
      <c r="C965" s="104"/>
      <c r="D965" s="103"/>
      <c r="E965" s="103"/>
      <c r="F965" s="103"/>
      <c r="G965" s="103"/>
      <c r="H965" s="103"/>
      <c r="I965" s="103"/>
      <c r="J965" s="103"/>
      <c r="K965" s="16"/>
      <c r="L965" s="16"/>
      <c r="M965" s="16"/>
      <c r="N965" s="16"/>
      <c r="O965" s="16"/>
      <c r="P965" s="16"/>
      <c r="Q965" s="16"/>
      <c r="R965" s="16"/>
      <c r="S965" s="16"/>
      <c r="T965" s="16"/>
      <c r="U965" s="16"/>
      <c r="V965" s="16"/>
      <c r="W965" s="16"/>
      <c r="X965" s="16"/>
      <c r="Y965" s="16"/>
      <c r="Z965" s="16"/>
    </row>
    <row r="966" spans="1:26" ht="15.75" customHeight="1">
      <c r="A966" s="103"/>
      <c r="B966" s="103"/>
      <c r="C966" s="104"/>
      <c r="D966" s="103"/>
      <c r="E966" s="103"/>
      <c r="F966" s="103"/>
      <c r="G966" s="103"/>
      <c r="H966" s="103"/>
      <c r="I966" s="103"/>
      <c r="J966" s="103"/>
      <c r="K966" s="16"/>
      <c r="L966" s="16"/>
      <c r="M966" s="16"/>
      <c r="N966" s="16"/>
      <c r="O966" s="16"/>
      <c r="P966" s="16"/>
      <c r="Q966" s="16"/>
      <c r="R966" s="16"/>
      <c r="S966" s="16"/>
      <c r="T966" s="16"/>
      <c r="U966" s="16"/>
      <c r="V966" s="16"/>
      <c r="W966" s="16"/>
      <c r="X966" s="16"/>
      <c r="Y966" s="16"/>
      <c r="Z966" s="16"/>
    </row>
    <row r="967" spans="1:26" ht="15.75" customHeight="1">
      <c r="A967" s="103"/>
      <c r="B967" s="103"/>
      <c r="C967" s="104"/>
      <c r="D967" s="103"/>
      <c r="E967" s="103"/>
      <c r="F967" s="103"/>
      <c r="G967" s="103"/>
      <c r="H967" s="103"/>
      <c r="I967" s="103"/>
      <c r="J967" s="103"/>
      <c r="K967" s="16"/>
      <c r="L967" s="16"/>
      <c r="M967" s="16"/>
      <c r="N967" s="16"/>
      <c r="O967" s="16"/>
      <c r="P967" s="16"/>
      <c r="Q967" s="16"/>
      <c r="R967" s="16"/>
      <c r="S967" s="16"/>
      <c r="T967" s="16"/>
      <c r="U967" s="16"/>
      <c r="V967" s="16"/>
      <c r="W967" s="16"/>
      <c r="X967" s="16"/>
      <c r="Y967" s="16"/>
      <c r="Z967" s="16"/>
    </row>
    <row r="968" spans="1:26" ht="15.75" customHeight="1">
      <c r="A968" s="103"/>
      <c r="B968" s="103"/>
      <c r="C968" s="104"/>
      <c r="D968" s="103"/>
      <c r="E968" s="103"/>
      <c r="F968" s="103"/>
      <c r="G968" s="103"/>
      <c r="H968" s="103"/>
      <c r="I968" s="103"/>
      <c r="J968" s="103"/>
      <c r="K968" s="16"/>
      <c r="L968" s="16"/>
      <c r="M968" s="16"/>
      <c r="N968" s="16"/>
      <c r="O968" s="16"/>
      <c r="P968" s="16"/>
      <c r="Q968" s="16"/>
      <c r="R968" s="16"/>
      <c r="S968" s="16"/>
      <c r="T968" s="16"/>
      <c r="U968" s="16"/>
      <c r="V968" s="16"/>
      <c r="W968" s="16"/>
      <c r="X968" s="16"/>
      <c r="Y968" s="16"/>
      <c r="Z968" s="16"/>
    </row>
    <row r="969" spans="1:26" ht="15.75" customHeight="1">
      <c r="A969" s="103"/>
      <c r="B969" s="103"/>
      <c r="C969" s="104"/>
      <c r="D969" s="103"/>
      <c r="E969" s="103"/>
      <c r="F969" s="103"/>
      <c r="G969" s="103"/>
      <c r="H969" s="103"/>
      <c r="I969" s="103"/>
      <c r="J969" s="103"/>
      <c r="K969" s="16"/>
      <c r="L969" s="16"/>
      <c r="M969" s="16"/>
      <c r="N969" s="16"/>
      <c r="O969" s="16"/>
      <c r="P969" s="16"/>
      <c r="Q969" s="16"/>
      <c r="R969" s="16"/>
      <c r="S969" s="16"/>
      <c r="T969" s="16"/>
      <c r="U969" s="16"/>
      <c r="V969" s="16"/>
      <c r="W969" s="16"/>
      <c r="X969" s="16"/>
      <c r="Y969" s="16"/>
      <c r="Z969" s="16"/>
    </row>
    <row r="970" spans="1:26" ht="15.75" customHeight="1">
      <c r="A970" s="103"/>
      <c r="B970" s="103"/>
      <c r="C970" s="104"/>
      <c r="D970" s="103"/>
      <c r="E970" s="103"/>
      <c r="F970" s="103"/>
      <c r="G970" s="103"/>
      <c r="H970" s="103"/>
      <c r="I970" s="103"/>
      <c r="J970" s="103"/>
      <c r="K970" s="16"/>
      <c r="L970" s="16"/>
      <c r="M970" s="16"/>
      <c r="N970" s="16"/>
      <c r="O970" s="16"/>
      <c r="P970" s="16"/>
      <c r="Q970" s="16"/>
      <c r="R970" s="16"/>
      <c r="S970" s="16"/>
      <c r="T970" s="16"/>
      <c r="U970" s="16"/>
      <c r="V970" s="16"/>
      <c r="W970" s="16"/>
      <c r="X970" s="16"/>
      <c r="Y970" s="16"/>
      <c r="Z970" s="16"/>
    </row>
    <row r="971" spans="1:26" ht="15.75" customHeight="1">
      <c r="A971" s="103"/>
      <c r="B971" s="103"/>
      <c r="C971" s="104"/>
      <c r="D971" s="103"/>
      <c r="E971" s="103"/>
      <c r="F971" s="103"/>
      <c r="G971" s="103"/>
      <c r="H971" s="103"/>
      <c r="I971" s="103"/>
      <c r="J971" s="103"/>
      <c r="K971" s="16"/>
      <c r="L971" s="16"/>
      <c r="M971" s="16"/>
      <c r="N971" s="16"/>
      <c r="O971" s="16"/>
      <c r="P971" s="16"/>
      <c r="Q971" s="16"/>
      <c r="R971" s="16"/>
      <c r="S971" s="16"/>
      <c r="T971" s="16"/>
      <c r="U971" s="16"/>
      <c r="V971" s="16"/>
      <c r="W971" s="16"/>
      <c r="X971" s="16"/>
      <c r="Y971" s="16"/>
      <c r="Z971" s="16"/>
    </row>
    <row r="972" spans="1:26" ht="15.75" customHeight="1">
      <c r="A972" s="103"/>
      <c r="B972" s="103"/>
      <c r="C972" s="104"/>
      <c r="D972" s="103"/>
      <c r="E972" s="103"/>
      <c r="F972" s="103"/>
      <c r="G972" s="103"/>
      <c r="H972" s="103"/>
      <c r="I972" s="103"/>
      <c r="J972" s="103"/>
      <c r="K972" s="16"/>
      <c r="L972" s="16"/>
      <c r="M972" s="16"/>
      <c r="N972" s="16"/>
      <c r="O972" s="16"/>
      <c r="P972" s="16"/>
      <c r="Q972" s="16"/>
      <c r="R972" s="16"/>
      <c r="S972" s="16"/>
      <c r="T972" s="16"/>
      <c r="U972" s="16"/>
      <c r="V972" s="16"/>
      <c r="W972" s="16"/>
      <c r="X972" s="16"/>
      <c r="Y972" s="16"/>
      <c r="Z972" s="16"/>
    </row>
    <row r="973" spans="1:26" ht="15.75" customHeight="1">
      <c r="A973" s="103"/>
      <c r="B973" s="103"/>
      <c r="C973" s="104"/>
      <c r="D973" s="103"/>
      <c r="E973" s="103"/>
      <c r="F973" s="103"/>
      <c r="G973" s="103"/>
      <c r="H973" s="103"/>
      <c r="I973" s="103"/>
      <c r="J973" s="103"/>
      <c r="K973" s="16"/>
      <c r="L973" s="16"/>
      <c r="M973" s="16"/>
      <c r="N973" s="16"/>
      <c r="O973" s="16"/>
      <c r="P973" s="16"/>
      <c r="Q973" s="16"/>
      <c r="R973" s="16"/>
      <c r="S973" s="16"/>
      <c r="T973" s="16"/>
      <c r="U973" s="16"/>
      <c r="V973" s="16"/>
      <c r="W973" s="16"/>
      <c r="X973" s="16"/>
      <c r="Y973" s="16"/>
      <c r="Z973" s="16"/>
    </row>
    <row r="974" spans="1:26" ht="15.75" customHeight="1">
      <c r="A974" s="103"/>
      <c r="B974" s="103"/>
      <c r="C974" s="104"/>
      <c r="D974" s="103"/>
      <c r="E974" s="103"/>
      <c r="F974" s="103"/>
      <c r="G974" s="103"/>
      <c r="H974" s="103"/>
      <c r="I974" s="103"/>
      <c r="J974" s="103"/>
      <c r="K974" s="16"/>
      <c r="L974" s="16"/>
      <c r="M974" s="16"/>
      <c r="N974" s="16"/>
      <c r="O974" s="16"/>
      <c r="P974" s="16"/>
      <c r="Q974" s="16"/>
      <c r="R974" s="16"/>
      <c r="S974" s="16"/>
      <c r="T974" s="16"/>
      <c r="U974" s="16"/>
      <c r="V974" s="16"/>
      <c r="W974" s="16"/>
      <c r="X974" s="16"/>
      <c r="Y974" s="16"/>
      <c r="Z974" s="16"/>
    </row>
    <row r="975" spans="1:26" ht="15.75" customHeight="1">
      <c r="A975" s="103"/>
      <c r="B975" s="103"/>
      <c r="C975" s="104"/>
      <c r="D975" s="103"/>
      <c r="E975" s="103"/>
      <c r="F975" s="103"/>
      <c r="G975" s="103"/>
      <c r="H975" s="103"/>
      <c r="I975" s="103"/>
      <c r="J975" s="103"/>
      <c r="K975" s="16"/>
      <c r="L975" s="16"/>
      <c r="M975" s="16"/>
      <c r="N975" s="16"/>
      <c r="O975" s="16"/>
      <c r="P975" s="16"/>
      <c r="Q975" s="16"/>
      <c r="R975" s="16"/>
      <c r="S975" s="16"/>
      <c r="T975" s="16"/>
      <c r="U975" s="16"/>
      <c r="V975" s="16"/>
      <c r="W975" s="16"/>
      <c r="X975" s="16"/>
      <c r="Y975" s="16"/>
      <c r="Z975" s="16"/>
    </row>
    <row r="976" spans="1:26" ht="15.75" customHeight="1">
      <c r="A976" s="103"/>
      <c r="B976" s="103"/>
      <c r="C976" s="104"/>
      <c r="D976" s="103"/>
      <c r="E976" s="103"/>
      <c r="F976" s="103"/>
      <c r="G976" s="103"/>
      <c r="H976" s="103"/>
      <c r="I976" s="103"/>
      <c r="J976" s="103"/>
      <c r="K976" s="16"/>
      <c r="L976" s="16"/>
      <c r="M976" s="16"/>
      <c r="N976" s="16"/>
      <c r="O976" s="16"/>
      <c r="P976" s="16"/>
      <c r="Q976" s="16"/>
      <c r="R976" s="16"/>
      <c r="S976" s="16"/>
      <c r="T976" s="16"/>
      <c r="U976" s="16"/>
      <c r="V976" s="16"/>
      <c r="W976" s="16"/>
      <c r="X976" s="16"/>
      <c r="Y976" s="16"/>
      <c r="Z976" s="16"/>
    </row>
    <row r="977" spans="1:26" ht="15.75" customHeight="1">
      <c r="A977" s="103"/>
      <c r="B977" s="103"/>
      <c r="C977" s="104"/>
      <c r="D977" s="103"/>
      <c r="E977" s="103"/>
      <c r="F977" s="103"/>
      <c r="G977" s="103"/>
      <c r="H977" s="103"/>
      <c r="I977" s="103"/>
      <c r="J977" s="103"/>
      <c r="K977" s="16"/>
      <c r="L977" s="16"/>
      <c r="M977" s="16"/>
      <c r="N977" s="16"/>
      <c r="O977" s="16"/>
      <c r="P977" s="16"/>
      <c r="Q977" s="16"/>
      <c r="R977" s="16"/>
      <c r="S977" s="16"/>
      <c r="T977" s="16"/>
      <c r="U977" s="16"/>
      <c r="V977" s="16"/>
      <c r="W977" s="16"/>
      <c r="X977" s="16"/>
      <c r="Y977" s="16"/>
      <c r="Z977" s="16"/>
    </row>
    <row r="978" spans="1:26" ht="15.75" customHeight="1">
      <c r="A978" s="103"/>
      <c r="B978" s="103"/>
      <c r="C978" s="104"/>
      <c r="D978" s="103"/>
      <c r="E978" s="103"/>
      <c r="F978" s="103"/>
      <c r="G978" s="103"/>
      <c r="H978" s="103"/>
      <c r="I978" s="103"/>
      <c r="J978" s="103"/>
      <c r="K978" s="16"/>
      <c r="L978" s="16"/>
      <c r="M978" s="16"/>
      <c r="N978" s="16"/>
      <c r="O978" s="16"/>
      <c r="P978" s="16"/>
      <c r="Q978" s="16"/>
      <c r="R978" s="16"/>
      <c r="S978" s="16"/>
      <c r="T978" s="16"/>
      <c r="U978" s="16"/>
      <c r="V978" s="16"/>
      <c r="W978" s="16"/>
      <c r="X978" s="16"/>
      <c r="Y978" s="16"/>
      <c r="Z978" s="16"/>
    </row>
    <row r="979" spans="1:26" ht="15.75" customHeight="1">
      <c r="A979" s="103"/>
      <c r="B979" s="103"/>
      <c r="C979" s="104"/>
      <c r="D979" s="103"/>
      <c r="E979" s="103"/>
      <c r="F979" s="103"/>
      <c r="G979" s="103"/>
      <c r="H979" s="103"/>
      <c r="I979" s="103"/>
      <c r="J979" s="103"/>
      <c r="K979" s="16"/>
      <c r="L979" s="16"/>
      <c r="M979" s="16"/>
      <c r="N979" s="16"/>
      <c r="O979" s="16"/>
      <c r="P979" s="16"/>
      <c r="Q979" s="16"/>
      <c r="R979" s="16"/>
      <c r="S979" s="16"/>
      <c r="T979" s="16"/>
      <c r="U979" s="16"/>
      <c r="V979" s="16"/>
      <c r="W979" s="16"/>
      <c r="X979" s="16"/>
      <c r="Y979" s="16"/>
      <c r="Z979" s="16"/>
    </row>
    <row r="980" spans="1:26" ht="15.75" customHeight="1">
      <c r="A980" s="103"/>
      <c r="B980" s="103"/>
      <c r="C980" s="104"/>
      <c r="D980" s="103"/>
      <c r="E980" s="103"/>
      <c r="F980" s="103"/>
      <c r="G980" s="103"/>
      <c r="H980" s="103"/>
      <c r="I980" s="103"/>
      <c r="J980" s="103"/>
      <c r="K980" s="16"/>
      <c r="L980" s="16"/>
      <c r="M980" s="16"/>
      <c r="N980" s="16"/>
      <c r="O980" s="16"/>
      <c r="P980" s="16"/>
      <c r="Q980" s="16"/>
      <c r="R980" s="16"/>
      <c r="S980" s="16"/>
      <c r="T980" s="16"/>
      <c r="U980" s="16"/>
      <c r="V980" s="16"/>
      <c r="W980" s="16"/>
      <c r="X980" s="16"/>
      <c r="Y980" s="16"/>
      <c r="Z980" s="16"/>
    </row>
    <row r="981" spans="1:26" ht="15.75" customHeight="1">
      <c r="A981" s="103"/>
      <c r="B981" s="103"/>
      <c r="C981" s="104"/>
      <c r="D981" s="103"/>
      <c r="E981" s="103"/>
      <c r="F981" s="103"/>
      <c r="G981" s="103"/>
      <c r="H981" s="103"/>
      <c r="I981" s="103"/>
      <c r="J981" s="103"/>
      <c r="K981" s="16"/>
      <c r="L981" s="16"/>
      <c r="M981" s="16"/>
      <c r="N981" s="16"/>
      <c r="O981" s="16"/>
      <c r="P981" s="16"/>
      <c r="Q981" s="16"/>
      <c r="R981" s="16"/>
      <c r="S981" s="16"/>
      <c r="T981" s="16"/>
      <c r="U981" s="16"/>
      <c r="V981" s="16"/>
      <c r="W981" s="16"/>
      <c r="X981" s="16"/>
      <c r="Y981" s="16"/>
      <c r="Z981" s="16"/>
    </row>
    <row r="982" spans="1:26" ht="15.75" customHeight="1">
      <c r="A982" s="103"/>
      <c r="B982" s="103"/>
      <c r="C982" s="104"/>
      <c r="D982" s="103"/>
      <c r="E982" s="103"/>
      <c r="F982" s="103"/>
      <c r="G982" s="103"/>
      <c r="H982" s="103"/>
      <c r="I982" s="103"/>
      <c r="J982" s="103"/>
      <c r="K982" s="16"/>
      <c r="L982" s="16"/>
      <c r="M982" s="16"/>
      <c r="N982" s="16"/>
      <c r="O982" s="16"/>
      <c r="P982" s="16"/>
      <c r="Q982" s="16"/>
      <c r="R982" s="16"/>
      <c r="S982" s="16"/>
      <c r="T982" s="16"/>
      <c r="U982" s="16"/>
      <c r="V982" s="16"/>
      <c r="W982" s="16"/>
      <c r="X982" s="16"/>
      <c r="Y982" s="16"/>
      <c r="Z982" s="16"/>
    </row>
    <row r="983" spans="1:26" ht="15.75" customHeight="1">
      <c r="A983" s="103"/>
      <c r="B983" s="103"/>
      <c r="C983" s="104"/>
      <c r="D983" s="103"/>
      <c r="E983" s="103"/>
      <c r="F983" s="103"/>
      <c r="G983" s="103"/>
      <c r="H983" s="103"/>
      <c r="I983" s="103"/>
      <c r="J983" s="103"/>
      <c r="K983" s="16"/>
      <c r="L983" s="16"/>
      <c r="M983" s="16"/>
      <c r="N983" s="16"/>
      <c r="O983" s="16"/>
      <c r="P983" s="16"/>
      <c r="Q983" s="16"/>
      <c r="R983" s="16"/>
      <c r="S983" s="16"/>
      <c r="T983" s="16"/>
      <c r="U983" s="16"/>
      <c r="V983" s="16"/>
      <c r="W983" s="16"/>
      <c r="X983" s="16"/>
      <c r="Y983" s="16"/>
      <c r="Z983" s="16"/>
    </row>
    <row r="984" spans="1:26" ht="15.75" customHeight="1">
      <c r="A984" s="103"/>
      <c r="B984" s="103"/>
      <c r="C984" s="104"/>
      <c r="D984" s="103"/>
      <c r="E984" s="103"/>
      <c r="F984" s="103"/>
      <c r="G984" s="103"/>
      <c r="H984" s="103"/>
      <c r="I984" s="103"/>
      <c r="J984" s="103"/>
      <c r="K984" s="16"/>
      <c r="L984" s="16"/>
      <c r="M984" s="16"/>
      <c r="N984" s="16"/>
      <c r="O984" s="16"/>
      <c r="P984" s="16"/>
      <c r="Q984" s="16"/>
      <c r="R984" s="16"/>
      <c r="S984" s="16"/>
      <c r="T984" s="16"/>
      <c r="U984" s="16"/>
      <c r="V984" s="16"/>
      <c r="W984" s="16"/>
      <c r="X984" s="16"/>
      <c r="Y984" s="16"/>
      <c r="Z984" s="16"/>
    </row>
    <row r="985" spans="1:26" ht="15.75" customHeight="1">
      <c r="A985" s="103"/>
      <c r="B985" s="103"/>
      <c r="C985" s="104"/>
      <c r="D985" s="103"/>
      <c r="E985" s="103"/>
      <c r="F985" s="103"/>
      <c r="G985" s="103"/>
      <c r="H985" s="103"/>
      <c r="I985" s="103"/>
      <c r="J985" s="103"/>
      <c r="K985" s="16"/>
      <c r="L985" s="16"/>
      <c r="M985" s="16"/>
      <c r="N985" s="16"/>
      <c r="O985" s="16"/>
      <c r="P985" s="16"/>
      <c r="Q985" s="16"/>
      <c r="R985" s="16"/>
      <c r="S985" s="16"/>
      <c r="T985" s="16"/>
      <c r="U985" s="16"/>
      <c r="V985" s="16"/>
      <c r="W985" s="16"/>
      <c r="X985" s="16"/>
      <c r="Y985" s="16"/>
      <c r="Z985" s="16"/>
    </row>
    <row r="986" spans="1:26" ht="15.75" customHeight="1">
      <c r="A986" s="103"/>
      <c r="B986" s="103"/>
      <c r="C986" s="104"/>
      <c r="D986" s="103"/>
      <c r="E986" s="103"/>
      <c r="F986" s="103"/>
      <c r="G986" s="103"/>
      <c r="H986" s="103"/>
      <c r="I986" s="103"/>
      <c r="J986" s="103"/>
      <c r="K986" s="16"/>
      <c r="L986" s="16"/>
      <c r="M986" s="16"/>
      <c r="N986" s="16"/>
      <c r="O986" s="16"/>
      <c r="P986" s="16"/>
      <c r="Q986" s="16"/>
      <c r="R986" s="16"/>
      <c r="S986" s="16"/>
      <c r="T986" s="16"/>
      <c r="U986" s="16"/>
      <c r="V986" s="16"/>
      <c r="W986" s="16"/>
      <c r="X986" s="16"/>
      <c r="Y986" s="16"/>
      <c r="Z986" s="16"/>
    </row>
    <row r="987" spans="1:26" ht="15.75" customHeight="1">
      <c r="A987" s="103"/>
      <c r="B987" s="103"/>
      <c r="C987" s="104"/>
      <c r="D987" s="103"/>
      <c r="E987" s="103"/>
      <c r="F987" s="103"/>
      <c r="G987" s="103"/>
      <c r="H987" s="103"/>
      <c r="I987" s="103"/>
      <c r="J987" s="103"/>
      <c r="K987" s="16"/>
      <c r="L987" s="16"/>
      <c r="M987" s="16"/>
      <c r="N987" s="16"/>
      <c r="O987" s="16"/>
      <c r="P987" s="16"/>
      <c r="Q987" s="16"/>
      <c r="R987" s="16"/>
      <c r="S987" s="16"/>
      <c r="T987" s="16"/>
      <c r="U987" s="16"/>
      <c r="V987" s="16"/>
      <c r="W987" s="16"/>
      <c r="X987" s="16"/>
      <c r="Y987" s="16"/>
      <c r="Z987" s="16"/>
    </row>
    <row r="988" spans="1:26" ht="15.75" customHeight="1">
      <c r="A988" s="103"/>
      <c r="B988" s="103"/>
      <c r="C988" s="104"/>
      <c r="D988" s="103"/>
      <c r="E988" s="103"/>
      <c r="F988" s="103"/>
      <c r="G988" s="103"/>
      <c r="H988" s="103"/>
      <c r="I988" s="103"/>
      <c r="J988" s="103"/>
      <c r="K988" s="16"/>
      <c r="L988" s="16"/>
      <c r="M988" s="16"/>
      <c r="N988" s="16"/>
      <c r="O988" s="16"/>
      <c r="P988" s="16"/>
      <c r="Q988" s="16"/>
      <c r="R988" s="16"/>
      <c r="S988" s="16"/>
      <c r="T988" s="16"/>
      <c r="U988" s="16"/>
      <c r="V988" s="16"/>
      <c r="W988" s="16"/>
      <c r="X988" s="16"/>
      <c r="Y988" s="16"/>
      <c r="Z988" s="16"/>
    </row>
    <row r="989" spans="1:26" ht="15.75" customHeight="1">
      <c r="A989" s="103"/>
      <c r="B989" s="103"/>
      <c r="C989" s="104"/>
      <c r="D989" s="103"/>
      <c r="E989" s="103"/>
      <c r="F989" s="103"/>
      <c r="G989" s="103"/>
      <c r="H989" s="103"/>
      <c r="I989" s="103"/>
      <c r="J989" s="103"/>
      <c r="K989" s="16"/>
      <c r="L989" s="16"/>
      <c r="M989" s="16"/>
      <c r="N989" s="16"/>
      <c r="O989" s="16"/>
      <c r="P989" s="16"/>
      <c r="Q989" s="16"/>
      <c r="R989" s="16"/>
      <c r="S989" s="16"/>
      <c r="T989" s="16"/>
      <c r="U989" s="16"/>
      <c r="V989" s="16"/>
      <c r="W989" s="16"/>
      <c r="X989" s="16"/>
      <c r="Y989" s="16"/>
      <c r="Z989" s="16"/>
    </row>
    <row r="990" spans="1:26" ht="15.75" customHeight="1">
      <c r="A990" s="103"/>
      <c r="B990" s="103"/>
      <c r="C990" s="104"/>
      <c r="D990" s="103"/>
      <c r="E990" s="103"/>
      <c r="F990" s="103"/>
      <c r="G990" s="103"/>
      <c r="H990" s="103"/>
      <c r="I990" s="103"/>
      <c r="J990" s="103"/>
      <c r="K990" s="16"/>
      <c r="L990" s="16"/>
      <c r="M990" s="16"/>
      <c r="N990" s="16"/>
      <c r="O990" s="16"/>
      <c r="P990" s="16"/>
      <c r="Q990" s="16"/>
      <c r="R990" s="16"/>
      <c r="S990" s="16"/>
      <c r="T990" s="16"/>
      <c r="U990" s="16"/>
      <c r="V990" s="16"/>
      <c r="W990" s="16"/>
      <c r="X990" s="16"/>
      <c r="Y990" s="16"/>
      <c r="Z990" s="16"/>
    </row>
    <row r="991" spans="1:26" ht="15.75" customHeight="1">
      <c r="A991" s="103"/>
      <c r="B991" s="103"/>
      <c r="C991" s="104"/>
      <c r="D991" s="103"/>
      <c r="E991" s="103"/>
      <c r="F991" s="103"/>
      <c r="G991" s="103"/>
      <c r="H991" s="103"/>
      <c r="I991" s="103"/>
      <c r="J991" s="103"/>
      <c r="K991" s="16"/>
      <c r="L991" s="16"/>
      <c r="M991" s="16"/>
      <c r="N991" s="16"/>
      <c r="O991" s="16"/>
      <c r="P991" s="16"/>
      <c r="Q991" s="16"/>
      <c r="R991" s="16"/>
      <c r="S991" s="16"/>
      <c r="T991" s="16"/>
      <c r="U991" s="16"/>
      <c r="V991" s="16"/>
      <c r="W991" s="16"/>
      <c r="X991" s="16"/>
      <c r="Y991" s="16"/>
      <c r="Z991" s="16"/>
    </row>
    <row r="992" spans="1:26" ht="15.75" customHeight="1">
      <c r="A992" s="103"/>
      <c r="B992" s="103"/>
      <c r="C992" s="104"/>
      <c r="D992" s="103"/>
      <c r="E992" s="103"/>
      <c r="F992" s="103"/>
      <c r="G992" s="103"/>
      <c r="H992" s="103"/>
      <c r="I992" s="103"/>
      <c r="J992" s="103"/>
      <c r="K992" s="16"/>
      <c r="L992" s="16"/>
      <c r="M992" s="16"/>
      <c r="N992" s="16"/>
      <c r="O992" s="16"/>
      <c r="P992" s="16"/>
      <c r="Q992" s="16"/>
      <c r="R992" s="16"/>
      <c r="S992" s="16"/>
      <c r="T992" s="16"/>
      <c r="U992" s="16"/>
      <c r="V992" s="16"/>
      <c r="W992" s="16"/>
      <c r="X992" s="16"/>
      <c r="Y992" s="16"/>
      <c r="Z992" s="16"/>
    </row>
    <row r="993" spans="1:26" ht="15.75" customHeight="1">
      <c r="A993" s="103"/>
      <c r="B993" s="103"/>
      <c r="C993" s="104"/>
      <c r="D993" s="103"/>
      <c r="E993" s="103"/>
      <c r="F993" s="103"/>
      <c r="G993" s="103"/>
      <c r="H993" s="103"/>
      <c r="I993" s="103"/>
      <c r="J993" s="103"/>
      <c r="K993" s="16"/>
      <c r="L993" s="16"/>
      <c r="M993" s="16"/>
      <c r="N993" s="16"/>
      <c r="O993" s="16"/>
      <c r="P993" s="16"/>
      <c r="Q993" s="16"/>
      <c r="R993" s="16"/>
      <c r="S993" s="16"/>
      <c r="T993" s="16"/>
      <c r="U993" s="16"/>
      <c r="V993" s="16"/>
      <c r="W993" s="16"/>
      <c r="X993" s="16"/>
      <c r="Y993" s="16"/>
      <c r="Z993" s="16"/>
    </row>
    <row r="994" spans="1:26" ht="15.75" customHeight="1">
      <c r="A994" s="103"/>
      <c r="B994" s="103"/>
      <c r="C994" s="104"/>
      <c r="D994" s="103"/>
      <c r="E994" s="103"/>
      <c r="F994" s="103"/>
      <c r="G994" s="103"/>
      <c r="H994" s="103"/>
      <c r="I994" s="103"/>
      <c r="J994" s="103"/>
      <c r="K994" s="16"/>
      <c r="L994" s="16"/>
      <c r="M994" s="16"/>
      <c r="N994" s="16"/>
      <c r="O994" s="16"/>
      <c r="P994" s="16"/>
      <c r="Q994" s="16"/>
      <c r="R994" s="16"/>
      <c r="S994" s="16"/>
      <c r="T994" s="16"/>
      <c r="U994" s="16"/>
      <c r="V994" s="16"/>
      <c r="W994" s="16"/>
      <c r="X994" s="16"/>
      <c r="Y994" s="16"/>
      <c r="Z994" s="16"/>
    </row>
    <row r="995" spans="1:26" ht="15.75" customHeight="1">
      <c r="A995" s="103"/>
      <c r="B995" s="103"/>
      <c r="C995" s="104"/>
      <c r="D995" s="103"/>
      <c r="E995" s="103"/>
      <c r="F995" s="103"/>
      <c r="G995" s="103"/>
      <c r="H995" s="103"/>
      <c r="I995" s="103"/>
      <c r="J995" s="103"/>
      <c r="K995" s="16"/>
      <c r="L995" s="16"/>
      <c r="M995" s="16"/>
      <c r="N995" s="16"/>
      <c r="O995" s="16"/>
      <c r="P995" s="16"/>
      <c r="Q995" s="16"/>
      <c r="R995" s="16"/>
      <c r="S995" s="16"/>
      <c r="T995" s="16"/>
      <c r="U995" s="16"/>
      <c r="V995" s="16"/>
      <c r="W995" s="16"/>
      <c r="X995" s="16"/>
      <c r="Y995" s="16"/>
      <c r="Z995" s="16"/>
    </row>
    <row r="996" spans="1:26" ht="15.75" customHeight="1">
      <c r="A996" s="103"/>
      <c r="B996" s="103"/>
      <c r="C996" s="104"/>
      <c r="D996" s="103"/>
      <c r="E996" s="103"/>
      <c r="F996" s="103"/>
      <c r="G996" s="103"/>
      <c r="H996" s="103"/>
      <c r="I996" s="103"/>
      <c r="J996" s="103"/>
      <c r="K996" s="16"/>
      <c r="L996" s="16"/>
      <c r="M996" s="16"/>
      <c r="N996" s="16"/>
      <c r="O996" s="16"/>
      <c r="P996" s="16"/>
      <c r="Q996" s="16"/>
      <c r="R996" s="16"/>
      <c r="S996" s="16"/>
      <c r="T996" s="16"/>
      <c r="U996" s="16"/>
      <c r="V996" s="16"/>
      <c r="W996" s="16"/>
      <c r="X996" s="16"/>
      <c r="Y996" s="16"/>
      <c r="Z996" s="16"/>
    </row>
    <row r="997" spans="1:26" ht="15.75" customHeight="1">
      <c r="A997" s="103"/>
      <c r="B997" s="103"/>
      <c r="C997" s="104"/>
      <c r="D997" s="103"/>
      <c r="E997" s="103"/>
      <c r="F997" s="103"/>
      <c r="G997" s="103"/>
      <c r="H997" s="103"/>
      <c r="I997" s="103"/>
      <c r="J997" s="103"/>
      <c r="K997" s="16"/>
      <c r="L997" s="16"/>
      <c r="M997" s="16"/>
      <c r="N997" s="16"/>
      <c r="O997" s="16"/>
      <c r="P997" s="16"/>
      <c r="Q997" s="16"/>
      <c r="R997" s="16"/>
      <c r="S997" s="16"/>
      <c r="T997" s="16"/>
      <c r="U997" s="16"/>
      <c r="V997" s="16"/>
      <c r="W997" s="16"/>
      <c r="X997" s="16"/>
      <c r="Y997" s="16"/>
      <c r="Z997" s="16"/>
    </row>
    <row r="998" spans="1:26" ht="15.75" customHeight="1">
      <c r="A998" s="103"/>
      <c r="B998" s="103"/>
      <c r="C998" s="104"/>
      <c r="D998" s="103"/>
      <c r="E998" s="103"/>
      <c r="F998" s="103"/>
      <c r="G998" s="103"/>
      <c r="H998" s="103"/>
      <c r="I998" s="103"/>
      <c r="J998" s="103"/>
      <c r="K998" s="16"/>
      <c r="L998" s="16"/>
      <c r="M998" s="16"/>
      <c r="N998" s="16"/>
      <c r="O998" s="16"/>
      <c r="P998" s="16"/>
      <c r="Q998" s="16"/>
      <c r="R998" s="16"/>
      <c r="S998" s="16"/>
      <c r="T998" s="16"/>
      <c r="U998" s="16"/>
      <c r="V998" s="16"/>
      <c r="W998" s="16"/>
      <c r="X998" s="16"/>
      <c r="Y998" s="16"/>
      <c r="Z998" s="16"/>
    </row>
    <row r="999" spans="1:26" ht="15.75" customHeight="1">
      <c r="A999" s="103"/>
      <c r="B999" s="103"/>
      <c r="C999" s="104"/>
      <c r="D999" s="103"/>
      <c r="E999" s="103"/>
      <c r="F999" s="103"/>
      <c r="G999" s="103"/>
      <c r="H999" s="103"/>
      <c r="I999" s="103"/>
      <c r="J999" s="103"/>
      <c r="K999" s="16"/>
      <c r="L999" s="16"/>
      <c r="M999" s="16"/>
      <c r="N999" s="16"/>
      <c r="O999" s="16"/>
      <c r="P999" s="16"/>
      <c r="Q999" s="16"/>
      <c r="R999" s="16"/>
      <c r="S999" s="16"/>
      <c r="T999" s="16"/>
      <c r="U999" s="16"/>
      <c r="V999" s="16"/>
      <c r="W999" s="16"/>
      <c r="X999" s="16"/>
      <c r="Y999" s="16"/>
      <c r="Z999" s="16"/>
    </row>
    <row r="1000" spans="1:26" ht="15.75" customHeight="1">
      <c r="A1000" s="103"/>
      <c r="B1000" s="103"/>
      <c r="C1000" s="104"/>
      <c r="D1000" s="103"/>
      <c r="E1000" s="103"/>
      <c r="F1000" s="103"/>
      <c r="G1000" s="103"/>
      <c r="H1000" s="103"/>
      <c r="I1000" s="103"/>
      <c r="J1000" s="103"/>
      <c r="K1000" s="16"/>
      <c r="L1000" s="16"/>
      <c r="M1000" s="16"/>
      <c r="N1000" s="16"/>
      <c r="O1000" s="16"/>
      <c r="P1000" s="16"/>
      <c r="Q1000" s="16"/>
      <c r="R1000" s="16"/>
      <c r="S1000" s="16"/>
      <c r="T1000" s="16"/>
      <c r="U1000" s="16"/>
      <c r="V1000" s="16"/>
      <c r="W1000" s="16"/>
      <c r="X1000" s="16"/>
      <c r="Y1000" s="16"/>
      <c r="Z1000" s="16"/>
    </row>
  </sheetData>
  <mergeCells count="13">
    <mergeCell ref="J4:J5"/>
    <mergeCell ref="A1:J1"/>
    <mergeCell ref="B2:J2"/>
    <mergeCell ref="A3:J3"/>
    <mergeCell ref="A4:A5"/>
    <mergeCell ref="B4:B5"/>
    <mergeCell ref="C4:C5"/>
    <mergeCell ref="D4:D5"/>
    <mergeCell ref="E4:E5"/>
    <mergeCell ref="F4:F5"/>
    <mergeCell ref="G4:G5"/>
    <mergeCell ref="H4:H5"/>
    <mergeCell ref="I4:I5"/>
  </mergeCells>
  <printOptions horizontalCentered="1"/>
  <pageMargins left="0.39370078740157499" right="0.196850393700787" top="0.196850393700787" bottom="0.196850393700787" header="0" footer="0"/>
  <pageSetup paperSize="9" orientation="landscape"/>
  <rowBreaks count="2" manualBreakCount="2">
    <brk id="102" man="1"/>
    <brk id="20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6" topLeftCell="A70" activePane="bottomLeft" state="frozen"/>
      <selection pane="bottomLeft" activeCell="B8" sqref="B8"/>
    </sheetView>
  </sheetViews>
  <sheetFormatPr defaultColWidth="14.44140625" defaultRowHeight="15" customHeight="1"/>
  <cols>
    <col min="1" max="1" width="9.5546875" customWidth="1"/>
    <col min="2" max="2" width="20.88671875" customWidth="1"/>
    <col min="3" max="3" width="48.44140625" customWidth="1"/>
    <col min="4" max="10" width="9.33203125" customWidth="1"/>
    <col min="11" max="26" width="9.109375" customWidth="1"/>
  </cols>
  <sheetData>
    <row r="1" spans="1:26" ht="15.75" customHeight="1">
      <c r="A1" s="368" t="str">
        <f>'CO-PO Mapping'!A1:N1</f>
        <v xml:space="preserve">Robotics </v>
      </c>
      <c r="B1" s="356"/>
      <c r="C1" s="356"/>
      <c r="D1" s="356"/>
      <c r="E1" s="356"/>
      <c r="F1" s="356"/>
      <c r="G1" s="356"/>
      <c r="H1" s="356"/>
      <c r="I1" s="356"/>
      <c r="J1" s="356"/>
      <c r="K1" s="1"/>
      <c r="L1" s="1"/>
      <c r="M1" s="1"/>
      <c r="N1" s="1"/>
      <c r="O1" s="1"/>
      <c r="P1" s="1"/>
      <c r="Q1" s="1"/>
      <c r="R1" s="1"/>
      <c r="S1" s="1"/>
      <c r="T1" s="1"/>
      <c r="U1" s="1"/>
      <c r="V1" s="1"/>
      <c r="W1" s="1"/>
      <c r="X1" s="1"/>
      <c r="Y1" s="1"/>
      <c r="Z1" s="1"/>
    </row>
    <row r="2" spans="1:26" ht="15.75" customHeight="1">
      <c r="A2" s="75">
        <f>'CO-PO Mapping'!A2</f>
        <v>3110002</v>
      </c>
      <c r="B2" s="383" t="str">
        <f>'CO-PO Mapping'!B2</f>
        <v>English</v>
      </c>
      <c r="C2" s="342"/>
      <c r="D2" s="342"/>
      <c r="E2" s="342"/>
      <c r="F2" s="342"/>
      <c r="G2" s="342"/>
      <c r="H2" s="342"/>
      <c r="I2" s="342"/>
      <c r="J2" s="340"/>
      <c r="K2" s="105"/>
      <c r="L2" s="105"/>
      <c r="M2" s="105"/>
      <c r="N2" s="105"/>
      <c r="O2" s="105"/>
      <c r="P2" s="105"/>
      <c r="Q2" s="105"/>
      <c r="R2" s="105"/>
      <c r="S2" s="105"/>
      <c r="T2" s="105"/>
      <c r="U2" s="105"/>
      <c r="V2" s="105"/>
      <c r="W2" s="105"/>
      <c r="X2" s="105"/>
      <c r="Y2" s="105"/>
      <c r="Z2" s="105"/>
    </row>
    <row r="3" spans="1:26" ht="15.75" customHeight="1">
      <c r="A3" s="383" t="s">
        <v>92</v>
      </c>
      <c r="B3" s="342"/>
      <c r="C3" s="342"/>
      <c r="D3" s="342"/>
      <c r="E3" s="342"/>
      <c r="F3" s="342"/>
      <c r="G3" s="342"/>
      <c r="H3" s="342"/>
      <c r="I3" s="342"/>
      <c r="J3" s="340"/>
      <c r="K3" s="105"/>
      <c r="L3" s="105"/>
      <c r="M3" s="105"/>
      <c r="N3" s="105"/>
      <c r="O3" s="105"/>
      <c r="P3" s="105"/>
      <c r="Q3" s="105"/>
      <c r="R3" s="105"/>
      <c r="S3" s="105"/>
      <c r="T3" s="105"/>
      <c r="U3" s="105"/>
      <c r="V3" s="105"/>
      <c r="W3" s="105"/>
      <c r="X3" s="105"/>
      <c r="Y3" s="105"/>
      <c r="Z3" s="105"/>
    </row>
    <row r="4" spans="1:26" ht="15.75" customHeight="1">
      <c r="A4" s="382" t="s">
        <v>40</v>
      </c>
      <c r="B4" s="382" t="s">
        <v>93</v>
      </c>
      <c r="C4" s="382" t="s">
        <v>81</v>
      </c>
      <c r="D4" s="382" t="s">
        <v>94</v>
      </c>
      <c r="E4" s="382" t="s">
        <v>95</v>
      </c>
      <c r="F4" s="382" t="s">
        <v>96</v>
      </c>
      <c r="G4" s="382" t="s">
        <v>97</v>
      </c>
      <c r="H4" s="382" t="s">
        <v>98</v>
      </c>
      <c r="I4" s="382" t="s">
        <v>82</v>
      </c>
      <c r="J4" s="382" t="s">
        <v>73</v>
      </c>
      <c r="K4" s="106"/>
      <c r="L4" s="106"/>
      <c r="M4" s="106"/>
      <c r="N4" s="106"/>
      <c r="O4" s="106"/>
      <c r="P4" s="106"/>
      <c r="Q4" s="106"/>
      <c r="R4" s="106"/>
      <c r="S4" s="106"/>
      <c r="T4" s="106"/>
      <c r="U4" s="106"/>
      <c r="V4" s="106"/>
      <c r="W4" s="106"/>
      <c r="X4" s="106"/>
      <c r="Y4" s="106"/>
      <c r="Z4" s="106"/>
    </row>
    <row r="5" spans="1:26" ht="15.75" customHeight="1">
      <c r="A5" s="346"/>
      <c r="B5" s="346"/>
      <c r="C5" s="346"/>
      <c r="D5" s="346"/>
      <c r="E5" s="346"/>
      <c r="F5" s="346"/>
      <c r="G5" s="346"/>
      <c r="H5" s="346"/>
      <c r="I5" s="346"/>
      <c r="J5" s="346"/>
      <c r="K5" s="106"/>
      <c r="L5" s="106"/>
      <c r="M5" s="106"/>
      <c r="N5" s="106"/>
      <c r="O5" s="106"/>
      <c r="P5" s="106"/>
      <c r="Q5" s="106"/>
      <c r="R5" s="106"/>
      <c r="S5" s="106"/>
      <c r="T5" s="106"/>
      <c r="U5" s="106"/>
      <c r="V5" s="106"/>
      <c r="W5" s="106"/>
      <c r="X5" s="106"/>
      <c r="Y5" s="106"/>
      <c r="Z5" s="106"/>
    </row>
    <row r="6" spans="1:26" ht="15.75" customHeight="1">
      <c r="A6" s="29"/>
      <c r="B6" s="29"/>
      <c r="C6" s="78" t="s">
        <v>84</v>
      </c>
      <c r="D6" s="79" t="str">
        <f>IF('CO-PO Mapping'!H17="","",IF('I Component'!R7=0,"",'I Component'!R7))</f>
        <v/>
      </c>
      <c r="E6" s="79" t="str">
        <f>IF('CO-PO Mapping'!H17="","",IF('I Component'!S7=0,"",'I Component'!S7))</f>
        <v/>
      </c>
      <c r="F6" s="79" t="str">
        <f>IF('CO-PO Mapping'!H17="","",IF('I Component'!T7=0,"",'I Component'!T7))</f>
        <v/>
      </c>
      <c r="G6" s="79" t="str">
        <f>IF('CO-PO Mapping'!H17="","",IF('I Component'!U7=0,"",'I Component'!U7))</f>
        <v/>
      </c>
      <c r="H6" s="79" t="str">
        <f>IF('CO-PO Mapping'!H17="","",IF('I Component'!V7=0,"",'I Component'!V7))</f>
        <v/>
      </c>
      <c r="I6" s="79" t="str">
        <f>IF('CO-PO Mapping'!H17="","",IF('I Component'!W7=0,"",'I Component'!W7))</f>
        <v/>
      </c>
      <c r="J6" s="79">
        <f>SUM(D6:I6)</f>
        <v>0</v>
      </c>
      <c r="K6" s="105"/>
      <c r="L6" s="105"/>
      <c r="M6" s="105"/>
      <c r="N6" s="105"/>
      <c r="O6" s="105"/>
      <c r="P6" s="105"/>
      <c r="Q6" s="105"/>
      <c r="R6" s="105"/>
      <c r="S6" s="105"/>
      <c r="T6" s="105"/>
      <c r="U6" s="105"/>
      <c r="V6" s="105"/>
      <c r="W6" s="105"/>
      <c r="X6" s="105"/>
      <c r="Y6" s="105"/>
      <c r="Z6" s="105"/>
    </row>
    <row r="7" spans="1:26" ht="15.75" customHeight="1">
      <c r="A7" s="80">
        <f>'Students Details'!A7</f>
        <v>1</v>
      </c>
      <c r="B7" s="81" t="str">
        <f>IF('Students Details'!B7="","",'Students Details'!B7)</f>
        <v/>
      </c>
      <c r="C7" s="82" t="str">
        <f>IF('Students Details'!C7="","",'Students Details'!C7)</f>
        <v/>
      </c>
      <c r="D7" s="83" t="str">
        <f>IF('I Component'!R8=0,"",'I Component'!R8)</f>
        <v/>
      </c>
      <c r="E7" s="83" t="str">
        <f>IF('I Component'!S8=0,"",'I Component'!S8)</f>
        <v/>
      </c>
      <c r="F7" s="83" t="str">
        <f>IF('I Component'!T8=0,"",'I Component'!T8)</f>
        <v/>
      </c>
      <c r="G7" s="83" t="str">
        <f>IF('I Component'!U8=0,"",'I Component'!U8)</f>
        <v/>
      </c>
      <c r="H7" s="83" t="str">
        <f>IF('I Component'!V8=0,"",'I Component'!V8)</f>
        <v/>
      </c>
      <c r="I7" s="83" t="str">
        <f>IF('I Component'!W8=0,"",'I Component'!W8)</f>
        <v/>
      </c>
      <c r="J7" s="83">
        <f t="shared" ref="J7:J206" si="0">SUM(D7:H7)</f>
        <v>0</v>
      </c>
      <c r="K7" s="1"/>
      <c r="L7" s="1"/>
      <c r="M7" s="1"/>
      <c r="N7" s="1"/>
      <c r="O7" s="1"/>
      <c r="P7" s="1"/>
      <c r="Q7" s="1"/>
      <c r="R7" s="1"/>
      <c r="S7" s="1"/>
      <c r="T7" s="1"/>
      <c r="U7" s="1"/>
      <c r="V7" s="1"/>
      <c r="W7" s="1"/>
      <c r="X7" s="1"/>
      <c r="Y7" s="1"/>
      <c r="Z7" s="1"/>
    </row>
    <row r="8" spans="1:26" ht="15.75" customHeight="1">
      <c r="A8" s="80">
        <f>'Students Details'!A8</f>
        <v>2</v>
      </c>
      <c r="B8" s="81" t="str">
        <f>IF('Students Details'!B8="","",'Students Details'!B8)</f>
        <v/>
      </c>
      <c r="C8" s="82" t="str">
        <f>IF('Students Details'!C8="","",'Students Details'!C8)</f>
        <v/>
      </c>
      <c r="D8" s="83" t="str">
        <f>IF('I Component'!R9=0,"",'I Component'!R9)</f>
        <v/>
      </c>
      <c r="E8" s="83" t="str">
        <f>IF('I Component'!S9=0,"",'I Component'!S9)</f>
        <v/>
      </c>
      <c r="F8" s="83" t="str">
        <f>IF('I Component'!T9=0,"",'I Component'!T9)</f>
        <v/>
      </c>
      <c r="G8" s="83" t="str">
        <f>IF('I Component'!U9=0,"",'I Component'!U9)</f>
        <v/>
      </c>
      <c r="H8" s="83" t="str">
        <f>IF('I Component'!V9=0,"",'I Component'!V9)</f>
        <v/>
      </c>
      <c r="I8" s="83" t="str">
        <f>IF('I Component'!W9=0,"",'I Component'!W9)</f>
        <v/>
      </c>
      <c r="J8" s="83">
        <f t="shared" si="0"/>
        <v>0</v>
      </c>
      <c r="K8" s="1"/>
      <c r="L8" s="1"/>
      <c r="M8" s="1"/>
      <c r="N8" s="1"/>
      <c r="O8" s="1"/>
      <c r="P8" s="1"/>
      <c r="Q8" s="1"/>
      <c r="R8" s="1"/>
      <c r="S8" s="1"/>
      <c r="T8" s="1"/>
      <c r="U8" s="1"/>
      <c r="V8" s="1"/>
      <c r="W8" s="1"/>
      <c r="X8" s="1"/>
      <c r="Y8" s="1"/>
      <c r="Z8" s="1"/>
    </row>
    <row r="9" spans="1:26" ht="15.75" customHeight="1">
      <c r="A9" s="80">
        <f>'Students Details'!A9</f>
        <v>3</v>
      </c>
      <c r="B9" s="81" t="str">
        <f>IF('Students Details'!B9="","",'Students Details'!B9)</f>
        <v/>
      </c>
      <c r="C9" s="82" t="str">
        <f>IF('Students Details'!C9="","",'Students Details'!C9)</f>
        <v/>
      </c>
      <c r="D9" s="83" t="str">
        <f>IF('I Component'!R10=0,"",'I Component'!R10)</f>
        <v/>
      </c>
      <c r="E9" s="83" t="str">
        <f>IF('I Component'!S10=0,"",'I Component'!S10)</f>
        <v/>
      </c>
      <c r="F9" s="83" t="str">
        <f>IF('I Component'!T10=0,"",'I Component'!T10)</f>
        <v/>
      </c>
      <c r="G9" s="83" t="str">
        <f>IF('I Component'!U10=0,"",'I Component'!U10)</f>
        <v/>
      </c>
      <c r="H9" s="83" t="str">
        <f>IF('I Component'!V10=0,"",'I Component'!V10)</f>
        <v/>
      </c>
      <c r="I9" s="83" t="str">
        <f>IF('I Component'!W10=0,"",'I Component'!W10)</f>
        <v/>
      </c>
      <c r="J9" s="83">
        <f t="shared" si="0"/>
        <v>0</v>
      </c>
      <c r="K9" s="1"/>
      <c r="L9" s="1"/>
      <c r="M9" s="1"/>
      <c r="N9" s="1"/>
      <c r="O9" s="1"/>
      <c r="P9" s="1"/>
      <c r="Q9" s="1"/>
      <c r="R9" s="1"/>
      <c r="S9" s="1"/>
      <c r="T9" s="1"/>
      <c r="U9" s="1"/>
      <c r="V9" s="1"/>
      <c r="W9" s="1"/>
      <c r="X9" s="1"/>
      <c r="Y9" s="1"/>
      <c r="Z9" s="1"/>
    </row>
    <row r="10" spans="1:26" ht="15.75" customHeight="1">
      <c r="A10" s="80">
        <f>'Students Details'!A10</f>
        <v>4</v>
      </c>
      <c r="B10" s="81" t="str">
        <f>IF('Students Details'!B10="","",'Students Details'!B10)</f>
        <v/>
      </c>
      <c r="C10" s="82" t="str">
        <f>IF('Students Details'!C10="","",'Students Details'!C10)</f>
        <v/>
      </c>
      <c r="D10" s="83" t="str">
        <f>IF('I Component'!R11=0,"",'I Component'!R11)</f>
        <v/>
      </c>
      <c r="E10" s="83" t="str">
        <f>IF('I Component'!S11=0,"",'I Component'!S11)</f>
        <v/>
      </c>
      <c r="F10" s="83" t="str">
        <f>IF('I Component'!T11=0,"",'I Component'!T11)</f>
        <v/>
      </c>
      <c r="G10" s="83" t="str">
        <f>IF('I Component'!U11=0,"",'I Component'!U11)</f>
        <v/>
      </c>
      <c r="H10" s="83" t="str">
        <f>IF('I Component'!V11=0,"",'I Component'!V11)</f>
        <v/>
      </c>
      <c r="I10" s="83" t="str">
        <f>IF('I Component'!W11=0,"",'I Component'!W11)</f>
        <v/>
      </c>
      <c r="J10" s="83">
        <f t="shared" si="0"/>
        <v>0</v>
      </c>
      <c r="K10" s="1"/>
      <c r="L10" s="1"/>
      <c r="M10" s="1"/>
      <c r="N10" s="1"/>
      <c r="O10" s="1"/>
      <c r="P10" s="1"/>
      <c r="Q10" s="1"/>
      <c r="R10" s="1"/>
      <c r="S10" s="1"/>
      <c r="T10" s="1"/>
      <c r="U10" s="1"/>
      <c r="V10" s="1"/>
      <c r="W10" s="1"/>
      <c r="X10" s="1"/>
      <c r="Y10" s="1"/>
      <c r="Z10" s="1"/>
    </row>
    <row r="11" spans="1:26" ht="15.75" customHeight="1">
      <c r="A11" s="80">
        <f>'Students Details'!A11</f>
        <v>5</v>
      </c>
      <c r="B11" s="81" t="str">
        <f>IF('Students Details'!B11="","",'Students Details'!B11)</f>
        <v/>
      </c>
      <c r="C11" s="82" t="str">
        <f>IF('Students Details'!C11="","",'Students Details'!C11)</f>
        <v/>
      </c>
      <c r="D11" s="83" t="str">
        <f>IF('I Component'!R12=0,"",'I Component'!R12)</f>
        <v/>
      </c>
      <c r="E11" s="83" t="str">
        <f>IF('I Component'!S12=0,"",'I Component'!S12)</f>
        <v/>
      </c>
      <c r="F11" s="83" t="str">
        <f>IF('I Component'!T12=0,"",'I Component'!T12)</f>
        <v/>
      </c>
      <c r="G11" s="83" t="str">
        <f>IF('I Component'!U12=0,"",'I Component'!U12)</f>
        <v/>
      </c>
      <c r="H11" s="83" t="str">
        <f>IF('I Component'!V12=0,"",'I Component'!V12)</f>
        <v/>
      </c>
      <c r="I11" s="83" t="str">
        <f>IF('I Component'!W12=0,"",'I Component'!W12)</f>
        <v/>
      </c>
      <c r="J11" s="83">
        <f t="shared" si="0"/>
        <v>0</v>
      </c>
      <c r="K11" s="1"/>
      <c r="L11" s="1"/>
      <c r="M11" s="1"/>
      <c r="N11" s="1"/>
      <c r="O11" s="1"/>
      <c r="P11" s="1"/>
      <c r="Q11" s="1"/>
      <c r="R11" s="1"/>
      <c r="S11" s="1"/>
      <c r="T11" s="1"/>
      <c r="U11" s="1"/>
      <c r="V11" s="1"/>
      <c r="W11" s="1"/>
      <c r="X11" s="1"/>
      <c r="Y11" s="1"/>
      <c r="Z11" s="1"/>
    </row>
    <row r="12" spans="1:26" ht="15.75" customHeight="1">
      <c r="A12" s="80">
        <f>'Students Details'!A12</f>
        <v>6</v>
      </c>
      <c r="B12" s="81" t="str">
        <f>IF('Students Details'!B12="","",'Students Details'!B12)</f>
        <v/>
      </c>
      <c r="C12" s="82" t="str">
        <f>IF('Students Details'!C12="","",'Students Details'!C12)</f>
        <v/>
      </c>
      <c r="D12" s="83" t="str">
        <f>IF('I Component'!R13=0,"",'I Component'!R13)</f>
        <v/>
      </c>
      <c r="E12" s="83" t="str">
        <f>IF('I Component'!S13=0,"",'I Component'!S13)</f>
        <v/>
      </c>
      <c r="F12" s="83" t="str">
        <f>IF('I Component'!T13=0,"",'I Component'!T13)</f>
        <v/>
      </c>
      <c r="G12" s="83" t="str">
        <f>IF('I Component'!U13=0,"",'I Component'!U13)</f>
        <v/>
      </c>
      <c r="H12" s="83" t="str">
        <f>IF('I Component'!V13=0,"",'I Component'!V13)</f>
        <v/>
      </c>
      <c r="I12" s="83" t="str">
        <f>IF('I Component'!W13=0,"",'I Component'!W13)</f>
        <v/>
      </c>
      <c r="J12" s="83">
        <f t="shared" si="0"/>
        <v>0</v>
      </c>
      <c r="K12" s="1"/>
      <c r="L12" s="1"/>
      <c r="M12" s="1"/>
      <c r="N12" s="1"/>
      <c r="O12" s="1"/>
      <c r="P12" s="1"/>
      <c r="Q12" s="1"/>
      <c r="R12" s="1"/>
      <c r="S12" s="1"/>
      <c r="T12" s="1"/>
      <c r="U12" s="1"/>
      <c r="V12" s="1"/>
      <c r="W12" s="1"/>
      <c r="X12" s="1"/>
      <c r="Y12" s="1"/>
      <c r="Z12" s="1"/>
    </row>
    <row r="13" spans="1:26" ht="15.75" customHeight="1">
      <c r="A13" s="80">
        <f>'Students Details'!A13</f>
        <v>7</v>
      </c>
      <c r="B13" s="81" t="str">
        <f>IF('Students Details'!B13="","",'Students Details'!B13)</f>
        <v/>
      </c>
      <c r="C13" s="82" t="str">
        <f>IF('Students Details'!C13="","",'Students Details'!C13)</f>
        <v/>
      </c>
      <c r="D13" s="83" t="str">
        <f>IF('I Component'!R14=0,"",'I Component'!R14)</f>
        <v/>
      </c>
      <c r="E13" s="83" t="str">
        <f>IF('I Component'!S14=0,"",'I Component'!S14)</f>
        <v/>
      </c>
      <c r="F13" s="83" t="str">
        <f>IF('I Component'!T14=0,"",'I Component'!T14)</f>
        <v/>
      </c>
      <c r="G13" s="83" t="str">
        <f>IF('I Component'!U14=0,"",'I Component'!U14)</f>
        <v/>
      </c>
      <c r="H13" s="83" t="str">
        <f>IF('I Component'!V14=0,"",'I Component'!V14)</f>
        <v/>
      </c>
      <c r="I13" s="83" t="str">
        <f>IF('I Component'!W14=0,"",'I Component'!W14)</f>
        <v/>
      </c>
      <c r="J13" s="83">
        <f t="shared" si="0"/>
        <v>0</v>
      </c>
      <c r="K13" s="1"/>
      <c r="L13" s="1"/>
      <c r="M13" s="1"/>
      <c r="N13" s="1"/>
      <c r="O13" s="1"/>
      <c r="P13" s="1"/>
      <c r="Q13" s="1"/>
      <c r="R13" s="1"/>
      <c r="S13" s="1"/>
      <c r="T13" s="1"/>
      <c r="U13" s="1"/>
      <c r="V13" s="1"/>
      <c r="W13" s="1"/>
      <c r="X13" s="1"/>
      <c r="Y13" s="1"/>
      <c r="Z13" s="1"/>
    </row>
    <row r="14" spans="1:26" ht="15.75" customHeight="1">
      <c r="A14" s="80">
        <f>'Students Details'!A14</f>
        <v>8</v>
      </c>
      <c r="B14" s="81" t="str">
        <f>IF('Students Details'!B14="","",'Students Details'!B14)</f>
        <v/>
      </c>
      <c r="C14" s="82" t="str">
        <f>IF('Students Details'!C14="","",'Students Details'!C14)</f>
        <v/>
      </c>
      <c r="D14" s="83" t="str">
        <f>IF('I Component'!R15=0,"",'I Component'!R15)</f>
        <v/>
      </c>
      <c r="E14" s="83" t="str">
        <f>IF('I Component'!S15=0,"",'I Component'!S15)</f>
        <v/>
      </c>
      <c r="F14" s="83" t="str">
        <f>IF('I Component'!T15=0,"",'I Component'!T15)</f>
        <v/>
      </c>
      <c r="G14" s="83" t="str">
        <f>IF('I Component'!U15=0,"",'I Component'!U15)</f>
        <v/>
      </c>
      <c r="H14" s="83" t="str">
        <f>IF('I Component'!V15=0,"",'I Component'!V15)</f>
        <v/>
      </c>
      <c r="I14" s="83" t="str">
        <f>IF('I Component'!W15=0,"",'I Component'!W15)</f>
        <v/>
      </c>
      <c r="J14" s="83">
        <f t="shared" si="0"/>
        <v>0</v>
      </c>
      <c r="K14" s="1"/>
      <c r="L14" s="1"/>
      <c r="M14" s="1"/>
      <c r="N14" s="1"/>
      <c r="O14" s="1"/>
      <c r="P14" s="1"/>
      <c r="Q14" s="1"/>
      <c r="R14" s="1"/>
      <c r="S14" s="1"/>
      <c r="T14" s="1"/>
      <c r="U14" s="1"/>
      <c r="V14" s="1"/>
      <c r="W14" s="1"/>
      <c r="X14" s="1"/>
      <c r="Y14" s="1"/>
      <c r="Z14" s="1"/>
    </row>
    <row r="15" spans="1:26" ht="15.75" customHeight="1">
      <c r="A15" s="80">
        <f>'Students Details'!A15</f>
        <v>9</v>
      </c>
      <c r="B15" s="81" t="str">
        <f>IF('Students Details'!B15="","",'Students Details'!B15)</f>
        <v/>
      </c>
      <c r="C15" s="82" t="str">
        <f>IF('Students Details'!C15="","",'Students Details'!C15)</f>
        <v/>
      </c>
      <c r="D15" s="83" t="str">
        <f>IF('I Component'!R16=0,"",'I Component'!R16)</f>
        <v/>
      </c>
      <c r="E15" s="83" t="str">
        <f>IF('I Component'!S16=0,"",'I Component'!S16)</f>
        <v/>
      </c>
      <c r="F15" s="83" t="str">
        <f>IF('I Component'!T16=0,"",'I Component'!T16)</f>
        <v/>
      </c>
      <c r="G15" s="83" t="str">
        <f>IF('I Component'!U16=0,"",'I Component'!U16)</f>
        <v/>
      </c>
      <c r="H15" s="83" t="str">
        <f>IF('I Component'!V16=0,"",'I Component'!V16)</f>
        <v/>
      </c>
      <c r="I15" s="83" t="str">
        <f>IF('I Component'!W16=0,"",'I Component'!W16)</f>
        <v/>
      </c>
      <c r="J15" s="83">
        <f t="shared" si="0"/>
        <v>0</v>
      </c>
      <c r="K15" s="1"/>
      <c r="L15" s="1"/>
      <c r="M15" s="1"/>
      <c r="N15" s="1"/>
      <c r="O15" s="1"/>
      <c r="P15" s="1"/>
      <c r="Q15" s="1"/>
      <c r="R15" s="1"/>
      <c r="S15" s="1"/>
      <c r="T15" s="1"/>
      <c r="U15" s="1"/>
      <c r="V15" s="1"/>
      <c r="W15" s="1"/>
      <c r="X15" s="1"/>
      <c r="Y15" s="1"/>
      <c r="Z15" s="1"/>
    </row>
    <row r="16" spans="1:26" ht="15.75" customHeight="1">
      <c r="A16" s="80">
        <f>'Students Details'!A16</f>
        <v>10</v>
      </c>
      <c r="B16" s="81" t="str">
        <f>IF('Students Details'!B16="","",'Students Details'!B16)</f>
        <v/>
      </c>
      <c r="C16" s="82" t="str">
        <f>IF('Students Details'!C16="","",'Students Details'!C16)</f>
        <v/>
      </c>
      <c r="D16" s="83" t="str">
        <f>IF('I Component'!R17=0,"",'I Component'!R17)</f>
        <v/>
      </c>
      <c r="E16" s="83" t="str">
        <f>IF('I Component'!S17=0,"",'I Component'!S17)</f>
        <v/>
      </c>
      <c r="F16" s="83" t="str">
        <f>IF('I Component'!T17=0,"",'I Component'!T17)</f>
        <v/>
      </c>
      <c r="G16" s="83" t="str">
        <f>IF('I Component'!U17=0,"",'I Component'!U17)</f>
        <v/>
      </c>
      <c r="H16" s="83" t="str">
        <f>IF('I Component'!V17=0,"",'I Component'!V17)</f>
        <v/>
      </c>
      <c r="I16" s="83" t="str">
        <f>IF('I Component'!W17=0,"",'I Component'!W17)</f>
        <v/>
      </c>
      <c r="J16" s="83">
        <f t="shared" si="0"/>
        <v>0</v>
      </c>
      <c r="K16" s="1"/>
      <c r="L16" s="1"/>
      <c r="M16" s="1"/>
      <c r="N16" s="1"/>
      <c r="O16" s="1"/>
      <c r="P16" s="1"/>
      <c r="Q16" s="1"/>
      <c r="R16" s="1"/>
      <c r="S16" s="1"/>
      <c r="T16" s="1"/>
      <c r="U16" s="1"/>
      <c r="V16" s="1"/>
      <c r="W16" s="1"/>
      <c r="X16" s="1"/>
      <c r="Y16" s="1"/>
      <c r="Z16" s="1"/>
    </row>
    <row r="17" spans="1:26" ht="15.75" customHeight="1">
      <c r="A17" s="80">
        <f>'Students Details'!A17</f>
        <v>11</v>
      </c>
      <c r="B17" s="81" t="str">
        <f>IF('Students Details'!B17="","",'Students Details'!B17)</f>
        <v/>
      </c>
      <c r="C17" s="82" t="str">
        <f>IF('Students Details'!C17="","",'Students Details'!C17)</f>
        <v/>
      </c>
      <c r="D17" s="83" t="str">
        <f>IF('I Component'!R18=0,"",'I Component'!R18)</f>
        <v/>
      </c>
      <c r="E17" s="83" t="str">
        <f>IF('I Component'!S18=0,"",'I Component'!S18)</f>
        <v/>
      </c>
      <c r="F17" s="83" t="str">
        <f>IF('I Component'!T18=0,"",'I Component'!T18)</f>
        <v/>
      </c>
      <c r="G17" s="83" t="str">
        <f>IF('I Component'!U18=0,"",'I Component'!U18)</f>
        <v/>
      </c>
      <c r="H17" s="83" t="str">
        <f>IF('I Component'!V18=0,"",'I Component'!V18)</f>
        <v/>
      </c>
      <c r="I17" s="83" t="str">
        <f>IF('I Component'!W18=0,"",'I Component'!W18)</f>
        <v/>
      </c>
      <c r="J17" s="83">
        <f t="shared" si="0"/>
        <v>0</v>
      </c>
      <c r="K17" s="1"/>
      <c r="L17" s="1"/>
      <c r="M17" s="1"/>
      <c r="N17" s="1"/>
      <c r="O17" s="1"/>
      <c r="P17" s="1"/>
      <c r="Q17" s="1"/>
      <c r="R17" s="1"/>
      <c r="S17" s="1"/>
      <c r="T17" s="1"/>
      <c r="U17" s="1"/>
      <c r="V17" s="1"/>
      <c r="W17" s="1"/>
      <c r="X17" s="1"/>
      <c r="Y17" s="1"/>
      <c r="Z17" s="1"/>
    </row>
    <row r="18" spans="1:26" ht="15.75" customHeight="1">
      <c r="A18" s="80">
        <f>'Students Details'!A18</f>
        <v>12</v>
      </c>
      <c r="B18" s="81" t="str">
        <f>IF('Students Details'!B18="","",'Students Details'!B18)</f>
        <v/>
      </c>
      <c r="C18" s="82" t="str">
        <f>IF('Students Details'!C18="","",'Students Details'!C18)</f>
        <v/>
      </c>
      <c r="D18" s="83" t="str">
        <f>IF('I Component'!R19=0,"",'I Component'!R19)</f>
        <v/>
      </c>
      <c r="E18" s="83" t="str">
        <f>IF('I Component'!S19=0,"",'I Component'!S19)</f>
        <v/>
      </c>
      <c r="F18" s="83" t="str">
        <f>IF('I Component'!T19=0,"",'I Component'!T19)</f>
        <v/>
      </c>
      <c r="G18" s="83" t="str">
        <f>IF('I Component'!U19=0,"",'I Component'!U19)</f>
        <v/>
      </c>
      <c r="H18" s="83" t="str">
        <f>IF('I Component'!V19=0,"",'I Component'!V19)</f>
        <v/>
      </c>
      <c r="I18" s="83" t="str">
        <f>IF('I Component'!W19=0,"",'I Component'!W19)</f>
        <v/>
      </c>
      <c r="J18" s="83">
        <f t="shared" si="0"/>
        <v>0</v>
      </c>
      <c r="K18" s="1"/>
      <c r="L18" s="1"/>
      <c r="M18" s="1"/>
      <c r="N18" s="1"/>
      <c r="O18" s="1"/>
      <c r="P18" s="1"/>
      <c r="Q18" s="1"/>
      <c r="R18" s="1"/>
      <c r="S18" s="1"/>
      <c r="T18" s="1"/>
      <c r="U18" s="1"/>
      <c r="V18" s="1"/>
      <c r="W18" s="1"/>
      <c r="X18" s="1"/>
      <c r="Y18" s="1"/>
      <c r="Z18" s="1"/>
    </row>
    <row r="19" spans="1:26" ht="15.75" customHeight="1">
      <c r="A19" s="80">
        <f>'Students Details'!A19</f>
        <v>13</v>
      </c>
      <c r="B19" s="81" t="str">
        <f>IF('Students Details'!B19="","",'Students Details'!B19)</f>
        <v/>
      </c>
      <c r="C19" s="82" t="str">
        <f>IF('Students Details'!C19="","",'Students Details'!C19)</f>
        <v/>
      </c>
      <c r="D19" s="83" t="str">
        <f>IF('I Component'!R20=0,"",'I Component'!R20)</f>
        <v/>
      </c>
      <c r="E19" s="83" t="str">
        <f>IF('I Component'!S20=0,"",'I Component'!S20)</f>
        <v/>
      </c>
      <c r="F19" s="83" t="str">
        <f>IF('I Component'!T20=0,"",'I Component'!T20)</f>
        <v/>
      </c>
      <c r="G19" s="83" t="str">
        <f>IF('I Component'!U20=0,"",'I Component'!U20)</f>
        <v/>
      </c>
      <c r="H19" s="83" t="str">
        <f>IF('I Component'!V20=0,"",'I Component'!V20)</f>
        <v/>
      </c>
      <c r="I19" s="83" t="str">
        <f>IF('I Component'!W20=0,"",'I Component'!W20)</f>
        <v/>
      </c>
      <c r="J19" s="83">
        <f t="shared" si="0"/>
        <v>0</v>
      </c>
      <c r="K19" s="1"/>
      <c r="L19" s="1"/>
      <c r="M19" s="1"/>
      <c r="N19" s="1"/>
      <c r="O19" s="1"/>
      <c r="P19" s="1"/>
      <c r="Q19" s="1"/>
      <c r="R19" s="1"/>
      <c r="S19" s="1"/>
      <c r="T19" s="1"/>
      <c r="U19" s="1"/>
      <c r="V19" s="1"/>
      <c r="W19" s="1"/>
      <c r="X19" s="1"/>
      <c r="Y19" s="1"/>
      <c r="Z19" s="1"/>
    </row>
    <row r="20" spans="1:26" ht="15.75" customHeight="1">
      <c r="A20" s="80">
        <f>'Students Details'!A20</f>
        <v>14</v>
      </c>
      <c r="B20" s="81" t="str">
        <f>IF('Students Details'!B20="","",'Students Details'!B20)</f>
        <v/>
      </c>
      <c r="C20" s="82" t="str">
        <f>IF('Students Details'!C20="","",'Students Details'!C20)</f>
        <v/>
      </c>
      <c r="D20" s="83" t="str">
        <f>IF('I Component'!R21=0,"",'I Component'!R21)</f>
        <v/>
      </c>
      <c r="E20" s="83" t="str">
        <f>IF('I Component'!S21=0,"",'I Component'!S21)</f>
        <v/>
      </c>
      <c r="F20" s="83" t="str">
        <f>IF('I Component'!T21=0,"",'I Component'!T21)</f>
        <v/>
      </c>
      <c r="G20" s="83" t="str">
        <f>IF('I Component'!U21=0,"",'I Component'!U21)</f>
        <v/>
      </c>
      <c r="H20" s="83" t="str">
        <f>IF('I Component'!V21=0,"",'I Component'!V21)</f>
        <v/>
      </c>
      <c r="I20" s="83" t="str">
        <f>IF('I Component'!W21=0,"",'I Component'!W21)</f>
        <v/>
      </c>
      <c r="J20" s="83">
        <f t="shared" si="0"/>
        <v>0</v>
      </c>
      <c r="K20" s="1"/>
      <c r="L20" s="1"/>
      <c r="M20" s="1"/>
      <c r="N20" s="1"/>
      <c r="O20" s="1"/>
      <c r="P20" s="1"/>
      <c r="Q20" s="1"/>
      <c r="R20" s="1"/>
      <c r="S20" s="1"/>
      <c r="T20" s="1"/>
      <c r="U20" s="1"/>
      <c r="V20" s="1"/>
      <c r="W20" s="1"/>
      <c r="X20" s="1"/>
      <c r="Y20" s="1"/>
      <c r="Z20" s="1"/>
    </row>
    <row r="21" spans="1:26" ht="15.75" customHeight="1">
      <c r="A21" s="80">
        <f>'Students Details'!A21</f>
        <v>15</v>
      </c>
      <c r="B21" s="81" t="str">
        <f>IF('Students Details'!B21="","",'Students Details'!B21)</f>
        <v/>
      </c>
      <c r="C21" s="82" t="str">
        <f>IF('Students Details'!C21="","",'Students Details'!C21)</f>
        <v/>
      </c>
      <c r="D21" s="83" t="str">
        <f>IF('I Component'!R22=0,"",'I Component'!R22)</f>
        <v/>
      </c>
      <c r="E21" s="83" t="str">
        <f>IF('I Component'!S22=0,"",'I Component'!S22)</f>
        <v/>
      </c>
      <c r="F21" s="83" t="str">
        <f>IF('I Component'!T22=0,"",'I Component'!T22)</f>
        <v/>
      </c>
      <c r="G21" s="83" t="str">
        <f>IF('I Component'!U22=0,"",'I Component'!U22)</f>
        <v/>
      </c>
      <c r="H21" s="83" t="str">
        <f>IF('I Component'!V22=0,"",'I Component'!V22)</f>
        <v/>
      </c>
      <c r="I21" s="83" t="str">
        <f>IF('I Component'!W22=0,"",'I Component'!W22)</f>
        <v/>
      </c>
      <c r="J21" s="83">
        <f t="shared" si="0"/>
        <v>0</v>
      </c>
      <c r="K21" s="1"/>
      <c r="L21" s="1"/>
      <c r="M21" s="1"/>
      <c r="N21" s="1"/>
      <c r="O21" s="1"/>
      <c r="P21" s="1"/>
      <c r="Q21" s="1"/>
      <c r="R21" s="1"/>
      <c r="S21" s="1"/>
      <c r="T21" s="1"/>
      <c r="U21" s="1"/>
      <c r="V21" s="1"/>
      <c r="W21" s="1"/>
      <c r="X21" s="1"/>
      <c r="Y21" s="1"/>
      <c r="Z21" s="1"/>
    </row>
    <row r="22" spans="1:26" ht="15.75" customHeight="1">
      <c r="A22" s="80">
        <f>'Students Details'!A22</f>
        <v>16</v>
      </c>
      <c r="B22" s="81" t="str">
        <f>IF('Students Details'!B22="","",'Students Details'!B22)</f>
        <v/>
      </c>
      <c r="C22" s="82" t="str">
        <f>IF('Students Details'!C22="","",'Students Details'!C22)</f>
        <v/>
      </c>
      <c r="D22" s="83" t="str">
        <f>IF('I Component'!R23=0,"",'I Component'!R23)</f>
        <v/>
      </c>
      <c r="E22" s="83" t="str">
        <f>IF('I Component'!S23=0,"",'I Component'!S23)</f>
        <v/>
      </c>
      <c r="F22" s="83" t="str">
        <f>IF('I Component'!T23=0,"",'I Component'!T23)</f>
        <v/>
      </c>
      <c r="G22" s="83" t="str">
        <f>IF('I Component'!U23=0,"",'I Component'!U23)</f>
        <v/>
      </c>
      <c r="H22" s="83" t="str">
        <f>IF('I Component'!V23=0,"",'I Component'!V23)</f>
        <v/>
      </c>
      <c r="I22" s="83" t="str">
        <f>IF('I Component'!W23=0,"",'I Component'!W23)</f>
        <v/>
      </c>
      <c r="J22" s="83">
        <f t="shared" si="0"/>
        <v>0</v>
      </c>
      <c r="K22" s="1"/>
      <c r="L22" s="1"/>
      <c r="M22" s="1"/>
      <c r="N22" s="1"/>
      <c r="O22" s="1"/>
      <c r="P22" s="1"/>
      <c r="Q22" s="1"/>
      <c r="R22" s="1"/>
      <c r="S22" s="1"/>
      <c r="T22" s="1"/>
      <c r="U22" s="1"/>
      <c r="V22" s="1"/>
      <c r="W22" s="1"/>
      <c r="X22" s="1"/>
      <c r="Y22" s="1"/>
      <c r="Z22" s="1"/>
    </row>
    <row r="23" spans="1:26" ht="15.75" customHeight="1">
      <c r="A23" s="80">
        <f>'Students Details'!A23</f>
        <v>17</v>
      </c>
      <c r="B23" s="81" t="str">
        <f>IF('Students Details'!B23="","",'Students Details'!B23)</f>
        <v/>
      </c>
      <c r="C23" s="82" t="str">
        <f>IF('Students Details'!C23="","",'Students Details'!C23)</f>
        <v/>
      </c>
      <c r="D23" s="83" t="str">
        <f>IF('I Component'!R24=0,"",'I Component'!R24)</f>
        <v/>
      </c>
      <c r="E23" s="83" t="str">
        <f>IF('I Component'!S24=0,"",'I Component'!S24)</f>
        <v/>
      </c>
      <c r="F23" s="83" t="str">
        <f>IF('I Component'!T24=0,"",'I Component'!T24)</f>
        <v/>
      </c>
      <c r="G23" s="83" t="str">
        <f>IF('I Component'!U24=0,"",'I Component'!U24)</f>
        <v/>
      </c>
      <c r="H23" s="83" t="str">
        <f>IF('I Component'!V24=0,"",'I Component'!V24)</f>
        <v/>
      </c>
      <c r="I23" s="83" t="str">
        <f>IF('I Component'!W24=0,"",'I Component'!W24)</f>
        <v/>
      </c>
      <c r="J23" s="83">
        <f t="shared" si="0"/>
        <v>0</v>
      </c>
      <c r="K23" s="1"/>
      <c r="L23" s="1"/>
      <c r="M23" s="1"/>
      <c r="N23" s="1"/>
      <c r="O23" s="1"/>
      <c r="P23" s="1"/>
      <c r="Q23" s="1"/>
      <c r="R23" s="1"/>
      <c r="S23" s="1"/>
      <c r="T23" s="1"/>
      <c r="U23" s="1"/>
      <c r="V23" s="1"/>
      <c r="W23" s="1"/>
      <c r="X23" s="1"/>
      <c r="Y23" s="1"/>
      <c r="Z23" s="1"/>
    </row>
    <row r="24" spans="1:26" ht="15.75" customHeight="1">
      <c r="A24" s="80">
        <f>'Students Details'!A24</f>
        <v>18</v>
      </c>
      <c r="B24" s="81" t="str">
        <f>IF('Students Details'!B24="","",'Students Details'!B24)</f>
        <v/>
      </c>
      <c r="C24" s="82" t="str">
        <f>IF('Students Details'!C24="","",'Students Details'!C24)</f>
        <v/>
      </c>
      <c r="D24" s="83" t="str">
        <f>IF('I Component'!R25=0,"",'I Component'!R25)</f>
        <v/>
      </c>
      <c r="E24" s="83" t="str">
        <f>IF('I Component'!S25=0,"",'I Component'!S25)</f>
        <v/>
      </c>
      <c r="F24" s="83" t="str">
        <f>IF('I Component'!T25=0,"",'I Component'!T25)</f>
        <v/>
      </c>
      <c r="G24" s="83" t="str">
        <f>IF('I Component'!U25=0,"",'I Component'!U25)</f>
        <v/>
      </c>
      <c r="H24" s="83" t="str">
        <f>IF('I Component'!V25=0,"",'I Component'!V25)</f>
        <v/>
      </c>
      <c r="I24" s="83" t="str">
        <f>IF('I Component'!W25=0,"",'I Component'!W25)</f>
        <v/>
      </c>
      <c r="J24" s="83">
        <f t="shared" si="0"/>
        <v>0</v>
      </c>
      <c r="K24" s="1"/>
      <c r="L24" s="1"/>
      <c r="M24" s="1"/>
      <c r="N24" s="1"/>
      <c r="O24" s="1"/>
      <c r="P24" s="1"/>
      <c r="Q24" s="1"/>
      <c r="R24" s="1"/>
      <c r="S24" s="1"/>
      <c r="T24" s="1"/>
      <c r="U24" s="1"/>
      <c r="V24" s="1"/>
      <c r="W24" s="1"/>
      <c r="X24" s="1"/>
      <c r="Y24" s="1"/>
      <c r="Z24" s="1"/>
    </row>
    <row r="25" spans="1:26" ht="15.75" customHeight="1">
      <c r="A25" s="80">
        <f>'Students Details'!A25</f>
        <v>19</v>
      </c>
      <c r="B25" s="81" t="str">
        <f>IF('Students Details'!B25="","",'Students Details'!B25)</f>
        <v/>
      </c>
      <c r="C25" s="82" t="str">
        <f>IF('Students Details'!C25="","",'Students Details'!C25)</f>
        <v/>
      </c>
      <c r="D25" s="83" t="str">
        <f>IF('I Component'!R26=0,"",'I Component'!R26)</f>
        <v/>
      </c>
      <c r="E25" s="83" t="str">
        <f>IF('I Component'!S26=0,"",'I Component'!S26)</f>
        <v/>
      </c>
      <c r="F25" s="83" t="str">
        <f>IF('I Component'!T26=0,"",'I Component'!T26)</f>
        <v/>
      </c>
      <c r="G25" s="83" t="str">
        <f>IF('I Component'!U26=0,"",'I Component'!U26)</f>
        <v/>
      </c>
      <c r="H25" s="83" t="str">
        <f>IF('I Component'!V26=0,"",'I Component'!V26)</f>
        <v/>
      </c>
      <c r="I25" s="83" t="str">
        <f>IF('I Component'!W26=0,"",'I Component'!W26)</f>
        <v/>
      </c>
      <c r="J25" s="83">
        <f t="shared" si="0"/>
        <v>0</v>
      </c>
      <c r="K25" s="1"/>
      <c r="L25" s="1"/>
      <c r="M25" s="1"/>
      <c r="N25" s="1"/>
      <c r="O25" s="1"/>
      <c r="P25" s="1"/>
      <c r="Q25" s="1"/>
      <c r="R25" s="1"/>
      <c r="S25" s="1"/>
      <c r="T25" s="1"/>
      <c r="U25" s="1"/>
      <c r="V25" s="1"/>
      <c r="W25" s="1"/>
      <c r="X25" s="1"/>
      <c r="Y25" s="1"/>
      <c r="Z25" s="1"/>
    </row>
    <row r="26" spans="1:26" ht="15.75" customHeight="1">
      <c r="A26" s="80">
        <f>'Students Details'!A26</f>
        <v>20</v>
      </c>
      <c r="B26" s="81" t="str">
        <f>IF('Students Details'!B26="","",'Students Details'!B26)</f>
        <v/>
      </c>
      <c r="C26" s="82" t="str">
        <f>IF('Students Details'!C26="","",'Students Details'!C26)</f>
        <v/>
      </c>
      <c r="D26" s="83" t="str">
        <f>IF('I Component'!R27=0,"",'I Component'!R27)</f>
        <v/>
      </c>
      <c r="E26" s="83" t="str">
        <f>IF('I Component'!S27=0,"",'I Component'!S27)</f>
        <v/>
      </c>
      <c r="F26" s="83" t="str">
        <f>IF('I Component'!T27=0,"",'I Component'!T27)</f>
        <v/>
      </c>
      <c r="G26" s="83" t="str">
        <f>IF('I Component'!U27=0,"",'I Component'!U27)</f>
        <v/>
      </c>
      <c r="H26" s="83" t="str">
        <f>IF('I Component'!V27=0,"",'I Component'!V27)</f>
        <v/>
      </c>
      <c r="I26" s="83" t="str">
        <f>IF('I Component'!W27=0,"",'I Component'!W27)</f>
        <v/>
      </c>
      <c r="J26" s="83">
        <f t="shared" si="0"/>
        <v>0</v>
      </c>
      <c r="K26" s="1"/>
      <c r="L26" s="1"/>
      <c r="M26" s="1"/>
      <c r="N26" s="1"/>
      <c r="O26" s="1"/>
      <c r="P26" s="1"/>
      <c r="Q26" s="1"/>
      <c r="R26" s="1"/>
      <c r="S26" s="1"/>
      <c r="T26" s="1"/>
      <c r="U26" s="1"/>
      <c r="V26" s="1"/>
      <c r="W26" s="1"/>
      <c r="X26" s="1"/>
      <c r="Y26" s="1"/>
      <c r="Z26" s="1"/>
    </row>
    <row r="27" spans="1:26" ht="15.75" customHeight="1">
      <c r="A27" s="80">
        <f>'Students Details'!A27</f>
        <v>21</v>
      </c>
      <c r="B27" s="81" t="str">
        <f>IF('Students Details'!B27="","",'Students Details'!B27)</f>
        <v/>
      </c>
      <c r="C27" s="82" t="str">
        <f>IF('Students Details'!C27="","",'Students Details'!C27)</f>
        <v/>
      </c>
      <c r="D27" s="83" t="str">
        <f>IF('I Component'!R28=0,"",'I Component'!R28)</f>
        <v/>
      </c>
      <c r="E27" s="83" t="str">
        <f>IF('I Component'!S28=0,"",'I Component'!S28)</f>
        <v/>
      </c>
      <c r="F27" s="83" t="str">
        <f>IF('I Component'!T28=0,"",'I Component'!T28)</f>
        <v/>
      </c>
      <c r="G27" s="83" t="str">
        <f>IF('I Component'!U28=0,"",'I Component'!U28)</f>
        <v/>
      </c>
      <c r="H27" s="83" t="str">
        <f>IF('I Component'!V28=0,"",'I Component'!V28)</f>
        <v/>
      </c>
      <c r="I27" s="83" t="str">
        <f>IF('I Component'!W28=0,"",'I Component'!W28)</f>
        <v/>
      </c>
      <c r="J27" s="83">
        <f t="shared" si="0"/>
        <v>0</v>
      </c>
      <c r="K27" s="1"/>
      <c r="L27" s="1"/>
      <c r="M27" s="1"/>
      <c r="N27" s="1"/>
      <c r="O27" s="1"/>
      <c r="P27" s="1"/>
      <c r="Q27" s="1"/>
      <c r="R27" s="1"/>
      <c r="S27" s="1"/>
      <c r="T27" s="1"/>
      <c r="U27" s="1"/>
      <c r="V27" s="1"/>
      <c r="W27" s="1"/>
      <c r="X27" s="1"/>
      <c r="Y27" s="1"/>
      <c r="Z27" s="1"/>
    </row>
    <row r="28" spans="1:26" ht="15.75" customHeight="1">
      <c r="A28" s="80">
        <f>'Students Details'!A28</f>
        <v>22</v>
      </c>
      <c r="B28" s="81" t="str">
        <f>IF('Students Details'!B28="","",'Students Details'!B28)</f>
        <v/>
      </c>
      <c r="C28" s="82" t="str">
        <f>IF('Students Details'!C28="","",'Students Details'!C28)</f>
        <v/>
      </c>
      <c r="D28" s="83" t="str">
        <f>IF('I Component'!R29=0,"",'I Component'!R29)</f>
        <v/>
      </c>
      <c r="E28" s="83" t="str">
        <f>IF('I Component'!S29=0,"",'I Component'!S29)</f>
        <v/>
      </c>
      <c r="F28" s="83" t="str">
        <f>IF('I Component'!T29=0,"",'I Component'!T29)</f>
        <v/>
      </c>
      <c r="G28" s="83" t="str">
        <f>IF('I Component'!U29=0,"",'I Component'!U29)</f>
        <v/>
      </c>
      <c r="H28" s="83" t="str">
        <f>IF('I Component'!V29=0,"",'I Component'!V29)</f>
        <v/>
      </c>
      <c r="I28" s="83" t="str">
        <f>IF('I Component'!W29=0,"",'I Component'!W29)</f>
        <v/>
      </c>
      <c r="J28" s="83">
        <f t="shared" si="0"/>
        <v>0</v>
      </c>
      <c r="K28" s="1"/>
      <c r="L28" s="1"/>
      <c r="M28" s="1"/>
      <c r="N28" s="1"/>
      <c r="O28" s="1"/>
      <c r="P28" s="1"/>
      <c r="Q28" s="1"/>
      <c r="R28" s="1"/>
      <c r="S28" s="1"/>
      <c r="T28" s="1"/>
      <c r="U28" s="1"/>
      <c r="V28" s="1"/>
      <c r="W28" s="1"/>
      <c r="X28" s="1"/>
      <c r="Y28" s="1"/>
      <c r="Z28" s="1"/>
    </row>
    <row r="29" spans="1:26" ht="15.75" customHeight="1">
      <c r="A29" s="80">
        <f>'Students Details'!A29</f>
        <v>23</v>
      </c>
      <c r="B29" s="81" t="str">
        <f>IF('Students Details'!B29="","",'Students Details'!B29)</f>
        <v/>
      </c>
      <c r="C29" s="82" t="str">
        <f>IF('Students Details'!C29="","",'Students Details'!C29)</f>
        <v/>
      </c>
      <c r="D29" s="83" t="str">
        <f>IF('I Component'!R30=0,"",'I Component'!R30)</f>
        <v/>
      </c>
      <c r="E29" s="83" t="str">
        <f>IF('I Component'!S30=0,"",'I Component'!S30)</f>
        <v/>
      </c>
      <c r="F29" s="83" t="str">
        <f>IF('I Component'!T30=0,"",'I Component'!T30)</f>
        <v/>
      </c>
      <c r="G29" s="83" t="str">
        <f>IF('I Component'!U30=0,"",'I Component'!U30)</f>
        <v/>
      </c>
      <c r="H29" s="83" t="str">
        <f>IF('I Component'!V30=0,"",'I Component'!V30)</f>
        <v/>
      </c>
      <c r="I29" s="83" t="str">
        <f>IF('I Component'!W30=0,"",'I Component'!W30)</f>
        <v/>
      </c>
      <c r="J29" s="83">
        <f t="shared" si="0"/>
        <v>0</v>
      </c>
      <c r="K29" s="1"/>
      <c r="L29" s="1"/>
      <c r="M29" s="1"/>
      <c r="N29" s="1"/>
      <c r="O29" s="1"/>
      <c r="P29" s="1"/>
      <c r="Q29" s="1"/>
      <c r="R29" s="1"/>
      <c r="S29" s="1"/>
      <c r="T29" s="1"/>
      <c r="U29" s="1"/>
      <c r="V29" s="1"/>
      <c r="W29" s="1"/>
      <c r="X29" s="1"/>
      <c r="Y29" s="1"/>
      <c r="Z29" s="1"/>
    </row>
    <row r="30" spans="1:26" ht="15.75" customHeight="1">
      <c r="A30" s="80">
        <f>'Students Details'!A30</f>
        <v>24</v>
      </c>
      <c r="B30" s="81" t="str">
        <f>IF('Students Details'!B30="","",'Students Details'!B30)</f>
        <v/>
      </c>
      <c r="C30" s="82" t="str">
        <f>IF('Students Details'!C30="","",'Students Details'!C30)</f>
        <v/>
      </c>
      <c r="D30" s="83" t="str">
        <f>IF('I Component'!R31=0,"",'I Component'!R31)</f>
        <v/>
      </c>
      <c r="E30" s="83" t="str">
        <f>IF('I Component'!S31=0,"",'I Component'!S31)</f>
        <v/>
      </c>
      <c r="F30" s="83" t="str">
        <f>IF('I Component'!T31=0,"",'I Component'!T31)</f>
        <v/>
      </c>
      <c r="G30" s="83" t="str">
        <f>IF('I Component'!U31=0,"",'I Component'!U31)</f>
        <v/>
      </c>
      <c r="H30" s="83" t="str">
        <f>IF('I Component'!V31=0,"",'I Component'!V31)</f>
        <v/>
      </c>
      <c r="I30" s="83" t="str">
        <f>IF('I Component'!W31=0,"",'I Component'!W31)</f>
        <v/>
      </c>
      <c r="J30" s="83">
        <f t="shared" si="0"/>
        <v>0</v>
      </c>
      <c r="K30" s="1"/>
      <c r="L30" s="1"/>
      <c r="M30" s="1"/>
      <c r="N30" s="1"/>
      <c r="O30" s="1"/>
      <c r="P30" s="1"/>
      <c r="Q30" s="1"/>
      <c r="R30" s="1"/>
      <c r="S30" s="1"/>
      <c r="T30" s="1"/>
      <c r="U30" s="1"/>
      <c r="V30" s="1"/>
      <c r="W30" s="1"/>
      <c r="X30" s="1"/>
      <c r="Y30" s="1"/>
      <c r="Z30" s="1"/>
    </row>
    <row r="31" spans="1:26" ht="15.75" customHeight="1">
      <c r="A31" s="80">
        <f>'Students Details'!A31</f>
        <v>25</v>
      </c>
      <c r="B31" s="81" t="str">
        <f>IF('Students Details'!B31="","",'Students Details'!B31)</f>
        <v/>
      </c>
      <c r="C31" s="82" t="str">
        <f>IF('Students Details'!C31="","",'Students Details'!C31)</f>
        <v/>
      </c>
      <c r="D31" s="83" t="str">
        <f>IF('I Component'!R32=0,"",'I Component'!R32)</f>
        <v/>
      </c>
      <c r="E31" s="83" t="str">
        <f>IF('I Component'!S32=0,"",'I Component'!S32)</f>
        <v/>
      </c>
      <c r="F31" s="83" t="str">
        <f>IF('I Component'!T32=0,"",'I Component'!T32)</f>
        <v/>
      </c>
      <c r="G31" s="83" t="str">
        <f>IF('I Component'!U32=0,"",'I Component'!U32)</f>
        <v/>
      </c>
      <c r="H31" s="83" t="str">
        <f>IF('I Component'!V32=0,"",'I Component'!V32)</f>
        <v/>
      </c>
      <c r="I31" s="83" t="str">
        <f>IF('I Component'!W32=0,"",'I Component'!W32)</f>
        <v/>
      </c>
      <c r="J31" s="83">
        <f t="shared" si="0"/>
        <v>0</v>
      </c>
      <c r="K31" s="1"/>
      <c r="L31" s="1"/>
      <c r="M31" s="1"/>
      <c r="N31" s="1"/>
      <c r="O31" s="1"/>
      <c r="P31" s="1"/>
      <c r="Q31" s="1"/>
      <c r="R31" s="1"/>
      <c r="S31" s="1"/>
      <c r="T31" s="1"/>
      <c r="U31" s="1"/>
      <c r="V31" s="1"/>
      <c r="W31" s="1"/>
      <c r="X31" s="1"/>
      <c r="Y31" s="1"/>
      <c r="Z31" s="1"/>
    </row>
    <row r="32" spans="1:26" ht="15.75" customHeight="1">
      <c r="A32" s="80">
        <f>'Students Details'!A32</f>
        <v>26</v>
      </c>
      <c r="B32" s="81" t="str">
        <f>IF('Students Details'!B32="","",'Students Details'!B32)</f>
        <v/>
      </c>
      <c r="C32" s="82" t="str">
        <f>IF('Students Details'!C32="","",'Students Details'!C32)</f>
        <v/>
      </c>
      <c r="D32" s="83" t="str">
        <f>IF('I Component'!R33=0,"",'I Component'!R33)</f>
        <v/>
      </c>
      <c r="E32" s="83" t="str">
        <f>IF('I Component'!S33=0,"",'I Component'!S33)</f>
        <v/>
      </c>
      <c r="F32" s="83" t="str">
        <f>IF('I Component'!T33=0,"",'I Component'!T33)</f>
        <v/>
      </c>
      <c r="G32" s="83" t="str">
        <f>IF('I Component'!U33=0,"",'I Component'!U33)</f>
        <v/>
      </c>
      <c r="H32" s="83" t="str">
        <f>IF('I Component'!V33=0,"",'I Component'!V33)</f>
        <v/>
      </c>
      <c r="I32" s="83" t="str">
        <f>IF('I Component'!W33=0,"",'I Component'!W33)</f>
        <v/>
      </c>
      <c r="J32" s="83">
        <f t="shared" si="0"/>
        <v>0</v>
      </c>
      <c r="K32" s="1"/>
      <c r="L32" s="1"/>
      <c r="M32" s="1"/>
      <c r="N32" s="1"/>
      <c r="O32" s="1"/>
      <c r="P32" s="1"/>
      <c r="Q32" s="1"/>
      <c r="R32" s="1"/>
      <c r="S32" s="1"/>
      <c r="T32" s="1"/>
      <c r="U32" s="1"/>
      <c r="V32" s="1"/>
      <c r="W32" s="1"/>
      <c r="X32" s="1"/>
      <c r="Y32" s="1"/>
      <c r="Z32" s="1"/>
    </row>
    <row r="33" spans="1:26" ht="15.75" customHeight="1">
      <c r="A33" s="80">
        <f>'Students Details'!A33</f>
        <v>27</v>
      </c>
      <c r="B33" s="81" t="str">
        <f>IF('Students Details'!B33="","",'Students Details'!B33)</f>
        <v/>
      </c>
      <c r="C33" s="82" t="str">
        <f>IF('Students Details'!C33="","",'Students Details'!C33)</f>
        <v/>
      </c>
      <c r="D33" s="83" t="str">
        <f>IF('I Component'!R34=0,"",'I Component'!R34)</f>
        <v/>
      </c>
      <c r="E33" s="83" t="str">
        <f>IF('I Component'!S34=0,"",'I Component'!S34)</f>
        <v/>
      </c>
      <c r="F33" s="83" t="str">
        <f>IF('I Component'!T34=0,"",'I Component'!T34)</f>
        <v/>
      </c>
      <c r="G33" s="83" t="str">
        <f>IF('I Component'!U34=0,"",'I Component'!U34)</f>
        <v/>
      </c>
      <c r="H33" s="83" t="str">
        <f>IF('I Component'!V34=0,"",'I Component'!V34)</f>
        <v/>
      </c>
      <c r="I33" s="83" t="str">
        <f>IF('I Component'!W34=0,"",'I Component'!W34)</f>
        <v/>
      </c>
      <c r="J33" s="83">
        <f t="shared" si="0"/>
        <v>0</v>
      </c>
      <c r="K33" s="1"/>
      <c r="L33" s="1"/>
      <c r="M33" s="1"/>
      <c r="N33" s="1"/>
      <c r="O33" s="1"/>
      <c r="P33" s="1"/>
      <c r="Q33" s="1"/>
      <c r="R33" s="1"/>
      <c r="S33" s="1"/>
      <c r="T33" s="1"/>
      <c r="U33" s="1"/>
      <c r="V33" s="1"/>
      <c r="W33" s="1"/>
      <c r="X33" s="1"/>
      <c r="Y33" s="1"/>
      <c r="Z33" s="1"/>
    </row>
    <row r="34" spans="1:26" ht="15.75" customHeight="1">
      <c r="A34" s="80">
        <f>'Students Details'!A34</f>
        <v>28</v>
      </c>
      <c r="B34" s="81" t="str">
        <f>IF('Students Details'!B34="","",'Students Details'!B34)</f>
        <v/>
      </c>
      <c r="C34" s="82" t="str">
        <f>IF('Students Details'!C34="","",'Students Details'!C34)</f>
        <v/>
      </c>
      <c r="D34" s="83" t="str">
        <f>IF('I Component'!R35=0,"",'I Component'!R35)</f>
        <v/>
      </c>
      <c r="E34" s="83" t="str">
        <f>IF('I Component'!S35=0,"",'I Component'!S35)</f>
        <v/>
      </c>
      <c r="F34" s="83" t="str">
        <f>IF('I Component'!T35=0,"",'I Component'!T35)</f>
        <v/>
      </c>
      <c r="G34" s="83" t="str">
        <f>IF('I Component'!U35=0,"",'I Component'!U35)</f>
        <v/>
      </c>
      <c r="H34" s="83" t="str">
        <f>IF('I Component'!V35=0,"",'I Component'!V35)</f>
        <v/>
      </c>
      <c r="I34" s="83" t="str">
        <f>IF('I Component'!W35=0,"",'I Component'!W35)</f>
        <v/>
      </c>
      <c r="J34" s="83">
        <f t="shared" si="0"/>
        <v>0</v>
      </c>
      <c r="K34" s="1"/>
      <c r="L34" s="1"/>
      <c r="M34" s="1"/>
      <c r="N34" s="1"/>
      <c r="O34" s="1"/>
      <c r="P34" s="1"/>
      <c r="Q34" s="1"/>
      <c r="R34" s="1"/>
      <c r="S34" s="1"/>
      <c r="T34" s="1"/>
      <c r="U34" s="1"/>
      <c r="V34" s="1"/>
      <c r="W34" s="1"/>
      <c r="X34" s="1"/>
      <c r="Y34" s="1"/>
      <c r="Z34" s="1"/>
    </row>
    <row r="35" spans="1:26" ht="15.75" customHeight="1">
      <c r="A35" s="80">
        <f>'Students Details'!A35</f>
        <v>29</v>
      </c>
      <c r="B35" s="81" t="str">
        <f>IF('Students Details'!B35="","",'Students Details'!B35)</f>
        <v/>
      </c>
      <c r="C35" s="82" t="str">
        <f>IF('Students Details'!C35="","",'Students Details'!C35)</f>
        <v/>
      </c>
      <c r="D35" s="83" t="str">
        <f>IF('I Component'!R36=0,"",'I Component'!R36)</f>
        <v/>
      </c>
      <c r="E35" s="83" t="str">
        <f>IF('I Component'!S36=0,"",'I Component'!S36)</f>
        <v/>
      </c>
      <c r="F35" s="83" t="str">
        <f>IF('I Component'!T36=0,"",'I Component'!T36)</f>
        <v/>
      </c>
      <c r="G35" s="83" t="str">
        <f>IF('I Component'!U36=0,"",'I Component'!U36)</f>
        <v/>
      </c>
      <c r="H35" s="83" t="str">
        <f>IF('I Component'!V36=0,"",'I Component'!V36)</f>
        <v/>
      </c>
      <c r="I35" s="83" t="str">
        <f>IF('I Component'!W36=0,"",'I Component'!W36)</f>
        <v/>
      </c>
      <c r="J35" s="83">
        <f t="shared" si="0"/>
        <v>0</v>
      </c>
      <c r="K35" s="1"/>
      <c r="L35" s="1"/>
      <c r="M35" s="1"/>
      <c r="N35" s="1"/>
      <c r="O35" s="1"/>
      <c r="P35" s="1"/>
      <c r="Q35" s="1"/>
      <c r="R35" s="1"/>
      <c r="S35" s="1"/>
      <c r="T35" s="1"/>
      <c r="U35" s="1"/>
      <c r="V35" s="1"/>
      <c r="W35" s="1"/>
      <c r="X35" s="1"/>
      <c r="Y35" s="1"/>
      <c r="Z35" s="1"/>
    </row>
    <row r="36" spans="1:26" ht="15.75" customHeight="1">
      <c r="A36" s="80">
        <f>'Students Details'!A36</f>
        <v>30</v>
      </c>
      <c r="B36" s="81" t="str">
        <f>IF('Students Details'!B36="","",'Students Details'!B36)</f>
        <v/>
      </c>
      <c r="C36" s="82" t="str">
        <f>IF('Students Details'!C36="","",'Students Details'!C36)</f>
        <v/>
      </c>
      <c r="D36" s="83" t="str">
        <f>IF('I Component'!R37=0,"",'I Component'!R37)</f>
        <v/>
      </c>
      <c r="E36" s="83" t="str">
        <f>IF('I Component'!S37=0,"",'I Component'!S37)</f>
        <v/>
      </c>
      <c r="F36" s="83" t="str">
        <f>IF('I Component'!T37=0,"",'I Component'!T37)</f>
        <v/>
      </c>
      <c r="G36" s="83" t="str">
        <f>IF('I Component'!U37=0,"",'I Component'!U37)</f>
        <v/>
      </c>
      <c r="H36" s="83" t="str">
        <f>IF('I Component'!V37=0,"",'I Component'!V37)</f>
        <v/>
      </c>
      <c r="I36" s="83" t="str">
        <f>IF('I Component'!W37=0,"",'I Component'!W37)</f>
        <v/>
      </c>
      <c r="J36" s="83">
        <f t="shared" si="0"/>
        <v>0</v>
      </c>
      <c r="K36" s="1"/>
      <c r="L36" s="1"/>
      <c r="M36" s="1"/>
      <c r="N36" s="1"/>
      <c r="O36" s="1"/>
      <c r="P36" s="1"/>
      <c r="Q36" s="1"/>
      <c r="R36" s="1"/>
      <c r="S36" s="1"/>
      <c r="T36" s="1"/>
      <c r="U36" s="1"/>
      <c r="V36" s="1"/>
      <c r="W36" s="1"/>
      <c r="X36" s="1"/>
      <c r="Y36" s="1"/>
      <c r="Z36" s="1"/>
    </row>
    <row r="37" spans="1:26" ht="15.75" customHeight="1">
      <c r="A37" s="80">
        <f>'Students Details'!A37</f>
        <v>31</v>
      </c>
      <c r="B37" s="81" t="str">
        <f>IF('Students Details'!B37="","",'Students Details'!B37)</f>
        <v/>
      </c>
      <c r="C37" s="82" t="str">
        <f>IF('Students Details'!C37="","",'Students Details'!C37)</f>
        <v/>
      </c>
      <c r="D37" s="83" t="str">
        <f>IF('I Component'!R38=0,"",'I Component'!R38)</f>
        <v/>
      </c>
      <c r="E37" s="83" t="str">
        <f>IF('I Component'!S38=0,"",'I Component'!S38)</f>
        <v/>
      </c>
      <c r="F37" s="83" t="str">
        <f>IF('I Component'!T38=0,"",'I Component'!T38)</f>
        <v/>
      </c>
      <c r="G37" s="83" t="str">
        <f>IF('I Component'!U38=0,"",'I Component'!U38)</f>
        <v/>
      </c>
      <c r="H37" s="83" t="str">
        <f>IF('I Component'!V38=0,"",'I Component'!V38)</f>
        <v/>
      </c>
      <c r="I37" s="83" t="str">
        <f>IF('I Component'!W38=0,"",'I Component'!W38)</f>
        <v/>
      </c>
      <c r="J37" s="83">
        <f t="shared" si="0"/>
        <v>0</v>
      </c>
      <c r="K37" s="1"/>
      <c r="L37" s="1"/>
      <c r="M37" s="1"/>
      <c r="N37" s="1"/>
      <c r="O37" s="1"/>
      <c r="P37" s="1"/>
      <c r="Q37" s="1"/>
      <c r="R37" s="1"/>
      <c r="S37" s="1"/>
      <c r="T37" s="1"/>
      <c r="U37" s="1"/>
      <c r="V37" s="1"/>
      <c r="W37" s="1"/>
      <c r="X37" s="1"/>
      <c r="Y37" s="1"/>
      <c r="Z37" s="1"/>
    </row>
    <row r="38" spans="1:26" ht="15.75" customHeight="1">
      <c r="A38" s="80">
        <f>'Students Details'!A38</f>
        <v>32</v>
      </c>
      <c r="B38" s="81" t="str">
        <f>IF('Students Details'!B38="","",'Students Details'!B38)</f>
        <v/>
      </c>
      <c r="C38" s="82" t="str">
        <f>IF('Students Details'!C38="","",'Students Details'!C38)</f>
        <v/>
      </c>
      <c r="D38" s="83" t="str">
        <f>IF('I Component'!R39=0,"",'I Component'!R39)</f>
        <v/>
      </c>
      <c r="E38" s="83" t="str">
        <f>IF('I Component'!S39=0,"",'I Component'!S39)</f>
        <v/>
      </c>
      <c r="F38" s="83" t="str">
        <f>IF('I Component'!T39=0,"",'I Component'!T39)</f>
        <v/>
      </c>
      <c r="G38" s="83" t="str">
        <f>IF('I Component'!U39=0,"",'I Component'!U39)</f>
        <v/>
      </c>
      <c r="H38" s="83" t="str">
        <f>IF('I Component'!V39=0,"",'I Component'!V39)</f>
        <v/>
      </c>
      <c r="I38" s="83" t="str">
        <f>IF('I Component'!W39=0,"",'I Component'!W39)</f>
        <v/>
      </c>
      <c r="J38" s="83">
        <f t="shared" si="0"/>
        <v>0</v>
      </c>
      <c r="K38" s="1"/>
      <c r="L38" s="1"/>
      <c r="M38" s="1"/>
      <c r="N38" s="1"/>
      <c r="O38" s="1"/>
      <c r="P38" s="1"/>
      <c r="Q38" s="1"/>
      <c r="R38" s="1"/>
      <c r="S38" s="1"/>
      <c r="T38" s="1"/>
      <c r="U38" s="1"/>
      <c r="V38" s="1"/>
      <c r="W38" s="1"/>
      <c r="X38" s="1"/>
      <c r="Y38" s="1"/>
      <c r="Z38" s="1"/>
    </row>
    <row r="39" spans="1:26" ht="15.75" customHeight="1">
      <c r="A39" s="80">
        <f>'Students Details'!A39</f>
        <v>33</v>
      </c>
      <c r="B39" s="81" t="str">
        <f>IF('Students Details'!B39="","",'Students Details'!B39)</f>
        <v/>
      </c>
      <c r="C39" s="82" t="str">
        <f>IF('Students Details'!C39="","",'Students Details'!C39)</f>
        <v/>
      </c>
      <c r="D39" s="83" t="str">
        <f>IF('I Component'!R40=0,"",'I Component'!R40)</f>
        <v/>
      </c>
      <c r="E39" s="83" t="str">
        <f>IF('I Component'!S40=0,"",'I Component'!S40)</f>
        <v/>
      </c>
      <c r="F39" s="83" t="str">
        <f>IF('I Component'!T40=0,"",'I Component'!T40)</f>
        <v/>
      </c>
      <c r="G39" s="83" t="str">
        <f>IF('I Component'!U40=0,"",'I Component'!U40)</f>
        <v/>
      </c>
      <c r="H39" s="83" t="str">
        <f>IF('I Component'!V40=0,"",'I Component'!V40)</f>
        <v/>
      </c>
      <c r="I39" s="83" t="str">
        <f>IF('I Component'!W40=0,"",'I Component'!W40)</f>
        <v/>
      </c>
      <c r="J39" s="83">
        <f t="shared" si="0"/>
        <v>0</v>
      </c>
      <c r="K39" s="1"/>
      <c r="L39" s="1"/>
      <c r="M39" s="1"/>
      <c r="N39" s="1"/>
      <c r="O39" s="1"/>
      <c r="P39" s="1"/>
      <c r="Q39" s="1"/>
      <c r="R39" s="1"/>
      <c r="S39" s="1"/>
      <c r="T39" s="1"/>
      <c r="U39" s="1"/>
      <c r="V39" s="1"/>
      <c r="W39" s="1"/>
      <c r="X39" s="1"/>
      <c r="Y39" s="1"/>
      <c r="Z39" s="1"/>
    </row>
    <row r="40" spans="1:26" ht="15.75" customHeight="1">
      <c r="A40" s="80">
        <f>'Students Details'!A40</f>
        <v>34</v>
      </c>
      <c r="B40" s="81" t="str">
        <f>IF('Students Details'!B40="","",'Students Details'!B40)</f>
        <v/>
      </c>
      <c r="C40" s="82" t="str">
        <f>IF('Students Details'!C40="","",'Students Details'!C40)</f>
        <v/>
      </c>
      <c r="D40" s="83" t="str">
        <f>IF('I Component'!R41=0,"",'I Component'!R41)</f>
        <v/>
      </c>
      <c r="E40" s="83" t="str">
        <f>IF('I Component'!S41=0,"",'I Component'!S41)</f>
        <v/>
      </c>
      <c r="F40" s="83" t="str">
        <f>IF('I Component'!T41=0,"",'I Component'!T41)</f>
        <v/>
      </c>
      <c r="G40" s="83" t="str">
        <f>IF('I Component'!U41=0,"",'I Component'!U41)</f>
        <v/>
      </c>
      <c r="H40" s="83" t="str">
        <f>IF('I Component'!V41=0,"",'I Component'!V41)</f>
        <v/>
      </c>
      <c r="I40" s="83" t="str">
        <f>IF('I Component'!W41=0,"",'I Component'!W41)</f>
        <v/>
      </c>
      <c r="J40" s="83">
        <f t="shared" si="0"/>
        <v>0</v>
      </c>
      <c r="K40" s="1"/>
      <c r="L40" s="1"/>
      <c r="M40" s="1"/>
      <c r="N40" s="1"/>
      <c r="O40" s="1"/>
      <c r="P40" s="1"/>
      <c r="Q40" s="1"/>
      <c r="R40" s="1"/>
      <c r="S40" s="1"/>
      <c r="T40" s="1"/>
      <c r="U40" s="1"/>
      <c r="V40" s="1"/>
      <c r="W40" s="1"/>
      <c r="X40" s="1"/>
      <c r="Y40" s="1"/>
      <c r="Z40" s="1"/>
    </row>
    <row r="41" spans="1:26" ht="15.75" customHeight="1">
      <c r="A41" s="80">
        <f>'Students Details'!A41</f>
        <v>35</v>
      </c>
      <c r="B41" s="81" t="str">
        <f>IF('Students Details'!B41="","",'Students Details'!B41)</f>
        <v/>
      </c>
      <c r="C41" s="82" t="str">
        <f>IF('Students Details'!C41="","",'Students Details'!C41)</f>
        <v/>
      </c>
      <c r="D41" s="83" t="str">
        <f>IF('I Component'!R42=0,"",'I Component'!R42)</f>
        <v/>
      </c>
      <c r="E41" s="83" t="str">
        <f>IF('I Component'!S42=0,"",'I Component'!S42)</f>
        <v/>
      </c>
      <c r="F41" s="83" t="str">
        <f>IF('I Component'!T42=0,"",'I Component'!T42)</f>
        <v/>
      </c>
      <c r="G41" s="83" t="str">
        <f>IF('I Component'!U42=0,"",'I Component'!U42)</f>
        <v/>
      </c>
      <c r="H41" s="83" t="str">
        <f>IF('I Component'!V42=0,"",'I Component'!V42)</f>
        <v/>
      </c>
      <c r="I41" s="83" t="str">
        <f>IF('I Component'!W42=0,"",'I Component'!W42)</f>
        <v/>
      </c>
      <c r="J41" s="83">
        <f t="shared" si="0"/>
        <v>0</v>
      </c>
      <c r="K41" s="1"/>
      <c r="L41" s="1"/>
      <c r="M41" s="1"/>
      <c r="N41" s="1"/>
      <c r="O41" s="1"/>
      <c r="P41" s="1"/>
      <c r="Q41" s="1"/>
      <c r="R41" s="1"/>
      <c r="S41" s="1"/>
      <c r="T41" s="1"/>
      <c r="U41" s="1"/>
      <c r="V41" s="1"/>
      <c r="W41" s="1"/>
      <c r="X41" s="1"/>
      <c r="Y41" s="1"/>
      <c r="Z41" s="1"/>
    </row>
    <row r="42" spans="1:26" ht="15.75" customHeight="1">
      <c r="A42" s="80">
        <f>'Students Details'!A42</f>
        <v>36</v>
      </c>
      <c r="B42" s="81" t="str">
        <f>IF('Students Details'!B42="","",'Students Details'!B42)</f>
        <v/>
      </c>
      <c r="C42" s="82" t="str">
        <f>IF('Students Details'!C42="","",'Students Details'!C42)</f>
        <v/>
      </c>
      <c r="D42" s="83" t="str">
        <f>IF('I Component'!R43=0,"",'I Component'!R43)</f>
        <v/>
      </c>
      <c r="E42" s="83" t="str">
        <f>IF('I Component'!S43=0,"",'I Component'!S43)</f>
        <v/>
      </c>
      <c r="F42" s="83" t="str">
        <f>IF('I Component'!T43=0,"",'I Component'!T43)</f>
        <v/>
      </c>
      <c r="G42" s="83" t="str">
        <f>IF('I Component'!U43=0,"",'I Component'!U43)</f>
        <v/>
      </c>
      <c r="H42" s="83" t="str">
        <f>IF('I Component'!V43=0,"",'I Component'!V43)</f>
        <v/>
      </c>
      <c r="I42" s="83" t="str">
        <f>IF('I Component'!W43=0,"",'I Component'!W43)</f>
        <v/>
      </c>
      <c r="J42" s="83">
        <f t="shared" si="0"/>
        <v>0</v>
      </c>
      <c r="K42" s="1"/>
      <c r="L42" s="1"/>
      <c r="M42" s="1"/>
      <c r="N42" s="1"/>
      <c r="O42" s="1"/>
      <c r="P42" s="1"/>
      <c r="Q42" s="1"/>
      <c r="R42" s="1"/>
      <c r="S42" s="1"/>
      <c r="T42" s="1"/>
      <c r="U42" s="1"/>
      <c r="V42" s="1"/>
      <c r="W42" s="1"/>
      <c r="X42" s="1"/>
      <c r="Y42" s="1"/>
      <c r="Z42" s="1"/>
    </row>
    <row r="43" spans="1:26" ht="15.75" customHeight="1">
      <c r="A43" s="80">
        <f>'Students Details'!A43</f>
        <v>37</v>
      </c>
      <c r="B43" s="81" t="str">
        <f>IF('Students Details'!B43="","",'Students Details'!B43)</f>
        <v/>
      </c>
      <c r="C43" s="82" t="str">
        <f>IF('Students Details'!C43="","",'Students Details'!C43)</f>
        <v/>
      </c>
      <c r="D43" s="83" t="str">
        <f>IF('I Component'!R44=0,"",'I Component'!R44)</f>
        <v/>
      </c>
      <c r="E43" s="83" t="str">
        <f>IF('I Component'!S44=0,"",'I Component'!S44)</f>
        <v/>
      </c>
      <c r="F43" s="83" t="str">
        <f>IF('I Component'!T44=0,"",'I Component'!T44)</f>
        <v/>
      </c>
      <c r="G43" s="83" t="str">
        <f>IF('I Component'!U44=0,"",'I Component'!U44)</f>
        <v/>
      </c>
      <c r="H43" s="83" t="str">
        <f>IF('I Component'!V44=0,"",'I Component'!V44)</f>
        <v/>
      </c>
      <c r="I43" s="83" t="str">
        <f>IF('I Component'!W44=0,"",'I Component'!W44)</f>
        <v/>
      </c>
      <c r="J43" s="83">
        <f t="shared" si="0"/>
        <v>0</v>
      </c>
      <c r="K43" s="1"/>
      <c r="L43" s="1"/>
      <c r="M43" s="1"/>
      <c r="N43" s="1"/>
      <c r="O43" s="1"/>
      <c r="P43" s="1"/>
      <c r="Q43" s="1"/>
      <c r="R43" s="1"/>
      <c r="S43" s="1"/>
      <c r="T43" s="1"/>
      <c r="U43" s="1"/>
      <c r="V43" s="1"/>
      <c r="W43" s="1"/>
      <c r="X43" s="1"/>
      <c r="Y43" s="1"/>
      <c r="Z43" s="1"/>
    </row>
    <row r="44" spans="1:26" ht="15.75" customHeight="1">
      <c r="A44" s="80">
        <f>'Students Details'!A44</f>
        <v>38</v>
      </c>
      <c r="B44" s="81" t="str">
        <f>IF('Students Details'!B44="","",'Students Details'!B44)</f>
        <v/>
      </c>
      <c r="C44" s="82" t="str">
        <f>IF('Students Details'!C44="","",'Students Details'!C44)</f>
        <v/>
      </c>
      <c r="D44" s="83" t="str">
        <f>IF('I Component'!R45=0,"",'I Component'!R45)</f>
        <v/>
      </c>
      <c r="E44" s="83" t="str">
        <f>IF('I Component'!S45=0,"",'I Component'!S45)</f>
        <v/>
      </c>
      <c r="F44" s="83" t="str">
        <f>IF('I Component'!T45=0,"",'I Component'!T45)</f>
        <v/>
      </c>
      <c r="G44" s="83" t="str">
        <f>IF('I Component'!U45=0,"",'I Component'!U45)</f>
        <v/>
      </c>
      <c r="H44" s="83" t="str">
        <f>IF('I Component'!V45=0,"",'I Component'!V45)</f>
        <v/>
      </c>
      <c r="I44" s="83" t="str">
        <f>IF('I Component'!W45=0,"",'I Component'!W45)</f>
        <v/>
      </c>
      <c r="J44" s="83">
        <f t="shared" si="0"/>
        <v>0</v>
      </c>
      <c r="K44" s="1"/>
      <c r="L44" s="1"/>
      <c r="M44" s="1"/>
      <c r="N44" s="1"/>
      <c r="O44" s="1"/>
      <c r="P44" s="1"/>
      <c r="Q44" s="1"/>
      <c r="R44" s="1"/>
      <c r="S44" s="1"/>
      <c r="T44" s="1"/>
      <c r="U44" s="1"/>
      <c r="V44" s="1"/>
      <c r="W44" s="1"/>
      <c r="X44" s="1"/>
      <c r="Y44" s="1"/>
      <c r="Z44" s="1"/>
    </row>
    <row r="45" spans="1:26" ht="15.75" customHeight="1">
      <c r="A45" s="80">
        <f>'Students Details'!A45</f>
        <v>39</v>
      </c>
      <c r="B45" s="81" t="str">
        <f>IF('Students Details'!B45="","",'Students Details'!B45)</f>
        <v/>
      </c>
      <c r="C45" s="82" t="str">
        <f>IF('Students Details'!C45="","",'Students Details'!C45)</f>
        <v/>
      </c>
      <c r="D45" s="83" t="str">
        <f>IF('I Component'!R46=0,"",'I Component'!R46)</f>
        <v/>
      </c>
      <c r="E45" s="83" t="str">
        <f>IF('I Component'!S46=0,"",'I Component'!S46)</f>
        <v/>
      </c>
      <c r="F45" s="83" t="str">
        <f>IF('I Component'!T46=0,"",'I Component'!T46)</f>
        <v/>
      </c>
      <c r="G45" s="83" t="str">
        <f>IF('I Component'!U46=0,"",'I Component'!U46)</f>
        <v/>
      </c>
      <c r="H45" s="83" t="str">
        <f>IF('I Component'!V46=0,"",'I Component'!V46)</f>
        <v/>
      </c>
      <c r="I45" s="83" t="str">
        <f>IF('I Component'!W46=0,"",'I Component'!W46)</f>
        <v/>
      </c>
      <c r="J45" s="83">
        <f t="shared" si="0"/>
        <v>0</v>
      </c>
      <c r="K45" s="1"/>
      <c r="L45" s="1"/>
      <c r="M45" s="1"/>
      <c r="N45" s="1"/>
      <c r="O45" s="1"/>
      <c r="P45" s="1"/>
      <c r="Q45" s="1"/>
      <c r="R45" s="1"/>
      <c r="S45" s="1"/>
      <c r="T45" s="1"/>
      <c r="U45" s="1"/>
      <c r="V45" s="1"/>
      <c r="W45" s="1"/>
      <c r="X45" s="1"/>
      <c r="Y45" s="1"/>
      <c r="Z45" s="1"/>
    </row>
    <row r="46" spans="1:26" ht="15.75" customHeight="1">
      <c r="A46" s="80">
        <f>'Students Details'!A46</f>
        <v>40</v>
      </c>
      <c r="B46" s="81" t="str">
        <f>IF('Students Details'!B46="","",'Students Details'!B46)</f>
        <v/>
      </c>
      <c r="C46" s="82" t="str">
        <f>IF('Students Details'!C46="","",'Students Details'!C46)</f>
        <v/>
      </c>
      <c r="D46" s="83" t="str">
        <f>IF('I Component'!R47=0,"",'I Component'!R47)</f>
        <v/>
      </c>
      <c r="E46" s="83" t="str">
        <f>IF('I Component'!S47=0,"",'I Component'!S47)</f>
        <v/>
      </c>
      <c r="F46" s="83" t="str">
        <f>IF('I Component'!T47=0,"",'I Component'!T47)</f>
        <v/>
      </c>
      <c r="G46" s="83" t="str">
        <f>IF('I Component'!U47=0,"",'I Component'!U47)</f>
        <v/>
      </c>
      <c r="H46" s="83" t="str">
        <f>IF('I Component'!V47=0,"",'I Component'!V47)</f>
        <v/>
      </c>
      <c r="I46" s="83" t="str">
        <f>IF('I Component'!W47=0,"",'I Component'!W47)</f>
        <v/>
      </c>
      <c r="J46" s="83">
        <f t="shared" si="0"/>
        <v>0</v>
      </c>
      <c r="K46" s="1"/>
      <c r="L46" s="1"/>
      <c r="M46" s="1"/>
      <c r="N46" s="1"/>
      <c r="O46" s="1"/>
      <c r="P46" s="1"/>
      <c r="Q46" s="1"/>
      <c r="R46" s="1"/>
      <c r="S46" s="1"/>
      <c r="T46" s="1"/>
      <c r="U46" s="1"/>
      <c r="V46" s="1"/>
      <c r="W46" s="1"/>
      <c r="X46" s="1"/>
      <c r="Y46" s="1"/>
      <c r="Z46" s="1"/>
    </row>
    <row r="47" spans="1:26" ht="15.75" customHeight="1">
      <c r="A47" s="80">
        <f>'Students Details'!A47</f>
        <v>41</v>
      </c>
      <c r="B47" s="81" t="str">
        <f>IF('Students Details'!B47="","",'Students Details'!B47)</f>
        <v/>
      </c>
      <c r="C47" s="82" t="str">
        <f>IF('Students Details'!C47="","",'Students Details'!C47)</f>
        <v/>
      </c>
      <c r="D47" s="83" t="str">
        <f>IF('I Component'!R48=0,"",'I Component'!R48)</f>
        <v/>
      </c>
      <c r="E47" s="83" t="str">
        <f>IF('I Component'!S48=0,"",'I Component'!S48)</f>
        <v/>
      </c>
      <c r="F47" s="83" t="str">
        <f>IF('I Component'!T48=0,"",'I Component'!T48)</f>
        <v/>
      </c>
      <c r="G47" s="83" t="str">
        <f>IF('I Component'!U48=0,"",'I Component'!U48)</f>
        <v/>
      </c>
      <c r="H47" s="83" t="str">
        <f>IF('I Component'!V48=0,"",'I Component'!V48)</f>
        <v/>
      </c>
      <c r="I47" s="83" t="str">
        <f>IF('I Component'!W48=0,"",'I Component'!W48)</f>
        <v/>
      </c>
      <c r="J47" s="83">
        <f t="shared" si="0"/>
        <v>0</v>
      </c>
      <c r="K47" s="1"/>
      <c r="L47" s="1"/>
      <c r="M47" s="1"/>
      <c r="N47" s="1"/>
      <c r="O47" s="1"/>
      <c r="P47" s="1"/>
      <c r="Q47" s="1"/>
      <c r="R47" s="1"/>
      <c r="S47" s="1"/>
      <c r="T47" s="1"/>
      <c r="U47" s="1"/>
      <c r="V47" s="1"/>
      <c r="W47" s="1"/>
      <c r="X47" s="1"/>
      <c r="Y47" s="1"/>
      <c r="Z47" s="1"/>
    </row>
    <row r="48" spans="1:26" ht="15.75" customHeight="1">
      <c r="A48" s="80">
        <f>'Students Details'!A48</f>
        <v>42</v>
      </c>
      <c r="B48" s="81" t="str">
        <f>IF('Students Details'!B48="","",'Students Details'!B48)</f>
        <v/>
      </c>
      <c r="C48" s="82" t="str">
        <f>IF('Students Details'!C48="","",'Students Details'!C48)</f>
        <v/>
      </c>
      <c r="D48" s="83" t="str">
        <f>IF('I Component'!R49=0,"",'I Component'!R49)</f>
        <v/>
      </c>
      <c r="E48" s="83" t="str">
        <f>IF('I Component'!S49=0,"",'I Component'!S49)</f>
        <v/>
      </c>
      <c r="F48" s="83" t="str">
        <f>IF('I Component'!T49=0,"",'I Component'!T49)</f>
        <v/>
      </c>
      <c r="G48" s="83" t="str">
        <f>IF('I Component'!U49=0,"",'I Component'!U49)</f>
        <v/>
      </c>
      <c r="H48" s="83" t="str">
        <f>IF('I Component'!V49=0,"",'I Component'!V49)</f>
        <v/>
      </c>
      <c r="I48" s="83" t="str">
        <f>IF('I Component'!W49=0,"",'I Component'!W49)</f>
        <v/>
      </c>
      <c r="J48" s="83">
        <f t="shared" si="0"/>
        <v>0</v>
      </c>
      <c r="K48" s="1"/>
      <c r="L48" s="1"/>
      <c r="M48" s="1"/>
      <c r="N48" s="1"/>
      <c r="O48" s="1"/>
      <c r="P48" s="1"/>
      <c r="Q48" s="1"/>
      <c r="R48" s="1"/>
      <c r="S48" s="1"/>
      <c r="T48" s="1"/>
      <c r="U48" s="1"/>
      <c r="V48" s="1"/>
      <c r="W48" s="1"/>
      <c r="X48" s="1"/>
      <c r="Y48" s="1"/>
      <c r="Z48" s="1"/>
    </row>
    <row r="49" spans="1:26" ht="15.75" customHeight="1">
      <c r="A49" s="80">
        <f>'Students Details'!A49</f>
        <v>43</v>
      </c>
      <c r="B49" s="81" t="str">
        <f>IF('Students Details'!B49="","",'Students Details'!B49)</f>
        <v/>
      </c>
      <c r="C49" s="82" t="str">
        <f>IF('Students Details'!C49="","",'Students Details'!C49)</f>
        <v/>
      </c>
      <c r="D49" s="83" t="str">
        <f>IF('I Component'!R50=0,"",'I Component'!R50)</f>
        <v/>
      </c>
      <c r="E49" s="83" t="str">
        <f>IF('I Component'!S50=0,"",'I Component'!S50)</f>
        <v/>
      </c>
      <c r="F49" s="83" t="str">
        <f>IF('I Component'!T50=0,"",'I Component'!T50)</f>
        <v/>
      </c>
      <c r="G49" s="83" t="str">
        <f>IF('I Component'!U50=0,"",'I Component'!U50)</f>
        <v/>
      </c>
      <c r="H49" s="83" t="str">
        <f>IF('I Component'!V50=0,"",'I Component'!V50)</f>
        <v/>
      </c>
      <c r="I49" s="83" t="str">
        <f>IF('I Component'!W50=0,"",'I Component'!W50)</f>
        <v/>
      </c>
      <c r="J49" s="83">
        <f t="shared" si="0"/>
        <v>0</v>
      </c>
      <c r="K49" s="1"/>
      <c r="L49" s="1"/>
      <c r="M49" s="1"/>
      <c r="N49" s="1"/>
      <c r="O49" s="1"/>
      <c r="P49" s="1"/>
      <c r="Q49" s="1"/>
      <c r="R49" s="1"/>
      <c r="S49" s="1"/>
      <c r="T49" s="1"/>
      <c r="U49" s="1"/>
      <c r="V49" s="1"/>
      <c r="W49" s="1"/>
      <c r="X49" s="1"/>
      <c r="Y49" s="1"/>
      <c r="Z49" s="1"/>
    </row>
    <row r="50" spans="1:26" ht="15.75" customHeight="1">
      <c r="A50" s="80">
        <f>'Students Details'!A50</f>
        <v>44</v>
      </c>
      <c r="B50" s="81" t="str">
        <f>IF('Students Details'!B50="","",'Students Details'!B50)</f>
        <v/>
      </c>
      <c r="C50" s="82" t="str">
        <f>IF('Students Details'!C50="","",'Students Details'!C50)</f>
        <v/>
      </c>
      <c r="D50" s="83" t="str">
        <f>IF('I Component'!R51=0,"",'I Component'!R51)</f>
        <v/>
      </c>
      <c r="E50" s="83" t="str">
        <f>IF('I Component'!S51=0,"",'I Component'!S51)</f>
        <v/>
      </c>
      <c r="F50" s="83" t="str">
        <f>IF('I Component'!T51=0,"",'I Component'!T51)</f>
        <v/>
      </c>
      <c r="G50" s="83" t="str">
        <f>IF('I Component'!U51=0,"",'I Component'!U51)</f>
        <v/>
      </c>
      <c r="H50" s="83" t="str">
        <f>IF('I Component'!V51=0,"",'I Component'!V51)</f>
        <v/>
      </c>
      <c r="I50" s="83" t="str">
        <f>IF('I Component'!W51=0,"",'I Component'!W51)</f>
        <v/>
      </c>
      <c r="J50" s="83">
        <f t="shared" si="0"/>
        <v>0</v>
      </c>
      <c r="K50" s="1"/>
      <c r="L50" s="1"/>
      <c r="M50" s="1"/>
      <c r="N50" s="1"/>
      <c r="O50" s="1"/>
      <c r="P50" s="1"/>
      <c r="Q50" s="1"/>
      <c r="R50" s="1"/>
      <c r="S50" s="1"/>
      <c r="T50" s="1"/>
      <c r="U50" s="1"/>
      <c r="V50" s="1"/>
      <c r="W50" s="1"/>
      <c r="X50" s="1"/>
      <c r="Y50" s="1"/>
      <c r="Z50" s="1"/>
    </row>
    <row r="51" spans="1:26" ht="15.75" customHeight="1">
      <c r="A51" s="80">
        <f>'Students Details'!A51</f>
        <v>45</v>
      </c>
      <c r="B51" s="81" t="str">
        <f>IF('Students Details'!B51="","",'Students Details'!B51)</f>
        <v/>
      </c>
      <c r="C51" s="82" t="str">
        <f>IF('Students Details'!C51="","",'Students Details'!C51)</f>
        <v/>
      </c>
      <c r="D51" s="83" t="str">
        <f>IF('I Component'!R52=0,"",'I Component'!R52)</f>
        <v/>
      </c>
      <c r="E51" s="83" t="str">
        <f>IF('I Component'!S52=0,"",'I Component'!S52)</f>
        <v/>
      </c>
      <c r="F51" s="83" t="str">
        <f>IF('I Component'!T52=0,"",'I Component'!T52)</f>
        <v/>
      </c>
      <c r="G51" s="83" t="str">
        <f>IF('I Component'!U52=0,"",'I Component'!U52)</f>
        <v/>
      </c>
      <c r="H51" s="83" t="str">
        <f>IF('I Component'!V52=0,"",'I Component'!V52)</f>
        <v/>
      </c>
      <c r="I51" s="83" t="str">
        <f>IF('I Component'!W52=0,"",'I Component'!W52)</f>
        <v/>
      </c>
      <c r="J51" s="83">
        <f t="shared" si="0"/>
        <v>0</v>
      </c>
      <c r="K51" s="1"/>
      <c r="L51" s="1"/>
      <c r="M51" s="1"/>
      <c r="N51" s="1"/>
      <c r="O51" s="1"/>
      <c r="P51" s="1"/>
      <c r="Q51" s="1"/>
      <c r="R51" s="1"/>
      <c r="S51" s="1"/>
      <c r="T51" s="1"/>
      <c r="U51" s="1"/>
      <c r="V51" s="1"/>
      <c r="W51" s="1"/>
      <c r="X51" s="1"/>
      <c r="Y51" s="1"/>
      <c r="Z51" s="1"/>
    </row>
    <row r="52" spans="1:26" ht="15.75" customHeight="1">
      <c r="A52" s="80">
        <f>'Students Details'!A52</f>
        <v>46</v>
      </c>
      <c r="B52" s="81" t="str">
        <f>IF('Students Details'!B52="","",'Students Details'!B52)</f>
        <v/>
      </c>
      <c r="C52" s="82" t="str">
        <f>IF('Students Details'!C52="","",'Students Details'!C52)</f>
        <v/>
      </c>
      <c r="D52" s="83" t="str">
        <f>IF('I Component'!R53=0,"",'I Component'!R53)</f>
        <v/>
      </c>
      <c r="E52" s="83" t="str">
        <f>IF('I Component'!S53=0,"",'I Component'!S53)</f>
        <v/>
      </c>
      <c r="F52" s="83" t="str">
        <f>IF('I Component'!T53=0,"",'I Component'!T53)</f>
        <v/>
      </c>
      <c r="G52" s="83" t="str">
        <f>IF('I Component'!U53=0,"",'I Component'!U53)</f>
        <v/>
      </c>
      <c r="H52" s="83" t="str">
        <f>IF('I Component'!V53=0,"",'I Component'!V53)</f>
        <v/>
      </c>
      <c r="I52" s="83" t="str">
        <f>IF('I Component'!W53=0,"",'I Component'!W53)</f>
        <v/>
      </c>
      <c r="J52" s="83">
        <f t="shared" si="0"/>
        <v>0</v>
      </c>
      <c r="K52" s="1"/>
      <c r="L52" s="1"/>
      <c r="M52" s="1"/>
      <c r="N52" s="1"/>
      <c r="O52" s="1"/>
      <c r="P52" s="1"/>
      <c r="Q52" s="1"/>
      <c r="R52" s="1"/>
      <c r="S52" s="1"/>
      <c r="T52" s="1"/>
      <c r="U52" s="1"/>
      <c r="V52" s="1"/>
      <c r="W52" s="1"/>
      <c r="X52" s="1"/>
      <c r="Y52" s="1"/>
      <c r="Z52" s="1"/>
    </row>
    <row r="53" spans="1:26" ht="15.75" customHeight="1">
      <c r="A53" s="80">
        <f>'Students Details'!A53</f>
        <v>47</v>
      </c>
      <c r="B53" s="81" t="str">
        <f>IF('Students Details'!B53="","",'Students Details'!B53)</f>
        <v/>
      </c>
      <c r="C53" s="82" t="str">
        <f>IF('Students Details'!C53="","",'Students Details'!C53)</f>
        <v/>
      </c>
      <c r="D53" s="83" t="str">
        <f>IF('I Component'!R54=0,"",'I Component'!R54)</f>
        <v/>
      </c>
      <c r="E53" s="83" t="str">
        <f>IF('I Component'!S54=0,"",'I Component'!S54)</f>
        <v/>
      </c>
      <c r="F53" s="83" t="str">
        <f>IF('I Component'!T54=0,"",'I Component'!T54)</f>
        <v/>
      </c>
      <c r="G53" s="83" t="str">
        <f>IF('I Component'!U54=0,"",'I Component'!U54)</f>
        <v/>
      </c>
      <c r="H53" s="83" t="str">
        <f>IF('I Component'!V54=0,"",'I Component'!V54)</f>
        <v/>
      </c>
      <c r="I53" s="83" t="str">
        <f>IF('I Component'!W54=0,"",'I Component'!W54)</f>
        <v/>
      </c>
      <c r="J53" s="83">
        <f t="shared" si="0"/>
        <v>0</v>
      </c>
      <c r="K53" s="1"/>
      <c r="L53" s="1"/>
      <c r="M53" s="1"/>
      <c r="N53" s="1"/>
      <c r="O53" s="1"/>
      <c r="P53" s="1"/>
      <c r="Q53" s="1"/>
      <c r="R53" s="1"/>
      <c r="S53" s="1"/>
      <c r="T53" s="1"/>
      <c r="U53" s="1"/>
      <c r="V53" s="1"/>
      <c r="W53" s="1"/>
      <c r="X53" s="1"/>
      <c r="Y53" s="1"/>
      <c r="Z53" s="1"/>
    </row>
    <row r="54" spans="1:26" ht="15.75" customHeight="1">
      <c r="A54" s="80">
        <f>'Students Details'!A54</f>
        <v>48</v>
      </c>
      <c r="B54" s="81" t="str">
        <f>IF('Students Details'!B54="","",'Students Details'!B54)</f>
        <v/>
      </c>
      <c r="C54" s="82" t="str">
        <f>IF('Students Details'!C54="","",'Students Details'!C54)</f>
        <v/>
      </c>
      <c r="D54" s="83" t="str">
        <f>IF('I Component'!R55=0,"",'I Component'!R55)</f>
        <v/>
      </c>
      <c r="E54" s="83" t="str">
        <f>IF('I Component'!S55=0,"",'I Component'!S55)</f>
        <v/>
      </c>
      <c r="F54" s="83" t="str">
        <f>IF('I Component'!T55=0,"",'I Component'!T55)</f>
        <v/>
      </c>
      <c r="G54" s="83" t="str">
        <f>IF('I Component'!U55=0,"",'I Component'!U55)</f>
        <v/>
      </c>
      <c r="H54" s="83" t="str">
        <f>IF('I Component'!V55=0,"",'I Component'!V55)</f>
        <v/>
      </c>
      <c r="I54" s="83" t="str">
        <f>IF('I Component'!W55=0,"",'I Component'!W55)</f>
        <v/>
      </c>
      <c r="J54" s="83">
        <f t="shared" si="0"/>
        <v>0</v>
      </c>
      <c r="K54" s="1"/>
      <c r="L54" s="1"/>
      <c r="M54" s="1"/>
      <c r="N54" s="1"/>
      <c r="O54" s="1"/>
      <c r="P54" s="1"/>
      <c r="Q54" s="1"/>
      <c r="R54" s="1"/>
      <c r="S54" s="1"/>
      <c r="T54" s="1"/>
      <c r="U54" s="1"/>
      <c r="V54" s="1"/>
      <c r="W54" s="1"/>
      <c r="X54" s="1"/>
      <c r="Y54" s="1"/>
      <c r="Z54" s="1"/>
    </row>
    <row r="55" spans="1:26" ht="15.75" customHeight="1">
      <c r="A55" s="80">
        <f>'Students Details'!A55</f>
        <v>49</v>
      </c>
      <c r="B55" s="81" t="str">
        <f>IF('Students Details'!B55="","",'Students Details'!B55)</f>
        <v/>
      </c>
      <c r="C55" s="82" t="str">
        <f>IF('Students Details'!C55="","",'Students Details'!C55)</f>
        <v/>
      </c>
      <c r="D55" s="83" t="str">
        <f>IF('I Component'!R56=0,"",'I Component'!R56)</f>
        <v/>
      </c>
      <c r="E55" s="83" t="str">
        <f>IF('I Component'!S56=0,"",'I Component'!S56)</f>
        <v/>
      </c>
      <c r="F55" s="83" t="str">
        <f>IF('I Component'!T56=0,"",'I Component'!T56)</f>
        <v/>
      </c>
      <c r="G55" s="83" t="str">
        <f>IF('I Component'!U56=0,"",'I Component'!U56)</f>
        <v/>
      </c>
      <c r="H55" s="83" t="str">
        <f>IF('I Component'!V56=0,"",'I Component'!V56)</f>
        <v/>
      </c>
      <c r="I55" s="83" t="str">
        <f>IF('I Component'!W56=0,"",'I Component'!W56)</f>
        <v/>
      </c>
      <c r="J55" s="83">
        <f t="shared" si="0"/>
        <v>0</v>
      </c>
      <c r="K55" s="1"/>
      <c r="L55" s="1"/>
      <c r="M55" s="1"/>
      <c r="N55" s="1"/>
      <c r="O55" s="1"/>
      <c r="P55" s="1"/>
      <c r="Q55" s="1"/>
      <c r="R55" s="1"/>
      <c r="S55" s="1"/>
      <c r="T55" s="1"/>
      <c r="U55" s="1"/>
      <c r="V55" s="1"/>
      <c r="W55" s="1"/>
      <c r="X55" s="1"/>
      <c r="Y55" s="1"/>
      <c r="Z55" s="1"/>
    </row>
    <row r="56" spans="1:26" ht="15.75" customHeight="1">
      <c r="A56" s="80">
        <f>'Students Details'!A56</f>
        <v>50</v>
      </c>
      <c r="B56" s="81" t="str">
        <f>IF('Students Details'!B56="","",'Students Details'!B56)</f>
        <v/>
      </c>
      <c r="C56" s="82" t="str">
        <f>IF('Students Details'!C56="","",'Students Details'!C56)</f>
        <v/>
      </c>
      <c r="D56" s="83" t="str">
        <f>IF('I Component'!R57=0,"",'I Component'!R57)</f>
        <v/>
      </c>
      <c r="E56" s="83" t="str">
        <f>IF('I Component'!S57=0,"",'I Component'!S57)</f>
        <v/>
      </c>
      <c r="F56" s="83" t="str">
        <f>IF('I Component'!T57=0,"",'I Component'!T57)</f>
        <v/>
      </c>
      <c r="G56" s="83" t="str">
        <f>IF('I Component'!U57=0,"",'I Component'!U57)</f>
        <v/>
      </c>
      <c r="H56" s="83" t="str">
        <f>IF('I Component'!V57=0,"",'I Component'!V57)</f>
        <v/>
      </c>
      <c r="I56" s="83" t="str">
        <f>IF('I Component'!W57=0,"",'I Component'!W57)</f>
        <v/>
      </c>
      <c r="J56" s="83">
        <f t="shared" si="0"/>
        <v>0</v>
      </c>
      <c r="K56" s="1"/>
      <c r="L56" s="1"/>
      <c r="M56" s="1"/>
      <c r="N56" s="1"/>
      <c r="O56" s="1"/>
      <c r="P56" s="1"/>
      <c r="Q56" s="1"/>
      <c r="R56" s="1"/>
      <c r="S56" s="1"/>
      <c r="T56" s="1"/>
      <c r="U56" s="1"/>
      <c r="V56" s="1"/>
      <c r="W56" s="1"/>
      <c r="X56" s="1"/>
      <c r="Y56" s="1"/>
      <c r="Z56" s="1"/>
    </row>
    <row r="57" spans="1:26" ht="15.75" customHeight="1">
      <c r="A57" s="80">
        <f>'Students Details'!A57</f>
        <v>51</v>
      </c>
      <c r="B57" s="81" t="str">
        <f>IF('Students Details'!B57="","",'Students Details'!B57)</f>
        <v/>
      </c>
      <c r="C57" s="82" t="str">
        <f>IF('Students Details'!C57="","",'Students Details'!C57)</f>
        <v/>
      </c>
      <c r="D57" s="83" t="str">
        <f>IF('I Component'!R58=0,"",'I Component'!R58)</f>
        <v/>
      </c>
      <c r="E57" s="83" t="str">
        <f>IF('I Component'!S58=0,"",'I Component'!S58)</f>
        <v/>
      </c>
      <c r="F57" s="83" t="str">
        <f>IF('I Component'!T58=0,"",'I Component'!T58)</f>
        <v/>
      </c>
      <c r="G57" s="83" t="str">
        <f>IF('I Component'!U58=0,"",'I Component'!U58)</f>
        <v/>
      </c>
      <c r="H57" s="83" t="str">
        <f>IF('I Component'!V58=0,"",'I Component'!V58)</f>
        <v/>
      </c>
      <c r="I57" s="83" t="str">
        <f>IF('I Component'!W58=0,"",'I Component'!W58)</f>
        <v/>
      </c>
      <c r="J57" s="83">
        <f t="shared" si="0"/>
        <v>0</v>
      </c>
      <c r="K57" s="1"/>
      <c r="L57" s="1"/>
      <c r="M57" s="1"/>
      <c r="N57" s="1"/>
      <c r="O57" s="1"/>
      <c r="P57" s="1"/>
      <c r="Q57" s="1"/>
      <c r="R57" s="1"/>
      <c r="S57" s="1"/>
      <c r="T57" s="1"/>
      <c r="U57" s="1"/>
      <c r="V57" s="1"/>
      <c r="W57" s="1"/>
      <c r="X57" s="1"/>
      <c r="Y57" s="1"/>
      <c r="Z57" s="1"/>
    </row>
    <row r="58" spans="1:26" ht="15.75" customHeight="1">
      <c r="A58" s="80">
        <f>'Students Details'!A58</f>
        <v>52</v>
      </c>
      <c r="B58" s="81" t="str">
        <f>IF('Students Details'!B58="","",'Students Details'!B58)</f>
        <v/>
      </c>
      <c r="C58" s="82" t="str">
        <f>IF('Students Details'!C58="","",'Students Details'!C58)</f>
        <v/>
      </c>
      <c r="D58" s="83" t="str">
        <f>IF('I Component'!R59=0,"",'I Component'!R59)</f>
        <v/>
      </c>
      <c r="E58" s="83" t="str">
        <f>IF('I Component'!S59=0,"",'I Component'!S59)</f>
        <v/>
      </c>
      <c r="F58" s="83" t="str">
        <f>IF('I Component'!T59=0,"",'I Component'!T59)</f>
        <v/>
      </c>
      <c r="G58" s="83" t="str">
        <f>IF('I Component'!U59=0,"",'I Component'!U59)</f>
        <v/>
      </c>
      <c r="H58" s="83" t="str">
        <f>IF('I Component'!V59=0,"",'I Component'!V59)</f>
        <v/>
      </c>
      <c r="I58" s="83" t="str">
        <f>IF('I Component'!W59=0,"",'I Component'!W59)</f>
        <v/>
      </c>
      <c r="J58" s="83">
        <f t="shared" si="0"/>
        <v>0</v>
      </c>
      <c r="K58" s="1"/>
      <c r="L58" s="1"/>
      <c r="M58" s="1"/>
      <c r="N58" s="1"/>
      <c r="O58" s="1"/>
      <c r="P58" s="1"/>
      <c r="Q58" s="1"/>
      <c r="R58" s="1"/>
      <c r="S58" s="1"/>
      <c r="T58" s="1"/>
      <c r="U58" s="1"/>
      <c r="V58" s="1"/>
      <c r="W58" s="1"/>
      <c r="X58" s="1"/>
      <c r="Y58" s="1"/>
      <c r="Z58" s="1"/>
    </row>
    <row r="59" spans="1:26" ht="15.75" customHeight="1">
      <c r="A59" s="80">
        <f>'Students Details'!A59</f>
        <v>53</v>
      </c>
      <c r="B59" s="81" t="str">
        <f>IF('Students Details'!B59="","",'Students Details'!B59)</f>
        <v/>
      </c>
      <c r="C59" s="82" t="str">
        <f>IF('Students Details'!C59="","",'Students Details'!C59)</f>
        <v/>
      </c>
      <c r="D59" s="83" t="str">
        <f>IF('I Component'!R60=0,"",'I Component'!R60)</f>
        <v/>
      </c>
      <c r="E59" s="83" t="str">
        <f>IF('I Component'!S60=0,"",'I Component'!S60)</f>
        <v/>
      </c>
      <c r="F59" s="83" t="str">
        <f>IF('I Component'!T60=0,"",'I Component'!T60)</f>
        <v/>
      </c>
      <c r="G59" s="83" t="str">
        <f>IF('I Component'!U60=0,"",'I Component'!U60)</f>
        <v/>
      </c>
      <c r="H59" s="83" t="str">
        <f>IF('I Component'!V60=0,"",'I Component'!V60)</f>
        <v/>
      </c>
      <c r="I59" s="83" t="str">
        <f>IF('I Component'!W60=0,"",'I Component'!W60)</f>
        <v/>
      </c>
      <c r="J59" s="83">
        <f t="shared" si="0"/>
        <v>0</v>
      </c>
      <c r="K59" s="1"/>
      <c r="L59" s="1"/>
      <c r="M59" s="1"/>
      <c r="N59" s="1"/>
      <c r="O59" s="1"/>
      <c r="P59" s="1"/>
      <c r="Q59" s="1"/>
      <c r="R59" s="1"/>
      <c r="S59" s="1"/>
      <c r="T59" s="1"/>
      <c r="U59" s="1"/>
      <c r="V59" s="1"/>
      <c r="W59" s="1"/>
      <c r="X59" s="1"/>
      <c r="Y59" s="1"/>
      <c r="Z59" s="1"/>
    </row>
    <row r="60" spans="1:26" ht="15.75" customHeight="1">
      <c r="A60" s="80">
        <f>'Students Details'!A60</f>
        <v>54</v>
      </c>
      <c r="B60" s="81" t="str">
        <f>IF('Students Details'!B60="","",'Students Details'!B60)</f>
        <v/>
      </c>
      <c r="C60" s="82" t="str">
        <f>IF('Students Details'!C60="","",'Students Details'!C60)</f>
        <v/>
      </c>
      <c r="D60" s="83" t="str">
        <f>IF('I Component'!R61=0,"",'I Component'!R61)</f>
        <v/>
      </c>
      <c r="E60" s="83" t="str">
        <f>IF('I Component'!S61=0,"",'I Component'!S61)</f>
        <v/>
      </c>
      <c r="F60" s="83" t="str">
        <f>IF('I Component'!T61=0,"",'I Component'!T61)</f>
        <v/>
      </c>
      <c r="G60" s="83" t="str">
        <f>IF('I Component'!U61=0,"",'I Component'!U61)</f>
        <v/>
      </c>
      <c r="H60" s="83" t="str">
        <f>IF('I Component'!V61=0,"",'I Component'!V61)</f>
        <v/>
      </c>
      <c r="I60" s="83" t="str">
        <f>IF('I Component'!W61=0,"",'I Component'!W61)</f>
        <v/>
      </c>
      <c r="J60" s="83">
        <f t="shared" si="0"/>
        <v>0</v>
      </c>
      <c r="K60" s="1"/>
      <c r="L60" s="1"/>
      <c r="M60" s="1"/>
      <c r="N60" s="1"/>
      <c r="O60" s="1"/>
      <c r="P60" s="1"/>
      <c r="Q60" s="1"/>
      <c r="R60" s="1"/>
      <c r="S60" s="1"/>
      <c r="T60" s="1"/>
      <c r="U60" s="1"/>
      <c r="V60" s="1"/>
      <c r="W60" s="1"/>
      <c r="X60" s="1"/>
      <c r="Y60" s="1"/>
      <c r="Z60" s="1"/>
    </row>
    <row r="61" spans="1:26" ht="15.75" customHeight="1">
      <c r="A61" s="80">
        <f>'Students Details'!A61</f>
        <v>55</v>
      </c>
      <c r="B61" s="81" t="str">
        <f>IF('Students Details'!B61="","",'Students Details'!B61)</f>
        <v/>
      </c>
      <c r="C61" s="82" t="str">
        <f>IF('Students Details'!C61="","",'Students Details'!C61)</f>
        <v/>
      </c>
      <c r="D61" s="83" t="str">
        <f>IF('I Component'!R62=0,"",'I Component'!R62)</f>
        <v/>
      </c>
      <c r="E61" s="83" t="str">
        <f>IF('I Component'!S62=0,"",'I Component'!S62)</f>
        <v/>
      </c>
      <c r="F61" s="83" t="str">
        <f>IF('I Component'!T62=0,"",'I Component'!T62)</f>
        <v/>
      </c>
      <c r="G61" s="83" t="str">
        <f>IF('I Component'!U62=0,"",'I Component'!U62)</f>
        <v/>
      </c>
      <c r="H61" s="83" t="str">
        <f>IF('I Component'!V62=0,"",'I Component'!V62)</f>
        <v/>
      </c>
      <c r="I61" s="83" t="str">
        <f>IF('I Component'!W62=0,"",'I Component'!W62)</f>
        <v/>
      </c>
      <c r="J61" s="83">
        <f t="shared" si="0"/>
        <v>0</v>
      </c>
      <c r="K61" s="1"/>
      <c r="L61" s="1"/>
      <c r="M61" s="1"/>
      <c r="N61" s="1"/>
      <c r="O61" s="1"/>
      <c r="P61" s="1"/>
      <c r="Q61" s="1"/>
      <c r="R61" s="1"/>
      <c r="S61" s="1"/>
      <c r="T61" s="1"/>
      <c r="U61" s="1"/>
      <c r="V61" s="1"/>
      <c r="W61" s="1"/>
      <c r="X61" s="1"/>
      <c r="Y61" s="1"/>
      <c r="Z61" s="1"/>
    </row>
    <row r="62" spans="1:26" ht="15.75" customHeight="1">
      <c r="A62" s="80">
        <f>'Students Details'!A62</f>
        <v>56</v>
      </c>
      <c r="B62" s="81" t="str">
        <f>IF('Students Details'!B62="","",'Students Details'!B62)</f>
        <v/>
      </c>
      <c r="C62" s="82" t="str">
        <f>IF('Students Details'!C62="","",'Students Details'!C62)</f>
        <v/>
      </c>
      <c r="D62" s="83" t="str">
        <f>IF('I Component'!R63=0,"",'I Component'!R63)</f>
        <v/>
      </c>
      <c r="E62" s="83" t="str">
        <f>IF('I Component'!S63=0,"",'I Component'!S63)</f>
        <v/>
      </c>
      <c r="F62" s="83" t="str">
        <f>IF('I Component'!T63=0,"",'I Component'!T63)</f>
        <v/>
      </c>
      <c r="G62" s="83" t="str">
        <f>IF('I Component'!U63=0,"",'I Component'!U63)</f>
        <v/>
      </c>
      <c r="H62" s="83" t="str">
        <f>IF('I Component'!V63=0,"",'I Component'!V63)</f>
        <v/>
      </c>
      <c r="I62" s="83" t="str">
        <f>IF('I Component'!W63=0,"",'I Component'!W63)</f>
        <v/>
      </c>
      <c r="J62" s="83">
        <f t="shared" si="0"/>
        <v>0</v>
      </c>
      <c r="K62" s="1"/>
      <c r="L62" s="1"/>
      <c r="M62" s="1"/>
      <c r="N62" s="1"/>
      <c r="O62" s="1"/>
      <c r="P62" s="1"/>
      <c r="Q62" s="1"/>
      <c r="R62" s="1"/>
      <c r="S62" s="1"/>
      <c r="T62" s="1"/>
      <c r="U62" s="1"/>
      <c r="V62" s="1"/>
      <c r="W62" s="1"/>
      <c r="X62" s="1"/>
      <c r="Y62" s="1"/>
      <c r="Z62" s="1"/>
    </row>
    <row r="63" spans="1:26" ht="15.75" customHeight="1">
      <c r="A63" s="80">
        <f>'Students Details'!A63</f>
        <v>57</v>
      </c>
      <c r="B63" s="81" t="str">
        <f>IF('Students Details'!B63="","",'Students Details'!B63)</f>
        <v/>
      </c>
      <c r="C63" s="82" t="str">
        <f>IF('Students Details'!C63="","",'Students Details'!C63)</f>
        <v/>
      </c>
      <c r="D63" s="83" t="str">
        <f>IF('I Component'!R64=0,"",'I Component'!R64)</f>
        <v/>
      </c>
      <c r="E63" s="83" t="str">
        <f>IF('I Component'!S64=0,"",'I Component'!S64)</f>
        <v/>
      </c>
      <c r="F63" s="83" t="str">
        <f>IF('I Component'!T64=0,"",'I Component'!T64)</f>
        <v/>
      </c>
      <c r="G63" s="83" t="str">
        <f>IF('I Component'!U64=0,"",'I Component'!U64)</f>
        <v/>
      </c>
      <c r="H63" s="83" t="str">
        <f>IF('I Component'!V64=0,"",'I Component'!V64)</f>
        <v/>
      </c>
      <c r="I63" s="83" t="str">
        <f>IF('I Component'!W64=0,"",'I Component'!W64)</f>
        <v/>
      </c>
      <c r="J63" s="83">
        <f t="shared" si="0"/>
        <v>0</v>
      </c>
      <c r="K63" s="1"/>
      <c r="L63" s="1"/>
      <c r="M63" s="1"/>
      <c r="N63" s="1"/>
      <c r="O63" s="1"/>
      <c r="P63" s="1"/>
      <c r="Q63" s="1"/>
      <c r="R63" s="1"/>
      <c r="S63" s="1"/>
      <c r="T63" s="1"/>
      <c r="U63" s="1"/>
      <c r="V63" s="1"/>
      <c r="W63" s="1"/>
      <c r="X63" s="1"/>
      <c r="Y63" s="1"/>
      <c r="Z63" s="1"/>
    </row>
    <row r="64" spans="1:26" ht="15.75" customHeight="1">
      <c r="A64" s="80">
        <f>'Students Details'!A64</f>
        <v>58</v>
      </c>
      <c r="B64" s="81" t="str">
        <f>IF('Students Details'!B64="","",'Students Details'!B64)</f>
        <v/>
      </c>
      <c r="C64" s="82" t="str">
        <f>IF('Students Details'!C64="","",'Students Details'!C64)</f>
        <v/>
      </c>
      <c r="D64" s="83" t="str">
        <f>IF('I Component'!R65=0,"",'I Component'!R65)</f>
        <v/>
      </c>
      <c r="E64" s="83" t="str">
        <f>IF('I Component'!S65=0,"",'I Component'!S65)</f>
        <v/>
      </c>
      <c r="F64" s="83" t="str">
        <f>IF('I Component'!T65=0,"",'I Component'!T65)</f>
        <v/>
      </c>
      <c r="G64" s="83" t="str">
        <f>IF('I Component'!U65=0,"",'I Component'!U65)</f>
        <v/>
      </c>
      <c r="H64" s="83" t="str">
        <f>IF('I Component'!V65=0,"",'I Component'!V65)</f>
        <v/>
      </c>
      <c r="I64" s="83" t="str">
        <f>IF('I Component'!W65=0,"",'I Component'!W65)</f>
        <v/>
      </c>
      <c r="J64" s="83">
        <f t="shared" si="0"/>
        <v>0</v>
      </c>
      <c r="K64" s="1"/>
      <c r="L64" s="1"/>
      <c r="M64" s="1"/>
      <c r="N64" s="1"/>
      <c r="O64" s="1"/>
      <c r="P64" s="1"/>
      <c r="Q64" s="1"/>
      <c r="R64" s="1"/>
      <c r="S64" s="1"/>
      <c r="T64" s="1"/>
      <c r="U64" s="1"/>
      <c r="V64" s="1"/>
      <c r="W64" s="1"/>
      <c r="X64" s="1"/>
      <c r="Y64" s="1"/>
      <c r="Z64" s="1"/>
    </row>
    <row r="65" spans="1:26" ht="15.75" customHeight="1">
      <c r="A65" s="80">
        <f>'Students Details'!A65</f>
        <v>59</v>
      </c>
      <c r="B65" s="81" t="str">
        <f>IF('Students Details'!B65="","",'Students Details'!B65)</f>
        <v/>
      </c>
      <c r="C65" s="82" t="str">
        <f>IF('Students Details'!C65="","",'Students Details'!C65)</f>
        <v/>
      </c>
      <c r="D65" s="83" t="str">
        <f>IF('I Component'!R66=0,"",'I Component'!R66)</f>
        <v/>
      </c>
      <c r="E65" s="83" t="str">
        <f>IF('I Component'!S66=0,"",'I Component'!S66)</f>
        <v/>
      </c>
      <c r="F65" s="83" t="str">
        <f>IF('I Component'!T66=0,"",'I Component'!T66)</f>
        <v/>
      </c>
      <c r="G65" s="83" t="str">
        <f>IF('I Component'!U66=0,"",'I Component'!U66)</f>
        <v/>
      </c>
      <c r="H65" s="83" t="str">
        <f>IF('I Component'!V66=0,"",'I Component'!V66)</f>
        <v/>
      </c>
      <c r="I65" s="83" t="str">
        <f>IF('I Component'!W66=0,"",'I Component'!W66)</f>
        <v/>
      </c>
      <c r="J65" s="83">
        <f t="shared" si="0"/>
        <v>0</v>
      </c>
      <c r="K65" s="1"/>
      <c r="L65" s="1"/>
      <c r="M65" s="1"/>
      <c r="N65" s="1"/>
      <c r="O65" s="1"/>
      <c r="P65" s="1"/>
      <c r="Q65" s="1"/>
      <c r="R65" s="1"/>
      <c r="S65" s="1"/>
      <c r="T65" s="1"/>
      <c r="U65" s="1"/>
      <c r="V65" s="1"/>
      <c r="W65" s="1"/>
      <c r="X65" s="1"/>
      <c r="Y65" s="1"/>
      <c r="Z65" s="1"/>
    </row>
    <row r="66" spans="1:26" ht="15.75" customHeight="1">
      <c r="A66" s="80">
        <f>'Students Details'!A66</f>
        <v>60</v>
      </c>
      <c r="B66" s="81" t="str">
        <f>IF('Students Details'!B66="","",'Students Details'!B66)</f>
        <v/>
      </c>
      <c r="C66" s="82" t="str">
        <f>IF('Students Details'!C66="","",'Students Details'!C66)</f>
        <v/>
      </c>
      <c r="D66" s="83" t="str">
        <f>IF('I Component'!R67=0,"",'I Component'!R67)</f>
        <v/>
      </c>
      <c r="E66" s="83" t="str">
        <f>IF('I Component'!S67=0,"",'I Component'!S67)</f>
        <v/>
      </c>
      <c r="F66" s="83" t="str">
        <f>IF('I Component'!T67=0,"",'I Component'!T67)</f>
        <v/>
      </c>
      <c r="G66" s="83" t="str">
        <f>IF('I Component'!U67=0,"",'I Component'!U67)</f>
        <v/>
      </c>
      <c r="H66" s="83" t="str">
        <f>IF('I Component'!V67=0,"",'I Component'!V67)</f>
        <v/>
      </c>
      <c r="I66" s="83" t="str">
        <f>IF('I Component'!W67=0,"",'I Component'!W67)</f>
        <v/>
      </c>
      <c r="J66" s="83">
        <f t="shared" si="0"/>
        <v>0</v>
      </c>
      <c r="K66" s="1"/>
      <c r="L66" s="1"/>
      <c r="M66" s="1"/>
      <c r="N66" s="1"/>
      <c r="O66" s="1"/>
      <c r="P66" s="1"/>
      <c r="Q66" s="1"/>
      <c r="R66" s="1"/>
      <c r="S66" s="1"/>
      <c r="T66" s="1"/>
      <c r="U66" s="1"/>
      <c r="V66" s="1"/>
      <c r="W66" s="1"/>
      <c r="X66" s="1"/>
      <c r="Y66" s="1"/>
      <c r="Z66" s="1"/>
    </row>
    <row r="67" spans="1:26" ht="15.75" customHeight="1">
      <c r="A67" s="80">
        <f>'Students Details'!A67</f>
        <v>61</v>
      </c>
      <c r="B67" s="81" t="str">
        <f>IF('Students Details'!B67="","",'Students Details'!B67)</f>
        <v/>
      </c>
      <c r="C67" s="82" t="str">
        <f>IF('Students Details'!C67="","",'Students Details'!C67)</f>
        <v/>
      </c>
      <c r="D67" s="83" t="str">
        <f>IF('I Component'!R68=0,"",'I Component'!R68)</f>
        <v/>
      </c>
      <c r="E67" s="83" t="str">
        <f>IF('I Component'!S68=0,"",'I Component'!S68)</f>
        <v/>
      </c>
      <c r="F67" s="83" t="str">
        <f>IF('I Component'!T68=0,"",'I Component'!T68)</f>
        <v/>
      </c>
      <c r="G67" s="83" t="str">
        <f>IF('I Component'!U68=0,"",'I Component'!U68)</f>
        <v/>
      </c>
      <c r="H67" s="83" t="str">
        <f>IF('I Component'!V68=0,"",'I Component'!V68)</f>
        <v/>
      </c>
      <c r="I67" s="83" t="str">
        <f>IF('I Component'!W68=0,"",'I Component'!W68)</f>
        <v/>
      </c>
      <c r="J67" s="83">
        <f t="shared" si="0"/>
        <v>0</v>
      </c>
      <c r="K67" s="1"/>
      <c r="L67" s="1"/>
      <c r="M67" s="1"/>
      <c r="N67" s="1"/>
      <c r="O67" s="1"/>
      <c r="P67" s="1"/>
      <c r="Q67" s="1"/>
      <c r="R67" s="1"/>
      <c r="S67" s="1"/>
      <c r="T67" s="1"/>
      <c r="U67" s="1"/>
      <c r="V67" s="1"/>
      <c r="W67" s="1"/>
      <c r="X67" s="1"/>
      <c r="Y67" s="1"/>
      <c r="Z67" s="1"/>
    </row>
    <row r="68" spans="1:26" ht="15.75" customHeight="1">
      <c r="A68" s="80">
        <f>'Students Details'!A68</f>
        <v>62</v>
      </c>
      <c r="B68" s="81" t="str">
        <f>IF('Students Details'!B68="","",'Students Details'!B68)</f>
        <v/>
      </c>
      <c r="C68" s="82" t="str">
        <f>IF('Students Details'!C68="","",'Students Details'!C68)</f>
        <v/>
      </c>
      <c r="D68" s="83" t="str">
        <f>IF('I Component'!R69=0,"",'I Component'!R69)</f>
        <v/>
      </c>
      <c r="E68" s="83" t="str">
        <f>IF('I Component'!S69=0,"",'I Component'!S69)</f>
        <v/>
      </c>
      <c r="F68" s="83" t="str">
        <f>IF('I Component'!T69=0,"",'I Component'!T69)</f>
        <v/>
      </c>
      <c r="G68" s="83" t="str">
        <f>IF('I Component'!U69=0,"",'I Component'!U69)</f>
        <v/>
      </c>
      <c r="H68" s="83" t="str">
        <f>IF('I Component'!V69=0,"",'I Component'!V69)</f>
        <v/>
      </c>
      <c r="I68" s="83" t="str">
        <f>IF('I Component'!W69=0,"",'I Component'!W69)</f>
        <v/>
      </c>
      <c r="J68" s="83">
        <f t="shared" si="0"/>
        <v>0</v>
      </c>
      <c r="K68" s="1"/>
      <c r="L68" s="1"/>
      <c r="M68" s="1"/>
      <c r="N68" s="1"/>
      <c r="O68" s="1"/>
      <c r="P68" s="1"/>
      <c r="Q68" s="1"/>
      <c r="R68" s="1"/>
      <c r="S68" s="1"/>
      <c r="T68" s="1"/>
      <c r="U68" s="1"/>
      <c r="V68" s="1"/>
      <c r="W68" s="1"/>
      <c r="X68" s="1"/>
      <c r="Y68" s="1"/>
      <c r="Z68" s="1"/>
    </row>
    <row r="69" spans="1:26" ht="15.75" customHeight="1">
      <c r="A69" s="80">
        <f>'Students Details'!A69</f>
        <v>63</v>
      </c>
      <c r="B69" s="81" t="str">
        <f>IF('Students Details'!B69="","",'Students Details'!B69)</f>
        <v/>
      </c>
      <c r="C69" s="82" t="str">
        <f>IF('Students Details'!C69="","",'Students Details'!C69)</f>
        <v/>
      </c>
      <c r="D69" s="83" t="str">
        <f>IF('I Component'!R70=0,"",'I Component'!R70)</f>
        <v/>
      </c>
      <c r="E69" s="83" t="str">
        <f>IF('I Component'!S70=0,"",'I Component'!S70)</f>
        <v/>
      </c>
      <c r="F69" s="83" t="str">
        <f>IF('I Component'!T70=0,"",'I Component'!T70)</f>
        <v/>
      </c>
      <c r="G69" s="83" t="str">
        <f>IF('I Component'!U70=0,"",'I Component'!U70)</f>
        <v/>
      </c>
      <c r="H69" s="83" t="str">
        <f>IF('I Component'!V70=0,"",'I Component'!V70)</f>
        <v/>
      </c>
      <c r="I69" s="83" t="str">
        <f>IF('I Component'!W70=0,"",'I Component'!W70)</f>
        <v/>
      </c>
      <c r="J69" s="83">
        <f t="shared" si="0"/>
        <v>0</v>
      </c>
      <c r="K69" s="1"/>
      <c r="L69" s="1"/>
      <c r="M69" s="1"/>
      <c r="N69" s="1"/>
      <c r="O69" s="1"/>
      <c r="P69" s="1"/>
      <c r="Q69" s="1"/>
      <c r="R69" s="1"/>
      <c r="S69" s="1"/>
      <c r="T69" s="1"/>
      <c r="U69" s="1"/>
      <c r="V69" s="1"/>
      <c r="W69" s="1"/>
      <c r="X69" s="1"/>
      <c r="Y69" s="1"/>
      <c r="Z69" s="1"/>
    </row>
    <row r="70" spans="1:26" ht="15.75" customHeight="1">
      <c r="A70" s="80">
        <f>'Students Details'!A70</f>
        <v>64</v>
      </c>
      <c r="B70" s="81" t="str">
        <f>IF('Students Details'!B70="","",'Students Details'!B70)</f>
        <v/>
      </c>
      <c r="C70" s="82" t="str">
        <f>IF('Students Details'!C70="","",'Students Details'!C70)</f>
        <v/>
      </c>
      <c r="D70" s="83" t="str">
        <f>IF('I Component'!R71=0,"",'I Component'!R71)</f>
        <v/>
      </c>
      <c r="E70" s="83" t="str">
        <f>IF('I Component'!S71=0,"",'I Component'!S71)</f>
        <v/>
      </c>
      <c r="F70" s="83" t="str">
        <f>IF('I Component'!T71=0,"",'I Component'!T71)</f>
        <v/>
      </c>
      <c r="G70" s="83" t="str">
        <f>IF('I Component'!U71=0,"",'I Component'!U71)</f>
        <v/>
      </c>
      <c r="H70" s="83" t="str">
        <f>IF('I Component'!V71=0,"",'I Component'!V71)</f>
        <v/>
      </c>
      <c r="I70" s="83" t="str">
        <f>IF('I Component'!W71=0,"",'I Component'!W71)</f>
        <v/>
      </c>
      <c r="J70" s="83">
        <f t="shared" si="0"/>
        <v>0</v>
      </c>
      <c r="K70" s="1"/>
      <c r="L70" s="1"/>
      <c r="M70" s="1"/>
      <c r="N70" s="1"/>
      <c r="O70" s="1"/>
      <c r="P70" s="1"/>
      <c r="Q70" s="1"/>
      <c r="R70" s="1"/>
      <c r="S70" s="1"/>
      <c r="T70" s="1"/>
      <c r="U70" s="1"/>
      <c r="V70" s="1"/>
      <c r="W70" s="1"/>
      <c r="X70" s="1"/>
      <c r="Y70" s="1"/>
      <c r="Z70" s="1"/>
    </row>
    <row r="71" spans="1:26" ht="15.75" customHeight="1">
      <c r="A71" s="80">
        <f>'Students Details'!A71</f>
        <v>65</v>
      </c>
      <c r="B71" s="81" t="str">
        <f>IF('Students Details'!B71="","",'Students Details'!B71)</f>
        <v/>
      </c>
      <c r="C71" s="82" t="str">
        <f>IF('Students Details'!C71="","",'Students Details'!C71)</f>
        <v/>
      </c>
      <c r="D71" s="83" t="str">
        <f>IF('I Component'!R72=0,"",'I Component'!R72)</f>
        <v/>
      </c>
      <c r="E71" s="83" t="str">
        <f>IF('I Component'!S72=0,"",'I Component'!S72)</f>
        <v/>
      </c>
      <c r="F71" s="83" t="str">
        <f>IF('I Component'!T72=0,"",'I Component'!T72)</f>
        <v/>
      </c>
      <c r="G71" s="83" t="str">
        <f>IF('I Component'!U72=0,"",'I Component'!U72)</f>
        <v/>
      </c>
      <c r="H71" s="83" t="str">
        <f>IF('I Component'!V72=0,"",'I Component'!V72)</f>
        <v/>
      </c>
      <c r="I71" s="83" t="str">
        <f>IF('I Component'!W72=0,"",'I Component'!W72)</f>
        <v/>
      </c>
      <c r="J71" s="83">
        <f t="shared" si="0"/>
        <v>0</v>
      </c>
      <c r="K71" s="1"/>
      <c r="L71" s="1"/>
      <c r="M71" s="1"/>
      <c r="N71" s="1"/>
      <c r="O71" s="1"/>
      <c r="P71" s="1"/>
      <c r="Q71" s="1"/>
      <c r="R71" s="1"/>
      <c r="S71" s="1"/>
      <c r="T71" s="1"/>
      <c r="U71" s="1"/>
      <c r="V71" s="1"/>
      <c r="W71" s="1"/>
      <c r="X71" s="1"/>
      <c r="Y71" s="1"/>
      <c r="Z71" s="1"/>
    </row>
    <row r="72" spans="1:26" ht="15.75" customHeight="1">
      <c r="A72" s="80">
        <f>'Students Details'!A72</f>
        <v>66</v>
      </c>
      <c r="B72" s="81" t="str">
        <f>IF('Students Details'!B72="","",'Students Details'!B72)</f>
        <v/>
      </c>
      <c r="C72" s="82" t="str">
        <f>IF('Students Details'!C72="","",'Students Details'!C72)</f>
        <v/>
      </c>
      <c r="D72" s="83" t="str">
        <f>IF('I Component'!R73=0,"",'I Component'!R73)</f>
        <v/>
      </c>
      <c r="E72" s="83" t="str">
        <f>IF('I Component'!S73=0,"",'I Component'!S73)</f>
        <v/>
      </c>
      <c r="F72" s="83" t="str">
        <f>IF('I Component'!T73=0,"",'I Component'!T73)</f>
        <v/>
      </c>
      <c r="G72" s="83" t="str">
        <f>IF('I Component'!U73=0,"",'I Component'!U73)</f>
        <v/>
      </c>
      <c r="H72" s="83" t="str">
        <f>IF('I Component'!V73=0,"",'I Component'!V73)</f>
        <v/>
      </c>
      <c r="I72" s="83" t="str">
        <f>IF('I Component'!W73=0,"",'I Component'!W73)</f>
        <v/>
      </c>
      <c r="J72" s="83">
        <f t="shared" si="0"/>
        <v>0</v>
      </c>
      <c r="K72" s="1"/>
      <c r="L72" s="1"/>
      <c r="M72" s="1"/>
      <c r="N72" s="1"/>
      <c r="O72" s="1"/>
      <c r="P72" s="1"/>
      <c r="Q72" s="1"/>
      <c r="R72" s="1"/>
      <c r="S72" s="1"/>
      <c r="T72" s="1"/>
      <c r="U72" s="1"/>
      <c r="V72" s="1"/>
      <c r="W72" s="1"/>
      <c r="X72" s="1"/>
      <c r="Y72" s="1"/>
      <c r="Z72" s="1"/>
    </row>
    <row r="73" spans="1:26" ht="15.75" customHeight="1">
      <c r="A73" s="80">
        <f>'Students Details'!A73</f>
        <v>67</v>
      </c>
      <c r="B73" s="81" t="str">
        <f>IF('Students Details'!B73="","",'Students Details'!B73)</f>
        <v/>
      </c>
      <c r="C73" s="82" t="str">
        <f>IF('Students Details'!C73="","",'Students Details'!C73)</f>
        <v/>
      </c>
      <c r="D73" s="83" t="str">
        <f>IF('I Component'!R74=0,"",'I Component'!R74)</f>
        <v/>
      </c>
      <c r="E73" s="83" t="str">
        <f>IF('I Component'!S74=0,"",'I Component'!S74)</f>
        <v/>
      </c>
      <c r="F73" s="83" t="str">
        <f>IF('I Component'!T74=0,"",'I Component'!T74)</f>
        <v/>
      </c>
      <c r="G73" s="83" t="str">
        <f>IF('I Component'!U74=0,"",'I Component'!U74)</f>
        <v/>
      </c>
      <c r="H73" s="83" t="str">
        <f>IF('I Component'!V74=0,"",'I Component'!V74)</f>
        <v/>
      </c>
      <c r="I73" s="83" t="str">
        <f>IF('I Component'!W74=0,"",'I Component'!W74)</f>
        <v/>
      </c>
      <c r="J73" s="83">
        <f t="shared" si="0"/>
        <v>0</v>
      </c>
      <c r="K73" s="1"/>
      <c r="L73" s="1"/>
      <c r="M73" s="1"/>
      <c r="N73" s="1"/>
      <c r="O73" s="1"/>
      <c r="P73" s="1"/>
      <c r="Q73" s="1"/>
      <c r="R73" s="1"/>
      <c r="S73" s="1"/>
      <c r="T73" s="1"/>
      <c r="U73" s="1"/>
      <c r="V73" s="1"/>
      <c r="W73" s="1"/>
      <c r="X73" s="1"/>
      <c r="Y73" s="1"/>
      <c r="Z73" s="1"/>
    </row>
    <row r="74" spans="1:26" ht="15.75" customHeight="1">
      <c r="A74" s="80">
        <f>'Students Details'!A74</f>
        <v>68</v>
      </c>
      <c r="B74" s="81" t="str">
        <f>IF('Students Details'!B74="","",'Students Details'!B74)</f>
        <v/>
      </c>
      <c r="C74" s="82" t="str">
        <f>IF('Students Details'!C74="","",'Students Details'!C74)</f>
        <v/>
      </c>
      <c r="D74" s="83" t="str">
        <f>IF('I Component'!R75=0,"",'I Component'!R75)</f>
        <v/>
      </c>
      <c r="E74" s="83" t="str">
        <f>IF('I Component'!S75=0,"",'I Component'!S75)</f>
        <v/>
      </c>
      <c r="F74" s="83" t="str">
        <f>IF('I Component'!T75=0,"",'I Component'!T75)</f>
        <v/>
      </c>
      <c r="G74" s="83" t="str">
        <f>IF('I Component'!U75=0,"",'I Component'!U75)</f>
        <v/>
      </c>
      <c r="H74" s="83" t="str">
        <f>IF('I Component'!V75=0,"",'I Component'!V75)</f>
        <v/>
      </c>
      <c r="I74" s="83" t="str">
        <f>IF('I Component'!W75=0,"",'I Component'!W75)</f>
        <v/>
      </c>
      <c r="J74" s="83">
        <f t="shared" si="0"/>
        <v>0</v>
      </c>
      <c r="K74" s="1"/>
      <c r="L74" s="1"/>
      <c r="M74" s="1"/>
      <c r="N74" s="1"/>
      <c r="O74" s="1"/>
      <c r="P74" s="1"/>
      <c r="Q74" s="1"/>
      <c r="R74" s="1"/>
      <c r="S74" s="1"/>
      <c r="T74" s="1"/>
      <c r="U74" s="1"/>
      <c r="V74" s="1"/>
      <c r="W74" s="1"/>
      <c r="X74" s="1"/>
      <c r="Y74" s="1"/>
      <c r="Z74" s="1"/>
    </row>
    <row r="75" spans="1:26" ht="15.75" customHeight="1">
      <c r="A75" s="80">
        <f>'Students Details'!A75</f>
        <v>69</v>
      </c>
      <c r="B75" s="81" t="str">
        <f>IF('Students Details'!B75="","",'Students Details'!B75)</f>
        <v/>
      </c>
      <c r="C75" s="82" t="str">
        <f>IF('Students Details'!C75="","",'Students Details'!C75)</f>
        <v/>
      </c>
      <c r="D75" s="83" t="str">
        <f>IF('I Component'!R76=0,"",'I Component'!R76)</f>
        <v/>
      </c>
      <c r="E75" s="83" t="str">
        <f>IF('I Component'!S76=0,"",'I Component'!S76)</f>
        <v/>
      </c>
      <c r="F75" s="83" t="str">
        <f>IF('I Component'!T76=0,"",'I Component'!T76)</f>
        <v/>
      </c>
      <c r="G75" s="83" t="str">
        <f>IF('I Component'!U76=0,"",'I Component'!U76)</f>
        <v/>
      </c>
      <c r="H75" s="83" t="str">
        <f>IF('I Component'!V76=0,"",'I Component'!V76)</f>
        <v/>
      </c>
      <c r="I75" s="83" t="str">
        <f>IF('I Component'!W76=0,"",'I Component'!W76)</f>
        <v/>
      </c>
      <c r="J75" s="83">
        <f t="shared" si="0"/>
        <v>0</v>
      </c>
      <c r="K75" s="1"/>
      <c r="L75" s="1"/>
      <c r="M75" s="1"/>
      <c r="N75" s="1"/>
      <c r="O75" s="1"/>
      <c r="P75" s="1"/>
      <c r="Q75" s="1"/>
      <c r="R75" s="1"/>
      <c r="S75" s="1"/>
      <c r="T75" s="1"/>
      <c r="U75" s="1"/>
      <c r="V75" s="1"/>
      <c r="W75" s="1"/>
      <c r="X75" s="1"/>
      <c r="Y75" s="1"/>
      <c r="Z75" s="1"/>
    </row>
    <row r="76" spans="1:26" ht="15.75" customHeight="1">
      <c r="A76" s="80">
        <f>'Students Details'!A76</f>
        <v>70</v>
      </c>
      <c r="B76" s="81" t="str">
        <f>IF('Students Details'!B76="","",'Students Details'!B76)</f>
        <v/>
      </c>
      <c r="C76" s="82" t="str">
        <f>IF('Students Details'!C76="","",'Students Details'!C76)</f>
        <v/>
      </c>
      <c r="D76" s="83" t="str">
        <f>IF('I Component'!R77=0,"",'I Component'!R77)</f>
        <v/>
      </c>
      <c r="E76" s="83" t="str">
        <f>IF('I Component'!S77=0,"",'I Component'!S77)</f>
        <v/>
      </c>
      <c r="F76" s="83" t="str">
        <f>IF('I Component'!T77=0,"",'I Component'!T77)</f>
        <v/>
      </c>
      <c r="G76" s="83" t="str">
        <f>IF('I Component'!U77=0,"",'I Component'!U77)</f>
        <v/>
      </c>
      <c r="H76" s="83" t="str">
        <f>IF('I Component'!V77=0,"",'I Component'!V77)</f>
        <v/>
      </c>
      <c r="I76" s="83" t="str">
        <f>IF('I Component'!W77=0,"",'I Component'!W77)</f>
        <v/>
      </c>
      <c r="J76" s="83">
        <f t="shared" si="0"/>
        <v>0</v>
      </c>
      <c r="K76" s="1"/>
      <c r="L76" s="1"/>
      <c r="M76" s="1"/>
      <c r="N76" s="1"/>
      <c r="O76" s="1"/>
      <c r="P76" s="1"/>
      <c r="Q76" s="1"/>
      <c r="R76" s="1"/>
      <c r="S76" s="1"/>
      <c r="T76" s="1"/>
      <c r="U76" s="1"/>
      <c r="V76" s="1"/>
      <c r="W76" s="1"/>
      <c r="X76" s="1"/>
      <c r="Y76" s="1"/>
      <c r="Z76" s="1"/>
    </row>
    <row r="77" spans="1:26" ht="15.75" customHeight="1">
      <c r="A77" s="80">
        <f>'Students Details'!A77</f>
        <v>71</v>
      </c>
      <c r="B77" s="81" t="str">
        <f>IF('Students Details'!B77="","",'Students Details'!B77)</f>
        <v/>
      </c>
      <c r="C77" s="82" t="str">
        <f>IF('Students Details'!C77="","",'Students Details'!C77)</f>
        <v/>
      </c>
      <c r="D77" s="83" t="str">
        <f>IF('I Component'!R78=0,"",'I Component'!R78)</f>
        <v/>
      </c>
      <c r="E77" s="83" t="str">
        <f>IF('I Component'!S78=0,"",'I Component'!S78)</f>
        <v/>
      </c>
      <c r="F77" s="83" t="str">
        <f>IF('I Component'!T78=0,"",'I Component'!T78)</f>
        <v/>
      </c>
      <c r="G77" s="83" t="str">
        <f>IF('I Component'!U78=0,"",'I Component'!U78)</f>
        <v/>
      </c>
      <c r="H77" s="83" t="str">
        <f>IF('I Component'!V78=0,"",'I Component'!V78)</f>
        <v/>
      </c>
      <c r="I77" s="83" t="str">
        <f>IF('I Component'!W78=0,"",'I Component'!W78)</f>
        <v/>
      </c>
      <c r="J77" s="83">
        <f t="shared" si="0"/>
        <v>0</v>
      </c>
      <c r="K77" s="1"/>
      <c r="L77" s="1"/>
      <c r="M77" s="1"/>
      <c r="N77" s="1"/>
      <c r="O77" s="1"/>
      <c r="P77" s="1"/>
      <c r="Q77" s="1"/>
      <c r="R77" s="1"/>
      <c r="S77" s="1"/>
      <c r="T77" s="1"/>
      <c r="U77" s="1"/>
      <c r="V77" s="1"/>
      <c r="W77" s="1"/>
      <c r="X77" s="1"/>
      <c r="Y77" s="1"/>
      <c r="Z77" s="1"/>
    </row>
    <row r="78" spans="1:26" ht="15.75" customHeight="1">
      <c r="A78" s="80">
        <f>'Students Details'!A78</f>
        <v>72</v>
      </c>
      <c r="B78" s="81" t="str">
        <f>IF('Students Details'!B78="","",'Students Details'!B78)</f>
        <v/>
      </c>
      <c r="C78" s="82" t="str">
        <f>IF('Students Details'!C78="","",'Students Details'!C78)</f>
        <v/>
      </c>
      <c r="D78" s="83" t="str">
        <f>IF('I Component'!R79=0,"",'I Component'!R79)</f>
        <v/>
      </c>
      <c r="E78" s="83" t="str">
        <f>IF('I Component'!S79=0,"",'I Component'!S79)</f>
        <v/>
      </c>
      <c r="F78" s="83" t="str">
        <f>IF('I Component'!T79=0,"",'I Component'!T79)</f>
        <v/>
      </c>
      <c r="G78" s="83" t="str">
        <f>IF('I Component'!U79=0,"",'I Component'!U79)</f>
        <v/>
      </c>
      <c r="H78" s="83" t="str">
        <f>IF('I Component'!V79=0,"",'I Component'!V79)</f>
        <v/>
      </c>
      <c r="I78" s="83" t="str">
        <f>IF('I Component'!W79=0,"",'I Component'!W79)</f>
        <v/>
      </c>
      <c r="J78" s="83">
        <f t="shared" si="0"/>
        <v>0</v>
      </c>
      <c r="K78" s="1"/>
      <c r="L78" s="1"/>
      <c r="M78" s="1"/>
      <c r="N78" s="1"/>
      <c r="O78" s="1"/>
      <c r="P78" s="1"/>
      <c r="Q78" s="1"/>
      <c r="R78" s="1"/>
      <c r="S78" s="1"/>
      <c r="T78" s="1"/>
      <c r="U78" s="1"/>
      <c r="V78" s="1"/>
      <c r="W78" s="1"/>
      <c r="X78" s="1"/>
      <c r="Y78" s="1"/>
      <c r="Z78" s="1"/>
    </row>
    <row r="79" spans="1:26" ht="15.75" customHeight="1">
      <c r="A79" s="80">
        <f>'Students Details'!A79</f>
        <v>73</v>
      </c>
      <c r="B79" s="81" t="str">
        <f>IF('Students Details'!B79="","",'Students Details'!B79)</f>
        <v/>
      </c>
      <c r="C79" s="82" t="str">
        <f>IF('Students Details'!C79="","",'Students Details'!C79)</f>
        <v/>
      </c>
      <c r="D79" s="83" t="str">
        <f>IF('I Component'!R80=0,"",'I Component'!R80)</f>
        <v/>
      </c>
      <c r="E79" s="83" t="str">
        <f>IF('I Component'!S80=0,"",'I Component'!S80)</f>
        <v/>
      </c>
      <c r="F79" s="83" t="str">
        <f>IF('I Component'!T80=0,"",'I Component'!T80)</f>
        <v/>
      </c>
      <c r="G79" s="83" t="str">
        <f>IF('I Component'!U80=0,"",'I Component'!U80)</f>
        <v/>
      </c>
      <c r="H79" s="83" t="str">
        <f>IF('I Component'!V80=0,"",'I Component'!V80)</f>
        <v/>
      </c>
      <c r="I79" s="83" t="str">
        <f>IF('I Component'!W80=0,"",'I Component'!W80)</f>
        <v/>
      </c>
      <c r="J79" s="83">
        <f t="shared" si="0"/>
        <v>0</v>
      </c>
      <c r="K79" s="1"/>
      <c r="L79" s="1"/>
      <c r="M79" s="1"/>
      <c r="N79" s="1"/>
      <c r="O79" s="1"/>
      <c r="P79" s="1"/>
      <c r="Q79" s="1"/>
      <c r="R79" s="1"/>
      <c r="S79" s="1"/>
      <c r="T79" s="1"/>
      <c r="U79" s="1"/>
      <c r="V79" s="1"/>
      <c r="W79" s="1"/>
      <c r="X79" s="1"/>
      <c r="Y79" s="1"/>
      <c r="Z79" s="1"/>
    </row>
    <row r="80" spans="1:26" ht="15.75" customHeight="1">
      <c r="A80" s="80">
        <f>'Students Details'!A80</f>
        <v>74</v>
      </c>
      <c r="B80" s="81" t="str">
        <f>IF('Students Details'!B80="","",'Students Details'!B80)</f>
        <v/>
      </c>
      <c r="C80" s="82" t="str">
        <f>IF('Students Details'!C80="","",'Students Details'!C80)</f>
        <v/>
      </c>
      <c r="D80" s="83" t="str">
        <f>IF('I Component'!R81=0,"",'I Component'!R81)</f>
        <v/>
      </c>
      <c r="E80" s="83" t="str">
        <f>IF('I Component'!S81=0,"",'I Component'!S81)</f>
        <v/>
      </c>
      <c r="F80" s="83" t="str">
        <f>IF('I Component'!T81=0,"",'I Component'!T81)</f>
        <v/>
      </c>
      <c r="G80" s="83" t="str">
        <f>IF('I Component'!U81=0,"",'I Component'!U81)</f>
        <v/>
      </c>
      <c r="H80" s="83" t="str">
        <f>IF('I Component'!V81=0,"",'I Component'!V81)</f>
        <v/>
      </c>
      <c r="I80" s="83" t="str">
        <f>IF('I Component'!W81=0,"",'I Component'!W81)</f>
        <v/>
      </c>
      <c r="J80" s="83">
        <f t="shared" si="0"/>
        <v>0</v>
      </c>
      <c r="K80" s="1"/>
      <c r="L80" s="1"/>
      <c r="M80" s="1"/>
      <c r="N80" s="1"/>
      <c r="O80" s="1"/>
      <c r="P80" s="1"/>
      <c r="Q80" s="1"/>
      <c r="R80" s="1"/>
      <c r="S80" s="1"/>
      <c r="T80" s="1"/>
      <c r="U80" s="1"/>
      <c r="V80" s="1"/>
      <c r="W80" s="1"/>
      <c r="X80" s="1"/>
      <c r="Y80" s="1"/>
      <c r="Z80" s="1"/>
    </row>
    <row r="81" spans="1:26" ht="15.75" customHeight="1">
      <c r="A81" s="80">
        <f>'Students Details'!A81</f>
        <v>75</v>
      </c>
      <c r="B81" s="81" t="str">
        <f>IF('Students Details'!B81="","",'Students Details'!B81)</f>
        <v/>
      </c>
      <c r="C81" s="82" t="str">
        <f>IF('Students Details'!C81="","",'Students Details'!C81)</f>
        <v/>
      </c>
      <c r="D81" s="83" t="str">
        <f>IF('I Component'!R82=0,"",'I Component'!R82)</f>
        <v/>
      </c>
      <c r="E81" s="83" t="str">
        <f>IF('I Component'!S82=0,"",'I Component'!S82)</f>
        <v/>
      </c>
      <c r="F81" s="83" t="str">
        <f>IF('I Component'!T82=0,"",'I Component'!T82)</f>
        <v/>
      </c>
      <c r="G81" s="83" t="str">
        <f>IF('I Component'!U82=0,"",'I Component'!U82)</f>
        <v/>
      </c>
      <c r="H81" s="83" t="str">
        <f>IF('I Component'!V82=0,"",'I Component'!V82)</f>
        <v/>
      </c>
      <c r="I81" s="83" t="str">
        <f>IF('I Component'!W82=0,"",'I Component'!W82)</f>
        <v/>
      </c>
      <c r="J81" s="83">
        <f t="shared" si="0"/>
        <v>0</v>
      </c>
      <c r="K81" s="1"/>
      <c r="L81" s="1"/>
      <c r="M81" s="1"/>
      <c r="N81" s="1"/>
      <c r="O81" s="1"/>
      <c r="P81" s="1"/>
      <c r="Q81" s="1"/>
      <c r="R81" s="1"/>
      <c r="S81" s="1"/>
      <c r="T81" s="1"/>
      <c r="U81" s="1"/>
      <c r="V81" s="1"/>
      <c r="W81" s="1"/>
      <c r="X81" s="1"/>
      <c r="Y81" s="1"/>
      <c r="Z81" s="1"/>
    </row>
    <row r="82" spans="1:26" ht="15.75" customHeight="1">
      <c r="A82" s="80">
        <f>'Students Details'!A82</f>
        <v>76</v>
      </c>
      <c r="B82" s="81" t="str">
        <f>IF('Students Details'!B82="","",'Students Details'!B82)</f>
        <v/>
      </c>
      <c r="C82" s="82" t="str">
        <f>IF('Students Details'!C82="","",'Students Details'!C82)</f>
        <v/>
      </c>
      <c r="D82" s="83" t="str">
        <f>IF('I Component'!R83=0,"",'I Component'!R83)</f>
        <v/>
      </c>
      <c r="E82" s="83" t="str">
        <f>IF('I Component'!S83=0,"",'I Component'!S83)</f>
        <v/>
      </c>
      <c r="F82" s="83" t="str">
        <f>IF('I Component'!T83=0,"",'I Component'!T83)</f>
        <v/>
      </c>
      <c r="G82" s="83" t="str">
        <f>IF('I Component'!U83=0,"",'I Component'!U83)</f>
        <v/>
      </c>
      <c r="H82" s="83" t="str">
        <f>IF('I Component'!V83=0,"",'I Component'!V83)</f>
        <v/>
      </c>
      <c r="I82" s="83" t="str">
        <f>IF('I Component'!W83=0,"",'I Component'!W83)</f>
        <v/>
      </c>
      <c r="J82" s="83">
        <f t="shared" si="0"/>
        <v>0</v>
      </c>
      <c r="K82" s="1"/>
      <c r="L82" s="1"/>
      <c r="M82" s="1"/>
      <c r="N82" s="1"/>
      <c r="O82" s="1"/>
      <c r="P82" s="1"/>
      <c r="Q82" s="1"/>
      <c r="R82" s="1"/>
      <c r="S82" s="1"/>
      <c r="T82" s="1"/>
      <c r="U82" s="1"/>
      <c r="V82" s="1"/>
      <c r="W82" s="1"/>
      <c r="X82" s="1"/>
      <c r="Y82" s="1"/>
      <c r="Z82" s="1"/>
    </row>
    <row r="83" spans="1:26" ht="15.75" customHeight="1">
      <c r="A83" s="80">
        <f>'Students Details'!A83</f>
        <v>77</v>
      </c>
      <c r="B83" s="81" t="str">
        <f>IF('Students Details'!B83="","",'Students Details'!B83)</f>
        <v/>
      </c>
      <c r="C83" s="82" t="str">
        <f>IF('Students Details'!C83="","",'Students Details'!C83)</f>
        <v/>
      </c>
      <c r="D83" s="83" t="str">
        <f>IF('I Component'!R84=0,"",'I Component'!R84)</f>
        <v/>
      </c>
      <c r="E83" s="83" t="str">
        <f>IF('I Component'!S84=0,"",'I Component'!S84)</f>
        <v/>
      </c>
      <c r="F83" s="83" t="str">
        <f>IF('I Component'!T84=0,"",'I Component'!T84)</f>
        <v/>
      </c>
      <c r="G83" s="83" t="str">
        <f>IF('I Component'!U84=0,"",'I Component'!U84)</f>
        <v/>
      </c>
      <c r="H83" s="83" t="str">
        <f>IF('I Component'!V84=0,"",'I Component'!V84)</f>
        <v/>
      </c>
      <c r="I83" s="83" t="str">
        <f>IF('I Component'!W84=0,"",'I Component'!W84)</f>
        <v/>
      </c>
      <c r="J83" s="83">
        <f t="shared" si="0"/>
        <v>0</v>
      </c>
      <c r="K83" s="1"/>
      <c r="L83" s="1"/>
      <c r="M83" s="1"/>
      <c r="N83" s="1"/>
      <c r="O83" s="1"/>
      <c r="P83" s="1"/>
      <c r="Q83" s="1"/>
      <c r="R83" s="1"/>
      <c r="S83" s="1"/>
      <c r="T83" s="1"/>
      <c r="U83" s="1"/>
      <c r="V83" s="1"/>
      <c r="W83" s="1"/>
      <c r="X83" s="1"/>
      <c r="Y83" s="1"/>
      <c r="Z83" s="1"/>
    </row>
    <row r="84" spans="1:26" ht="15.75" customHeight="1">
      <c r="A84" s="80">
        <f>'Students Details'!A84</f>
        <v>78</v>
      </c>
      <c r="B84" s="81" t="str">
        <f>IF('Students Details'!B84="","",'Students Details'!B84)</f>
        <v/>
      </c>
      <c r="C84" s="82" t="str">
        <f>IF('Students Details'!C84="","",'Students Details'!C84)</f>
        <v/>
      </c>
      <c r="D84" s="83" t="str">
        <f>IF('I Component'!R85=0,"",'I Component'!R85)</f>
        <v/>
      </c>
      <c r="E84" s="83" t="str">
        <f>IF('I Component'!S85=0,"",'I Component'!S85)</f>
        <v/>
      </c>
      <c r="F84" s="83" t="str">
        <f>IF('I Component'!T85=0,"",'I Component'!T85)</f>
        <v/>
      </c>
      <c r="G84" s="83" t="str">
        <f>IF('I Component'!U85=0,"",'I Component'!U85)</f>
        <v/>
      </c>
      <c r="H84" s="83" t="str">
        <f>IF('I Component'!V85=0,"",'I Component'!V85)</f>
        <v/>
      </c>
      <c r="I84" s="83" t="str">
        <f>IF('I Component'!W85=0,"",'I Component'!W85)</f>
        <v/>
      </c>
      <c r="J84" s="83">
        <f t="shared" si="0"/>
        <v>0</v>
      </c>
      <c r="K84" s="1"/>
      <c r="L84" s="1"/>
      <c r="M84" s="1"/>
      <c r="N84" s="1"/>
      <c r="O84" s="1"/>
      <c r="P84" s="1"/>
      <c r="Q84" s="1"/>
      <c r="R84" s="1"/>
      <c r="S84" s="1"/>
      <c r="T84" s="1"/>
      <c r="U84" s="1"/>
      <c r="V84" s="1"/>
      <c r="W84" s="1"/>
      <c r="X84" s="1"/>
      <c r="Y84" s="1"/>
      <c r="Z84" s="1"/>
    </row>
    <row r="85" spans="1:26" ht="15.75" customHeight="1">
      <c r="A85" s="80">
        <f>'Students Details'!A85</f>
        <v>79</v>
      </c>
      <c r="B85" s="81" t="str">
        <f>IF('Students Details'!B85="","",'Students Details'!B85)</f>
        <v/>
      </c>
      <c r="C85" s="82" t="str">
        <f>IF('Students Details'!C85="","",'Students Details'!C85)</f>
        <v/>
      </c>
      <c r="D85" s="83" t="str">
        <f>IF('I Component'!R86=0,"",'I Component'!R86)</f>
        <v/>
      </c>
      <c r="E85" s="83" t="str">
        <f>IF('I Component'!S86=0,"",'I Component'!S86)</f>
        <v/>
      </c>
      <c r="F85" s="83" t="str">
        <f>IF('I Component'!T86=0,"",'I Component'!T86)</f>
        <v/>
      </c>
      <c r="G85" s="83" t="str">
        <f>IF('I Component'!U86=0,"",'I Component'!U86)</f>
        <v/>
      </c>
      <c r="H85" s="83" t="str">
        <f>IF('I Component'!V86=0,"",'I Component'!V86)</f>
        <v/>
      </c>
      <c r="I85" s="83" t="str">
        <f>IF('I Component'!W86=0,"",'I Component'!W86)</f>
        <v/>
      </c>
      <c r="J85" s="83">
        <f t="shared" si="0"/>
        <v>0</v>
      </c>
      <c r="K85" s="1"/>
      <c r="L85" s="1"/>
      <c r="M85" s="1"/>
      <c r="N85" s="1"/>
      <c r="O85" s="1"/>
      <c r="P85" s="1"/>
      <c r="Q85" s="1"/>
      <c r="R85" s="1"/>
      <c r="S85" s="1"/>
      <c r="T85" s="1"/>
      <c r="U85" s="1"/>
      <c r="V85" s="1"/>
      <c r="W85" s="1"/>
      <c r="X85" s="1"/>
      <c r="Y85" s="1"/>
      <c r="Z85" s="1"/>
    </row>
    <row r="86" spans="1:26" ht="15.75" customHeight="1">
      <c r="A86" s="80">
        <f>'Students Details'!A86</f>
        <v>80</v>
      </c>
      <c r="B86" s="81" t="str">
        <f>IF('Students Details'!B86="","",'Students Details'!B86)</f>
        <v/>
      </c>
      <c r="C86" s="82" t="str">
        <f>IF('Students Details'!C86="","",'Students Details'!C86)</f>
        <v/>
      </c>
      <c r="D86" s="83" t="str">
        <f>IF('I Component'!R87=0,"",'I Component'!R87)</f>
        <v/>
      </c>
      <c r="E86" s="83" t="str">
        <f>IF('I Component'!S87=0,"",'I Component'!S87)</f>
        <v/>
      </c>
      <c r="F86" s="83" t="str">
        <f>IF('I Component'!T87=0,"",'I Component'!T87)</f>
        <v/>
      </c>
      <c r="G86" s="83" t="str">
        <f>IF('I Component'!U87=0,"",'I Component'!U87)</f>
        <v/>
      </c>
      <c r="H86" s="83" t="str">
        <f>IF('I Component'!V87=0,"",'I Component'!V87)</f>
        <v/>
      </c>
      <c r="I86" s="83" t="str">
        <f>IF('I Component'!W87=0,"",'I Component'!W87)</f>
        <v/>
      </c>
      <c r="J86" s="83">
        <f t="shared" si="0"/>
        <v>0</v>
      </c>
      <c r="K86" s="1"/>
      <c r="L86" s="1"/>
      <c r="M86" s="1"/>
      <c r="N86" s="1"/>
      <c r="O86" s="1"/>
      <c r="P86" s="1"/>
      <c r="Q86" s="1"/>
      <c r="R86" s="1"/>
      <c r="S86" s="1"/>
      <c r="T86" s="1"/>
      <c r="U86" s="1"/>
      <c r="V86" s="1"/>
      <c r="W86" s="1"/>
      <c r="X86" s="1"/>
      <c r="Y86" s="1"/>
      <c r="Z86" s="1"/>
    </row>
    <row r="87" spans="1:26" ht="15.75" customHeight="1">
      <c r="A87" s="80">
        <f>'Students Details'!A87</f>
        <v>81</v>
      </c>
      <c r="B87" s="81" t="str">
        <f>IF('Students Details'!B87="","",'Students Details'!B87)</f>
        <v/>
      </c>
      <c r="C87" s="82" t="str">
        <f>IF('Students Details'!C87="","",'Students Details'!C87)</f>
        <v/>
      </c>
      <c r="D87" s="83" t="str">
        <f>IF('I Component'!R88=0,"",'I Component'!R88)</f>
        <v/>
      </c>
      <c r="E87" s="83" t="str">
        <f>IF('I Component'!S88=0,"",'I Component'!S88)</f>
        <v/>
      </c>
      <c r="F87" s="83" t="str">
        <f>IF('I Component'!T88=0,"",'I Component'!T88)</f>
        <v/>
      </c>
      <c r="G87" s="83" t="str">
        <f>IF('I Component'!U88=0,"",'I Component'!U88)</f>
        <v/>
      </c>
      <c r="H87" s="83" t="str">
        <f>IF('I Component'!V88=0,"",'I Component'!V88)</f>
        <v/>
      </c>
      <c r="I87" s="83" t="str">
        <f>IF('I Component'!W88=0,"",'I Component'!W88)</f>
        <v/>
      </c>
      <c r="J87" s="83">
        <f t="shared" si="0"/>
        <v>0</v>
      </c>
      <c r="K87" s="1"/>
      <c r="L87" s="1"/>
      <c r="M87" s="1"/>
      <c r="N87" s="1"/>
      <c r="O87" s="1"/>
      <c r="P87" s="1"/>
      <c r="Q87" s="1"/>
      <c r="R87" s="1"/>
      <c r="S87" s="1"/>
      <c r="T87" s="1"/>
      <c r="U87" s="1"/>
      <c r="V87" s="1"/>
      <c r="W87" s="1"/>
      <c r="X87" s="1"/>
      <c r="Y87" s="1"/>
      <c r="Z87" s="1"/>
    </row>
    <row r="88" spans="1:26" ht="15.75" customHeight="1">
      <c r="A88" s="80">
        <f>'Students Details'!A88</f>
        <v>82</v>
      </c>
      <c r="B88" s="81" t="str">
        <f>IF('Students Details'!B88="","",'Students Details'!B88)</f>
        <v/>
      </c>
      <c r="C88" s="82" t="str">
        <f>IF('Students Details'!C88="","",'Students Details'!C88)</f>
        <v/>
      </c>
      <c r="D88" s="83" t="str">
        <f>IF('I Component'!R89=0,"",'I Component'!R89)</f>
        <v/>
      </c>
      <c r="E88" s="83" t="str">
        <f>IF('I Component'!S89=0,"",'I Component'!S89)</f>
        <v/>
      </c>
      <c r="F88" s="83" t="str">
        <f>IF('I Component'!T89=0,"",'I Component'!T89)</f>
        <v/>
      </c>
      <c r="G88" s="83" t="str">
        <f>IF('I Component'!U89=0,"",'I Component'!U89)</f>
        <v/>
      </c>
      <c r="H88" s="83" t="str">
        <f>IF('I Component'!V89=0,"",'I Component'!V89)</f>
        <v/>
      </c>
      <c r="I88" s="83" t="str">
        <f>IF('I Component'!W89=0,"",'I Component'!W89)</f>
        <v/>
      </c>
      <c r="J88" s="83">
        <f t="shared" si="0"/>
        <v>0</v>
      </c>
      <c r="K88" s="1"/>
      <c r="L88" s="1"/>
      <c r="M88" s="1"/>
      <c r="N88" s="1"/>
      <c r="O88" s="1"/>
      <c r="P88" s="1"/>
      <c r="Q88" s="1"/>
      <c r="R88" s="1"/>
      <c r="S88" s="1"/>
      <c r="T88" s="1"/>
      <c r="U88" s="1"/>
      <c r="V88" s="1"/>
      <c r="W88" s="1"/>
      <c r="X88" s="1"/>
      <c r="Y88" s="1"/>
      <c r="Z88" s="1"/>
    </row>
    <row r="89" spans="1:26" ht="15.75" customHeight="1">
      <c r="A89" s="80">
        <f>'Students Details'!A89</f>
        <v>83</v>
      </c>
      <c r="B89" s="81" t="str">
        <f>IF('Students Details'!B89="","",'Students Details'!B89)</f>
        <v/>
      </c>
      <c r="C89" s="82" t="str">
        <f>IF('Students Details'!C89="","",'Students Details'!C89)</f>
        <v/>
      </c>
      <c r="D89" s="83" t="str">
        <f>IF('I Component'!R90=0,"",'I Component'!R90)</f>
        <v/>
      </c>
      <c r="E89" s="83" t="str">
        <f>IF('I Component'!S90=0,"",'I Component'!S90)</f>
        <v/>
      </c>
      <c r="F89" s="83" t="str">
        <f>IF('I Component'!T90=0,"",'I Component'!T90)</f>
        <v/>
      </c>
      <c r="G89" s="83" t="str">
        <f>IF('I Component'!U90=0,"",'I Component'!U90)</f>
        <v/>
      </c>
      <c r="H89" s="83" t="str">
        <f>IF('I Component'!V90=0,"",'I Component'!V90)</f>
        <v/>
      </c>
      <c r="I89" s="83" t="str">
        <f>IF('I Component'!W90=0,"",'I Component'!W90)</f>
        <v/>
      </c>
      <c r="J89" s="83">
        <f t="shared" si="0"/>
        <v>0</v>
      </c>
      <c r="K89" s="1"/>
      <c r="L89" s="1"/>
      <c r="M89" s="1"/>
      <c r="N89" s="1"/>
      <c r="O89" s="1"/>
      <c r="P89" s="1"/>
      <c r="Q89" s="1"/>
      <c r="R89" s="1"/>
      <c r="S89" s="1"/>
      <c r="T89" s="1"/>
      <c r="U89" s="1"/>
      <c r="V89" s="1"/>
      <c r="W89" s="1"/>
      <c r="X89" s="1"/>
      <c r="Y89" s="1"/>
      <c r="Z89" s="1"/>
    </row>
    <row r="90" spans="1:26" ht="15.75" customHeight="1">
      <c r="A90" s="80">
        <f>'Students Details'!A90</f>
        <v>84</v>
      </c>
      <c r="B90" s="81" t="str">
        <f>IF('Students Details'!B90="","",'Students Details'!B90)</f>
        <v/>
      </c>
      <c r="C90" s="82" t="str">
        <f>IF('Students Details'!C90="","",'Students Details'!C90)</f>
        <v/>
      </c>
      <c r="D90" s="83" t="str">
        <f>IF('I Component'!R91=0,"",'I Component'!R91)</f>
        <v/>
      </c>
      <c r="E90" s="83" t="str">
        <f>IF('I Component'!S91=0,"",'I Component'!S91)</f>
        <v/>
      </c>
      <c r="F90" s="83" t="str">
        <f>IF('I Component'!T91=0,"",'I Component'!T91)</f>
        <v/>
      </c>
      <c r="G90" s="83" t="str">
        <f>IF('I Component'!U91=0,"",'I Component'!U91)</f>
        <v/>
      </c>
      <c r="H90" s="83" t="str">
        <f>IF('I Component'!V91=0,"",'I Component'!V91)</f>
        <v/>
      </c>
      <c r="I90" s="83" t="str">
        <f>IF('I Component'!W91=0,"",'I Component'!W91)</f>
        <v/>
      </c>
      <c r="J90" s="83">
        <f t="shared" si="0"/>
        <v>0</v>
      </c>
      <c r="K90" s="1"/>
      <c r="L90" s="1"/>
      <c r="M90" s="1"/>
      <c r="N90" s="1"/>
      <c r="O90" s="1"/>
      <c r="P90" s="1"/>
      <c r="Q90" s="1"/>
      <c r="R90" s="1"/>
      <c r="S90" s="1"/>
      <c r="T90" s="1"/>
      <c r="U90" s="1"/>
      <c r="V90" s="1"/>
      <c r="W90" s="1"/>
      <c r="X90" s="1"/>
      <c r="Y90" s="1"/>
      <c r="Z90" s="1"/>
    </row>
    <row r="91" spans="1:26" ht="15.75" customHeight="1">
      <c r="A91" s="80">
        <f>'Students Details'!A91</f>
        <v>85</v>
      </c>
      <c r="B91" s="81" t="str">
        <f>IF('Students Details'!B91="","",'Students Details'!B91)</f>
        <v/>
      </c>
      <c r="C91" s="82" t="str">
        <f>IF('Students Details'!C91="","",'Students Details'!C91)</f>
        <v/>
      </c>
      <c r="D91" s="83" t="str">
        <f>IF('I Component'!R92=0,"",'I Component'!R92)</f>
        <v/>
      </c>
      <c r="E91" s="83" t="str">
        <f>IF('I Component'!S92=0,"",'I Component'!S92)</f>
        <v/>
      </c>
      <c r="F91" s="83" t="str">
        <f>IF('I Component'!T92=0,"",'I Component'!T92)</f>
        <v/>
      </c>
      <c r="G91" s="83" t="str">
        <f>IF('I Component'!U92=0,"",'I Component'!U92)</f>
        <v/>
      </c>
      <c r="H91" s="83" t="str">
        <f>IF('I Component'!V92=0,"",'I Component'!V92)</f>
        <v/>
      </c>
      <c r="I91" s="83" t="str">
        <f>IF('I Component'!W92=0,"",'I Component'!W92)</f>
        <v/>
      </c>
      <c r="J91" s="83">
        <f t="shared" si="0"/>
        <v>0</v>
      </c>
      <c r="K91" s="1"/>
      <c r="L91" s="1"/>
      <c r="M91" s="1"/>
      <c r="N91" s="1"/>
      <c r="O91" s="1"/>
      <c r="P91" s="1"/>
      <c r="Q91" s="1"/>
      <c r="R91" s="1"/>
      <c r="S91" s="1"/>
      <c r="T91" s="1"/>
      <c r="U91" s="1"/>
      <c r="V91" s="1"/>
      <c r="W91" s="1"/>
      <c r="X91" s="1"/>
      <c r="Y91" s="1"/>
      <c r="Z91" s="1"/>
    </row>
    <row r="92" spans="1:26" ht="15.75" customHeight="1">
      <c r="A92" s="80">
        <f>'Students Details'!A92</f>
        <v>86</v>
      </c>
      <c r="B92" s="81" t="str">
        <f>IF('Students Details'!B92="","",'Students Details'!B92)</f>
        <v/>
      </c>
      <c r="C92" s="82" t="str">
        <f>IF('Students Details'!C92="","",'Students Details'!C92)</f>
        <v/>
      </c>
      <c r="D92" s="83" t="str">
        <f>IF('I Component'!R93=0,"",'I Component'!R93)</f>
        <v/>
      </c>
      <c r="E92" s="83" t="str">
        <f>IF('I Component'!S93=0,"",'I Component'!S93)</f>
        <v/>
      </c>
      <c r="F92" s="83" t="str">
        <f>IF('I Component'!T93=0,"",'I Component'!T93)</f>
        <v/>
      </c>
      <c r="G92" s="83" t="str">
        <f>IF('I Component'!U93=0,"",'I Component'!U93)</f>
        <v/>
      </c>
      <c r="H92" s="83" t="str">
        <f>IF('I Component'!V93=0,"",'I Component'!V93)</f>
        <v/>
      </c>
      <c r="I92" s="83" t="str">
        <f>IF('I Component'!W93=0,"",'I Component'!W93)</f>
        <v/>
      </c>
      <c r="J92" s="83">
        <f t="shared" si="0"/>
        <v>0</v>
      </c>
      <c r="K92" s="1"/>
      <c r="L92" s="1"/>
      <c r="M92" s="1"/>
      <c r="N92" s="1"/>
      <c r="O92" s="1"/>
      <c r="P92" s="1"/>
      <c r="Q92" s="1"/>
      <c r="R92" s="1"/>
      <c r="S92" s="1"/>
      <c r="T92" s="1"/>
      <c r="U92" s="1"/>
      <c r="V92" s="1"/>
      <c r="W92" s="1"/>
      <c r="X92" s="1"/>
      <c r="Y92" s="1"/>
      <c r="Z92" s="1"/>
    </row>
    <row r="93" spans="1:26" ht="15.75" customHeight="1">
      <c r="A93" s="80">
        <f>'Students Details'!A93</f>
        <v>87</v>
      </c>
      <c r="B93" s="81" t="str">
        <f>IF('Students Details'!B93="","",'Students Details'!B93)</f>
        <v/>
      </c>
      <c r="C93" s="82" t="str">
        <f>IF('Students Details'!C93="","",'Students Details'!C93)</f>
        <v/>
      </c>
      <c r="D93" s="83" t="str">
        <f>IF('I Component'!R94=0,"",'I Component'!R94)</f>
        <v/>
      </c>
      <c r="E93" s="83" t="str">
        <f>IF('I Component'!S94=0,"",'I Component'!S94)</f>
        <v/>
      </c>
      <c r="F93" s="83" t="str">
        <f>IF('I Component'!T94=0,"",'I Component'!T94)</f>
        <v/>
      </c>
      <c r="G93" s="83" t="str">
        <f>IF('I Component'!U94=0,"",'I Component'!U94)</f>
        <v/>
      </c>
      <c r="H93" s="83" t="str">
        <f>IF('I Component'!V94=0,"",'I Component'!V94)</f>
        <v/>
      </c>
      <c r="I93" s="83" t="str">
        <f>IF('I Component'!W94=0,"",'I Component'!W94)</f>
        <v/>
      </c>
      <c r="J93" s="83">
        <f t="shared" si="0"/>
        <v>0</v>
      </c>
      <c r="K93" s="1"/>
      <c r="L93" s="1"/>
      <c r="M93" s="1"/>
      <c r="N93" s="1"/>
      <c r="O93" s="1"/>
      <c r="P93" s="1"/>
      <c r="Q93" s="1"/>
      <c r="R93" s="1"/>
      <c r="S93" s="1"/>
      <c r="T93" s="1"/>
      <c r="U93" s="1"/>
      <c r="V93" s="1"/>
      <c r="W93" s="1"/>
      <c r="X93" s="1"/>
      <c r="Y93" s="1"/>
      <c r="Z93" s="1"/>
    </row>
    <row r="94" spans="1:26" ht="15.75" customHeight="1">
      <c r="A94" s="80">
        <f>'Students Details'!A94</f>
        <v>88</v>
      </c>
      <c r="B94" s="81" t="str">
        <f>IF('Students Details'!B94="","",'Students Details'!B94)</f>
        <v/>
      </c>
      <c r="C94" s="82" t="str">
        <f>IF('Students Details'!C94="","",'Students Details'!C94)</f>
        <v/>
      </c>
      <c r="D94" s="83" t="str">
        <f>IF('I Component'!R95=0,"",'I Component'!R95)</f>
        <v/>
      </c>
      <c r="E94" s="83" t="str">
        <f>IF('I Component'!S95=0,"",'I Component'!S95)</f>
        <v/>
      </c>
      <c r="F94" s="83" t="str">
        <f>IF('I Component'!T95=0,"",'I Component'!T95)</f>
        <v/>
      </c>
      <c r="G94" s="83" t="str">
        <f>IF('I Component'!U95=0,"",'I Component'!U95)</f>
        <v/>
      </c>
      <c r="H94" s="83" t="str">
        <f>IF('I Component'!V95=0,"",'I Component'!V95)</f>
        <v/>
      </c>
      <c r="I94" s="83" t="str">
        <f>IF('I Component'!W95=0,"",'I Component'!W95)</f>
        <v/>
      </c>
      <c r="J94" s="83">
        <f t="shared" si="0"/>
        <v>0</v>
      </c>
      <c r="K94" s="1"/>
      <c r="L94" s="1"/>
      <c r="M94" s="1"/>
      <c r="N94" s="1"/>
      <c r="O94" s="1"/>
      <c r="P94" s="1"/>
      <c r="Q94" s="1"/>
      <c r="R94" s="1"/>
      <c r="S94" s="1"/>
      <c r="T94" s="1"/>
      <c r="U94" s="1"/>
      <c r="V94" s="1"/>
      <c r="W94" s="1"/>
      <c r="X94" s="1"/>
      <c r="Y94" s="1"/>
      <c r="Z94" s="1"/>
    </row>
    <row r="95" spans="1:26" ht="15.75" customHeight="1">
      <c r="A95" s="80">
        <f>'Students Details'!A95</f>
        <v>89</v>
      </c>
      <c r="B95" s="81" t="str">
        <f>IF('Students Details'!B95="","",'Students Details'!B95)</f>
        <v/>
      </c>
      <c r="C95" s="82" t="str">
        <f>IF('Students Details'!C95="","",'Students Details'!C95)</f>
        <v/>
      </c>
      <c r="D95" s="83" t="str">
        <f>IF('I Component'!R96=0,"",'I Component'!R96)</f>
        <v/>
      </c>
      <c r="E95" s="83" t="str">
        <f>IF('I Component'!S96=0,"",'I Component'!S96)</f>
        <v/>
      </c>
      <c r="F95" s="83" t="str">
        <f>IF('I Component'!T96=0,"",'I Component'!T96)</f>
        <v/>
      </c>
      <c r="G95" s="83" t="str">
        <f>IF('I Component'!U96=0,"",'I Component'!U96)</f>
        <v/>
      </c>
      <c r="H95" s="83" t="str">
        <f>IF('I Component'!V96=0,"",'I Component'!V96)</f>
        <v/>
      </c>
      <c r="I95" s="83" t="str">
        <f>IF('I Component'!W96=0,"",'I Component'!W96)</f>
        <v/>
      </c>
      <c r="J95" s="83">
        <f t="shared" si="0"/>
        <v>0</v>
      </c>
      <c r="K95" s="1"/>
      <c r="L95" s="1"/>
      <c r="M95" s="1"/>
      <c r="N95" s="1"/>
      <c r="O95" s="1"/>
      <c r="P95" s="1"/>
      <c r="Q95" s="1"/>
      <c r="R95" s="1"/>
      <c r="S95" s="1"/>
      <c r="T95" s="1"/>
      <c r="U95" s="1"/>
      <c r="V95" s="1"/>
      <c r="W95" s="1"/>
      <c r="X95" s="1"/>
      <c r="Y95" s="1"/>
      <c r="Z95" s="1"/>
    </row>
    <row r="96" spans="1:26" ht="15.75" customHeight="1">
      <c r="A96" s="80">
        <f>'Students Details'!A96</f>
        <v>90</v>
      </c>
      <c r="B96" s="81" t="str">
        <f>IF('Students Details'!B96="","",'Students Details'!B96)</f>
        <v/>
      </c>
      <c r="C96" s="82" t="str">
        <f>IF('Students Details'!C96="","",'Students Details'!C96)</f>
        <v/>
      </c>
      <c r="D96" s="83" t="str">
        <f>IF('I Component'!R97=0,"",'I Component'!R97)</f>
        <v/>
      </c>
      <c r="E96" s="83" t="str">
        <f>IF('I Component'!S97=0,"",'I Component'!S97)</f>
        <v/>
      </c>
      <c r="F96" s="83" t="str">
        <f>IF('I Component'!T97=0,"",'I Component'!T97)</f>
        <v/>
      </c>
      <c r="G96" s="83" t="str">
        <f>IF('I Component'!U97=0,"",'I Component'!U97)</f>
        <v/>
      </c>
      <c r="H96" s="83" t="str">
        <f>IF('I Component'!V97=0,"",'I Component'!V97)</f>
        <v/>
      </c>
      <c r="I96" s="83" t="str">
        <f>IF('I Component'!W97=0,"",'I Component'!W97)</f>
        <v/>
      </c>
      <c r="J96" s="83">
        <f t="shared" si="0"/>
        <v>0</v>
      </c>
      <c r="K96" s="1"/>
      <c r="L96" s="1"/>
      <c r="M96" s="1"/>
      <c r="N96" s="1"/>
      <c r="O96" s="1"/>
      <c r="P96" s="1"/>
      <c r="Q96" s="1"/>
      <c r="R96" s="1"/>
      <c r="S96" s="1"/>
      <c r="T96" s="1"/>
      <c r="U96" s="1"/>
      <c r="V96" s="1"/>
      <c r="W96" s="1"/>
      <c r="X96" s="1"/>
      <c r="Y96" s="1"/>
      <c r="Z96" s="1"/>
    </row>
    <row r="97" spans="1:26" ht="15.75" customHeight="1">
      <c r="A97" s="80">
        <f>'Students Details'!A97</f>
        <v>91</v>
      </c>
      <c r="B97" s="81" t="str">
        <f>IF('Students Details'!B97="","",'Students Details'!B97)</f>
        <v/>
      </c>
      <c r="C97" s="82" t="str">
        <f>IF('Students Details'!C97="","",'Students Details'!C97)</f>
        <v/>
      </c>
      <c r="D97" s="83" t="str">
        <f>IF('I Component'!R98=0,"",'I Component'!R98)</f>
        <v/>
      </c>
      <c r="E97" s="83" t="str">
        <f>IF('I Component'!S98=0,"",'I Component'!S98)</f>
        <v/>
      </c>
      <c r="F97" s="83" t="str">
        <f>IF('I Component'!T98=0,"",'I Component'!T98)</f>
        <v/>
      </c>
      <c r="G97" s="83" t="str">
        <f>IF('I Component'!U98=0,"",'I Component'!U98)</f>
        <v/>
      </c>
      <c r="H97" s="83" t="str">
        <f>IF('I Component'!V98=0,"",'I Component'!V98)</f>
        <v/>
      </c>
      <c r="I97" s="83" t="str">
        <f>IF('I Component'!W98=0,"",'I Component'!W98)</f>
        <v/>
      </c>
      <c r="J97" s="83">
        <f t="shared" si="0"/>
        <v>0</v>
      </c>
      <c r="K97" s="1"/>
      <c r="L97" s="1"/>
      <c r="M97" s="1"/>
      <c r="N97" s="1"/>
      <c r="O97" s="1"/>
      <c r="P97" s="1"/>
      <c r="Q97" s="1"/>
      <c r="R97" s="1"/>
      <c r="S97" s="1"/>
      <c r="T97" s="1"/>
      <c r="U97" s="1"/>
      <c r="V97" s="1"/>
      <c r="W97" s="1"/>
      <c r="X97" s="1"/>
      <c r="Y97" s="1"/>
      <c r="Z97" s="1"/>
    </row>
    <row r="98" spans="1:26" ht="15.75" customHeight="1">
      <c r="A98" s="80">
        <f>'Students Details'!A98</f>
        <v>92</v>
      </c>
      <c r="B98" s="81" t="str">
        <f>IF('Students Details'!B98="","",'Students Details'!B98)</f>
        <v/>
      </c>
      <c r="C98" s="82" t="str">
        <f>IF('Students Details'!C98="","",'Students Details'!C98)</f>
        <v/>
      </c>
      <c r="D98" s="83" t="str">
        <f>IF('I Component'!R99=0,"",'I Component'!R99)</f>
        <v/>
      </c>
      <c r="E98" s="83" t="str">
        <f>IF('I Component'!S99=0,"",'I Component'!S99)</f>
        <v/>
      </c>
      <c r="F98" s="83" t="str">
        <f>IF('I Component'!T99=0,"",'I Component'!T99)</f>
        <v/>
      </c>
      <c r="G98" s="83" t="str">
        <f>IF('I Component'!U99=0,"",'I Component'!U99)</f>
        <v/>
      </c>
      <c r="H98" s="83" t="str">
        <f>IF('I Component'!V99=0,"",'I Component'!V99)</f>
        <v/>
      </c>
      <c r="I98" s="83" t="str">
        <f>IF('I Component'!W99=0,"",'I Component'!W99)</f>
        <v/>
      </c>
      <c r="J98" s="83">
        <f t="shared" si="0"/>
        <v>0</v>
      </c>
      <c r="K98" s="1"/>
      <c r="L98" s="1"/>
      <c r="M98" s="1"/>
      <c r="N98" s="1"/>
      <c r="O98" s="1"/>
      <c r="P98" s="1"/>
      <c r="Q98" s="1"/>
      <c r="R98" s="1"/>
      <c r="S98" s="1"/>
      <c r="T98" s="1"/>
      <c r="U98" s="1"/>
      <c r="V98" s="1"/>
      <c r="W98" s="1"/>
      <c r="X98" s="1"/>
      <c r="Y98" s="1"/>
      <c r="Z98" s="1"/>
    </row>
    <row r="99" spans="1:26" ht="15.75" customHeight="1">
      <c r="A99" s="80">
        <f>'Students Details'!A99</f>
        <v>93</v>
      </c>
      <c r="B99" s="81" t="str">
        <f>IF('Students Details'!B99="","",'Students Details'!B99)</f>
        <v/>
      </c>
      <c r="C99" s="82" t="str">
        <f>IF('Students Details'!C99="","",'Students Details'!C99)</f>
        <v/>
      </c>
      <c r="D99" s="83" t="str">
        <f>IF('I Component'!R100=0,"",'I Component'!R100)</f>
        <v/>
      </c>
      <c r="E99" s="83" t="str">
        <f>IF('I Component'!S100=0,"",'I Component'!S100)</f>
        <v/>
      </c>
      <c r="F99" s="83" t="str">
        <f>IF('I Component'!T100=0,"",'I Component'!T100)</f>
        <v/>
      </c>
      <c r="G99" s="83" t="str">
        <f>IF('I Component'!U100=0,"",'I Component'!U100)</f>
        <v/>
      </c>
      <c r="H99" s="83" t="str">
        <f>IF('I Component'!V100=0,"",'I Component'!V100)</f>
        <v/>
      </c>
      <c r="I99" s="83" t="str">
        <f>IF('I Component'!W100=0,"",'I Component'!W100)</f>
        <v/>
      </c>
      <c r="J99" s="83">
        <f t="shared" si="0"/>
        <v>0</v>
      </c>
      <c r="K99" s="1"/>
      <c r="L99" s="1"/>
      <c r="M99" s="1"/>
      <c r="N99" s="1"/>
      <c r="O99" s="1"/>
      <c r="P99" s="1"/>
      <c r="Q99" s="1"/>
      <c r="R99" s="1"/>
      <c r="S99" s="1"/>
      <c r="T99" s="1"/>
      <c r="U99" s="1"/>
      <c r="V99" s="1"/>
      <c r="W99" s="1"/>
      <c r="X99" s="1"/>
      <c r="Y99" s="1"/>
      <c r="Z99" s="1"/>
    </row>
    <row r="100" spans="1:26" ht="15.75" customHeight="1">
      <c r="A100" s="80">
        <f>'Students Details'!A100</f>
        <v>94</v>
      </c>
      <c r="B100" s="81" t="str">
        <f>IF('Students Details'!B100="","",'Students Details'!B100)</f>
        <v/>
      </c>
      <c r="C100" s="82" t="str">
        <f>IF('Students Details'!C100="","",'Students Details'!C100)</f>
        <v/>
      </c>
      <c r="D100" s="83" t="str">
        <f>IF('I Component'!R101=0,"",'I Component'!R101)</f>
        <v/>
      </c>
      <c r="E100" s="83" t="str">
        <f>IF('I Component'!S101=0,"",'I Component'!S101)</f>
        <v/>
      </c>
      <c r="F100" s="83" t="str">
        <f>IF('I Component'!T101=0,"",'I Component'!T101)</f>
        <v/>
      </c>
      <c r="G100" s="83" t="str">
        <f>IF('I Component'!U101=0,"",'I Component'!U101)</f>
        <v/>
      </c>
      <c r="H100" s="83" t="str">
        <f>IF('I Component'!V101=0,"",'I Component'!V101)</f>
        <v/>
      </c>
      <c r="I100" s="83" t="str">
        <f>IF('I Component'!W101=0,"",'I Component'!W101)</f>
        <v/>
      </c>
      <c r="J100" s="83">
        <f t="shared" si="0"/>
        <v>0</v>
      </c>
      <c r="K100" s="1"/>
      <c r="L100" s="1"/>
      <c r="M100" s="1"/>
      <c r="N100" s="1"/>
      <c r="O100" s="1"/>
      <c r="P100" s="1"/>
      <c r="Q100" s="1"/>
      <c r="R100" s="1"/>
      <c r="S100" s="1"/>
      <c r="T100" s="1"/>
      <c r="U100" s="1"/>
      <c r="V100" s="1"/>
      <c r="W100" s="1"/>
      <c r="X100" s="1"/>
      <c r="Y100" s="1"/>
      <c r="Z100" s="1"/>
    </row>
    <row r="101" spans="1:26" ht="15.75" customHeight="1">
      <c r="A101" s="80">
        <f>'Students Details'!A101</f>
        <v>95</v>
      </c>
      <c r="B101" s="81" t="str">
        <f>IF('Students Details'!B101="","",'Students Details'!B101)</f>
        <v/>
      </c>
      <c r="C101" s="82" t="str">
        <f>IF('Students Details'!C101="","",'Students Details'!C101)</f>
        <v/>
      </c>
      <c r="D101" s="83" t="str">
        <f>IF('I Component'!R102=0,"",'I Component'!R102)</f>
        <v/>
      </c>
      <c r="E101" s="83" t="str">
        <f>IF('I Component'!S102=0,"",'I Component'!S102)</f>
        <v/>
      </c>
      <c r="F101" s="83" t="str">
        <f>IF('I Component'!T102=0,"",'I Component'!T102)</f>
        <v/>
      </c>
      <c r="G101" s="83" t="str">
        <f>IF('I Component'!U102=0,"",'I Component'!U102)</f>
        <v/>
      </c>
      <c r="H101" s="83" t="str">
        <f>IF('I Component'!V102=0,"",'I Component'!V102)</f>
        <v/>
      </c>
      <c r="I101" s="83" t="str">
        <f>IF('I Component'!W102=0,"",'I Component'!W102)</f>
        <v/>
      </c>
      <c r="J101" s="83">
        <f t="shared" si="0"/>
        <v>0</v>
      </c>
      <c r="K101" s="1"/>
      <c r="L101" s="1"/>
      <c r="M101" s="1"/>
      <c r="N101" s="1"/>
      <c r="O101" s="1"/>
      <c r="P101" s="1"/>
      <c r="Q101" s="1"/>
      <c r="R101" s="1"/>
      <c r="S101" s="1"/>
      <c r="T101" s="1"/>
      <c r="U101" s="1"/>
      <c r="V101" s="1"/>
      <c r="W101" s="1"/>
      <c r="X101" s="1"/>
      <c r="Y101" s="1"/>
      <c r="Z101" s="1"/>
    </row>
    <row r="102" spans="1:26" ht="15.75" customHeight="1">
      <c r="A102" s="80">
        <f>'Students Details'!A102</f>
        <v>96</v>
      </c>
      <c r="B102" s="81" t="str">
        <f>IF('Students Details'!B102="","",'Students Details'!B102)</f>
        <v/>
      </c>
      <c r="C102" s="82" t="str">
        <f>IF('Students Details'!C102="","",'Students Details'!C102)</f>
        <v/>
      </c>
      <c r="D102" s="83" t="str">
        <f>IF('I Component'!R103=0,"",'I Component'!R103)</f>
        <v/>
      </c>
      <c r="E102" s="83" t="str">
        <f>IF('I Component'!S103=0,"",'I Component'!S103)</f>
        <v/>
      </c>
      <c r="F102" s="83" t="str">
        <f>IF('I Component'!T103=0,"",'I Component'!T103)</f>
        <v/>
      </c>
      <c r="G102" s="83" t="str">
        <f>IF('I Component'!U103=0,"",'I Component'!U103)</f>
        <v/>
      </c>
      <c r="H102" s="83" t="str">
        <f>IF('I Component'!V103=0,"",'I Component'!V103)</f>
        <v/>
      </c>
      <c r="I102" s="83" t="str">
        <f>IF('I Component'!W103=0,"",'I Component'!W103)</f>
        <v/>
      </c>
      <c r="J102" s="83">
        <f t="shared" si="0"/>
        <v>0</v>
      </c>
      <c r="K102" s="1"/>
      <c r="L102" s="1"/>
      <c r="M102" s="1"/>
      <c r="N102" s="1"/>
      <c r="O102" s="1"/>
      <c r="P102" s="1"/>
      <c r="Q102" s="1"/>
      <c r="R102" s="1"/>
      <c r="S102" s="1"/>
      <c r="T102" s="1"/>
      <c r="U102" s="1"/>
      <c r="V102" s="1"/>
      <c r="W102" s="1"/>
      <c r="X102" s="1"/>
      <c r="Y102" s="1"/>
      <c r="Z102" s="1"/>
    </row>
    <row r="103" spans="1:26" ht="15.75" customHeight="1">
      <c r="A103" s="80">
        <f>'Students Details'!A103</f>
        <v>97</v>
      </c>
      <c r="B103" s="81" t="str">
        <f>IF('Students Details'!B103="","",'Students Details'!B103)</f>
        <v/>
      </c>
      <c r="C103" s="82" t="str">
        <f>IF('Students Details'!C103="","",'Students Details'!C103)</f>
        <v/>
      </c>
      <c r="D103" s="83" t="str">
        <f>IF('I Component'!R104=0,"",'I Component'!R104)</f>
        <v/>
      </c>
      <c r="E103" s="83" t="str">
        <f>IF('I Component'!S104=0,"",'I Component'!S104)</f>
        <v/>
      </c>
      <c r="F103" s="83" t="str">
        <f>IF('I Component'!T104=0,"",'I Component'!T104)</f>
        <v/>
      </c>
      <c r="G103" s="83" t="str">
        <f>IF('I Component'!U104=0,"",'I Component'!U104)</f>
        <v/>
      </c>
      <c r="H103" s="83" t="str">
        <f>IF('I Component'!V104=0,"",'I Component'!V104)</f>
        <v/>
      </c>
      <c r="I103" s="83" t="str">
        <f>IF('I Component'!W104=0,"",'I Component'!W104)</f>
        <v/>
      </c>
      <c r="J103" s="83">
        <f t="shared" si="0"/>
        <v>0</v>
      </c>
      <c r="K103" s="1"/>
      <c r="L103" s="1"/>
      <c r="M103" s="1"/>
      <c r="N103" s="1"/>
      <c r="O103" s="1"/>
      <c r="P103" s="1"/>
      <c r="Q103" s="1"/>
      <c r="R103" s="1"/>
      <c r="S103" s="1"/>
      <c r="T103" s="1"/>
      <c r="U103" s="1"/>
      <c r="V103" s="1"/>
      <c r="W103" s="1"/>
      <c r="X103" s="1"/>
      <c r="Y103" s="1"/>
      <c r="Z103" s="1"/>
    </row>
    <row r="104" spans="1:26" ht="15.75" customHeight="1">
      <c r="A104" s="80">
        <f>'Students Details'!A104</f>
        <v>98</v>
      </c>
      <c r="B104" s="81" t="str">
        <f>IF('Students Details'!B104="","",'Students Details'!B104)</f>
        <v/>
      </c>
      <c r="C104" s="82" t="str">
        <f>IF('Students Details'!C104="","",'Students Details'!C104)</f>
        <v/>
      </c>
      <c r="D104" s="83" t="str">
        <f>IF('I Component'!R105=0,"",'I Component'!R105)</f>
        <v/>
      </c>
      <c r="E104" s="83" t="str">
        <f>IF('I Component'!S105=0,"",'I Component'!S105)</f>
        <v/>
      </c>
      <c r="F104" s="83" t="str">
        <f>IF('I Component'!T105=0,"",'I Component'!T105)</f>
        <v/>
      </c>
      <c r="G104" s="83" t="str">
        <f>IF('I Component'!U105=0,"",'I Component'!U105)</f>
        <v/>
      </c>
      <c r="H104" s="83" t="str">
        <f>IF('I Component'!V105=0,"",'I Component'!V105)</f>
        <v/>
      </c>
      <c r="I104" s="83" t="str">
        <f>IF('I Component'!W105=0,"",'I Component'!W105)</f>
        <v/>
      </c>
      <c r="J104" s="83">
        <f t="shared" si="0"/>
        <v>0</v>
      </c>
      <c r="K104" s="1"/>
      <c r="L104" s="1"/>
      <c r="M104" s="1"/>
      <c r="N104" s="1"/>
      <c r="O104" s="1"/>
      <c r="P104" s="1"/>
      <c r="Q104" s="1"/>
      <c r="R104" s="1"/>
      <c r="S104" s="1"/>
      <c r="T104" s="1"/>
      <c r="U104" s="1"/>
      <c r="V104" s="1"/>
      <c r="W104" s="1"/>
      <c r="X104" s="1"/>
      <c r="Y104" s="1"/>
      <c r="Z104" s="1"/>
    </row>
    <row r="105" spans="1:26" ht="15.75" customHeight="1">
      <c r="A105" s="80">
        <f>'Students Details'!A105</f>
        <v>99</v>
      </c>
      <c r="B105" s="81" t="str">
        <f>IF('Students Details'!B105="","",'Students Details'!B105)</f>
        <v/>
      </c>
      <c r="C105" s="82" t="str">
        <f>IF('Students Details'!C105="","",'Students Details'!C105)</f>
        <v/>
      </c>
      <c r="D105" s="83" t="str">
        <f>IF('I Component'!R106=0,"",'I Component'!R106)</f>
        <v/>
      </c>
      <c r="E105" s="83" t="str">
        <f>IF('I Component'!S106=0,"",'I Component'!S106)</f>
        <v/>
      </c>
      <c r="F105" s="83" t="str">
        <f>IF('I Component'!T106=0,"",'I Component'!T106)</f>
        <v/>
      </c>
      <c r="G105" s="83" t="str">
        <f>IF('I Component'!U106=0,"",'I Component'!U106)</f>
        <v/>
      </c>
      <c r="H105" s="83" t="str">
        <f>IF('I Component'!V106=0,"",'I Component'!V106)</f>
        <v/>
      </c>
      <c r="I105" s="83" t="str">
        <f>IF('I Component'!W106=0,"",'I Component'!W106)</f>
        <v/>
      </c>
      <c r="J105" s="83">
        <f t="shared" si="0"/>
        <v>0</v>
      </c>
      <c r="K105" s="1"/>
      <c r="L105" s="1"/>
      <c r="M105" s="1"/>
      <c r="N105" s="1"/>
      <c r="O105" s="1"/>
      <c r="P105" s="1"/>
      <c r="Q105" s="1"/>
      <c r="R105" s="1"/>
      <c r="S105" s="1"/>
      <c r="T105" s="1"/>
      <c r="U105" s="1"/>
      <c r="V105" s="1"/>
      <c r="W105" s="1"/>
      <c r="X105" s="1"/>
      <c r="Y105" s="1"/>
      <c r="Z105" s="1"/>
    </row>
    <row r="106" spans="1:26" ht="15.75" customHeight="1">
      <c r="A106" s="80">
        <f>'Students Details'!A106</f>
        <v>100</v>
      </c>
      <c r="B106" s="81" t="str">
        <f>IF('Students Details'!B106="","",'Students Details'!B106)</f>
        <v/>
      </c>
      <c r="C106" s="82" t="str">
        <f>IF('Students Details'!C106="","",'Students Details'!C106)</f>
        <v/>
      </c>
      <c r="D106" s="83" t="str">
        <f>IF('I Component'!R107=0,"",'I Component'!R107)</f>
        <v/>
      </c>
      <c r="E106" s="83" t="str">
        <f>IF('I Component'!S107=0,"",'I Component'!S107)</f>
        <v/>
      </c>
      <c r="F106" s="83" t="str">
        <f>IF('I Component'!T107=0,"",'I Component'!T107)</f>
        <v/>
      </c>
      <c r="G106" s="83" t="str">
        <f>IF('I Component'!U107=0,"",'I Component'!U107)</f>
        <v/>
      </c>
      <c r="H106" s="83" t="str">
        <f>IF('I Component'!V107=0,"",'I Component'!V107)</f>
        <v/>
      </c>
      <c r="I106" s="83" t="str">
        <f>IF('I Component'!W107=0,"",'I Component'!W107)</f>
        <v/>
      </c>
      <c r="J106" s="83">
        <f t="shared" si="0"/>
        <v>0</v>
      </c>
      <c r="K106" s="1"/>
      <c r="L106" s="1"/>
      <c r="M106" s="1"/>
      <c r="N106" s="1"/>
      <c r="O106" s="1"/>
      <c r="P106" s="1"/>
      <c r="Q106" s="1"/>
      <c r="R106" s="1"/>
      <c r="S106" s="1"/>
      <c r="T106" s="1"/>
      <c r="U106" s="1"/>
      <c r="V106" s="1"/>
      <c r="W106" s="1"/>
      <c r="X106" s="1"/>
      <c r="Y106" s="1"/>
      <c r="Z106" s="1"/>
    </row>
    <row r="107" spans="1:26" ht="15.75" customHeight="1">
      <c r="A107" s="80">
        <f>'Students Details'!A107</f>
        <v>101</v>
      </c>
      <c r="B107" s="81" t="str">
        <f>IF('Students Details'!B107="","",'Students Details'!B107)</f>
        <v/>
      </c>
      <c r="C107" s="82" t="str">
        <f>IF('Students Details'!C107="","",'Students Details'!C107)</f>
        <v/>
      </c>
      <c r="D107" s="83" t="str">
        <f>IF('I Component'!R108=0,"",'I Component'!R108)</f>
        <v/>
      </c>
      <c r="E107" s="83" t="str">
        <f>IF('I Component'!S108=0,"",'I Component'!S108)</f>
        <v/>
      </c>
      <c r="F107" s="83" t="str">
        <f>IF('I Component'!T108=0,"",'I Component'!T108)</f>
        <v/>
      </c>
      <c r="G107" s="83" t="str">
        <f>IF('I Component'!U108=0,"",'I Component'!U108)</f>
        <v/>
      </c>
      <c r="H107" s="83" t="str">
        <f>IF('I Component'!V108=0,"",'I Component'!V108)</f>
        <v/>
      </c>
      <c r="I107" s="83" t="str">
        <f>IF('I Component'!W108=0,"",'I Component'!W108)</f>
        <v/>
      </c>
      <c r="J107" s="83">
        <f t="shared" si="0"/>
        <v>0</v>
      </c>
      <c r="K107" s="1"/>
      <c r="L107" s="1"/>
      <c r="M107" s="1"/>
      <c r="N107" s="1"/>
      <c r="O107" s="1"/>
      <c r="P107" s="1"/>
      <c r="Q107" s="1"/>
      <c r="R107" s="1"/>
      <c r="S107" s="1"/>
      <c r="T107" s="1"/>
      <c r="U107" s="1"/>
      <c r="V107" s="1"/>
      <c r="W107" s="1"/>
      <c r="X107" s="1"/>
      <c r="Y107" s="1"/>
      <c r="Z107" s="1"/>
    </row>
    <row r="108" spans="1:26" ht="15.75" customHeight="1">
      <c r="A108" s="80">
        <f>'Students Details'!A108</f>
        <v>102</v>
      </c>
      <c r="B108" s="81" t="str">
        <f>IF('Students Details'!B108="","",'Students Details'!B108)</f>
        <v/>
      </c>
      <c r="C108" s="82" t="str">
        <f>IF('Students Details'!C108="","",'Students Details'!C108)</f>
        <v/>
      </c>
      <c r="D108" s="83" t="str">
        <f>IF('I Component'!R109=0,"",'I Component'!R109)</f>
        <v/>
      </c>
      <c r="E108" s="83" t="str">
        <f>IF('I Component'!S109=0,"",'I Component'!S109)</f>
        <v/>
      </c>
      <c r="F108" s="83" t="str">
        <f>IF('I Component'!T109=0,"",'I Component'!T109)</f>
        <v/>
      </c>
      <c r="G108" s="83" t="str">
        <f>IF('I Component'!U109=0,"",'I Component'!U109)</f>
        <v/>
      </c>
      <c r="H108" s="83" t="str">
        <f>IF('I Component'!V109=0,"",'I Component'!V109)</f>
        <v/>
      </c>
      <c r="I108" s="83" t="str">
        <f>IF('I Component'!W109=0,"",'I Component'!W109)</f>
        <v/>
      </c>
      <c r="J108" s="83">
        <f t="shared" si="0"/>
        <v>0</v>
      </c>
      <c r="K108" s="1"/>
      <c r="L108" s="1"/>
      <c r="M108" s="1"/>
      <c r="N108" s="1"/>
      <c r="O108" s="1"/>
      <c r="P108" s="1"/>
      <c r="Q108" s="1"/>
      <c r="R108" s="1"/>
      <c r="S108" s="1"/>
      <c r="T108" s="1"/>
      <c r="U108" s="1"/>
      <c r="V108" s="1"/>
      <c r="W108" s="1"/>
      <c r="X108" s="1"/>
      <c r="Y108" s="1"/>
      <c r="Z108" s="1"/>
    </row>
    <row r="109" spans="1:26" ht="15.75" customHeight="1">
      <c r="A109" s="80">
        <f>'Students Details'!A109</f>
        <v>103</v>
      </c>
      <c r="B109" s="81" t="str">
        <f>IF('Students Details'!B109="","",'Students Details'!B109)</f>
        <v/>
      </c>
      <c r="C109" s="82" t="str">
        <f>IF('Students Details'!C109="","",'Students Details'!C109)</f>
        <v/>
      </c>
      <c r="D109" s="83" t="str">
        <f>IF('I Component'!R110=0,"",'I Component'!R110)</f>
        <v/>
      </c>
      <c r="E109" s="83" t="str">
        <f>IF('I Component'!S110=0,"",'I Component'!S110)</f>
        <v/>
      </c>
      <c r="F109" s="83" t="str">
        <f>IF('I Component'!T110=0,"",'I Component'!T110)</f>
        <v/>
      </c>
      <c r="G109" s="83" t="str">
        <f>IF('I Component'!U110=0,"",'I Component'!U110)</f>
        <v/>
      </c>
      <c r="H109" s="83" t="str">
        <f>IF('I Component'!V110=0,"",'I Component'!V110)</f>
        <v/>
      </c>
      <c r="I109" s="83" t="str">
        <f>IF('I Component'!W110=0,"",'I Component'!W110)</f>
        <v/>
      </c>
      <c r="J109" s="83">
        <f t="shared" si="0"/>
        <v>0</v>
      </c>
      <c r="K109" s="1"/>
      <c r="L109" s="1"/>
      <c r="M109" s="1"/>
      <c r="N109" s="1"/>
      <c r="O109" s="1"/>
      <c r="P109" s="1"/>
      <c r="Q109" s="1"/>
      <c r="R109" s="1"/>
      <c r="S109" s="1"/>
      <c r="T109" s="1"/>
      <c r="U109" s="1"/>
      <c r="V109" s="1"/>
      <c r="W109" s="1"/>
      <c r="X109" s="1"/>
      <c r="Y109" s="1"/>
      <c r="Z109" s="1"/>
    </row>
    <row r="110" spans="1:26" ht="15.75" customHeight="1">
      <c r="A110" s="80">
        <f>'Students Details'!A110</f>
        <v>104</v>
      </c>
      <c r="B110" s="81" t="str">
        <f>IF('Students Details'!B110="","",'Students Details'!B110)</f>
        <v/>
      </c>
      <c r="C110" s="82" t="str">
        <f>IF('Students Details'!C110="","",'Students Details'!C110)</f>
        <v/>
      </c>
      <c r="D110" s="83" t="str">
        <f>IF('I Component'!R111=0,"",'I Component'!R111)</f>
        <v/>
      </c>
      <c r="E110" s="83" t="str">
        <f>IF('I Component'!S111=0,"",'I Component'!S111)</f>
        <v/>
      </c>
      <c r="F110" s="83" t="str">
        <f>IF('I Component'!T111=0,"",'I Component'!T111)</f>
        <v/>
      </c>
      <c r="G110" s="83" t="str">
        <f>IF('I Component'!U111=0,"",'I Component'!U111)</f>
        <v/>
      </c>
      <c r="H110" s="83" t="str">
        <f>IF('I Component'!V111=0,"",'I Component'!V111)</f>
        <v/>
      </c>
      <c r="I110" s="83" t="str">
        <f>IF('I Component'!W111=0,"",'I Component'!W111)</f>
        <v/>
      </c>
      <c r="J110" s="83">
        <f t="shared" si="0"/>
        <v>0</v>
      </c>
      <c r="K110" s="1"/>
      <c r="L110" s="1"/>
      <c r="M110" s="1"/>
      <c r="N110" s="1"/>
      <c r="O110" s="1"/>
      <c r="P110" s="1"/>
      <c r="Q110" s="1"/>
      <c r="R110" s="1"/>
      <c r="S110" s="1"/>
      <c r="T110" s="1"/>
      <c r="U110" s="1"/>
      <c r="V110" s="1"/>
      <c r="W110" s="1"/>
      <c r="X110" s="1"/>
      <c r="Y110" s="1"/>
      <c r="Z110" s="1"/>
    </row>
    <row r="111" spans="1:26" ht="15.75" customHeight="1">
      <c r="A111" s="80">
        <f>'Students Details'!A111</f>
        <v>105</v>
      </c>
      <c r="B111" s="81" t="str">
        <f>IF('Students Details'!B111="","",'Students Details'!B111)</f>
        <v/>
      </c>
      <c r="C111" s="82" t="str">
        <f>IF('Students Details'!C111="","",'Students Details'!C111)</f>
        <v/>
      </c>
      <c r="D111" s="83" t="str">
        <f>IF('I Component'!R112=0,"",'I Component'!R112)</f>
        <v/>
      </c>
      <c r="E111" s="83" t="str">
        <f>IF('I Component'!S112=0,"",'I Component'!S112)</f>
        <v/>
      </c>
      <c r="F111" s="83" t="str">
        <f>IF('I Component'!T112=0,"",'I Component'!T112)</f>
        <v/>
      </c>
      <c r="G111" s="83" t="str">
        <f>IF('I Component'!U112=0,"",'I Component'!U112)</f>
        <v/>
      </c>
      <c r="H111" s="83" t="str">
        <f>IF('I Component'!V112=0,"",'I Component'!V112)</f>
        <v/>
      </c>
      <c r="I111" s="83" t="str">
        <f>IF('I Component'!W112=0,"",'I Component'!W112)</f>
        <v/>
      </c>
      <c r="J111" s="83">
        <f t="shared" si="0"/>
        <v>0</v>
      </c>
      <c r="K111" s="1"/>
      <c r="L111" s="1"/>
      <c r="M111" s="1"/>
      <c r="N111" s="1"/>
      <c r="O111" s="1"/>
      <c r="P111" s="1"/>
      <c r="Q111" s="1"/>
      <c r="R111" s="1"/>
      <c r="S111" s="1"/>
      <c r="T111" s="1"/>
      <c r="U111" s="1"/>
      <c r="V111" s="1"/>
      <c r="W111" s="1"/>
      <c r="X111" s="1"/>
      <c r="Y111" s="1"/>
      <c r="Z111" s="1"/>
    </row>
    <row r="112" spans="1:26" ht="15.75" customHeight="1">
      <c r="A112" s="80">
        <f>'Students Details'!A112</f>
        <v>106</v>
      </c>
      <c r="B112" s="81" t="str">
        <f>IF('Students Details'!B112="","",'Students Details'!B112)</f>
        <v/>
      </c>
      <c r="C112" s="82" t="str">
        <f>IF('Students Details'!C112="","",'Students Details'!C112)</f>
        <v/>
      </c>
      <c r="D112" s="83" t="str">
        <f>IF('I Component'!R113=0,"",'I Component'!R113)</f>
        <v/>
      </c>
      <c r="E112" s="83" t="str">
        <f>IF('I Component'!S113=0,"",'I Component'!S113)</f>
        <v/>
      </c>
      <c r="F112" s="83" t="str">
        <f>IF('I Component'!T113=0,"",'I Component'!T113)</f>
        <v/>
      </c>
      <c r="G112" s="83" t="str">
        <f>IF('I Component'!U113=0,"",'I Component'!U113)</f>
        <v/>
      </c>
      <c r="H112" s="83" t="str">
        <f>IF('I Component'!V113=0,"",'I Component'!V113)</f>
        <v/>
      </c>
      <c r="I112" s="83" t="str">
        <f>IF('I Component'!W113=0,"",'I Component'!W113)</f>
        <v/>
      </c>
      <c r="J112" s="83">
        <f t="shared" si="0"/>
        <v>0</v>
      </c>
      <c r="K112" s="1"/>
      <c r="L112" s="1"/>
      <c r="M112" s="1"/>
      <c r="N112" s="1"/>
      <c r="O112" s="1"/>
      <c r="P112" s="1"/>
      <c r="Q112" s="1"/>
      <c r="R112" s="1"/>
      <c r="S112" s="1"/>
      <c r="T112" s="1"/>
      <c r="U112" s="1"/>
      <c r="V112" s="1"/>
      <c r="W112" s="1"/>
      <c r="X112" s="1"/>
      <c r="Y112" s="1"/>
      <c r="Z112" s="1"/>
    </row>
    <row r="113" spans="1:26" ht="15.75" customHeight="1">
      <c r="A113" s="80">
        <f>'Students Details'!A113</f>
        <v>107</v>
      </c>
      <c r="B113" s="81" t="str">
        <f>IF('Students Details'!B113="","",'Students Details'!B113)</f>
        <v/>
      </c>
      <c r="C113" s="82" t="str">
        <f>IF('Students Details'!C113="","",'Students Details'!C113)</f>
        <v/>
      </c>
      <c r="D113" s="83" t="str">
        <f>IF('I Component'!R114=0,"",'I Component'!R114)</f>
        <v/>
      </c>
      <c r="E113" s="83" t="str">
        <f>IF('I Component'!S114=0,"",'I Component'!S114)</f>
        <v/>
      </c>
      <c r="F113" s="83" t="str">
        <f>IF('I Component'!T114=0,"",'I Component'!T114)</f>
        <v/>
      </c>
      <c r="G113" s="83" t="str">
        <f>IF('I Component'!U114=0,"",'I Component'!U114)</f>
        <v/>
      </c>
      <c r="H113" s="83" t="str">
        <f>IF('I Component'!V114=0,"",'I Component'!V114)</f>
        <v/>
      </c>
      <c r="I113" s="83" t="str">
        <f>IF('I Component'!W114=0,"",'I Component'!W114)</f>
        <v/>
      </c>
      <c r="J113" s="83">
        <f t="shared" si="0"/>
        <v>0</v>
      </c>
      <c r="K113" s="1"/>
      <c r="L113" s="1"/>
      <c r="M113" s="1"/>
      <c r="N113" s="1"/>
      <c r="O113" s="1"/>
      <c r="P113" s="1"/>
      <c r="Q113" s="1"/>
      <c r="R113" s="1"/>
      <c r="S113" s="1"/>
      <c r="T113" s="1"/>
      <c r="U113" s="1"/>
      <c r="V113" s="1"/>
      <c r="W113" s="1"/>
      <c r="X113" s="1"/>
      <c r="Y113" s="1"/>
      <c r="Z113" s="1"/>
    </row>
    <row r="114" spans="1:26" ht="15.75" customHeight="1">
      <c r="A114" s="80">
        <f>'Students Details'!A114</f>
        <v>108</v>
      </c>
      <c r="B114" s="81" t="str">
        <f>IF('Students Details'!B114="","",'Students Details'!B114)</f>
        <v/>
      </c>
      <c r="C114" s="82" t="str">
        <f>IF('Students Details'!C114="","",'Students Details'!C114)</f>
        <v/>
      </c>
      <c r="D114" s="83" t="str">
        <f>IF('I Component'!R115=0,"",'I Component'!R115)</f>
        <v/>
      </c>
      <c r="E114" s="83" t="str">
        <f>IF('I Component'!S115=0,"",'I Component'!S115)</f>
        <v/>
      </c>
      <c r="F114" s="83" t="str">
        <f>IF('I Component'!T115=0,"",'I Component'!T115)</f>
        <v/>
      </c>
      <c r="G114" s="83" t="str">
        <f>IF('I Component'!U115=0,"",'I Component'!U115)</f>
        <v/>
      </c>
      <c r="H114" s="83" t="str">
        <f>IF('I Component'!V115=0,"",'I Component'!V115)</f>
        <v/>
      </c>
      <c r="I114" s="83" t="str">
        <f>IF('I Component'!W115=0,"",'I Component'!W115)</f>
        <v/>
      </c>
      <c r="J114" s="83">
        <f t="shared" si="0"/>
        <v>0</v>
      </c>
      <c r="K114" s="1"/>
      <c r="L114" s="1"/>
      <c r="M114" s="1"/>
      <c r="N114" s="1"/>
      <c r="O114" s="1"/>
      <c r="P114" s="1"/>
      <c r="Q114" s="1"/>
      <c r="R114" s="1"/>
      <c r="S114" s="1"/>
      <c r="T114" s="1"/>
      <c r="U114" s="1"/>
      <c r="V114" s="1"/>
      <c r="W114" s="1"/>
      <c r="X114" s="1"/>
      <c r="Y114" s="1"/>
      <c r="Z114" s="1"/>
    </row>
    <row r="115" spans="1:26" ht="15.75" customHeight="1">
      <c r="A115" s="80">
        <f>'Students Details'!A115</f>
        <v>109</v>
      </c>
      <c r="B115" s="81" t="str">
        <f>IF('Students Details'!B115="","",'Students Details'!B115)</f>
        <v/>
      </c>
      <c r="C115" s="82" t="str">
        <f>IF('Students Details'!C115="","",'Students Details'!C115)</f>
        <v/>
      </c>
      <c r="D115" s="83" t="str">
        <f>IF('I Component'!R116=0,"",'I Component'!R116)</f>
        <v/>
      </c>
      <c r="E115" s="83" t="str">
        <f>IF('I Component'!S116=0,"",'I Component'!S116)</f>
        <v/>
      </c>
      <c r="F115" s="83" t="str">
        <f>IF('I Component'!T116=0,"",'I Component'!T116)</f>
        <v/>
      </c>
      <c r="G115" s="83" t="str">
        <f>IF('I Component'!U116=0,"",'I Component'!U116)</f>
        <v/>
      </c>
      <c r="H115" s="83" t="str">
        <f>IF('I Component'!V116=0,"",'I Component'!V116)</f>
        <v/>
      </c>
      <c r="I115" s="83" t="str">
        <f>IF('I Component'!W116=0,"",'I Component'!W116)</f>
        <v/>
      </c>
      <c r="J115" s="83">
        <f t="shared" si="0"/>
        <v>0</v>
      </c>
      <c r="K115" s="1"/>
      <c r="L115" s="1"/>
      <c r="M115" s="1"/>
      <c r="N115" s="1"/>
      <c r="O115" s="1"/>
      <c r="P115" s="1"/>
      <c r="Q115" s="1"/>
      <c r="R115" s="1"/>
      <c r="S115" s="1"/>
      <c r="T115" s="1"/>
      <c r="U115" s="1"/>
      <c r="V115" s="1"/>
      <c r="W115" s="1"/>
      <c r="X115" s="1"/>
      <c r="Y115" s="1"/>
      <c r="Z115" s="1"/>
    </row>
    <row r="116" spans="1:26" ht="15.75" customHeight="1">
      <c r="A116" s="80">
        <f>'Students Details'!A116</f>
        <v>110</v>
      </c>
      <c r="B116" s="81" t="str">
        <f>IF('Students Details'!B116="","",'Students Details'!B116)</f>
        <v/>
      </c>
      <c r="C116" s="82" t="str">
        <f>IF('Students Details'!C116="","",'Students Details'!C116)</f>
        <v/>
      </c>
      <c r="D116" s="83" t="str">
        <f>IF('I Component'!R117=0,"",'I Component'!R117)</f>
        <v/>
      </c>
      <c r="E116" s="83" t="str">
        <f>IF('I Component'!S117=0,"",'I Component'!S117)</f>
        <v/>
      </c>
      <c r="F116" s="83" t="str">
        <f>IF('I Component'!T117=0,"",'I Component'!T117)</f>
        <v/>
      </c>
      <c r="G116" s="83" t="str">
        <f>IF('I Component'!U117=0,"",'I Component'!U117)</f>
        <v/>
      </c>
      <c r="H116" s="83" t="str">
        <f>IF('I Component'!V117=0,"",'I Component'!V117)</f>
        <v/>
      </c>
      <c r="I116" s="83" t="str">
        <f>IF('I Component'!W117=0,"",'I Component'!W117)</f>
        <v/>
      </c>
      <c r="J116" s="83">
        <f t="shared" si="0"/>
        <v>0</v>
      </c>
      <c r="K116" s="1"/>
      <c r="L116" s="1"/>
      <c r="M116" s="1"/>
      <c r="N116" s="1"/>
      <c r="O116" s="1"/>
      <c r="P116" s="1"/>
      <c r="Q116" s="1"/>
      <c r="R116" s="1"/>
      <c r="S116" s="1"/>
      <c r="T116" s="1"/>
      <c r="U116" s="1"/>
      <c r="V116" s="1"/>
      <c r="W116" s="1"/>
      <c r="X116" s="1"/>
      <c r="Y116" s="1"/>
      <c r="Z116" s="1"/>
    </row>
    <row r="117" spans="1:26" ht="15.75" customHeight="1">
      <c r="A117" s="80">
        <f>'Students Details'!A117</f>
        <v>111</v>
      </c>
      <c r="B117" s="81" t="str">
        <f>IF('Students Details'!B117="","",'Students Details'!B117)</f>
        <v/>
      </c>
      <c r="C117" s="82" t="str">
        <f>IF('Students Details'!C117="","",'Students Details'!C117)</f>
        <v/>
      </c>
      <c r="D117" s="83" t="str">
        <f>IF('I Component'!R118=0,"",'I Component'!R118)</f>
        <v/>
      </c>
      <c r="E117" s="83" t="str">
        <f>IF('I Component'!S118=0,"",'I Component'!S118)</f>
        <v/>
      </c>
      <c r="F117" s="83" t="str">
        <f>IF('I Component'!T118=0,"",'I Component'!T118)</f>
        <v/>
      </c>
      <c r="G117" s="83" t="str">
        <f>IF('I Component'!U118=0,"",'I Component'!U118)</f>
        <v/>
      </c>
      <c r="H117" s="83" t="str">
        <f>IF('I Component'!V118=0,"",'I Component'!V118)</f>
        <v/>
      </c>
      <c r="I117" s="83" t="str">
        <f>IF('I Component'!W118=0,"",'I Component'!W118)</f>
        <v/>
      </c>
      <c r="J117" s="83">
        <f t="shared" si="0"/>
        <v>0</v>
      </c>
      <c r="K117" s="1"/>
      <c r="L117" s="1"/>
      <c r="M117" s="1"/>
      <c r="N117" s="1"/>
      <c r="O117" s="1"/>
      <c r="P117" s="1"/>
      <c r="Q117" s="1"/>
      <c r="R117" s="1"/>
      <c r="S117" s="1"/>
      <c r="T117" s="1"/>
      <c r="U117" s="1"/>
      <c r="V117" s="1"/>
      <c r="W117" s="1"/>
      <c r="X117" s="1"/>
      <c r="Y117" s="1"/>
      <c r="Z117" s="1"/>
    </row>
    <row r="118" spans="1:26" ht="15.75" customHeight="1">
      <c r="A118" s="80">
        <f>'Students Details'!A118</f>
        <v>112</v>
      </c>
      <c r="B118" s="81" t="str">
        <f>IF('Students Details'!B118="","",'Students Details'!B118)</f>
        <v/>
      </c>
      <c r="C118" s="82" t="str">
        <f>IF('Students Details'!C118="","",'Students Details'!C118)</f>
        <v/>
      </c>
      <c r="D118" s="83" t="str">
        <f>IF('I Component'!R119=0,"",'I Component'!R119)</f>
        <v/>
      </c>
      <c r="E118" s="83" t="str">
        <f>IF('I Component'!S119=0,"",'I Component'!S119)</f>
        <v/>
      </c>
      <c r="F118" s="83" t="str">
        <f>IF('I Component'!T119=0,"",'I Component'!T119)</f>
        <v/>
      </c>
      <c r="G118" s="83" t="str">
        <f>IF('I Component'!U119=0,"",'I Component'!U119)</f>
        <v/>
      </c>
      <c r="H118" s="83" t="str">
        <f>IF('I Component'!V119=0,"",'I Component'!V119)</f>
        <v/>
      </c>
      <c r="I118" s="83" t="str">
        <f>IF('I Component'!W119=0,"",'I Component'!W119)</f>
        <v/>
      </c>
      <c r="J118" s="83">
        <f t="shared" si="0"/>
        <v>0</v>
      </c>
      <c r="K118" s="1"/>
      <c r="L118" s="1"/>
      <c r="M118" s="1"/>
      <c r="N118" s="1"/>
      <c r="O118" s="1"/>
      <c r="P118" s="1"/>
      <c r="Q118" s="1"/>
      <c r="R118" s="1"/>
      <c r="S118" s="1"/>
      <c r="T118" s="1"/>
      <c r="U118" s="1"/>
      <c r="V118" s="1"/>
      <c r="W118" s="1"/>
      <c r="X118" s="1"/>
      <c r="Y118" s="1"/>
      <c r="Z118" s="1"/>
    </row>
    <row r="119" spans="1:26" ht="15.75" customHeight="1">
      <c r="A119" s="80">
        <f>'Students Details'!A119</f>
        <v>113</v>
      </c>
      <c r="B119" s="81" t="str">
        <f>IF('Students Details'!B119="","",'Students Details'!B119)</f>
        <v/>
      </c>
      <c r="C119" s="82" t="str">
        <f>IF('Students Details'!C119="","",'Students Details'!C119)</f>
        <v/>
      </c>
      <c r="D119" s="83" t="str">
        <f>IF('I Component'!R120=0,"",'I Component'!R120)</f>
        <v/>
      </c>
      <c r="E119" s="83" t="str">
        <f>IF('I Component'!S120=0,"",'I Component'!S120)</f>
        <v/>
      </c>
      <c r="F119" s="83" t="str">
        <f>IF('I Component'!T120=0,"",'I Component'!T120)</f>
        <v/>
      </c>
      <c r="G119" s="83" t="str">
        <f>IF('I Component'!U120=0,"",'I Component'!U120)</f>
        <v/>
      </c>
      <c r="H119" s="83" t="str">
        <f>IF('I Component'!V120=0,"",'I Component'!V120)</f>
        <v/>
      </c>
      <c r="I119" s="83" t="str">
        <f>IF('I Component'!W120=0,"",'I Component'!W120)</f>
        <v/>
      </c>
      <c r="J119" s="83">
        <f t="shared" si="0"/>
        <v>0</v>
      </c>
      <c r="K119" s="1"/>
      <c r="L119" s="1"/>
      <c r="M119" s="1"/>
      <c r="N119" s="1"/>
      <c r="O119" s="1"/>
      <c r="P119" s="1"/>
      <c r="Q119" s="1"/>
      <c r="R119" s="1"/>
      <c r="S119" s="1"/>
      <c r="T119" s="1"/>
      <c r="U119" s="1"/>
      <c r="V119" s="1"/>
      <c r="W119" s="1"/>
      <c r="X119" s="1"/>
      <c r="Y119" s="1"/>
      <c r="Z119" s="1"/>
    </row>
    <row r="120" spans="1:26" ht="15.75" customHeight="1">
      <c r="A120" s="80">
        <f>'Students Details'!A120</f>
        <v>114</v>
      </c>
      <c r="B120" s="81" t="str">
        <f>IF('Students Details'!B120="","",'Students Details'!B120)</f>
        <v/>
      </c>
      <c r="C120" s="82" t="str">
        <f>IF('Students Details'!C120="","",'Students Details'!C120)</f>
        <v/>
      </c>
      <c r="D120" s="83" t="str">
        <f>IF('I Component'!R121=0,"",'I Component'!R121)</f>
        <v/>
      </c>
      <c r="E120" s="83" t="str">
        <f>IF('I Component'!S121=0,"",'I Component'!S121)</f>
        <v/>
      </c>
      <c r="F120" s="83" t="str">
        <f>IF('I Component'!T121=0,"",'I Component'!T121)</f>
        <v/>
      </c>
      <c r="G120" s="83" t="str">
        <f>IF('I Component'!U121=0,"",'I Component'!U121)</f>
        <v/>
      </c>
      <c r="H120" s="83" t="str">
        <f>IF('I Component'!V121=0,"",'I Component'!V121)</f>
        <v/>
      </c>
      <c r="I120" s="83" t="str">
        <f>IF('I Component'!W121=0,"",'I Component'!W121)</f>
        <v/>
      </c>
      <c r="J120" s="83">
        <f t="shared" si="0"/>
        <v>0</v>
      </c>
      <c r="K120" s="1"/>
      <c r="L120" s="1"/>
      <c r="M120" s="1"/>
      <c r="N120" s="1"/>
      <c r="O120" s="1"/>
      <c r="P120" s="1"/>
      <c r="Q120" s="1"/>
      <c r="R120" s="1"/>
      <c r="S120" s="1"/>
      <c r="T120" s="1"/>
      <c r="U120" s="1"/>
      <c r="V120" s="1"/>
      <c r="W120" s="1"/>
      <c r="X120" s="1"/>
      <c r="Y120" s="1"/>
      <c r="Z120" s="1"/>
    </row>
    <row r="121" spans="1:26" ht="15.75" customHeight="1">
      <c r="A121" s="80">
        <f>'Students Details'!A121</f>
        <v>115</v>
      </c>
      <c r="B121" s="81" t="str">
        <f>IF('Students Details'!B121="","",'Students Details'!B121)</f>
        <v/>
      </c>
      <c r="C121" s="82" t="str">
        <f>IF('Students Details'!C121="","",'Students Details'!C121)</f>
        <v/>
      </c>
      <c r="D121" s="83" t="str">
        <f>IF('I Component'!R122=0,"",'I Component'!R122)</f>
        <v/>
      </c>
      <c r="E121" s="83" t="str">
        <f>IF('I Component'!S122=0,"",'I Component'!S122)</f>
        <v/>
      </c>
      <c r="F121" s="83" t="str">
        <f>IF('I Component'!T122=0,"",'I Component'!T122)</f>
        <v/>
      </c>
      <c r="G121" s="83" t="str">
        <f>IF('I Component'!U122=0,"",'I Component'!U122)</f>
        <v/>
      </c>
      <c r="H121" s="83" t="str">
        <f>IF('I Component'!V122=0,"",'I Component'!V122)</f>
        <v/>
      </c>
      <c r="I121" s="83" t="str">
        <f>IF('I Component'!W122=0,"",'I Component'!W122)</f>
        <v/>
      </c>
      <c r="J121" s="83">
        <f t="shared" si="0"/>
        <v>0</v>
      </c>
      <c r="K121" s="1"/>
      <c r="L121" s="1"/>
      <c r="M121" s="1"/>
      <c r="N121" s="1"/>
      <c r="O121" s="1"/>
      <c r="P121" s="1"/>
      <c r="Q121" s="1"/>
      <c r="R121" s="1"/>
      <c r="S121" s="1"/>
      <c r="T121" s="1"/>
      <c r="U121" s="1"/>
      <c r="V121" s="1"/>
      <c r="W121" s="1"/>
      <c r="X121" s="1"/>
      <c r="Y121" s="1"/>
      <c r="Z121" s="1"/>
    </row>
    <row r="122" spans="1:26" ht="15.75" customHeight="1">
      <c r="A122" s="80">
        <f>'Students Details'!A122</f>
        <v>116</v>
      </c>
      <c r="B122" s="81" t="str">
        <f>IF('Students Details'!B122="","",'Students Details'!B122)</f>
        <v/>
      </c>
      <c r="C122" s="82" t="str">
        <f>IF('Students Details'!C122="","",'Students Details'!C122)</f>
        <v/>
      </c>
      <c r="D122" s="83" t="str">
        <f>IF('I Component'!R123=0,"",'I Component'!R123)</f>
        <v/>
      </c>
      <c r="E122" s="83" t="str">
        <f>IF('I Component'!S123=0,"",'I Component'!S123)</f>
        <v/>
      </c>
      <c r="F122" s="83" t="str">
        <f>IF('I Component'!T123=0,"",'I Component'!T123)</f>
        <v/>
      </c>
      <c r="G122" s="83" t="str">
        <f>IF('I Component'!U123=0,"",'I Component'!U123)</f>
        <v/>
      </c>
      <c r="H122" s="83" t="str">
        <f>IF('I Component'!V123=0,"",'I Component'!V123)</f>
        <v/>
      </c>
      <c r="I122" s="83" t="str">
        <f>IF('I Component'!W123=0,"",'I Component'!W123)</f>
        <v/>
      </c>
      <c r="J122" s="83">
        <f t="shared" si="0"/>
        <v>0</v>
      </c>
      <c r="K122" s="1"/>
      <c r="L122" s="1"/>
      <c r="M122" s="1"/>
      <c r="N122" s="1"/>
      <c r="O122" s="1"/>
      <c r="P122" s="1"/>
      <c r="Q122" s="1"/>
      <c r="R122" s="1"/>
      <c r="S122" s="1"/>
      <c r="T122" s="1"/>
      <c r="U122" s="1"/>
      <c r="V122" s="1"/>
      <c r="W122" s="1"/>
      <c r="X122" s="1"/>
      <c r="Y122" s="1"/>
      <c r="Z122" s="1"/>
    </row>
    <row r="123" spans="1:26" ht="15.75" customHeight="1">
      <c r="A123" s="80">
        <f>'Students Details'!A123</f>
        <v>117</v>
      </c>
      <c r="B123" s="81" t="str">
        <f>IF('Students Details'!B123="","",'Students Details'!B123)</f>
        <v/>
      </c>
      <c r="C123" s="82" t="str">
        <f>IF('Students Details'!C123="","",'Students Details'!C123)</f>
        <v/>
      </c>
      <c r="D123" s="83" t="str">
        <f>IF('I Component'!R124=0,"",'I Component'!R124)</f>
        <v/>
      </c>
      <c r="E123" s="83" t="str">
        <f>IF('I Component'!S124=0,"",'I Component'!S124)</f>
        <v/>
      </c>
      <c r="F123" s="83" t="str">
        <f>IF('I Component'!T124=0,"",'I Component'!T124)</f>
        <v/>
      </c>
      <c r="G123" s="83" t="str">
        <f>IF('I Component'!U124=0,"",'I Component'!U124)</f>
        <v/>
      </c>
      <c r="H123" s="83" t="str">
        <f>IF('I Component'!V124=0,"",'I Component'!V124)</f>
        <v/>
      </c>
      <c r="I123" s="83" t="str">
        <f>IF('I Component'!W124=0,"",'I Component'!W124)</f>
        <v/>
      </c>
      <c r="J123" s="83">
        <f t="shared" si="0"/>
        <v>0</v>
      </c>
      <c r="K123" s="1"/>
      <c r="L123" s="1"/>
      <c r="M123" s="1"/>
      <c r="N123" s="1"/>
      <c r="O123" s="1"/>
      <c r="P123" s="1"/>
      <c r="Q123" s="1"/>
      <c r="R123" s="1"/>
      <c r="S123" s="1"/>
      <c r="T123" s="1"/>
      <c r="U123" s="1"/>
      <c r="V123" s="1"/>
      <c r="W123" s="1"/>
      <c r="X123" s="1"/>
      <c r="Y123" s="1"/>
      <c r="Z123" s="1"/>
    </row>
    <row r="124" spans="1:26" ht="15.75" customHeight="1">
      <c r="A124" s="80">
        <f>'Students Details'!A124</f>
        <v>118</v>
      </c>
      <c r="B124" s="81" t="str">
        <f>IF('Students Details'!B124="","",'Students Details'!B124)</f>
        <v/>
      </c>
      <c r="C124" s="82" t="str">
        <f>IF('Students Details'!C124="","",'Students Details'!C124)</f>
        <v/>
      </c>
      <c r="D124" s="83" t="str">
        <f>IF('I Component'!R125=0,"",'I Component'!R125)</f>
        <v/>
      </c>
      <c r="E124" s="83" t="str">
        <f>IF('I Component'!S125=0,"",'I Component'!S125)</f>
        <v/>
      </c>
      <c r="F124" s="83" t="str">
        <f>IF('I Component'!T125=0,"",'I Component'!T125)</f>
        <v/>
      </c>
      <c r="G124" s="83" t="str">
        <f>IF('I Component'!U125=0,"",'I Component'!U125)</f>
        <v/>
      </c>
      <c r="H124" s="83" t="str">
        <f>IF('I Component'!V125=0,"",'I Component'!V125)</f>
        <v/>
      </c>
      <c r="I124" s="83" t="str">
        <f>IF('I Component'!W125=0,"",'I Component'!W125)</f>
        <v/>
      </c>
      <c r="J124" s="83">
        <f t="shared" si="0"/>
        <v>0</v>
      </c>
      <c r="K124" s="1"/>
      <c r="L124" s="1"/>
      <c r="M124" s="1"/>
      <c r="N124" s="1"/>
      <c r="O124" s="1"/>
      <c r="P124" s="1"/>
      <c r="Q124" s="1"/>
      <c r="R124" s="1"/>
      <c r="S124" s="1"/>
      <c r="T124" s="1"/>
      <c r="U124" s="1"/>
      <c r="V124" s="1"/>
      <c r="W124" s="1"/>
      <c r="X124" s="1"/>
      <c r="Y124" s="1"/>
      <c r="Z124" s="1"/>
    </row>
    <row r="125" spans="1:26" ht="15.75" customHeight="1">
      <c r="A125" s="80">
        <f>'Students Details'!A125</f>
        <v>119</v>
      </c>
      <c r="B125" s="81" t="str">
        <f>IF('Students Details'!B125="","",'Students Details'!B125)</f>
        <v/>
      </c>
      <c r="C125" s="82" t="str">
        <f>IF('Students Details'!C125="","",'Students Details'!C125)</f>
        <v/>
      </c>
      <c r="D125" s="83" t="str">
        <f>IF('I Component'!R126=0,"",'I Component'!R126)</f>
        <v/>
      </c>
      <c r="E125" s="83" t="str">
        <f>IF('I Component'!S126=0,"",'I Component'!S126)</f>
        <v/>
      </c>
      <c r="F125" s="83" t="str">
        <f>IF('I Component'!T126=0,"",'I Component'!T126)</f>
        <v/>
      </c>
      <c r="G125" s="83" t="str">
        <f>IF('I Component'!U126=0,"",'I Component'!U126)</f>
        <v/>
      </c>
      <c r="H125" s="83" t="str">
        <f>IF('I Component'!V126=0,"",'I Component'!V126)</f>
        <v/>
      </c>
      <c r="I125" s="83" t="str">
        <f>IF('I Component'!W126=0,"",'I Component'!W126)</f>
        <v/>
      </c>
      <c r="J125" s="83">
        <f t="shared" si="0"/>
        <v>0</v>
      </c>
      <c r="K125" s="1"/>
      <c r="L125" s="1"/>
      <c r="M125" s="1"/>
      <c r="N125" s="1"/>
      <c r="O125" s="1"/>
      <c r="P125" s="1"/>
      <c r="Q125" s="1"/>
      <c r="R125" s="1"/>
      <c r="S125" s="1"/>
      <c r="T125" s="1"/>
      <c r="U125" s="1"/>
      <c r="V125" s="1"/>
      <c r="W125" s="1"/>
      <c r="X125" s="1"/>
      <c r="Y125" s="1"/>
      <c r="Z125" s="1"/>
    </row>
    <row r="126" spans="1:26" ht="15.75" customHeight="1">
      <c r="A126" s="80">
        <f>'Students Details'!A126</f>
        <v>120</v>
      </c>
      <c r="B126" s="81" t="str">
        <f>IF('Students Details'!B126="","",'Students Details'!B126)</f>
        <v/>
      </c>
      <c r="C126" s="82" t="str">
        <f>IF('Students Details'!C126="","",'Students Details'!C126)</f>
        <v/>
      </c>
      <c r="D126" s="83" t="str">
        <f>IF('I Component'!R127=0,"",'I Component'!R127)</f>
        <v/>
      </c>
      <c r="E126" s="83" t="str">
        <f>IF('I Component'!S127=0,"",'I Component'!S127)</f>
        <v/>
      </c>
      <c r="F126" s="83" t="str">
        <f>IF('I Component'!T127=0,"",'I Component'!T127)</f>
        <v/>
      </c>
      <c r="G126" s="83" t="str">
        <f>IF('I Component'!U127=0,"",'I Component'!U127)</f>
        <v/>
      </c>
      <c r="H126" s="83" t="str">
        <f>IF('I Component'!V127=0,"",'I Component'!V127)</f>
        <v/>
      </c>
      <c r="I126" s="83" t="str">
        <f>IF('I Component'!W127=0,"",'I Component'!W127)</f>
        <v/>
      </c>
      <c r="J126" s="83">
        <f t="shared" si="0"/>
        <v>0</v>
      </c>
      <c r="K126" s="1"/>
      <c r="L126" s="1"/>
      <c r="M126" s="1"/>
      <c r="N126" s="1"/>
      <c r="O126" s="1"/>
      <c r="P126" s="1"/>
      <c r="Q126" s="1"/>
      <c r="R126" s="1"/>
      <c r="S126" s="1"/>
      <c r="T126" s="1"/>
      <c r="U126" s="1"/>
      <c r="V126" s="1"/>
      <c r="W126" s="1"/>
      <c r="X126" s="1"/>
      <c r="Y126" s="1"/>
      <c r="Z126" s="1"/>
    </row>
    <row r="127" spans="1:26" ht="15.75" customHeight="1">
      <c r="A127" s="80">
        <f>'Students Details'!A127</f>
        <v>121</v>
      </c>
      <c r="B127" s="81" t="str">
        <f>IF('Students Details'!B127="","",'Students Details'!B127)</f>
        <v/>
      </c>
      <c r="C127" s="82" t="str">
        <f>IF('Students Details'!C127="","",'Students Details'!C127)</f>
        <v/>
      </c>
      <c r="D127" s="83" t="str">
        <f>IF('I Component'!R128=0,"",'I Component'!R128)</f>
        <v/>
      </c>
      <c r="E127" s="83" t="str">
        <f>IF('I Component'!S128=0,"",'I Component'!S128)</f>
        <v/>
      </c>
      <c r="F127" s="83" t="str">
        <f>IF('I Component'!T128=0,"",'I Component'!T128)</f>
        <v/>
      </c>
      <c r="G127" s="83" t="str">
        <f>IF('I Component'!U128=0,"",'I Component'!U128)</f>
        <v/>
      </c>
      <c r="H127" s="83" t="str">
        <f>IF('I Component'!V128=0,"",'I Component'!V128)</f>
        <v/>
      </c>
      <c r="I127" s="83" t="str">
        <f>IF('I Component'!W128=0,"",'I Component'!W128)</f>
        <v/>
      </c>
      <c r="J127" s="83">
        <f t="shared" si="0"/>
        <v>0</v>
      </c>
      <c r="K127" s="1"/>
      <c r="L127" s="1"/>
      <c r="M127" s="1"/>
      <c r="N127" s="1"/>
      <c r="O127" s="1"/>
      <c r="P127" s="1"/>
      <c r="Q127" s="1"/>
      <c r="R127" s="1"/>
      <c r="S127" s="1"/>
      <c r="T127" s="1"/>
      <c r="U127" s="1"/>
      <c r="V127" s="1"/>
      <c r="W127" s="1"/>
      <c r="X127" s="1"/>
      <c r="Y127" s="1"/>
      <c r="Z127" s="1"/>
    </row>
    <row r="128" spans="1:26" ht="15.75" customHeight="1">
      <c r="A128" s="80">
        <f>'Students Details'!A128</f>
        <v>122</v>
      </c>
      <c r="B128" s="81" t="str">
        <f>IF('Students Details'!B128="","",'Students Details'!B128)</f>
        <v/>
      </c>
      <c r="C128" s="82" t="str">
        <f>IF('Students Details'!C128="","",'Students Details'!C128)</f>
        <v/>
      </c>
      <c r="D128" s="83" t="str">
        <f>IF('I Component'!R129=0,"",'I Component'!R129)</f>
        <v/>
      </c>
      <c r="E128" s="83" t="str">
        <f>IF('I Component'!S129=0,"",'I Component'!S129)</f>
        <v/>
      </c>
      <c r="F128" s="83" t="str">
        <f>IF('I Component'!T129=0,"",'I Component'!T129)</f>
        <v/>
      </c>
      <c r="G128" s="83" t="str">
        <f>IF('I Component'!U129=0,"",'I Component'!U129)</f>
        <v/>
      </c>
      <c r="H128" s="83" t="str">
        <f>IF('I Component'!V129=0,"",'I Component'!V129)</f>
        <v/>
      </c>
      <c r="I128" s="83" t="str">
        <f>IF('I Component'!W129=0,"",'I Component'!W129)</f>
        <v/>
      </c>
      <c r="J128" s="83">
        <f t="shared" si="0"/>
        <v>0</v>
      </c>
      <c r="K128" s="1"/>
      <c r="L128" s="1"/>
      <c r="M128" s="1"/>
      <c r="N128" s="1"/>
      <c r="O128" s="1"/>
      <c r="P128" s="1"/>
      <c r="Q128" s="1"/>
      <c r="R128" s="1"/>
      <c r="S128" s="1"/>
      <c r="T128" s="1"/>
      <c r="U128" s="1"/>
      <c r="V128" s="1"/>
      <c r="W128" s="1"/>
      <c r="X128" s="1"/>
      <c r="Y128" s="1"/>
      <c r="Z128" s="1"/>
    </row>
    <row r="129" spans="1:26" ht="15.75" customHeight="1">
      <c r="A129" s="80">
        <f>'Students Details'!A129</f>
        <v>123</v>
      </c>
      <c r="B129" s="81" t="str">
        <f>IF('Students Details'!B129="","",'Students Details'!B129)</f>
        <v/>
      </c>
      <c r="C129" s="82" t="str">
        <f>IF('Students Details'!C129="","",'Students Details'!C129)</f>
        <v/>
      </c>
      <c r="D129" s="83" t="str">
        <f>IF('I Component'!R130=0,"",'I Component'!R130)</f>
        <v/>
      </c>
      <c r="E129" s="83" t="str">
        <f>IF('I Component'!S130=0,"",'I Component'!S130)</f>
        <v/>
      </c>
      <c r="F129" s="83" t="str">
        <f>IF('I Component'!T130=0,"",'I Component'!T130)</f>
        <v/>
      </c>
      <c r="G129" s="83" t="str">
        <f>IF('I Component'!U130=0,"",'I Component'!U130)</f>
        <v/>
      </c>
      <c r="H129" s="83" t="str">
        <f>IF('I Component'!V130=0,"",'I Component'!V130)</f>
        <v/>
      </c>
      <c r="I129" s="83" t="str">
        <f>IF('I Component'!W130=0,"",'I Component'!W130)</f>
        <v/>
      </c>
      <c r="J129" s="83">
        <f t="shared" si="0"/>
        <v>0</v>
      </c>
      <c r="K129" s="1"/>
      <c r="L129" s="1"/>
      <c r="M129" s="1"/>
      <c r="N129" s="1"/>
      <c r="O129" s="1"/>
      <c r="P129" s="1"/>
      <c r="Q129" s="1"/>
      <c r="R129" s="1"/>
      <c r="S129" s="1"/>
      <c r="T129" s="1"/>
      <c r="U129" s="1"/>
      <c r="V129" s="1"/>
      <c r="W129" s="1"/>
      <c r="X129" s="1"/>
      <c r="Y129" s="1"/>
      <c r="Z129" s="1"/>
    </row>
    <row r="130" spans="1:26" ht="15.75" customHeight="1">
      <c r="A130" s="80">
        <f>'Students Details'!A130</f>
        <v>124</v>
      </c>
      <c r="B130" s="81" t="str">
        <f>IF('Students Details'!B130="","",'Students Details'!B130)</f>
        <v/>
      </c>
      <c r="C130" s="82" t="str">
        <f>IF('Students Details'!C130="","",'Students Details'!C130)</f>
        <v/>
      </c>
      <c r="D130" s="83" t="str">
        <f>IF('I Component'!R131=0,"",'I Component'!R131)</f>
        <v/>
      </c>
      <c r="E130" s="83" t="str">
        <f>IF('I Component'!S131=0,"",'I Component'!S131)</f>
        <v/>
      </c>
      <c r="F130" s="83" t="str">
        <f>IF('I Component'!T131=0,"",'I Component'!T131)</f>
        <v/>
      </c>
      <c r="G130" s="83" t="str">
        <f>IF('I Component'!U131=0,"",'I Component'!U131)</f>
        <v/>
      </c>
      <c r="H130" s="83" t="str">
        <f>IF('I Component'!V131=0,"",'I Component'!V131)</f>
        <v/>
      </c>
      <c r="I130" s="83" t="str">
        <f>IF('I Component'!W131=0,"",'I Component'!W131)</f>
        <v/>
      </c>
      <c r="J130" s="83">
        <f t="shared" si="0"/>
        <v>0</v>
      </c>
      <c r="K130" s="1"/>
      <c r="L130" s="1"/>
      <c r="M130" s="1"/>
      <c r="N130" s="1"/>
      <c r="O130" s="1"/>
      <c r="P130" s="1"/>
      <c r="Q130" s="1"/>
      <c r="R130" s="1"/>
      <c r="S130" s="1"/>
      <c r="T130" s="1"/>
      <c r="U130" s="1"/>
      <c r="V130" s="1"/>
      <c r="W130" s="1"/>
      <c r="X130" s="1"/>
      <c r="Y130" s="1"/>
      <c r="Z130" s="1"/>
    </row>
    <row r="131" spans="1:26" ht="15.75" customHeight="1">
      <c r="A131" s="80">
        <f>'Students Details'!A131</f>
        <v>125</v>
      </c>
      <c r="B131" s="81" t="str">
        <f>IF('Students Details'!B131="","",'Students Details'!B131)</f>
        <v/>
      </c>
      <c r="C131" s="82" t="str">
        <f>IF('Students Details'!C131="","",'Students Details'!C131)</f>
        <v/>
      </c>
      <c r="D131" s="83" t="str">
        <f>IF('I Component'!R132=0,"",'I Component'!R132)</f>
        <v/>
      </c>
      <c r="E131" s="83" t="str">
        <f>IF('I Component'!S132=0,"",'I Component'!S132)</f>
        <v/>
      </c>
      <c r="F131" s="83" t="str">
        <f>IF('I Component'!T132=0,"",'I Component'!T132)</f>
        <v/>
      </c>
      <c r="G131" s="83" t="str">
        <f>IF('I Component'!U132=0,"",'I Component'!U132)</f>
        <v/>
      </c>
      <c r="H131" s="83" t="str">
        <f>IF('I Component'!V132=0,"",'I Component'!V132)</f>
        <v/>
      </c>
      <c r="I131" s="83" t="str">
        <f>IF('I Component'!W132=0,"",'I Component'!W132)</f>
        <v/>
      </c>
      <c r="J131" s="83">
        <f t="shared" si="0"/>
        <v>0</v>
      </c>
      <c r="K131" s="1"/>
      <c r="L131" s="1"/>
      <c r="M131" s="1"/>
      <c r="N131" s="1"/>
      <c r="O131" s="1"/>
      <c r="P131" s="1"/>
      <c r="Q131" s="1"/>
      <c r="R131" s="1"/>
      <c r="S131" s="1"/>
      <c r="T131" s="1"/>
      <c r="U131" s="1"/>
      <c r="V131" s="1"/>
      <c r="W131" s="1"/>
      <c r="X131" s="1"/>
      <c r="Y131" s="1"/>
      <c r="Z131" s="1"/>
    </row>
    <row r="132" spans="1:26" ht="15.75" customHeight="1">
      <c r="A132" s="80">
        <f>'Students Details'!A132</f>
        <v>126</v>
      </c>
      <c r="B132" s="81" t="str">
        <f>IF('Students Details'!B132="","",'Students Details'!B132)</f>
        <v/>
      </c>
      <c r="C132" s="82" t="str">
        <f>IF('Students Details'!C132="","",'Students Details'!C132)</f>
        <v/>
      </c>
      <c r="D132" s="83" t="str">
        <f>IF('I Component'!R133=0,"",'I Component'!R133)</f>
        <v/>
      </c>
      <c r="E132" s="83" t="str">
        <f>IF('I Component'!S133=0,"",'I Component'!S133)</f>
        <v/>
      </c>
      <c r="F132" s="83" t="str">
        <f>IF('I Component'!T133=0,"",'I Component'!T133)</f>
        <v/>
      </c>
      <c r="G132" s="83" t="str">
        <f>IF('I Component'!U133=0,"",'I Component'!U133)</f>
        <v/>
      </c>
      <c r="H132" s="83" t="str">
        <f>IF('I Component'!V133=0,"",'I Component'!V133)</f>
        <v/>
      </c>
      <c r="I132" s="83" t="str">
        <f>IF('I Component'!W133=0,"",'I Component'!W133)</f>
        <v/>
      </c>
      <c r="J132" s="83">
        <f t="shared" si="0"/>
        <v>0</v>
      </c>
      <c r="K132" s="1"/>
      <c r="L132" s="1"/>
      <c r="M132" s="1"/>
      <c r="N132" s="1"/>
      <c r="O132" s="1"/>
      <c r="P132" s="1"/>
      <c r="Q132" s="1"/>
      <c r="R132" s="1"/>
      <c r="S132" s="1"/>
      <c r="T132" s="1"/>
      <c r="U132" s="1"/>
      <c r="V132" s="1"/>
      <c r="W132" s="1"/>
      <c r="X132" s="1"/>
      <c r="Y132" s="1"/>
      <c r="Z132" s="1"/>
    </row>
    <row r="133" spans="1:26" ht="15.75" customHeight="1">
      <c r="A133" s="80">
        <f>'Students Details'!A133</f>
        <v>127</v>
      </c>
      <c r="B133" s="81" t="str">
        <f>IF('Students Details'!B133="","",'Students Details'!B133)</f>
        <v/>
      </c>
      <c r="C133" s="82" t="str">
        <f>IF('Students Details'!C133="","",'Students Details'!C133)</f>
        <v/>
      </c>
      <c r="D133" s="83" t="str">
        <f>IF('I Component'!R134=0,"",'I Component'!R134)</f>
        <v/>
      </c>
      <c r="E133" s="83" t="str">
        <f>IF('I Component'!S134=0,"",'I Component'!S134)</f>
        <v/>
      </c>
      <c r="F133" s="83" t="str">
        <f>IF('I Component'!T134=0,"",'I Component'!T134)</f>
        <v/>
      </c>
      <c r="G133" s="83" t="str">
        <f>IF('I Component'!U134=0,"",'I Component'!U134)</f>
        <v/>
      </c>
      <c r="H133" s="83" t="str">
        <f>IF('I Component'!V134=0,"",'I Component'!V134)</f>
        <v/>
      </c>
      <c r="I133" s="83" t="str">
        <f>IF('I Component'!W134=0,"",'I Component'!W134)</f>
        <v/>
      </c>
      <c r="J133" s="83">
        <f t="shared" si="0"/>
        <v>0</v>
      </c>
      <c r="K133" s="1"/>
      <c r="L133" s="1"/>
      <c r="M133" s="1"/>
      <c r="N133" s="1"/>
      <c r="O133" s="1"/>
      <c r="P133" s="1"/>
      <c r="Q133" s="1"/>
      <c r="R133" s="1"/>
      <c r="S133" s="1"/>
      <c r="T133" s="1"/>
      <c r="U133" s="1"/>
      <c r="V133" s="1"/>
      <c r="W133" s="1"/>
      <c r="X133" s="1"/>
      <c r="Y133" s="1"/>
      <c r="Z133" s="1"/>
    </row>
    <row r="134" spans="1:26" ht="15.75" customHeight="1">
      <c r="A134" s="80">
        <f>'Students Details'!A134</f>
        <v>128</v>
      </c>
      <c r="B134" s="81" t="str">
        <f>IF('Students Details'!B134="","",'Students Details'!B134)</f>
        <v/>
      </c>
      <c r="C134" s="82" t="str">
        <f>IF('Students Details'!C134="","",'Students Details'!C134)</f>
        <v/>
      </c>
      <c r="D134" s="83" t="str">
        <f>IF('I Component'!R135=0,"",'I Component'!R135)</f>
        <v/>
      </c>
      <c r="E134" s="83" t="str">
        <f>IF('I Component'!S135=0,"",'I Component'!S135)</f>
        <v/>
      </c>
      <c r="F134" s="83" t="str">
        <f>IF('I Component'!T135=0,"",'I Component'!T135)</f>
        <v/>
      </c>
      <c r="G134" s="83" t="str">
        <f>IF('I Component'!U135=0,"",'I Component'!U135)</f>
        <v/>
      </c>
      <c r="H134" s="83" t="str">
        <f>IF('I Component'!V135=0,"",'I Component'!V135)</f>
        <v/>
      </c>
      <c r="I134" s="83" t="str">
        <f>IF('I Component'!W135=0,"",'I Component'!W135)</f>
        <v/>
      </c>
      <c r="J134" s="83">
        <f t="shared" si="0"/>
        <v>0</v>
      </c>
      <c r="K134" s="1"/>
      <c r="L134" s="1"/>
      <c r="M134" s="1"/>
      <c r="N134" s="1"/>
      <c r="O134" s="1"/>
      <c r="P134" s="1"/>
      <c r="Q134" s="1"/>
      <c r="R134" s="1"/>
      <c r="S134" s="1"/>
      <c r="T134" s="1"/>
      <c r="U134" s="1"/>
      <c r="V134" s="1"/>
      <c r="W134" s="1"/>
      <c r="X134" s="1"/>
      <c r="Y134" s="1"/>
      <c r="Z134" s="1"/>
    </row>
    <row r="135" spans="1:26" ht="15.75" customHeight="1">
      <c r="A135" s="80">
        <f>'Students Details'!A135</f>
        <v>129</v>
      </c>
      <c r="B135" s="81" t="str">
        <f>IF('Students Details'!B135="","",'Students Details'!B135)</f>
        <v/>
      </c>
      <c r="C135" s="82" t="str">
        <f>IF('Students Details'!C135="","",'Students Details'!C135)</f>
        <v/>
      </c>
      <c r="D135" s="83" t="str">
        <f>IF('I Component'!R136=0,"",'I Component'!R136)</f>
        <v/>
      </c>
      <c r="E135" s="83" t="str">
        <f>IF('I Component'!S136=0,"",'I Component'!S136)</f>
        <v/>
      </c>
      <c r="F135" s="83" t="str">
        <f>IF('I Component'!T136=0,"",'I Component'!T136)</f>
        <v/>
      </c>
      <c r="G135" s="83" t="str">
        <f>IF('I Component'!U136=0,"",'I Component'!U136)</f>
        <v/>
      </c>
      <c r="H135" s="83" t="str">
        <f>IF('I Component'!V136=0,"",'I Component'!V136)</f>
        <v/>
      </c>
      <c r="I135" s="83" t="str">
        <f>IF('I Component'!W136=0,"",'I Component'!W136)</f>
        <v/>
      </c>
      <c r="J135" s="83">
        <f t="shared" si="0"/>
        <v>0</v>
      </c>
      <c r="K135" s="1"/>
      <c r="L135" s="1"/>
      <c r="M135" s="1"/>
      <c r="N135" s="1"/>
      <c r="O135" s="1"/>
      <c r="P135" s="1"/>
      <c r="Q135" s="1"/>
      <c r="R135" s="1"/>
      <c r="S135" s="1"/>
      <c r="T135" s="1"/>
      <c r="U135" s="1"/>
      <c r="V135" s="1"/>
      <c r="W135" s="1"/>
      <c r="X135" s="1"/>
      <c r="Y135" s="1"/>
      <c r="Z135" s="1"/>
    </row>
    <row r="136" spans="1:26" ht="15.75" customHeight="1">
      <c r="A136" s="80">
        <f>'Students Details'!A136</f>
        <v>130</v>
      </c>
      <c r="B136" s="81" t="str">
        <f>IF('Students Details'!B136="","",'Students Details'!B136)</f>
        <v/>
      </c>
      <c r="C136" s="82" t="str">
        <f>IF('Students Details'!C136="","",'Students Details'!C136)</f>
        <v/>
      </c>
      <c r="D136" s="83" t="str">
        <f>IF('I Component'!R137=0,"",'I Component'!R137)</f>
        <v/>
      </c>
      <c r="E136" s="83" t="str">
        <f>IF('I Component'!S137=0,"",'I Component'!S137)</f>
        <v/>
      </c>
      <c r="F136" s="83" t="str">
        <f>IF('I Component'!T137=0,"",'I Component'!T137)</f>
        <v/>
      </c>
      <c r="G136" s="83" t="str">
        <f>IF('I Component'!U137=0,"",'I Component'!U137)</f>
        <v/>
      </c>
      <c r="H136" s="83" t="str">
        <f>IF('I Component'!V137=0,"",'I Component'!V137)</f>
        <v/>
      </c>
      <c r="I136" s="83" t="str">
        <f>IF('I Component'!W137=0,"",'I Component'!W137)</f>
        <v/>
      </c>
      <c r="J136" s="83">
        <f t="shared" si="0"/>
        <v>0</v>
      </c>
      <c r="K136" s="1"/>
      <c r="L136" s="1"/>
      <c r="M136" s="1"/>
      <c r="N136" s="1"/>
      <c r="O136" s="1"/>
      <c r="P136" s="1"/>
      <c r="Q136" s="1"/>
      <c r="R136" s="1"/>
      <c r="S136" s="1"/>
      <c r="T136" s="1"/>
      <c r="U136" s="1"/>
      <c r="V136" s="1"/>
      <c r="W136" s="1"/>
      <c r="X136" s="1"/>
      <c r="Y136" s="1"/>
      <c r="Z136" s="1"/>
    </row>
    <row r="137" spans="1:26" ht="15.75" customHeight="1">
      <c r="A137" s="80">
        <f>'Students Details'!A137</f>
        <v>131</v>
      </c>
      <c r="B137" s="81" t="str">
        <f>IF('Students Details'!B137="","",'Students Details'!B137)</f>
        <v/>
      </c>
      <c r="C137" s="82" t="str">
        <f>IF('Students Details'!C137="","",'Students Details'!C137)</f>
        <v/>
      </c>
      <c r="D137" s="83" t="str">
        <f>IF('I Component'!R138=0,"",'I Component'!R138)</f>
        <v/>
      </c>
      <c r="E137" s="83" t="str">
        <f>IF('I Component'!S138=0,"",'I Component'!S138)</f>
        <v/>
      </c>
      <c r="F137" s="83" t="str">
        <f>IF('I Component'!T138=0,"",'I Component'!T138)</f>
        <v/>
      </c>
      <c r="G137" s="83" t="str">
        <f>IF('I Component'!U138=0,"",'I Component'!U138)</f>
        <v/>
      </c>
      <c r="H137" s="83" t="str">
        <f>IF('I Component'!V138=0,"",'I Component'!V138)</f>
        <v/>
      </c>
      <c r="I137" s="83" t="str">
        <f>IF('I Component'!W138=0,"",'I Component'!W138)</f>
        <v/>
      </c>
      <c r="J137" s="83">
        <f t="shared" si="0"/>
        <v>0</v>
      </c>
      <c r="K137" s="1"/>
      <c r="L137" s="1"/>
      <c r="M137" s="1"/>
      <c r="N137" s="1"/>
      <c r="O137" s="1"/>
      <c r="P137" s="1"/>
      <c r="Q137" s="1"/>
      <c r="R137" s="1"/>
      <c r="S137" s="1"/>
      <c r="T137" s="1"/>
      <c r="U137" s="1"/>
      <c r="V137" s="1"/>
      <c r="W137" s="1"/>
      <c r="X137" s="1"/>
      <c r="Y137" s="1"/>
      <c r="Z137" s="1"/>
    </row>
    <row r="138" spans="1:26" ht="15.75" customHeight="1">
      <c r="A138" s="80">
        <f>'Students Details'!A138</f>
        <v>132</v>
      </c>
      <c r="B138" s="81" t="str">
        <f>IF('Students Details'!B138="","",'Students Details'!B138)</f>
        <v/>
      </c>
      <c r="C138" s="82" t="str">
        <f>IF('Students Details'!C138="","",'Students Details'!C138)</f>
        <v/>
      </c>
      <c r="D138" s="83" t="str">
        <f>IF('I Component'!R139=0,"",'I Component'!R139)</f>
        <v/>
      </c>
      <c r="E138" s="83" t="str">
        <f>IF('I Component'!S139=0,"",'I Component'!S139)</f>
        <v/>
      </c>
      <c r="F138" s="83" t="str">
        <f>IF('I Component'!T139=0,"",'I Component'!T139)</f>
        <v/>
      </c>
      <c r="G138" s="83" t="str">
        <f>IF('I Component'!U139=0,"",'I Component'!U139)</f>
        <v/>
      </c>
      <c r="H138" s="83" t="str">
        <f>IF('I Component'!V139=0,"",'I Component'!V139)</f>
        <v/>
      </c>
      <c r="I138" s="83" t="str">
        <f>IF('I Component'!W139=0,"",'I Component'!W139)</f>
        <v/>
      </c>
      <c r="J138" s="83">
        <f t="shared" si="0"/>
        <v>0</v>
      </c>
      <c r="K138" s="1"/>
      <c r="L138" s="1"/>
      <c r="M138" s="1"/>
      <c r="N138" s="1"/>
      <c r="O138" s="1"/>
      <c r="P138" s="1"/>
      <c r="Q138" s="1"/>
      <c r="R138" s="1"/>
      <c r="S138" s="1"/>
      <c r="T138" s="1"/>
      <c r="U138" s="1"/>
      <c r="V138" s="1"/>
      <c r="W138" s="1"/>
      <c r="X138" s="1"/>
      <c r="Y138" s="1"/>
      <c r="Z138" s="1"/>
    </row>
    <row r="139" spans="1:26" ht="15.75" customHeight="1">
      <c r="A139" s="80">
        <f>'Students Details'!A139</f>
        <v>133</v>
      </c>
      <c r="B139" s="81" t="str">
        <f>IF('Students Details'!B139="","",'Students Details'!B139)</f>
        <v/>
      </c>
      <c r="C139" s="82" t="str">
        <f>IF('Students Details'!C139="","",'Students Details'!C139)</f>
        <v/>
      </c>
      <c r="D139" s="83" t="str">
        <f>IF('I Component'!R140=0,"",'I Component'!R140)</f>
        <v/>
      </c>
      <c r="E139" s="83" t="str">
        <f>IF('I Component'!S140=0,"",'I Component'!S140)</f>
        <v/>
      </c>
      <c r="F139" s="83" t="str">
        <f>IF('I Component'!T140=0,"",'I Component'!T140)</f>
        <v/>
      </c>
      <c r="G139" s="83" t="str">
        <f>IF('I Component'!U140=0,"",'I Component'!U140)</f>
        <v/>
      </c>
      <c r="H139" s="83" t="str">
        <f>IF('I Component'!V140=0,"",'I Component'!V140)</f>
        <v/>
      </c>
      <c r="I139" s="83" t="str">
        <f>IF('I Component'!W140=0,"",'I Component'!W140)</f>
        <v/>
      </c>
      <c r="J139" s="83">
        <f t="shared" si="0"/>
        <v>0</v>
      </c>
      <c r="K139" s="1"/>
      <c r="L139" s="1"/>
      <c r="M139" s="1"/>
      <c r="N139" s="1"/>
      <c r="O139" s="1"/>
      <c r="P139" s="1"/>
      <c r="Q139" s="1"/>
      <c r="R139" s="1"/>
      <c r="S139" s="1"/>
      <c r="T139" s="1"/>
      <c r="U139" s="1"/>
      <c r="V139" s="1"/>
      <c r="W139" s="1"/>
      <c r="X139" s="1"/>
      <c r="Y139" s="1"/>
      <c r="Z139" s="1"/>
    </row>
    <row r="140" spans="1:26" ht="15.75" customHeight="1">
      <c r="A140" s="80">
        <f>'Students Details'!A140</f>
        <v>134</v>
      </c>
      <c r="B140" s="81" t="str">
        <f>IF('Students Details'!B140="","",'Students Details'!B140)</f>
        <v/>
      </c>
      <c r="C140" s="82" t="str">
        <f>IF('Students Details'!C140="","",'Students Details'!C140)</f>
        <v/>
      </c>
      <c r="D140" s="83" t="str">
        <f>IF('I Component'!R141=0,"",'I Component'!R141)</f>
        <v/>
      </c>
      <c r="E140" s="83" t="str">
        <f>IF('I Component'!S141=0,"",'I Component'!S141)</f>
        <v/>
      </c>
      <c r="F140" s="83" t="str">
        <f>IF('I Component'!T141=0,"",'I Component'!T141)</f>
        <v/>
      </c>
      <c r="G140" s="83" t="str">
        <f>IF('I Component'!U141=0,"",'I Component'!U141)</f>
        <v/>
      </c>
      <c r="H140" s="83" t="str">
        <f>IF('I Component'!V141=0,"",'I Component'!V141)</f>
        <v/>
      </c>
      <c r="I140" s="83" t="str">
        <f>IF('I Component'!W141=0,"",'I Component'!W141)</f>
        <v/>
      </c>
      <c r="J140" s="83">
        <f t="shared" si="0"/>
        <v>0</v>
      </c>
      <c r="K140" s="1"/>
      <c r="L140" s="1"/>
      <c r="M140" s="1"/>
      <c r="N140" s="1"/>
      <c r="O140" s="1"/>
      <c r="P140" s="1"/>
      <c r="Q140" s="1"/>
      <c r="R140" s="1"/>
      <c r="S140" s="1"/>
      <c r="T140" s="1"/>
      <c r="U140" s="1"/>
      <c r="V140" s="1"/>
      <c r="W140" s="1"/>
      <c r="X140" s="1"/>
      <c r="Y140" s="1"/>
      <c r="Z140" s="1"/>
    </row>
    <row r="141" spans="1:26" ht="15.75" customHeight="1">
      <c r="A141" s="80">
        <f>'Students Details'!A141</f>
        <v>135</v>
      </c>
      <c r="B141" s="81" t="str">
        <f>IF('Students Details'!B141="","",'Students Details'!B141)</f>
        <v/>
      </c>
      <c r="C141" s="82" t="str">
        <f>IF('Students Details'!C141="","",'Students Details'!C141)</f>
        <v/>
      </c>
      <c r="D141" s="83" t="str">
        <f>IF('I Component'!R142=0,"",'I Component'!R142)</f>
        <v/>
      </c>
      <c r="E141" s="83" t="str">
        <f>IF('I Component'!S142=0,"",'I Component'!S142)</f>
        <v/>
      </c>
      <c r="F141" s="83" t="str">
        <f>IF('I Component'!T142=0,"",'I Component'!T142)</f>
        <v/>
      </c>
      <c r="G141" s="83" t="str">
        <f>IF('I Component'!U142=0,"",'I Component'!U142)</f>
        <v/>
      </c>
      <c r="H141" s="83" t="str">
        <f>IF('I Component'!V142=0,"",'I Component'!V142)</f>
        <v/>
      </c>
      <c r="I141" s="83" t="str">
        <f>IF('I Component'!W142=0,"",'I Component'!W142)</f>
        <v/>
      </c>
      <c r="J141" s="83">
        <f t="shared" si="0"/>
        <v>0</v>
      </c>
      <c r="K141" s="1"/>
      <c r="L141" s="1"/>
      <c r="M141" s="1"/>
      <c r="N141" s="1"/>
      <c r="O141" s="1"/>
      <c r="P141" s="1"/>
      <c r="Q141" s="1"/>
      <c r="R141" s="1"/>
      <c r="S141" s="1"/>
      <c r="T141" s="1"/>
      <c r="U141" s="1"/>
      <c r="V141" s="1"/>
      <c r="W141" s="1"/>
      <c r="X141" s="1"/>
      <c r="Y141" s="1"/>
      <c r="Z141" s="1"/>
    </row>
    <row r="142" spans="1:26" ht="15.75" customHeight="1">
      <c r="A142" s="80">
        <f>'Students Details'!A142</f>
        <v>136</v>
      </c>
      <c r="B142" s="81" t="str">
        <f>IF('Students Details'!B142="","",'Students Details'!B142)</f>
        <v/>
      </c>
      <c r="C142" s="82" t="str">
        <f>IF('Students Details'!C142="","",'Students Details'!C142)</f>
        <v/>
      </c>
      <c r="D142" s="83" t="str">
        <f>IF('I Component'!R143=0,"",'I Component'!R143)</f>
        <v/>
      </c>
      <c r="E142" s="83" t="str">
        <f>IF('I Component'!S143=0,"",'I Component'!S143)</f>
        <v/>
      </c>
      <c r="F142" s="83" t="str">
        <f>IF('I Component'!T143=0,"",'I Component'!T143)</f>
        <v/>
      </c>
      <c r="G142" s="83" t="str">
        <f>IF('I Component'!U143=0,"",'I Component'!U143)</f>
        <v/>
      </c>
      <c r="H142" s="83" t="str">
        <f>IF('I Component'!V143=0,"",'I Component'!V143)</f>
        <v/>
      </c>
      <c r="I142" s="83" t="str">
        <f>IF('I Component'!W143=0,"",'I Component'!W143)</f>
        <v/>
      </c>
      <c r="J142" s="83">
        <f t="shared" si="0"/>
        <v>0</v>
      </c>
      <c r="K142" s="1"/>
      <c r="L142" s="1"/>
      <c r="M142" s="1"/>
      <c r="N142" s="1"/>
      <c r="O142" s="1"/>
      <c r="P142" s="1"/>
      <c r="Q142" s="1"/>
      <c r="R142" s="1"/>
      <c r="S142" s="1"/>
      <c r="T142" s="1"/>
      <c r="U142" s="1"/>
      <c r="V142" s="1"/>
      <c r="W142" s="1"/>
      <c r="X142" s="1"/>
      <c r="Y142" s="1"/>
      <c r="Z142" s="1"/>
    </row>
    <row r="143" spans="1:26" ht="15.75" customHeight="1">
      <c r="A143" s="80">
        <f>'Students Details'!A143</f>
        <v>137</v>
      </c>
      <c r="B143" s="81" t="str">
        <f>IF('Students Details'!B143="","",'Students Details'!B143)</f>
        <v/>
      </c>
      <c r="C143" s="82" t="str">
        <f>IF('Students Details'!C143="","",'Students Details'!C143)</f>
        <v/>
      </c>
      <c r="D143" s="83" t="str">
        <f>IF('I Component'!R144=0,"",'I Component'!R144)</f>
        <v/>
      </c>
      <c r="E143" s="83" t="str">
        <f>IF('I Component'!S144=0,"",'I Component'!S144)</f>
        <v/>
      </c>
      <c r="F143" s="83" t="str">
        <f>IF('I Component'!T144=0,"",'I Component'!T144)</f>
        <v/>
      </c>
      <c r="G143" s="83" t="str">
        <f>IF('I Component'!U144=0,"",'I Component'!U144)</f>
        <v/>
      </c>
      <c r="H143" s="83" t="str">
        <f>IF('I Component'!V144=0,"",'I Component'!V144)</f>
        <v/>
      </c>
      <c r="I143" s="83" t="str">
        <f>IF('I Component'!W144=0,"",'I Component'!W144)</f>
        <v/>
      </c>
      <c r="J143" s="83">
        <f t="shared" si="0"/>
        <v>0</v>
      </c>
      <c r="K143" s="1"/>
      <c r="L143" s="1"/>
      <c r="M143" s="1"/>
      <c r="N143" s="1"/>
      <c r="O143" s="1"/>
      <c r="P143" s="1"/>
      <c r="Q143" s="1"/>
      <c r="R143" s="1"/>
      <c r="S143" s="1"/>
      <c r="T143" s="1"/>
      <c r="U143" s="1"/>
      <c r="V143" s="1"/>
      <c r="W143" s="1"/>
      <c r="X143" s="1"/>
      <c r="Y143" s="1"/>
      <c r="Z143" s="1"/>
    </row>
    <row r="144" spans="1:26" ht="15.75" customHeight="1">
      <c r="A144" s="80">
        <f>'Students Details'!A144</f>
        <v>138</v>
      </c>
      <c r="B144" s="81" t="str">
        <f>IF('Students Details'!B144="","",'Students Details'!B144)</f>
        <v/>
      </c>
      <c r="C144" s="82" t="str">
        <f>IF('Students Details'!C144="","",'Students Details'!C144)</f>
        <v/>
      </c>
      <c r="D144" s="83" t="str">
        <f>IF('I Component'!R145=0,"",'I Component'!R145)</f>
        <v/>
      </c>
      <c r="E144" s="83" t="str">
        <f>IF('I Component'!S145=0,"",'I Component'!S145)</f>
        <v/>
      </c>
      <c r="F144" s="83" t="str">
        <f>IF('I Component'!T145=0,"",'I Component'!T145)</f>
        <v/>
      </c>
      <c r="G144" s="83" t="str">
        <f>IF('I Component'!U145=0,"",'I Component'!U145)</f>
        <v/>
      </c>
      <c r="H144" s="83" t="str">
        <f>IF('I Component'!V145=0,"",'I Component'!V145)</f>
        <v/>
      </c>
      <c r="I144" s="83" t="str">
        <f>IF('I Component'!W145=0,"",'I Component'!W145)</f>
        <v/>
      </c>
      <c r="J144" s="83">
        <f t="shared" si="0"/>
        <v>0</v>
      </c>
      <c r="K144" s="1"/>
      <c r="L144" s="1"/>
      <c r="M144" s="1"/>
      <c r="N144" s="1"/>
      <c r="O144" s="1"/>
      <c r="P144" s="1"/>
      <c r="Q144" s="1"/>
      <c r="R144" s="1"/>
      <c r="S144" s="1"/>
      <c r="T144" s="1"/>
      <c r="U144" s="1"/>
      <c r="V144" s="1"/>
      <c r="W144" s="1"/>
      <c r="X144" s="1"/>
      <c r="Y144" s="1"/>
      <c r="Z144" s="1"/>
    </row>
    <row r="145" spans="1:26" ht="15.75" customHeight="1">
      <c r="A145" s="80">
        <f>'Students Details'!A145</f>
        <v>139</v>
      </c>
      <c r="B145" s="81" t="str">
        <f>IF('Students Details'!B145="","",'Students Details'!B145)</f>
        <v/>
      </c>
      <c r="C145" s="82" t="str">
        <f>IF('Students Details'!C145="","",'Students Details'!C145)</f>
        <v/>
      </c>
      <c r="D145" s="83" t="str">
        <f>IF('I Component'!R146=0,"",'I Component'!R146)</f>
        <v/>
      </c>
      <c r="E145" s="83" t="str">
        <f>IF('I Component'!S146=0,"",'I Component'!S146)</f>
        <v/>
      </c>
      <c r="F145" s="83" t="str">
        <f>IF('I Component'!T146=0,"",'I Component'!T146)</f>
        <v/>
      </c>
      <c r="G145" s="83" t="str">
        <f>IF('I Component'!U146=0,"",'I Component'!U146)</f>
        <v/>
      </c>
      <c r="H145" s="83" t="str">
        <f>IF('I Component'!V146=0,"",'I Component'!V146)</f>
        <v/>
      </c>
      <c r="I145" s="83" t="str">
        <f>IF('I Component'!W146=0,"",'I Component'!W146)</f>
        <v/>
      </c>
      <c r="J145" s="83">
        <f t="shared" si="0"/>
        <v>0</v>
      </c>
      <c r="K145" s="1"/>
      <c r="L145" s="1"/>
      <c r="M145" s="1"/>
      <c r="N145" s="1"/>
      <c r="O145" s="1"/>
      <c r="P145" s="1"/>
      <c r="Q145" s="1"/>
      <c r="R145" s="1"/>
      <c r="S145" s="1"/>
      <c r="T145" s="1"/>
      <c r="U145" s="1"/>
      <c r="V145" s="1"/>
      <c r="W145" s="1"/>
      <c r="X145" s="1"/>
      <c r="Y145" s="1"/>
      <c r="Z145" s="1"/>
    </row>
    <row r="146" spans="1:26" ht="15.75" customHeight="1">
      <c r="A146" s="80">
        <f>'Students Details'!A146</f>
        <v>140</v>
      </c>
      <c r="B146" s="81" t="str">
        <f>IF('Students Details'!B146="","",'Students Details'!B146)</f>
        <v/>
      </c>
      <c r="C146" s="82" t="str">
        <f>IF('Students Details'!C146="","",'Students Details'!C146)</f>
        <v/>
      </c>
      <c r="D146" s="83" t="str">
        <f>IF('I Component'!R147=0,"",'I Component'!R147)</f>
        <v/>
      </c>
      <c r="E146" s="83" t="str">
        <f>IF('I Component'!S147=0,"",'I Component'!S147)</f>
        <v/>
      </c>
      <c r="F146" s="83" t="str">
        <f>IF('I Component'!T147=0,"",'I Component'!T147)</f>
        <v/>
      </c>
      <c r="G146" s="83" t="str">
        <f>IF('I Component'!U147=0,"",'I Component'!U147)</f>
        <v/>
      </c>
      <c r="H146" s="83" t="str">
        <f>IF('I Component'!V147=0,"",'I Component'!V147)</f>
        <v/>
      </c>
      <c r="I146" s="83" t="str">
        <f>IF('I Component'!W147=0,"",'I Component'!W147)</f>
        <v/>
      </c>
      <c r="J146" s="83">
        <f t="shared" si="0"/>
        <v>0</v>
      </c>
      <c r="K146" s="1"/>
      <c r="L146" s="1"/>
      <c r="M146" s="1"/>
      <c r="N146" s="1"/>
      <c r="O146" s="1"/>
      <c r="P146" s="1"/>
      <c r="Q146" s="1"/>
      <c r="R146" s="1"/>
      <c r="S146" s="1"/>
      <c r="T146" s="1"/>
      <c r="U146" s="1"/>
      <c r="V146" s="1"/>
      <c r="W146" s="1"/>
      <c r="X146" s="1"/>
      <c r="Y146" s="1"/>
      <c r="Z146" s="1"/>
    </row>
    <row r="147" spans="1:26" ht="15.75" customHeight="1">
      <c r="A147" s="80">
        <f>'Students Details'!A147</f>
        <v>141</v>
      </c>
      <c r="B147" s="81" t="str">
        <f>IF('Students Details'!B147="","",'Students Details'!B147)</f>
        <v/>
      </c>
      <c r="C147" s="82" t="str">
        <f>IF('Students Details'!C147="","",'Students Details'!C147)</f>
        <v/>
      </c>
      <c r="D147" s="83" t="str">
        <f>IF('I Component'!R148=0,"",'I Component'!R148)</f>
        <v/>
      </c>
      <c r="E147" s="83" t="str">
        <f>IF('I Component'!S148=0,"",'I Component'!S148)</f>
        <v/>
      </c>
      <c r="F147" s="83" t="str">
        <f>IF('I Component'!T148=0,"",'I Component'!T148)</f>
        <v/>
      </c>
      <c r="G147" s="83" t="str">
        <f>IF('I Component'!U148=0,"",'I Component'!U148)</f>
        <v/>
      </c>
      <c r="H147" s="83" t="str">
        <f>IF('I Component'!V148=0,"",'I Component'!V148)</f>
        <v/>
      </c>
      <c r="I147" s="83" t="str">
        <f>IF('I Component'!W148=0,"",'I Component'!W148)</f>
        <v/>
      </c>
      <c r="J147" s="83">
        <f t="shared" si="0"/>
        <v>0</v>
      </c>
      <c r="K147" s="1"/>
      <c r="L147" s="1"/>
      <c r="M147" s="1"/>
      <c r="N147" s="1"/>
      <c r="O147" s="1"/>
      <c r="P147" s="1"/>
      <c r="Q147" s="1"/>
      <c r="R147" s="1"/>
      <c r="S147" s="1"/>
      <c r="T147" s="1"/>
      <c r="U147" s="1"/>
      <c r="V147" s="1"/>
      <c r="W147" s="1"/>
      <c r="X147" s="1"/>
      <c r="Y147" s="1"/>
      <c r="Z147" s="1"/>
    </row>
    <row r="148" spans="1:26" ht="15.75" customHeight="1">
      <c r="A148" s="80">
        <f>'Students Details'!A148</f>
        <v>142</v>
      </c>
      <c r="B148" s="81" t="str">
        <f>IF('Students Details'!B148="","",'Students Details'!B148)</f>
        <v/>
      </c>
      <c r="C148" s="82" t="str">
        <f>IF('Students Details'!C148="","",'Students Details'!C148)</f>
        <v/>
      </c>
      <c r="D148" s="83" t="str">
        <f>IF('I Component'!R149=0,"",'I Component'!R149)</f>
        <v/>
      </c>
      <c r="E148" s="83" t="str">
        <f>IF('I Component'!S149=0,"",'I Component'!S149)</f>
        <v/>
      </c>
      <c r="F148" s="83" t="str">
        <f>IF('I Component'!T149=0,"",'I Component'!T149)</f>
        <v/>
      </c>
      <c r="G148" s="83" t="str">
        <f>IF('I Component'!U149=0,"",'I Component'!U149)</f>
        <v/>
      </c>
      <c r="H148" s="83" t="str">
        <f>IF('I Component'!V149=0,"",'I Component'!V149)</f>
        <v/>
      </c>
      <c r="I148" s="83" t="str">
        <f>IF('I Component'!W149=0,"",'I Component'!W149)</f>
        <v/>
      </c>
      <c r="J148" s="83">
        <f t="shared" si="0"/>
        <v>0</v>
      </c>
      <c r="K148" s="1"/>
      <c r="L148" s="1"/>
      <c r="M148" s="1"/>
      <c r="N148" s="1"/>
      <c r="O148" s="1"/>
      <c r="P148" s="1"/>
      <c r="Q148" s="1"/>
      <c r="R148" s="1"/>
      <c r="S148" s="1"/>
      <c r="T148" s="1"/>
      <c r="U148" s="1"/>
      <c r="V148" s="1"/>
      <c r="W148" s="1"/>
      <c r="X148" s="1"/>
      <c r="Y148" s="1"/>
      <c r="Z148" s="1"/>
    </row>
    <row r="149" spans="1:26" ht="15.75" customHeight="1">
      <c r="A149" s="80">
        <f>'Students Details'!A149</f>
        <v>143</v>
      </c>
      <c r="B149" s="81" t="str">
        <f>IF('Students Details'!B149="","",'Students Details'!B149)</f>
        <v/>
      </c>
      <c r="C149" s="82" t="str">
        <f>IF('Students Details'!C149="","",'Students Details'!C149)</f>
        <v/>
      </c>
      <c r="D149" s="83" t="str">
        <f>IF('I Component'!R150=0,"",'I Component'!R150)</f>
        <v/>
      </c>
      <c r="E149" s="83" t="str">
        <f>IF('I Component'!S150=0,"",'I Component'!S150)</f>
        <v/>
      </c>
      <c r="F149" s="83" t="str">
        <f>IF('I Component'!T150=0,"",'I Component'!T150)</f>
        <v/>
      </c>
      <c r="G149" s="83" t="str">
        <f>IF('I Component'!U150=0,"",'I Component'!U150)</f>
        <v/>
      </c>
      <c r="H149" s="83" t="str">
        <f>IF('I Component'!V150=0,"",'I Component'!V150)</f>
        <v/>
      </c>
      <c r="I149" s="83" t="str">
        <f>IF('I Component'!W150=0,"",'I Component'!W150)</f>
        <v/>
      </c>
      <c r="J149" s="83">
        <f t="shared" si="0"/>
        <v>0</v>
      </c>
      <c r="K149" s="1"/>
      <c r="L149" s="1"/>
      <c r="M149" s="1"/>
      <c r="N149" s="1"/>
      <c r="O149" s="1"/>
      <c r="P149" s="1"/>
      <c r="Q149" s="1"/>
      <c r="R149" s="1"/>
      <c r="S149" s="1"/>
      <c r="T149" s="1"/>
      <c r="U149" s="1"/>
      <c r="V149" s="1"/>
      <c r="W149" s="1"/>
      <c r="X149" s="1"/>
      <c r="Y149" s="1"/>
      <c r="Z149" s="1"/>
    </row>
    <row r="150" spans="1:26" ht="15.75" customHeight="1">
      <c r="A150" s="80">
        <f>'Students Details'!A150</f>
        <v>144</v>
      </c>
      <c r="B150" s="81" t="str">
        <f>IF('Students Details'!B150="","",'Students Details'!B150)</f>
        <v/>
      </c>
      <c r="C150" s="82" t="str">
        <f>IF('Students Details'!C150="","",'Students Details'!C150)</f>
        <v/>
      </c>
      <c r="D150" s="83" t="str">
        <f>IF('I Component'!R151=0,"",'I Component'!R151)</f>
        <v/>
      </c>
      <c r="E150" s="83" t="str">
        <f>IF('I Component'!S151=0,"",'I Component'!S151)</f>
        <v/>
      </c>
      <c r="F150" s="83" t="str">
        <f>IF('I Component'!T151=0,"",'I Component'!T151)</f>
        <v/>
      </c>
      <c r="G150" s="83" t="str">
        <f>IF('I Component'!U151=0,"",'I Component'!U151)</f>
        <v/>
      </c>
      <c r="H150" s="83" t="str">
        <f>IF('I Component'!V151=0,"",'I Component'!V151)</f>
        <v/>
      </c>
      <c r="I150" s="83" t="str">
        <f>IF('I Component'!W151=0,"",'I Component'!W151)</f>
        <v/>
      </c>
      <c r="J150" s="83">
        <f t="shared" si="0"/>
        <v>0</v>
      </c>
      <c r="K150" s="1"/>
      <c r="L150" s="1"/>
      <c r="M150" s="1"/>
      <c r="N150" s="1"/>
      <c r="O150" s="1"/>
      <c r="P150" s="1"/>
      <c r="Q150" s="1"/>
      <c r="R150" s="1"/>
      <c r="S150" s="1"/>
      <c r="T150" s="1"/>
      <c r="U150" s="1"/>
      <c r="V150" s="1"/>
      <c r="W150" s="1"/>
      <c r="X150" s="1"/>
      <c r="Y150" s="1"/>
      <c r="Z150" s="1"/>
    </row>
    <row r="151" spans="1:26" ht="15.75" customHeight="1">
      <c r="A151" s="80">
        <f>'Students Details'!A151</f>
        <v>145</v>
      </c>
      <c r="B151" s="81" t="str">
        <f>IF('Students Details'!B151="","",'Students Details'!B151)</f>
        <v/>
      </c>
      <c r="C151" s="82" t="str">
        <f>IF('Students Details'!C151="","",'Students Details'!C151)</f>
        <v/>
      </c>
      <c r="D151" s="83" t="str">
        <f>IF('I Component'!R152=0,"",'I Component'!R152)</f>
        <v/>
      </c>
      <c r="E151" s="83" t="str">
        <f>IF('I Component'!S152=0,"",'I Component'!S152)</f>
        <v/>
      </c>
      <c r="F151" s="83" t="str">
        <f>IF('I Component'!T152=0,"",'I Component'!T152)</f>
        <v/>
      </c>
      <c r="G151" s="83" t="str">
        <f>IF('I Component'!U152=0,"",'I Component'!U152)</f>
        <v/>
      </c>
      <c r="H151" s="83" t="str">
        <f>IF('I Component'!V152=0,"",'I Component'!V152)</f>
        <v/>
      </c>
      <c r="I151" s="83" t="str">
        <f>IF('I Component'!W152=0,"",'I Component'!W152)</f>
        <v/>
      </c>
      <c r="J151" s="83">
        <f t="shared" si="0"/>
        <v>0</v>
      </c>
      <c r="K151" s="1"/>
      <c r="L151" s="1"/>
      <c r="M151" s="1"/>
      <c r="N151" s="1"/>
      <c r="O151" s="1"/>
      <c r="P151" s="1"/>
      <c r="Q151" s="1"/>
      <c r="R151" s="1"/>
      <c r="S151" s="1"/>
      <c r="T151" s="1"/>
      <c r="U151" s="1"/>
      <c r="V151" s="1"/>
      <c r="W151" s="1"/>
      <c r="X151" s="1"/>
      <c r="Y151" s="1"/>
      <c r="Z151" s="1"/>
    </row>
    <row r="152" spans="1:26" ht="15.75" customHeight="1">
      <c r="A152" s="80">
        <f>'Students Details'!A152</f>
        <v>146</v>
      </c>
      <c r="B152" s="81" t="str">
        <f>IF('Students Details'!B152="","",'Students Details'!B152)</f>
        <v/>
      </c>
      <c r="C152" s="82" t="str">
        <f>IF('Students Details'!C152="","",'Students Details'!C152)</f>
        <v/>
      </c>
      <c r="D152" s="83" t="str">
        <f>IF('I Component'!R153=0,"",'I Component'!R153)</f>
        <v/>
      </c>
      <c r="E152" s="83" t="str">
        <f>IF('I Component'!S153=0,"",'I Component'!S153)</f>
        <v/>
      </c>
      <c r="F152" s="83" t="str">
        <f>IF('I Component'!T153=0,"",'I Component'!T153)</f>
        <v/>
      </c>
      <c r="G152" s="83" t="str">
        <f>IF('I Component'!U153=0,"",'I Component'!U153)</f>
        <v/>
      </c>
      <c r="H152" s="83" t="str">
        <f>IF('I Component'!V153=0,"",'I Component'!V153)</f>
        <v/>
      </c>
      <c r="I152" s="83" t="str">
        <f>IF('I Component'!W153=0,"",'I Component'!W153)</f>
        <v/>
      </c>
      <c r="J152" s="83">
        <f t="shared" si="0"/>
        <v>0</v>
      </c>
      <c r="K152" s="1"/>
      <c r="L152" s="1"/>
      <c r="M152" s="1"/>
      <c r="N152" s="1"/>
      <c r="O152" s="1"/>
      <c r="P152" s="1"/>
      <c r="Q152" s="1"/>
      <c r="R152" s="1"/>
      <c r="S152" s="1"/>
      <c r="T152" s="1"/>
      <c r="U152" s="1"/>
      <c r="V152" s="1"/>
      <c r="W152" s="1"/>
      <c r="X152" s="1"/>
      <c r="Y152" s="1"/>
      <c r="Z152" s="1"/>
    </row>
    <row r="153" spans="1:26" ht="15.75" customHeight="1">
      <c r="A153" s="80">
        <f>'Students Details'!A153</f>
        <v>147</v>
      </c>
      <c r="B153" s="81" t="str">
        <f>IF('Students Details'!B153="","",'Students Details'!B153)</f>
        <v/>
      </c>
      <c r="C153" s="82" t="str">
        <f>IF('Students Details'!C153="","",'Students Details'!C153)</f>
        <v/>
      </c>
      <c r="D153" s="83" t="str">
        <f>IF('I Component'!R154=0,"",'I Component'!R154)</f>
        <v/>
      </c>
      <c r="E153" s="83" t="str">
        <f>IF('I Component'!S154=0,"",'I Component'!S154)</f>
        <v/>
      </c>
      <c r="F153" s="83" t="str">
        <f>IF('I Component'!T154=0,"",'I Component'!T154)</f>
        <v/>
      </c>
      <c r="G153" s="83" t="str">
        <f>IF('I Component'!U154=0,"",'I Component'!U154)</f>
        <v/>
      </c>
      <c r="H153" s="83" t="str">
        <f>IF('I Component'!V154=0,"",'I Component'!V154)</f>
        <v/>
      </c>
      <c r="I153" s="83" t="str">
        <f>IF('I Component'!W154=0,"",'I Component'!W154)</f>
        <v/>
      </c>
      <c r="J153" s="83">
        <f t="shared" si="0"/>
        <v>0</v>
      </c>
      <c r="K153" s="1"/>
      <c r="L153" s="1"/>
      <c r="M153" s="1"/>
      <c r="N153" s="1"/>
      <c r="O153" s="1"/>
      <c r="P153" s="1"/>
      <c r="Q153" s="1"/>
      <c r="R153" s="1"/>
      <c r="S153" s="1"/>
      <c r="T153" s="1"/>
      <c r="U153" s="1"/>
      <c r="V153" s="1"/>
      <c r="W153" s="1"/>
      <c r="X153" s="1"/>
      <c r="Y153" s="1"/>
      <c r="Z153" s="1"/>
    </row>
    <row r="154" spans="1:26" ht="15.75" customHeight="1">
      <c r="A154" s="80">
        <f>'Students Details'!A154</f>
        <v>148</v>
      </c>
      <c r="B154" s="81" t="str">
        <f>IF('Students Details'!B154="","",'Students Details'!B154)</f>
        <v/>
      </c>
      <c r="C154" s="82" t="str">
        <f>IF('Students Details'!C154="","",'Students Details'!C154)</f>
        <v/>
      </c>
      <c r="D154" s="83" t="str">
        <f>IF('I Component'!R155=0,"",'I Component'!R155)</f>
        <v/>
      </c>
      <c r="E154" s="83" t="str">
        <f>IF('I Component'!S155=0,"",'I Component'!S155)</f>
        <v/>
      </c>
      <c r="F154" s="83" t="str">
        <f>IF('I Component'!T155=0,"",'I Component'!T155)</f>
        <v/>
      </c>
      <c r="G154" s="83" t="str">
        <f>IF('I Component'!U155=0,"",'I Component'!U155)</f>
        <v/>
      </c>
      <c r="H154" s="83" t="str">
        <f>IF('I Component'!V155=0,"",'I Component'!V155)</f>
        <v/>
      </c>
      <c r="I154" s="83" t="str">
        <f>IF('I Component'!W155=0,"",'I Component'!W155)</f>
        <v/>
      </c>
      <c r="J154" s="83">
        <f t="shared" si="0"/>
        <v>0</v>
      </c>
      <c r="K154" s="1"/>
      <c r="L154" s="1"/>
      <c r="M154" s="1"/>
      <c r="N154" s="1"/>
      <c r="O154" s="1"/>
      <c r="P154" s="1"/>
      <c r="Q154" s="1"/>
      <c r="R154" s="1"/>
      <c r="S154" s="1"/>
      <c r="T154" s="1"/>
      <c r="U154" s="1"/>
      <c r="V154" s="1"/>
      <c r="W154" s="1"/>
      <c r="X154" s="1"/>
      <c r="Y154" s="1"/>
      <c r="Z154" s="1"/>
    </row>
    <row r="155" spans="1:26" ht="15.75" customHeight="1">
      <c r="A155" s="80">
        <f>'Students Details'!A155</f>
        <v>149</v>
      </c>
      <c r="B155" s="81" t="str">
        <f>IF('Students Details'!B155="","",'Students Details'!B155)</f>
        <v/>
      </c>
      <c r="C155" s="82" t="str">
        <f>IF('Students Details'!C155="","",'Students Details'!C155)</f>
        <v/>
      </c>
      <c r="D155" s="83" t="str">
        <f>IF('I Component'!R156=0,"",'I Component'!R156)</f>
        <v/>
      </c>
      <c r="E155" s="83" t="str">
        <f>IF('I Component'!S156=0,"",'I Component'!S156)</f>
        <v/>
      </c>
      <c r="F155" s="83" t="str">
        <f>IF('I Component'!T156=0,"",'I Component'!T156)</f>
        <v/>
      </c>
      <c r="G155" s="83" t="str">
        <f>IF('I Component'!U156=0,"",'I Component'!U156)</f>
        <v/>
      </c>
      <c r="H155" s="83" t="str">
        <f>IF('I Component'!V156=0,"",'I Component'!V156)</f>
        <v/>
      </c>
      <c r="I155" s="83" t="str">
        <f>IF('I Component'!W156=0,"",'I Component'!W156)</f>
        <v/>
      </c>
      <c r="J155" s="83">
        <f t="shared" si="0"/>
        <v>0</v>
      </c>
      <c r="K155" s="1"/>
      <c r="L155" s="1"/>
      <c r="M155" s="1"/>
      <c r="N155" s="1"/>
      <c r="O155" s="1"/>
      <c r="P155" s="1"/>
      <c r="Q155" s="1"/>
      <c r="R155" s="1"/>
      <c r="S155" s="1"/>
      <c r="T155" s="1"/>
      <c r="U155" s="1"/>
      <c r="V155" s="1"/>
      <c r="W155" s="1"/>
      <c r="X155" s="1"/>
      <c r="Y155" s="1"/>
      <c r="Z155" s="1"/>
    </row>
    <row r="156" spans="1:26" ht="15.75" customHeight="1">
      <c r="A156" s="80">
        <f>'Students Details'!A156</f>
        <v>150</v>
      </c>
      <c r="B156" s="81" t="str">
        <f>IF('Students Details'!B156="","",'Students Details'!B156)</f>
        <v/>
      </c>
      <c r="C156" s="82" t="str">
        <f>IF('Students Details'!C156="","",'Students Details'!C156)</f>
        <v/>
      </c>
      <c r="D156" s="83" t="str">
        <f>IF('I Component'!R157=0,"",'I Component'!R157)</f>
        <v/>
      </c>
      <c r="E156" s="83" t="str">
        <f>IF('I Component'!S157=0,"",'I Component'!S157)</f>
        <v/>
      </c>
      <c r="F156" s="83" t="str">
        <f>IF('I Component'!T157=0,"",'I Component'!T157)</f>
        <v/>
      </c>
      <c r="G156" s="83" t="str">
        <f>IF('I Component'!U157=0,"",'I Component'!U157)</f>
        <v/>
      </c>
      <c r="H156" s="83" t="str">
        <f>IF('I Component'!V157=0,"",'I Component'!V157)</f>
        <v/>
      </c>
      <c r="I156" s="83" t="str">
        <f>IF('I Component'!W157=0,"",'I Component'!W157)</f>
        <v/>
      </c>
      <c r="J156" s="83">
        <f t="shared" si="0"/>
        <v>0</v>
      </c>
      <c r="K156" s="1"/>
      <c r="L156" s="1"/>
      <c r="M156" s="1"/>
      <c r="N156" s="1"/>
      <c r="O156" s="1"/>
      <c r="P156" s="1"/>
      <c r="Q156" s="1"/>
      <c r="R156" s="1"/>
      <c r="S156" s="1"/>
      <c r="T156" s="1"/>
      <c r="U156" s="1"/>
      <c r="V156" s="1"/>
      <c r="W156" s="1"/>
      <c r="X156" s="1"/>
      <c r="Y156" s="1"/>
      <c r="Z156" s="1"/>
    </row>
    <row r="157" spans="1:26" ht="15.75" customHeight="1">
      <c r="A157" s="80">
        <f>'Students Details'!A157</f>
        <v>151</v>
      </c>
      <c r="B157" s="81" t="str">
        <f>IF('Students Details'!B157="","",'Students Details'!B157)</f>
        <v/>
      </c>
      <c r="C157" s="82" t="str">
        <f>IF('Students Details'!C157="","",'Students Details'!C157)</f>
        <v/>
      </c>
      <c r="D157" s="83" t="str">
        <f>IF('I Component'!R158=0,"",'I Component'!R158)</f>
        <v/>
      </c>
      <c r="E157" s="83" t="str">
        <f>IF('I Component'!S158=0,"",'I Component'!S158)</f>
        <v/>
      </c>
      <c r="F157" s="83" t="str">
        <f>IF('I Component'!T158=0,"",'I Component'!T158)</f>
        <v/>
      </c>
      <c r="G157" s="83" t="str">
        <f>IF('I Component'!U158=0,"",'I Component'!U158)</f>
        <v/>
      </c>
      <c r="H157" s="83" t="str">
        <f>IF('I Component'!V158=0,"",'I Component'!V158)</f>
        <v/>
      </c>
      <c r="I157" s="83" t="str">
        <f>IF('I Component'!W158=0,"",'I Component'!W158)</f>
        <v/>
      </c>
      <c r="J157" s="83">
        <f t="shared" si="0"/>
        <v>0</v>
      </c>
      <c r="K157" s="1"/>
      <c r="L157" s="1"/>
      <c r="M157" s="1"/>
      <c r="N157" s="1"/>
      <c r="O157" s="1"/>
      <c r="P157" s="1"/>
      <c r="Q157" s="1"/>
      <c r="R157" s="1"/>
      <c r="S157" s="1"/>
      <c r="T157" s="1"/>
      <c r="U157" s="1"/>
      <c r="V157" s="1"/>
      <c r="W157" s="1"/>
      <c r="X157" s="1"/>
      <c r="Y157" s="1"/>
      <c r="Z157" s="1"/>
    </row>
    <row r="158" spans="1:26" ht="15.75" customHeight="1">
      <c r="A158" s="80">
        <f>'Students Details'!A158</f>
        <v>152</v>
      </c>
      <c r="B158" s="81" t="str">
        <f>IF('Students Details'!B158="","",'Students Details'!B158)</f>
        <v/>
      </c>
      <c r="C158" s="82" t="str">
        <f>IF('Students Details'!C158="","",'Students Details'!C158)</f>
        <v/>
      </c>
      <c r="D158" s="83" t="str">
        <f>IF('I Component'!R159=0,"",'I Component'!R159)</f>
        <v/>
      </c>
      <c r="E158" s="83" t="str">
        <f>IF('I Component'!S159=0,"",'I Component'!S159)</f>
        <v/>
      </c>
      <c r="F158" s="83" t="str">
        <f>IF('I Component'!T159=0,"",'I Component'!T159)</f>
        <v/>
      </c>
      <c r="G158" s="83" t="str">
        <f>IF('I Component'!U159=0,"",'I Component'!U159)</f>
        <v/>
      </c>
      <c r="H158" s="83" t="str">
        <f>IF('I Component'!V159=0,"",'I Component'!V159)</f>
        <v/>
      </c>
      <c r="I158" s="83" t="str">
        <f>IF('I Component'!W159=0,"",'I Component'!W159)</f>
        <v/>
      </c>
      <c r="J158" s="83">
        <f t="shared" si="0"/>
        <v>0</v>
      </c>
      <c r="K158" s="1"/>
      <c r="L158" s="1"/>
      <c r="M158" s="1"/>
      <c r="N158" s="1"/>
      <c r="O158" s="1"/>
      <c r="P158" s="1"/>
      <c r="Q158" s="1"/>
      <c r="R158" s="1"/>
      <c r="S158" s="1"/>
      <c r="T158" s="1"/>
      <c r="U158" s="1"/>
      <c r="V158" s="1"/>
      <c r="W158" s="1"/>
      <c r="X158" s="1"/>
      <c r="Y158" s="1"/>
      <c r="Z158" s="1"/>
    </row>
    <row r="159" spans="1:26" ht="15.75" customHeight="1">
      <c r="A159" s="80">
        <f>'Students Details'!A159</f>
        <v>153</v>
      </c>
      <c r="B159" s="81" t="str">
        <f>IF('Students Details'!B159="","",'Students Details'!B159)</f>
        <v/>
      </c>
      <c r="C159" s="82" t="str">
        <f>IF('Students Details'!C159="","",'Students Details'!C159)</f>
        <v/>
      </c>
      <c r="D159" s="83" t="str">
        <f>IF('I Component'!R160=0,"",'I Component'!R160)</f>
        <v/>
      </c>
      <c r="E159" s="83" t="str">
        <f>IF('I Component'!S160=0,"",'I Component'!S160)</f>
        <v/>
      </c>
      <c r="F159" s="83" t="str">
        <f>IF('I Component'!T160=0,"",'I Component'!T160)</f>
        <v/>
      </c>
      <c r="G159" s="83" t="str">
        <f>IF('I Component'!U160=0,"",'I Component'!U160)</f>
        <v/>
      </c>
      <c r="H159" s="83" t="str">
        <f>IF('I Component'!V160=0,"",'I Component'!V160)</f>
        <v/>
      </c>
      <c r="I159" s="83" t="str">
        <f>IF('I Component'!W160=0,"",'I Component'!W160)</f>
        <v/>
      </c>
      <c r="J159" s="83">
        <f t="shared" si="0"/>
        <v>0</v>
      </c>
      <c r="K159" s="1"/>
      <c r="L159" s="1"/>
      <c r="M159" s="1"/>
      <c r="N159" s="1"/>
      <c r="O159" s="1"/>
      <c r="P159" s="1"/>
      <c r="Q159" s="1"/>
      <c r="R159" s="1"/>
      <c r="S159" s="1"/>
      <c r="T159" s="1"/>
      <c r="U159" s="1"/>
      <c r="V159" s="1"/>
      <c r="W159" s="1"/>
      <c r="X159" s="1"/>
      <c r="Y159" s="1"/>
      <c r="Z159" s="1"/>
    </row>
    <row r="160" spans="1:26" ht="15.75" customHeight="1">
      <c r="A160" s="80">
        <f>'Students Details'!A160</f>
        <v>154</v>
      </c>
      <c r="B160" s="81" t="str">
        <f>IF('Students Details'!B160="","",'Students Details'!B160)</f>
        <v/>
      </c>
      <c r="C160" s="82" t="str">
        <f>IF('Students Details'!C160="","",'Students Details'!C160)</f>
        <v/>
      </c>
      <c r="D160" s="83" t="str">
        <f>IF('I Component'!R161=0,"",'I Component'!R161)</f>
        <v/>
      </c>
      <c r="E160" s="83" t="str">
        <f>IF('I Component'!S161=0,"",'I Component'!S161)</f>
        <v/>
      </c>
      <c r="F160" s="83" t="str">
        <f>IF('I Component'!T161=0,"",'I Component'!T161)</f>
        <v/>
      </c>
      <c r="G160" s="83" t="str">
        <f>IF('I Component'!U161=0,"",'I Component'!U161)</f>
        <v/>
      </c>
      <c r="H160" s="83" t="str">
        <f>IF('I Component'!V161=0,"",'I Component'!V161)</f>
        <v/>
      </c>
      <c r="I160" s="83" t="str">
        <f>IF('I Component'!W161=0,"",'I Component'!W161)</f>
        <v/>
      </c>
      <c r="J160" s="83">
        <f t="shared" si="0"/>
        <v>0</v>
      </c>
      <c r="K160" s="1"/>
      <c r="L160" s="1"/>
      <c r="M160" s="1"/>
      <c r="N160" s="1"/>
      <c r="O160" s="1"/>
      <c r="P160" s="1"/>
      <c r="Q160" s="1"/>
      <c r="R160" s="1"/>
      <c r="S160" s="1"/>
      <c r="T160" s="1"/>
      <c r="U160" s="1"/>
      <c r="V160" s="1"/>
      <c r="W160" s="1"/>
      <c r="X160" s="1"/>
      <c r="Y160" s="1"/>
      <c r="Z160" s="1"/>
    </row>
    <row r="161" spans="1:26" ht="15.75" customHeight="1">
      <c r="A161" s="80">
        <f>'Students Details'!A161</f>
        <v>155</v>
      </c>
      <c r="B161" s="81" t="str">
        <f>IF('Students Details'!B161="","",'Students Details'!B161)</f>
        <v/>
      </c>
      <c r="C161" s="82" t="str">
        <f>IF('Students Details'!C161="","",'Students Details'!C161)</f>
        <v/>
      </c>
      <c r="D161" s="83" t="str">
        <f>IF('I Component'!R162=0,"",'I Component'!R162)</f>
        <v/>
      </c>
      <c r="E161" s="83" t="str">
        <f>IF('I Component'!S162=0,"",'I Component'!S162)</f>
        <v/>
      </c>
      <c r="F161" s="83" t="str">
        <f>IF('I Component'!T162=0,"",'I Component'!T162)</f>
        <v/>
      </c>
      <c r="G161" s="83" t="str">
        <f>IF('I Component'!U162=0,"",'I Component'!U162)</f>
        <v/>
      </c>
      <c r="H161" s="83" t="str">
        <f>IF('I Component'!V162=0,"",'I Component'!V162)</f>
        <v/>
      </c>
      <c r="I161" s="83" t="str">
        <f>IF('I Component'!W162=0,"",'I Component'!W162)</f>
        <v/>
      </c>
      <c r="J161" s="83">
        <f t="shared" si="0"/>
        <v>0</v>
      </c>
      <c r="K161" s="1"/>
      <c r="L161" s="1"/>
      <c r="M161" s="1"/>
      <c r="N161" s="1"/>
      <c r="O161" s="1"/>
      <c r="P161" s="1"/>
      <c r="Q161" s="1"/>
      <c r="R161" s="1"/>
      <c r="S161" s="1"/>
      <c r="T161" s="1"/>
      <c r="U161" s="1"/>
      <c r="V161" s="1"/>
      <c r="W161" s="1"/>
      <c r="X161" s="1"/>
      <c r="Y161" s="1"/>
      <c r="Z161" s="1"/>
    </row>
    <row r="162" spans="1:26" ht="15.75" customHeight="1">
      <c r="A162" s="80">
        <f>'Students Details'!A162</f>
        <v>156</v>
      </c>
      <c r="B162" s="81" t="str">
        <f>IF('Students Details'!B162="","",'Students Details'!B162)</f>
        <v/>
      </c>
      <c r="C162" s="82" t="str">
        <f>IF('Students Details'!C162="","",'Students Details'!C162)</f>
        <v/>
      </c>
      <c r="D162" s="83" t="str">
        <f>IF('I Component'!R163=0,"",'I Component'!R163)</f>
        <v/>
      </c>
      <c r="E162" s="83" t="str">
        <f>IF('I Component'!S163=0,"",'I Component'!S163)</f>
        <v/>
      </c>
      <c r="F162" s="83" t="str">
        <f>IF('I Component'!T163=0,"",'I Component'!T163)</f>
        <v/>
      </c>
      <c r="G162" s="83" t="str">
        <f>IF('I Component'!U163=0,"",'I Component'!U163)</f>
        <v/>
      </c>
      <c r="H162" s="83" t="str">
        <f>IF('I Component'!V163=0,"",'I Component'!V163)</f>
        <v/>
      </c>
      <c r="I162" s="83" t="str">
        <f>IF('I Component'!W163=0,"",'I Component'!W163)</f>
        <v/>
      </c>
      <c r="J162" s="83">
        <f t="shared" si="0"/>
        <v>0</v>
      </c>
      <c r="K162" s="1"/>
      <c r="L162" s="1"/>
      <c r="M162" s="1"/>
      <c r="N162" s="1"/>
      <c r="O162" s="1"/>
      <c r="P162" s="1"/>
      <c r="Q162" s="1"/>
      <c r="R162" s="1"/>
      <c r="S162" s="1"/>
      <c r="T162" s="1"/>
      <c r="U162" s="1"/>
      <c r="V162" s="1"/>
      <c r="W162" s="1"/>
      <c r="X162" s="1"/>
      <c r="Y162" s="1"/>
      <c r="Z162" s="1"/>
    </row>
    <row r="163" spans="1:26" ht="15.75" customHeight="1">
      <c r="A163" s="80">
        <f>'Students Details'!A163</f>
        <v>157</v>
      </c>
      <c r="B163" s="81" t="str">
        <f>IF('Students Details'!B163="","",'Students Details'!B163)</f>
        <v/>
      </c>
      <c r="C163" s="82" t="str">
        <f>IF('Students Details'!C163="","",'Students Details'!C163)</f>
        <v/>
      </c>
      <c r="D163" s="83" t="str">
        <f>IF('I Component'!R164=0,"",'I Component'!R164)</f>
        <v/>
      </c>
      <c r="E163" s="83" t="str">
        <f>IF('I Component'!S164=0,"",'I Component'!S164)</f>
        <v/>
      </c>
      <c r="F163" s="83" t="str">
        <f>IF('I Component'!T164=0,"",'I Component'!T164)</f>
        <v/>
      </c>
      <c r="G163" s="83" t="str">
        <f>IF('I Component'!U164=0,"",'I Component'!U164)</f>
        <v/>
      </c>
      <c r="H163" s="83" t="str">
        <f>IF('I Component'!V164=0,"",'I Component'!V164)</f>
        <v/>
      </c>
      <c r="I163" s="83" t="str">
        <f>IF('I Component'!W164=0,"",'I Component'!W164)</f>
        <v/>
      </c>
      <c r="J163" s="83">
        <f t="shared" si="0"/>
        <v>0</v>
      </c>
      <c r="K163" s="1"/>
      <c r="L163" s="1"/>
      <c r="M163" s="1"/>
      <c r="N163" s="1"/>
      <c r="O163" s="1"/>
      <c r="P163" s="1"/>
      <c r="Q163" s="1"/>
      <c r="R163" s="1"/>
      <c r="S163" s="1"/>
      <c r="T163" s="1"/>
      <c r="U163" s="1"/>
      <c r="V163" s="1"/>
      <c r="W163" s="1"/>
      <c r="X163" s="1"/>
      <c r="Y163" s="1"/>
      <c r="Z163" s="1"/>
    </row>
    <row r="164" spans="1:26" ht="15.75" customHeight="1">
      <c r="A164" s="80">
        <f>'Students Details'!A164</f>
        <v>158</v>
      </c>
      <c r="B164" s="81" t="str">
        <f>IF('Students Details'!B164="","",'Students Details'!B164)</f>
        <v/>
      </c>
      <c r="C164" s="82" t="str">
        <f>IF('Students Details'!C164="","",'Students Details'!C164)</f>
        <v/>
      </c>
      <c r="D164" s="83" t="str">
        <f>IF('I Component'!R165=0,"",'I Component'!R165)</f>
        <v/>
      </c>
      <c r="E164" s="83" t="str">
        <f>IF('I Component'!S165=0,"",'I Component'!S165)</f>
        <v/>
      </c>
      <c r="F164" s="83" t="str">
        <f>IF('I Component'!T165=0,"",'I Component'!T165)</f>
        <v/>
      </c>
      <c r="G164" s="83" t="str">
        <f>IF('I Component'!U165=0,"",'I Component'!U165)</f>
        <v/>
      </c>
      <c r="H164" s="83" t="str">
        <f>IF('I Component'!V165=0,"",'I Component'!V165)</f>
        <v/>
      </c>
      <c r="I164" s="83" t="str">
        <f>IF('I Component'!W165=0,"",'I Component'!W165)</f>
        <v/>
      </c>
      <c r="J164" s="83">
        <f t="shared" si="0"/>
        <v>0</v>
      </c>
      <c r="K164" s="1"/>
      <c r="L164" s="1"/>
      <c r="M164" s="1"/>
      <c r="N164" s="1"/>
      <c r="O164" s="1"/>
      <c r="P164" s="1"/>
      <c r="Q164" s="1"/>
      <c r="R164" s="1"/>
      <c r="S164" s="1"/>
      <c r="T164" s="1"/>
      <c r="U164" s="1"/>
      <c r="V164" s="1"/>
      <c r="W164" s="1"/>
      <c r="X164" s="1"/>
      <c r="Y164" s="1"/>
      <c r="Z164" s="1"/>
    </row>
    <row r="165" spans="1:26" ht="15.75" customHeight="1">
      <c r="A165" s="80">
        <f>'Students Details'!A165</f>
        <v>159</v>
      </c>
      <c r="B165" s="81" t="str">
        <f>IF('Students Details'!B165="","",'Students Details'!B165)</f>
        <v/>
      </c>
      <c r="C165" s="82" t="str">
        <f>IF('Students Details'!C165="","",'Students Details'!C165)</f>
        <v/>
      </c>
      <c r="D165" s="83" t="str">
        <f>IF('I Component'!R166=0,"",'I Component'!R166)</f>
        <v/>
      </c>
      <c r="E165" s="83" t="str">
        <f>IF('I Component'!S166=0,"",'I Component'!S166)</f>
        <v/>
      </c>
      <c r="F165" s="83" t="str">
        <f>IF('I Component'!T166=0,"",'I Component'!T166)</f>
        <v/>
      </c>
      <c r="G165" s="83" t="str">
        <f>IF('I Component'!U166=0,"",'I Component'!U166)</f>
        <v/>
      </c>
      <c r="H165" s="83" t="str">
        <f>IF('I Component'!V166=0,"",'I Component'!V166)</f>
        <v/>
      </c>
      <c r="I165" s="83" t="str">
        <f>IF('I Component'!W166=0,"",'I Component'!W166)</f>
        <v/>
      </c>
      <c r="J165" s="83">
        <f t="shared" si="0"/>
        <v>0</v>
      </c>
      <c r="K165" s="1"/>
      <c r="L165" s="1"/>
      <c r="M165" s="1"/>
      <c r="N165" s="1"/>
      <c r="O165" s="1"/>
      <c r="P165" s="1"/>
      <c r="Q165" s="1"/>
      <c r="R165" s="1"/>
      <c r="S165" s="1"/>
      <c r="T165" s="1"/>
      <c r="U165" s="1"/>
      <c r="V165" s="1"/>
      <c r="W165" s="1"/>
      <c r="X165" s="1"/>
      <c r="Y165" s="1"/>
      <c r="Z165" s="1"/>
    </row>
    <row r="166" spans="1:26" ht="15.75" customHeight="1">
      <c r="A166" s="80">
        <f>'Students Details'!A166</f>
        <v>160</v>
      </c>
      <c r="B166" s="81" t="str">
        <f>IF('Students Details'!B166="","",'Students Details'!B166)</f>
        <v/>
      </c>
      <c r="C166" s="82" t="str">
        <f>IF('Students Details'!C166="","",'Students Details'!C166)</f>
        <v/>
      </c>
      <c r="D166" s="83" t="str">
        <f>IF('I Component'!R167=0,"",'I Component'!R167)</f>
        <v/>
      </c>
      <c r="E166" s="83" t="str">
        <f>IF('I Component'!S167=0,"",'I Component'!S167)</f>
        <v/>
      </c>
      <c r="F166" s="83" t="str">
        <f>IF('I Component'!T167=0,"",'I Component'!T167)</f>
        <v/>
      </c>
      <c r="G166" s="83" t="str">
        <f>IF('I Component'!U167=0,"",'I Component'!U167)</f>
        <v/>
      </c>
      <c r="H166" s="83" t="str">
        <f>IF('I Component'!V167=0,"",'I Component'!V167)</f>
        <v/>
      </c>
      <c r="I166" s="83" t="str">
        <f>IF('I Component'!W167=0,"",'I Component'!W167)</f>
        <v/>
      </c>
      <c r="J166" s="83">
        <f t="shared" si="0"/>
        <v>0</v>
      </c>
      <c r="K166" s="1"/>
      <c r="L166" s="1"/>
      <c r="M166" s="1"/>
      <c r="N166" s="1"/>
      <c r="O166" s="1"/>
      <c r="P166" s="1"/>
      <c r="Q166" s="1"/>
      <c r="R166" s="1"/>
      <c r="S166" s="1"/>
      <c r="T166" s="1"/>
      <c r="U166" s="1"/>
      <c r="V166" s="1"/>
      <c r="W166" s="1"/>
      <c r="X166" s="1"/>
      <c r="Y166" s="1"/>
      <c r="Z166" s="1"/>
    </row>
    <row r="167" spans="1:26" ht="15.75" customHeight="1">
      <c r="A167" s="80">
        <f>'Students Details'!A167</f>
        <v>161</v>
      </c>
      <c r="B167" s="81" t="str">
        <f>IF('Students Details'!B167="","",'Students Details'!B167)</f>
        <v/>
      </c>
      <c r="C167" s="82" t="str">
        <f>IF('Students Details'!C167="","",'Students Details'!C167)</f>
        <v/>
      </c>
      <c r="D167" s="83" t="str">
        <f>IF('I Component'!R168=0,"",'I Component'!R168)</f>
        <v/>
      </c>
      <c r="E167" s="83" t="str">
        <f>IF('I Component'!S168=0,"",'I Component'!S168)</f>
        <v/>
      </c>
      <c r="F167" s="83" t="str">
        <f>IF('I Component'!T168=0,"",'I Component'!T168)</f>
        <v/>
      </c>
      <c r="G167" s="83" t="str">
        <f>IF('I Component'!U168=0,"",'I Component'!U168)</f>
        <v/>
      </c>
      <c r="H167" s="83" t="str">
        <f>IF('I Component'!V168=0,"",'I Component'!V168)</f>
        <v/>
      </c>
      <c r="I167" s="83" t="str">
        <f>IF('I Component'!W168=0,"",'I Component'!W168)</f>
        <v/>
      </c>
      <c r="J167" s="83">
        <f t="shared" si="0"/>
        <v>0</v>
      </c>
      <c r="K167" s="1"/>
      <c r="L167" s="1"/>
      <c r="M167" s="1"/>
      <c r="N167" s="1"/>
      <c r="O167" s="1"/>
      <c r="P167" s="1"/>
      <c r="Q167" s="1"/>
      <c r="R167" s="1"/>
      <c r="S167" s="1"/>
      <c r="T167" s="1"/>
      <c r="U167" s="1"/>
      <c r="V167" s="1"/>
      <c r="W167" s="1"/>
      <c r="X167" s="1"/>
      <c r="Y167" s="1"/>
      <c r="Z167" s="1"/>
    </row>
    <row r="168" spans="1:26" ht="15.75" customHeight="1">
      <c r="A168" s="80">
        <f>'Students Details'!A168</f>
        <v>162</v>
      </c>
      <c r="B168" s="81" t="str">
        <f>IF('Students Details'!B168="","",'Students Details'!B168)</f>
        <v/>
      </c>
      <c r="C168" s="82" t="str">
        <f>IF('Students Details'!C168="","",'Students Details'!C168)</f>
        <v/>
      </c>
      <c r="D168" s="83" t="str">
        <f>IF('I Component'!R169=0,"",'I Component'!R169)</f>
        <v/>
      </c>
      <c r="E168" s="83" t="str">
        <f>IF('I Component'!S169=0,"",'I Component'!S169)</f>
        <v/>
      </c>
      <c r="F168" s="83" t="str">
        <f>IF('I Component'!T169=0,"",'I Component'!T169)</f>
        <v/>
      </c>
      <c r="G168" s="83" t="str">
        <f>IF('I Component'!U169=0,"",'I Component'!U169)</f>
        <v/>
      </c>
      <c r="H168" s="83" t="str">
        <f>IF('I Component'!V169=0,"",'I Component'!V169)</f>
        <v/>
      </c>
      <c r="I168" s="83" t="str">
        <f>IF('I Component'!W169=0,"",'I Component'!W169)</f>
        <v/>
      </c>
      <c r="J168" s="83">
        <f t="shared" si="0"/>
        <v>0</v>
      </c>
      <c r="K168" s="1"/>
      <c r="L168" s="1"/>
      <c r="M168" s="1"/>
      <c r="N168" s="1"/>
      <c r="O168" s="1"/>
      <c r="P168" s="1"/>
      <c r="Q168" s="1"/>
      <c r="R168" s="1"/>
      <c r="S168" s="1"/>
      <c r="T168" s="1"/>
      <c r="U168" s="1"/>
      <c r="V168" s="1"/>
      <c r="W168" s="1"/>
      <c r="X168" s="1"/>
      <c r="Y168" s="1"/>
      <c r="Z168" s="1"/>
    </row>
    <row r="169" spans="1:26" ht="15.75" customHeight="1">
      <c r="A169" s="80">
        <f>'Students Details'!A169</f>
        <v>163</v>
      </c>
      <c r="B169" s="81" t="str">
        <f>IF('Students Details'!B169="","",'Students Details'!B169)</f>
        <v/>
      </c>
      <c r="C169" s="82" t="str">
        <f>IF('Students Details'!C169="","",'Students Details'!C169)</f>
        <v/>
      </c>
      <c r="D169" s="83" t="str">
        <f>IF('I Component'!R170=0,"",'I Component'!R170)</f>
        <v/>
      </c>
      <c r="E169" s="83" t="str">
        <f>IF('I Component'!S170=0,"",'I Component'!S170)</f>
        <v/>
      </c>
      <c r="F169" s="83" t="str">
        <f>IF('I Component'!T170=0,"",'I Component'!T170)</f>
        <v/>
      </c>
      <c r="G169" s="83" t="str">
        <f>IF('I Component'!U170=0,"",'I Component'!U170)</f>
        <v/>
      </c>
      <c r="H169" s="83" t="str">
        <f>IF('I Component'!V170=0,"",'I Component'!V170)</f>
        <v/>
      </c>
      <c r="I169" s="83" t="str">
        <f>IF('I Component'!W170=0,"",'I Component'!W170)</f>
        <v/>
      </c>
      <c r="J169" s="83">
        <f t="shared" si="0"/>
        <v>0</v>
      </c>
      <c r="K169" s="1"/>
      <c r="L169" s="1"/>
      <c r="M169" s="1"/>
      <c r="N169" s="1"/>
      <c r="O169" s="1"/>
      <c r="P169" s="1"/>
      <c r="Q169" s="1"/>
      <c r="R169" s="1"/>
      <c r="S169" s="1"/>
      <c r="T169" s="1"/>
      <c r="U169" s="1"/>
      <c r="V169" s="1"/>
      <c r="W169" s="1"/>
      <c r="X169" s="1"/>
      <c r="Y169" s="1"/>
      <c r="Z169" s="1"/>
    </row>
    <row r="170" spans="1:26" ht="15.75" customHeight="1">
      <c r="A170" s="80">
        <f>'Students Details'!A170</f>
        <v>164</v>
      </c>
      <c r="B170" s="81" t="str">
        <f>IF('Students Details'!B170="","",'Students Details'!B170)</f>
        <v/>
      </c>
      <c r="C170" s="82" t="str">
        <f>IF('Students Details'!C170="","",'Students Details'!C170)</f>
        <v/>
      </c>
      <c r="D170" s="83" t="str">
        <f>IF('I Component'!R171=0,"",'I Component'!R171)</f>
        <v/>
      </c>
      <c r="E170" s="83" t="str">
        <f>IF('I Component'!S171=0,"",'I Component'!S171)</f>
        <v/>
      </c>
      <c r="F170" s="83" t="str">
        <f>IF('I Component'!T171=0,"",'I Component'!T171)</f>
        <v/>
      </c>
      <c r="G170" s="83" t="str">
        <f>IF('I Component'!U171=0,"",'I Component'!U171)</f>
        <v/>
      </c>
      <c r="H170" s="83" t="str">
        <f>IF('I Component'!V171=0,"",'I Component'!V171)</f>
        <v/>
      </c>
      <c r="I170" s="83" t="str">
        <f>IF('I Component'!W171=0,"",'I Component'!W171)</f>
        <v/>
      </c>
      <c r="J170" s="83">
        <f t="shared" si="0"/>
        <v>0</v>
      </c>
      <c r="K170" s="1"/>
      <c r="L170" s="1"/>
      <c r="M170" s="1"/>
      <c r="N170" s="1"/>
      <c r="O170" s="1"/>
      <c r="P170" s="1"/>
      <c r="Q170" s="1"/>
      <c r="R170" s="1"/>
      <c r="S170" s="1"/>
      <c r="T170" s="1"/>
      <c r="U170" s="1"/>
      <c r="V170" s="1"/>
      <c r="W170" s="1"/>
      <c r="X170" s="1"/>
      <c r="Y170" s="1"/>
      <c r="Z170" s="1"/>
    </row>
    <row r="171" spans="1:26" ht="15.75" customHeight="1">
      <c r="A171" s="80">
        <f>'Students Details'!A171</f>
        <v>165</v>
      </c>
      <c r="B171" s="81" t="str">
        <f>IF('Students Details'!B171="","",'Students Details'!B171)</f>
        <v/>
      </c>
      <c r="C171" s="82" t="str">
        <f>IF('Students Details'!C171="","",'Students Details'!C171)</f>
        <v/>
      </c>
      <c r="D171" s="83" t="str">
        <f>IF('I Component'!R172=0,"",'I Component'!R172)</f>
        <v/>
      </c>
      <c r="E171" s="83" t="str">
        <f>IF('I Component'!S172=0,"",'I Component'!S172)</f>
        <v/>
      </c>
      <c r="F171" s="83" t="str">
        <f>IF('I Component'!T172=0,"",'I Component'!T172)</f>
        <v/>
      </c>
      <c r="G171" s="83" t="str">
        <f>IF('I Component'!U172=0,"",'I Component'!U172)</f>
        <v/>
      </c>
      <c r="H171" s="83" t="str">
        <f>IF('I Component'!V172=0,"",'I Component'!V172)</f>
        <v/>
      </c>
      <c r="I171" s="83" t="str">
        <f>IF('I Component'!W172=0,"",'I Component'!W172)</f>
        <v/>
      </c>
      <c r="J171" s="83">
        <f t="shared" si="0"/>
        <v>0</v>
      </c>
      <c r="K171" s="1"/>
      <c r="L171" s="1"/>
      <c r="M171" s="1"/>
      <c r="N171" s="1"/>
      <c r="O171" s="1"/>
      <c r="P171" s="1"/>
      <c r="Q171" s="1"/>
      <c r="R171" s="1"/>
      <c r="S171" s="1"/>
      <c r="T171" s="1"/>
      <c r="U171" s="1"/>
      <c r="V171" s="1"/>
      <c r="W171" s="1"/>
      <c r="X171" s="1"/>
      <c r="Y171" s="1"/>
      <c r="Z171" s="1"/>
    </row>
    <row r="172" spans="1:26" ht="15.75" customHeight="1">
      <c r="A172" s="80">
        <f>'Students Details'!A172</f>
        <v>166</v>
      </c>
      <c r="B172" s="81" t="str">
        <f>IF('Students Details'!B172="","",'Students Details'!B172)</f>
        <v/>
      </c>
      <c r="C172" s="82" t="str">
        <f>IF('Students Details'!C172="","",'Students Details'!C172)</f>
        <v/>
      </c>
      <c r="D172" s="83" t="str">
        <f>IF('I Component'!R173=0,"",'I Component'!R173)</f>
        <v/>
      </c>
      <c r="E172" s="83" t="str">
        <f>IF('I Component'!S173=0,"",'I Component'!S173)</f>
        <v/>
      </c>
      <c r="F172" s="83" t="str">
        <f>IF('I Component'!T173=0,"",'I Component'!T173)</f>
        <v/>
      </c>
      <c r="G172" s="83" t="str">
        <f>IF('I Component'!U173=0,"",'I Component'!U173)</f>
        <v/>
      </c>
      <c r="H172" s="83" t="str">
        <f>IF('I Component'!V173=0,"",'I Component'!V173)</f>
        <v/>
      </c>
      <c r="I172" s="83" t="str">
        <f>IF('I Component'!W173=0,"",'I Component'!W173)</f>
        <v/>
      </c>
      <c r="J172" s="83">
        <f t="shared" si="0"/>
        <v>0</v>
      </c>
      <c r="K172" s="1"/>
      <c r="L172" s="1"/>
      <c r="M172" s="1"/>
      <c r="N172" s="1"/>
      <c r="O172" s="1"/>
      <c r="P172" s="1"/>
      <c r="Q172" s="1"/>
      <c r="R172" s="1"/>
      <c r="S172" s="1"/>
      <c r="T172" s="1"/>
      <c r="U172" s="1"/>
      <c r="V172" s="1"/>
      <c r="W172" s="1"/>
      <c r="X172" s="1"/>
      <c r="Y172" s="1"/>
      <c r="Z172" s="1"/>
    </row>
    <row r="173" spans="1:26" ht="15.75" customHeight="1">
      <c r="A173" s="80">
        <f>'Students Details'!A173</f>
        <v>167</v>
      </c>
      <c r="B173" s="81" t="str">
        <f>IF('Students Details'!B173="","",'Students Details'!B173)</f>
        <v/>
      </c>
      <c r="C173" s="82" t="str">
        <f>IF('Students Details'!C173="","",'Students Details'!C173)</f>
        <v/>
      </c>
      <c r="D173" s="83" t="str">
        <f>IF('I Component'!R174=0,"",'I Component'!R174)</f>
        <v/>
      </c>
      <c r="E173" s="83" t="str">
        <f>IF('I Component'!S174=0,"",'I Component'!S174)</f>
        <v/>
      </c>
      <c r="F173" s="83" t="str">
        <f>IF('I Component'!T174=0,"",'I Component'!T174)</f>
        <v/>
      </c>
      <c r="G173" s="83" t="str">
        <f>IF('I Component'!U174=0,"",'I Component'!U174)</f>
        <v/>
      </c>
      <c r="H173" s="83" t="str">
        <f>IF('I Component'!V174=0,"",'I Component'!V174)</f>
        <v/>
      </c>
      <c r="I173" s="83" t="str">
        <f>IF('I Component'!W174=0,"",'I Component'!W174)</f>
        <v/>
      </c>
      <c r="J173" s="83">
        <f t="shared" si="0"/>
        <v>0</v>
      </c>
      <c r="K173" s="1"/>
      <c r="L173" s="1"/>
      <c r="M173" s="1"/>
      <c r="N173" s="1"/>
      <c r="O173" s="1"/>
      <c r="P173" s="1"/>
      <c r="Q173" s="1"/>
      <c r="R173" s="1"/>
      <c r="S173" s="1"/>
      <c r="T173" s="1"/>
      <c r="U173" s="1"/>
      <c r="V173" s="1"/>
      <c r="W173" s="1"/>
      <c r="X173" s="1"/>
      <c r="Y173" s="1"/>
      <c r="Z173" s="1"/>
    </row>
    <row r="174" spans="1:26" ht="15.75" customHeight="1">
      <c r="A174" s="80">
        <f>'Students Details'!A174</f>
        <v>168</v>
      </c>
      <c r="B174" s="81" t="str">
        <f>IF('Students Details'!B174="","",'Students Details'!B174)</f>
        <v/>
      </c>
      <c r="C174" s="82" t="str">
        <f>IF('Students Details'!C174="","",'Students Details'!C174)</f>
        <v/>
      </c>
      <c r="D174" s="83" t="str">
        <f>IF('I Component'!R175=0,"",'I Component'!R175)</f>
        <v/>
      </c>
      <c r="E174" s="83" t="str">
        <f>IF('I Component'!S175=0,"",'I Component'!S175)</f>
        <v/>
      </c>
      <c r="F174" s="83" t="str">
        <f>IF('I Component'!T175=0,"",'I Component'!T175)</f>
        <v/>
      </c>
      <c r="G174" s="83" t="str">
        <f>IF('I Component'!U175=0,"",'I Component'!U175)</f>
        <v/>
      </c>
      <c r="H174" s="83" t="str">
        <f>IF('I Component'!V175=0,"",'I Component'!V175)</f>
        <v/>
      </c>
      <c r="I174" s="83" t="str">
        <f>IF('I Component'!W175=0,"",'I Component'!W175)</f>
        <v/>
      </c>
      <c r="J174" s="83">
        <f t="shared" si="0"/>
        <v>0</v>
      </c>
      <c r="K174" s="1"/>
      <c r="L174" s="1"/>
      <c r="M174" s="1"/>
      <c r="N174" s="1"/>
      <c r="O174" s="1"/>
      <c r="P174" s="1"/>
      <c r="Q174" s="1"/>
      <c r="R174" s="1"/>
      <c r="S174" s="1"/>
      <c r="T174" s="1"/>
      <c r="U174" s="1"/>
      <c r="V174" s="1"/>
      <c r="W174" s="1"/>
      <c r="X174" s="1"/>
      <c r="Y174" s="1"/>
      <c r="Z174" s="1"/>
    </row>
    <row r="175" spans="1:26" ht="15.75" customHeight="1">
      <c r="A175" s="80">
        <f>'Students Details'!A175</f>
        <v>169</v>
      </c>
      <c r="B175" s="81" t="str">
        <f>IF('Students Details'!B175="","",'Students Details'!B175)</f>
        <v/>
      </c>
      <c r="C175" s="82" t="str">
        <f>IF('Students Details'!C175="","",'Students Details'!C175)</f>
        <v/>
      </c>
      <c r="D175" s="83" t="str">
        <f>IF('I Component'!R176=0,"",'I Component'!R176)</f>
        <v/>
      </c>
      <c r="E175" s="83" t="str">
        <f>IF('I Component'!S176=0,"",'I Component'!S176)</f>
        <v/>
      </c>
      <c r="F175" s="83" t="str">
        <f>IF('I Component'!T176=0,"",'I Component'!T176)</f>
        <v/>
      </c>
      <c r="G175" s="83" t="str">
        <f>IF('I Component'!U176=0,"",'I Component'!U176)</f>
        <v/>
      </c>
      <c r="H175" s="83" t="str">
        <f>IF('I Component'!V176=0,"",'I Component'!V176)</f>
        <v/>
      </c>
      <c r="I175" s="83" t="str">
        <f>IF('I Component'!W176=0,"",'I Component'!W176)</f>
        <v/>
      </c>
      <c r="J175" s="83">
        <f t="shared" si="0"/>
        <v>0</v>
      </c>
      <c r="K175" s="1"/>
      <c r="L175" s="1"/>
      <c r="M175" s="1"/>
      <c r="N175" s="1"/>
      <c r="O175" s="1"/>
      <c r="P175" s="1"/>
      <c r="Q175" s="1"/>
      <c r="R175" s="1"/>
      <c r="S175" s="1"/>
      <c r="T175" s="1"/>
      <c r="U175" s="1"/>
      <c r="V175" s="1"/>
      <c r="W175" s="1"/>
      <c r="X175" s="1"/>
      <c r="Y175" s="1"/>
      <c r="Z175" s="1"/>
    </row>
    <row r="176" spans="1:26" ht="15.75" customHeight="1">
      <c r="A176" s="80">
        <f>'Students Details'!A176</f>
        <v>170</v>
      </c>
      <c r="B176" s="81" t="str">
        <f>IF('Students Details'!B176="","",'Students Details'!B176)</f>
        <v/>
      </c>
      <c r="C176" s="82" t="str">
        <f>IF('Students Details'!C176="","",'Students Details'!C176)</f>
        <v/>
      </c>
      <c r="D176" s="83" t="str">
        <f>IF('I Component'!R177=0,"",'I Component'!R177)</f>
        <v/>
      </c>
      <c r="E176" s="83" t="str">
        <f>IF('I Component'!S177=0,"",'I Component'!S177)</f>
        <v/>
      </c>
      <c r="F176" s="83" t="str">
        <f>IF('I Component'!T177=0,"",'I Component'!T177)</f>
        <v/>
      </c>
      <c r="G176" s="83" t="str">
        <f>IF('I Component'!U177=0,"",'I Component'!U177)</f>
        <v/>
      </c>
      <c r="H176" s="83" t="str">
        <f>IF('I Component'!V177=0,"",'I Component'!V177)</f>
        <v/>
      </c>
      <c r="I176" s="83" t="str">
        <f>IF('I Component'!W177=0,"",'I Component'!W177)</f>
        <v/>
      </c>
      <c r="J176" s="83">
        <f t="shared" si="0"/>
        <v>0</v>
      </c>
      <c r="K176" s="1"/>
      <c r="L176" s="1"/>
      <c r="M176" s="1"/>
      <c r="N176" s="1"/>
      <c r="O176" s="1"/>
      <c r="P176" s="1"/>
      <c r="Q176" s="1"/>
      <c r="R176" s="1"/>
      <c r="S176" s="1"/>
      <c r="T176" s="1"/>
      <c r="U176" s="1"/>
      <c r="V176" s="1"/>
      <c r="W176" s="1"/>
      <c r="X176" s="1"/>
      <c r="Y176" s="1"/>
      <c r="Z176" s="1"/>
    </row>
    <row r="177" spans="1:26" ht="15.75" customHeight="1">
      <c r="A177" s="80">
        <f>'Students Details'!A177</f>
        <v>171</v>
      </c>
      <c r="B177" s="81" t="str">
        <f>IF('Students Details'!B177="","",'Students Details'!B177)</f>
        <v/>
      </c>
      <c r="C177" s="82" t="str">
        <f>IF('Students Details'!C177="","",'Students Details'!C177)</f>
        <v/>
      </c>
      <c r="D177" s="83" t="str">
        <f>IF('I Component'!R178=0,"",'I Component'!R178)</f>
        <v/>
      </c>
      <c r="E177" s="83" t="str">
        <f>IF('I Component'!S178=0,"",'I Component'!S178)</f>
        <v/>
      </c>
      <c r="F177" s="83" t="str">
        <f>IF('I Component'!T178=0,"",'I Component'!T178)</f>
        <v/>
      </c>
      <c r="G177" s="83" t="str">
        <f>IF('I Component'!U178=0,"",'I Component'!U178)</f>
        <v/>
      </c>
      <c r="H177" s="83" t="str">
        <f>IF('I Component'!V178=0,"",'I Component'!V178)</f>
        <v/>
      </c>
      <c r="I177" s="83" t="str">
        <f>IF('I Component'!W178=0,"",'I Component'!W178)</f>
        <v/>
      </c>
      <c r="J177" s="83">
        <f t="shared" si="0"/>
        <v>0</v>
      </c>
      <c r="K177" s="1"/>
      <c r="L177" s="1"/>
      <c r="M177" s="1"/>
      <c r="N177" s="1"/>
      <c r="O177" s="1"/>
      <c r="P177" s="1"/>
      <c r="Q177" s="1"/>
      <c r="R177" s="1"/>
      <c r="S177" s="1"/>
      <c r="T177" s="1"/>
      <c r="U177" s="1"/>
      <c r="V177" s="1"/>
      <c r="W177" s="1"/>
      <c r="X177" s="1"/>
      <c r="Y177" s="1"/>
      <c r="Z177" s="1"/>
    </row>
    <row r="178" spans="1:26" ht="15.75" customHeight="1">
      <c r="A178" s="80">
        <f>'Students Details'!A178</f>
        <v>172</v>
      </c>
      <c r="B178" s="81" t="str">
        <f>IF('Students Details'!B178="","",'Students Details'!B178)</f>
        <v/>
      </c>
      <c r="C178" s="82" t="str">
        <f>IF('Students Details'!C178="","",'Students Details'!C178)</f>
        <v/>
      </c>
      <c r="D178" s="83" t="str">
        <f>IF('I Component'!R179=0,"",'I Component'!R179)</f>
        <v/>
      </c>
      <c r="E178" s="83" t="str">
        <f>IF('I Component'!S179=0,"",'I Component'!S179)</f>
        <v/>
      </c>
      <c r="F178" s="83" t="str">
        <f>IF('I Component'!T179=0,"",'I Component'!T179)</f>
        <v/>
      </c>
      <c r="G178" s="83" t="str">
        <f>IF('I Component'!U179=0,"",'I Component'!U179)</f>
        <v/>
      </c>
      <c r="H178" s="83" t="str">
        <f>IF('I Component'!V179=0,"",'I Component'!V179)</f>
        <v/>
      </c>
      <c r="I178" s="83" t="str">
        <f>IF('I Component'!W179=0,"",'I Component'!W179)</f>
        <v/>
      </c>
      <c r="J178" s="83">
        <f t="shared" si="0"/>
        <v>0</v>
      </c>
      <c r="K178" s="1"/>
      <c r="L178" s="1"/>
      <c r="M178" s="1"/>
      <c r="N178" s="1"/>
      <c r="O178" s="1"/>
      <c r="P178" s="1"/>
      <c r="Q178" s="1"/>
      <c r="R178" s="1"/>
      <c r="S178" s="1"/>
      <c r="T178" s="1"/>
      <c r="U178" s="1"/>
      <c r="V178" s="1"/>
      <c r="W178" s="1"/>
      <c r="X178" s="1"/>
      <c r="Y178" s="1"/>
      <c r="Z178" s="1"/>
    </row>
    <row r="179" spans="1:26" ht="15.75" customHeight="1">
      <c r="A179" s="80">
        <f>'Students Details'!A179</f>
        <v>173</v>
      </c>
      <c r="B179" s="81" t="str">
        <f>IF('Students Details'!B179="","",'Students Details'!B179)</f>
        <v/>
      </c>
      <c r="C179" s="82" t="str">
        <f>IF('Students Details'!C179="","",'Students Details'!C179)</f>
        <v/>
      </c>
      <c r="D179" s="83" t="str">
        <f>IF('I Component'!R180=0,"",'I Component'!R180)</f>
        <v/>
      </c>
      <c r="E179" s="83" t="str">
        <f>IF('I Component'!S180=0,"",'I Component'!S180)</f>
        <v/>
      </c>
      <c r="F179" s="83" t="str">
        <f>IF('I Component'!T180=0,"",'I Component'!T180)</f>
        <v/>
      </c>
      <c r="G179" s="83" t="str">
        <f>IF('I Component'!U180=0,"",'I Component'!U180)</f>
        <v/>
      </c>
      <c r="H179" s="83" t="str">
        <f>IF('I Component'!V180=0,"",'I Component'!V180)</f>
        <v/>
      </c>
      <c r="I179" s="83" t="str">
        <f>IF('I Component'!W180=0,"",'I Component'!W180)</f>
        <v/>
      </c>
      <c r="J179" s="83">
        <f t="shared" si="0"/>
        <v>0</v>
      </c>
      <c r="K179" s="1"/>
      <c r="L179" s="1"/>
      <c r="M179" s="1"/>
      <c r="N179" s="1"/>
      <c r="O179" s="1"/>
      <c r="P179" s="1"/>
      <c r="Q179" s="1"/>
      <c r="R179" s="1"/>
      <c r="S179" s="1"/>
      <c r="T179" s="1"/>
      <c r="U179" s="1"/>
      <c r="V179" s="1"/>
      <c r="W179" s="1"/>
      <c r="X179" s="1"/>
      <c r="Y179" s="1"/>
      <c r="Z179" s="1"/>
    </row>
    <row r="180" spans="1:26" ht="15.75" customHeight="1">
      <c r="A180" s="80">
        <f>'Students Details'!A180</f>
        <v>174</v>
      </c>
      <c r="B180" s="81" t="str">
        <f>IF('Students Details'!B180="","",'Students Details'!B180)</f>
        <v/>
      </c>
      <c r="C180" s="82" t="str">
        <f>IF('Students Details'!C180="","",'Students Details'!C180)</f>
        <v/>
      </c>
      <c r="D180" s="83" t="str">
        <f>IF('I Component'!R181=0,"",'I Component'!R181)</f>
        <v/>
      </c>
      <c r="E180" s="83" t="str">
        <f>IF('I Component'!S181=0,"",'I Component'!S181)</f>
        <v/>
      </c>
      <c r="F180" s="83" t="str">
        <f>IF('I Component'!T181=0,"",'I Component'!T181)</f>
        <v/>
      </c>
      <c r="G180" s="83" t="str">
        <f>IF('I Component'!U181=0,"",'I Component'!U181)</f>
        <v/>
      </c>
      <c r="H180" s="83" t="str">
        <f>IF('I Component'!V181=0,"",'I Component'!V181)</f>
        <v/>
      </c>
      <c r="I180" s="83" t="str">
        <f>IF('I Component'!W181=0,"",'I Component'!W181)</f>
        <v/>
      </c>
      <c r="J180" s="83">
        <f t="shared" si="0"/>
        <v>0</v>
      </c>
      <c r="K180" s="1"/>
      <c r="L180" s="1"/>
      <c r="M180" s="1"/>
      <c r="N180" s="1"/>
      <c r="O180" s="1"/>
      <c r="P180" s="1"/>
      <c r="Q180" s="1"/>
      <c r="R180" s="1"/>
      <c r="S180" s="1"/>
      <c r="T180" s="1"/>
      <c r="U180" s="1"/>
      <c r="V180" s="1"/>
      <c r="W180" s="1"/>
      <c r="X180" s="1"/>
      <c r="Y180" s="1"/>
      <c r="Z180" s="1"/>
    </row>
    <row r="181" spans="1:26" ht="15.75" customHeight="1">
      <c r="A181" s="80">
        <f>'Students Details'!A181</f>
        <v>175</v>
      </c>
      <c r="B181" s="81" t="str">
        <f>IF('Students Details'!B181="","",'Students Details'!B181)</f>
        <v/>
      </c>
      <c r="C181" s="82" t="str">
        <f>IF('Students Details'!C181="","",'Students Details'!C181)</f>
        <v/>
      </c>
      <c r="D181" s="83" t="str">
        <f>IF('I Component'!R182=0,"",'I Component'!R182)</f>
        <v/>
      </c>
      <c r="E181" s="83" t="str">
        <f>IF('I Component'!S182=0,"",'I Component'!S182)</f>
        <v/>
      </c>
      <c r="F181" s="83" t="str">
        <f>IF('I Component'!T182=0,"",'I Component'!T182)</f>
        <v/>
      </c>
      <c r="G181" s="83" t="str">
        <f>IF('I Component'!U182=0,"",'I Component'!U182)</f>
        <v/>
      </c>
      <c r="H181" s="83" t="str">
        <f>IF('I Component'!V182=0,"",'I Component'!V182)</f>
        <v/>
      </c>
      <c r="I181" s="83" t="str">
        <f>IF('I Component'!W182=0,"",'I Component'!W182)</f>
        <v/>
      </c>
      <c r="J181" s="83">
        <f t="shared" si="0"/>
        <v>0</v>
      </c>
      <c r="K181" s="1"/>
      <c r="L181" s="1"/>
      <c r="M181" s="1"/>
      <c r="N181" s="1"/>
      <c r="O181" s="1"/>
      <c r="P181" s="1"/>
      <c r="Q181" s="1"/>
      <c r="R181" s="1"/>
      <c r="S181" s="1"/>
      <c r="T181" s="1"/>
      <c r="U181" s="1"/>
      <c r="V181" s="1"/>
      <c r="W181" s="1"/>
      <c r="X181" s="1"/>
      <c r="Y181" s="1"/>
      <c r="Z181" s="1"/>
    </row>
    <row r="182" spans="1:26" ht="15.75" customHeight="1">
      <c r="A182" s="80">
        <f>'Students Details'!A182</f>
        <v>176</v>
      </c>
      <c r="B182" s="81" t="str">
        <f>IF('Students Details'!B182="","",'Students Details'!B182)</f>
        <v/>
      </c>
      <c r="C182" s="82" t="str">
        <f>IF('Students Details'!C182="","",'Students Details'!C182)</f>
        <v/>
      </c>
      <c r="D182" s="83" t="str">
        <f>IF('I Component'!R183=0,"",'I Component'!R183)</f>
        <v/>
      </c>
      <c r="E182" s="83" t="str">
        <f>IF('I Component'!S183=0,"",'I Component'!S183)</f>
        <v/>
      </c>
      <c r="F182" s="83" t="str">
        <f>IF('I Component'!T183=0,"",'I Component'!T183)</f>
        <v/>
      </c>
      <c r="G182" s="83" t="str">
        <f>IF('I Component'!U183=0,"",'I Component'!U183)</f>
        <v/>
      </c>
      <c r="H182" s="83" t="str">
        <f>IF('I Component'!V183=0,"",'I Component'!V183)</f>
        <v/>
      </c>
      <c r="I182" s="83" t="str">
        <f>IF('I Component'!W183=0,"",'I Component'!W183)</f>
        <v/>
      </c>
      <c r="J182" s="83">
        <f t="shared" si="0"/>
        <v>0</v>
      </c>
      <c r="K182" s="1"/>
      <c r="L182" s="1"/>
      <c r="M182" s="1"/>
      <c r="N182" s="1"/>
      <c r="O182" s="1"/>
      <c r="P182" s="1"/>
      <c r="Q182" s="1"/>
      <c r="R182" s="1"/>
      <c r="S182" s="1"/>
      <c r="T182" s="1"/>
      <c r="U182" s="1"/>
      <c r="V182" s="1"/>
      <c r="W182" s="1"/>
      <c r="X182" s="1"/>
      <c r="Y182" s="1"/>
      <c r="Z182" s="1"/>
    </row>
    <row r="183" spans="1:26" ht="15.75" customHeight="1">
      <c r="A183" s="80">
        <f>'Students Details'!A183</f>
        <v>177</v>
      </c>
      <c r="B183" s="81" t="str">
        <f>IF('Students Details'!B183="","",'Students Details'!B183)</f>
        <v/>
      </c>
      <c r="C183" s="82" t="str">
        <f>IF('Students Details'!C183="","",'Students Details'!C183)</f>
        <v/>
      </c>
      <c r="D183" s="83" t="str">
        <f>IF('I Component'!R184=0,"",'I Component'!R184)</f>
        <v/>
      </c>
      <c r="E183" s="83" t="str">
        <f>IF('I Component'!S184=0,"",'I Component'!S184)</f>
        <v/>
      </c>
      <c r="F183" s="83" t="str">
        <f>IF('I Component'!T184=0,"",'I Component'!T184)</f>
        <v/>
      </c>
      <c r="G183" s="83" t="str">
        <f>IF('I Component'!U184=0,"",'I Component'!U184)</f>
        <v/>
      </c>
      <c r="H183" s="83" t="str">
        <f>IF('I Component'!V184=0,"",'I Component'!V184)</f>
        <v/>
      </c>
      <c r="I183" s="83" t="str">
        <f>IF('I Component'!W184=0,"",'I Component'!W184)</f>
        <v/>
      </c>
      <c r="J183" s="83">
        <f t="shared" si="0"/>
        <v>0</v>
      </c>
      <c r="K183" s="1"/>
      <c r="L183" s="1"/>
      <c r="M183" s="1"/>
      <c r="N183" s="1"/>
      <c r="O183" s="1"/>
      <c r="P183" s="1"/>
      <c r="Q183" s="1"/>
      <c r="R183" s="1"/>
      <c r="S183" s="1"/>
      <c r="T183" s="1"/>
      <c r="U183" s="1"/>
      <c r="V183" s="1"/>
      <c r="W183" s="1"/>
      <c r="X183" s="1"/>
      <c r="Y183" s="1"/>
      <c r="Z183" s="1"/>
    </row>
    <row r="184" spans="1:26" ht="15.75" customHeight="1">
      <c r="A184" s="80">
        <f>'Students Details'!A184</f>
        <v>178</v>
      </c>
      <c r="B184" s="81" t="str">
        <f>IF('Students Details'!B184="","",'Students Details'!B184)</f>
        <v/>
      </c>
      <c r="C184" s="82" t="str">
        <f>IF('Students Details'!C184="","",'Students Details'!C184)</f>
        <v/>
      </c>
      <c r="D184" s="83" t="str">
        <f>IF('I Component'!R185=0,"",'I Component'!R185)</f>
        <v/>
      </c>
      <c r="E184" s="83" t="str">
        <f>IF('I Component'!S185=0,"",'I Component'!S185)</f>
        <v/>
      </c>
      <c r="F184" s="83" t="str">
        <f>IF('I Component'!T185=0,"",'I Component'!T185)</f>
        <v/>
      </c>
      <c r="G184" s="83" t="str">
        <f>IF('I Component'!U185=0,"",'I Component'!U185)</f>
        <v/>
      </c>
      <c r="H184" s="83" t="str">
        <f>IF('I Component'!V185=0,"",'I Component'!V185)</f>
        <v/>
      </c>
      <c r="I184" s="83" t="str">
        <f>IF('I Component'!W185=0,"",'I Component'!W185)</f>
        <v/>
      </c>
      <c r="J184" s="83">
        <f t="shared" si="0"/>
        <v>0</v>
      </c>
      <c r="K184" s="1"/>
      <c r="L184" s="1"/>
      <c r="M184" s="1"/>
      <c r="N184" s="1"/>
      <c r="O184" s="1"/>
      <c r="P184" s="1"/>
      <c r="Q184" s="1"/>
      <c r="R184" s="1"/>
      <c r="S184" s="1"/>
      <c r="T184" s="1"/>
      <c r="U184" s="1"/>
      <c r="V184" s="1"/>
      <c r="W184" s="1"/>
      <c r="X184" s="1"/>
      <c r="Y184" s="1"/>
      <c r="Z184" s="1"/>
    </row>
    <row r="185" spans="1:26" ht="15.75" customHeight="1">
      <c r="A185" s="80">
        <f>'Students Details'!A185</f>
        <v>179</v>
      </c>
      <c r="B185" s="81" t="str">
        <f>IF('Students Details'!B185="","",'Students Details'!B185)</f>
        <v/>
      </c>
      <c r="C185" s="82" t="str">
        <f>IF('Students Details'!C185="","",'Students Details'!C185)</f>
        <v/>
      </c>
      <c r="D185" s="83" t="str">
        <f>IF('I Component'!R186=0,"",'I Component'!R186)</f>
        <v/>
      </c>
      <c r="E185" s="83" t="str">
        <f>IF('I Component'!S186=0,"",'I Component'!S186)</f>
        <v/>
      </c>
      <c r="F185" s="83" t="str">
        <f>IF('I Component'!T186=0,"",'I Component'!T186)</f>
        <v/>
      </c>
      <c r="G185" s="83" t="str">
        <f>IF('I Component'!U186=0,"",'I Component'!U186)</f>
        <v/>
      </c>
      <c r="H185" s="83" t="str">
        <f>IF('I Component'!V186=0,"",'I Component'!V186)</f>
        <v/>
      </c>
      <c r="I185" s="83" t="str">
        <f>IF('I Component'!W186=0,"",'I Component'!W186)</f>
        <v/>
      </c>
      <c r="J185" s="83">
        <f t="shared" si="0"/>
        <v>0</v>
      </c>
      <c r="K185" s="1"/>
      <c r="L185" s="1"/>
      <c r="M185" s="1"/>
      <c r="N185" s="1"/>
      <c r="O185" s="1"/>
      <c r="P185" s="1"/>
      <c r="Q185" s="1"/>
      <c r="R185" s="1"/>
      <c r="S185" s="1"/>
      <c r="T185" s="1"/>
      <c r="U185" s="1"/>
      <c r="V185" s="1"/>
      <c r="W185" s="1"/>
      <c r="X185" s="1"/>
      <c r="Y185" s="1"/>
      <c r="Z185" s="1"/>
    </row>
    <row r="186" spans="1:26" ht="15.75" customHeight="1">
      <c r="A186" s="80">
        <f>'Students Details'!A186</f>
        <v>180</v>
      </c>
      <c r="B186" s="81" t="str">
        <f>IF('Students Details'!B186="","",'Students Details'!B186)</f>
        <v/>
      </c>
      <c r="C186" s="82" t="str">
        <f>IF('Students Details'!C186="","",'Students Details'!C186)</f>
        <v/>
      </c>
      <c r="D186" s="83" t="str">
        <f>IF('I Component'!R187=0,"",'I Component'!R187)</f>
        <v/>
      </c>
      <c r="E186" s="83" t="str">
        <f>IF('I Component'!S187=0,"",'I Component'!S187)</f>
        <v/>
      </c>
      <c r="F186" s="83" t="str">
        <f>IF('I Component'!T187=0,"",'I Component'!T187)</f>
        <v/>
      </c>
      <c r="G186" s="83" t="str">
        <f>IF('I Component'!U187=0,"",'I Component'!U187)</f>
        <v/>
      </c>
      <c r="H186" s="83" t="str">
        <f>IF('I Component'!V187=0,"",'I Component'!V187)</f>
        <v/>
      </c>
      <c r="I186" s="83" t="str">
        <f>IF('I Component'!W187=0,"",'I Component'!W187)</f>
        <v/>
      </c>
      <c r="J186" s="83">
        <f t="shared" si="0"/>
        <v>0</v>
      </c>
      <c r="K186" s="1"/>
      <c r="L186" s="1"/>
      <c r="M186" s="1"/>
      <c r="N186" s="1"/>
      <c r="O186" s="1"/>
      <c r="P186" s="1"/>
      <c r="Q186" s="1"/>
      <c r="R186" s="1"/>
      <c r="S186" s="1"/>
      <c r="T186" s="1"/>
      <c r="U186" s="1"/>
      <c r="V186" s="1"/>
      <c r="W186" s="1"/>
      <c r="X186" s="1"/>
      <c r="Y186" s="1"/>
      <c r="Z186" s="1"/>
    </row>
    <row r="187" spans="1:26" ht="15.75" customHeight="1">
      <c r="A187" s="80">
        <f>'Students Details'!A187</f>
        <v>0</v>
      </c>
      <c r="B187" s="81" t="str">
        <f>IF('Students Details'!B187="","",'Students Details'!B187)</f>
        <v/>
      </c>
      <c r="C187" s="82" t="str">
        <f>IF('Students Details'!C187="","",'Students Details'!C187)</f>
        <v/>
      </c>
      <c r="D187" s="83" t="str">
        <f>IF('I Component'!R188=0,"",'I Component'!R188)</f>
        <v/>
      </c>
      <c r="E187" s="83" t="str">
        <f>IF('I Component'!S188=0,"",'I Component'!S188)</f>
        <v/>
      </c>
      <c r="F187" s="83" t="str">
        <f>IF('I Component'!T188=0,"",'I Component'!T188)</f>
        <v/>
      </c>
      <c r="G187" s="83" t="str">
        <f>IF('I Component'!U188=0,"",'I Component'!U188)</f>
        <v/>
      </c>
      <c r="H187" s="83" t="str">
        <f>IF('I Component'!V188=0,"",'I Component'!V188)</f>
        <v/>
      </c>
      <c r="I187" s="83" t="str">
        <f>IF('I Component'!W188=0,"",'I Component'!W188)</f>
        <v/>
      </c>
      <c r="J187" s="83">
        <f t="shared" si="0"/>
        <v>0</v>
      </c>
      <c r="K187" s="1"/>
      <c r="L187" s="1"/>
      <c r="M187" s="1"/>
      <c r="N187" s="1"/>
      <c r="O187" s="1"/>
      <c r="P187" s="1"/>
      <c r="Q187" s="1"/>
      <c r="R187" s="1"/>
      <c r="S187" s="1"/>
      <c r="T187" s="1"/>
      <c r="U187" s="1"/>
      <c r="V187" s="1"/>
      <c r="W187" s="1"/>
      <c r="X187" s="1"/>
      <c r="Y187" s="1"/>
      <c r="Z187" s="1"/>
    </row>
    <row r="188" spans="1:26" ht="15.75" customHeight="1">
      <c r="A188" s="80">
        <f>'Students Details'!A188</f>
        <v>0</v>
      </c>
      <c r="B188" s="81" t="str">
        <f>IF('Students Details'!B188="","",'Students Details'!B188)</f>
        <v/>
      </c>
      <c r="C188" s="82" t="str">
        <f>IF('Students Details'!C188="","",'Students Details'!C188)</f>
        <v/>
      </c>
      <c r="D188" s="83" t="str">
        <f>IF('I Component'!R189=0,"",'I Component'!R189)</f>
        <v/>
      </c>
      <c r="E188" s="83" t="str">
        <f>IF('I Component'!S189=0,"",'I Component'!S189)</f>
        <v/>
      </c>
      <c r="F188" s="83" t="str">
        <f>IF('I Component'!T189=0,"",'I Component'!T189)</f>
        <v/>
      </c>
      <c r="G188" s="83" t="str">
        <f>IF('I Component'!U189=0,"",'I Component'!U189)</f>
        <v/>
      </c>
      <c r="H188" s="83" t="str">
        <f>IF('I Component'!V189=0,"",'I Component'!V189)</f>
        <v/>
      </c>
      <c r="I188" s="83" t="str">
        <f>IF('I Component'!W189=0,"",'I Component'!W189)</f>
        <v/>
      </c>
      <c r="J188" s="83">
        <f t="shared" si="0"/>
        <v>0</v>
      </c>
      <c r="K188" s="1"/>
      <c r="L188" s="1"/>
      <c r="M188" s="1"/>
      <c r="N188" s="1"/>
      <c r="O188" s="1"/>
      <c r="P188" s="1"/>
      <c r="Q188" s="1"/>
      <c r="R188" s="1"/>
      <c r="S188" s="1"/>
      <c r="T188" s="1"/>
      <c r="U188" s="1"/>
      <c r="V188" s="1"/>
      <c r="W188" s="1"/>
      <c r="X188" s="1"/>
      <c r="Y188" s="1"/>
      <c r="Z188" s="1"/>
    </row>
    <row r="189" spans="1:26" ht="15.75" customHeight="1">
      <c r="A189" s="80">
        <f>'Students Details'!A189</f>
        <v>0</v>
      </c>
      <c r="B189" s="81" t="str">
        <f>IF('Students Details'!B189="","",'Students Details'!B189)</f>
        <v/>
      </c>
      <c r="C189" s="82" t="str">
        <f>IF('Students Details'!C189="","",'Students Details'!C189)</f>
        <v/>
      </c>
      <c r="D189" s="83" t="str">
        <f>IF('I Component'!R190=0,"",'I Component'!R190)</f>
        <v/>
      </c>
      <c r="E189" s="83" t="str">
        <f>IF('I Component'!S190=0,"",'I Component'!S190)</f>
        <v/>
      </c>
      <c r="F189" s="83" t="str">
        <f>IF('I Component'!T190=0,"",'I Component'!T190)</f>
        <v/>
      </c>
      <c r="G189" s="83" t="str">
        <f>IF('I Component'!U190=0,"",'I Component'!U190)</f>
        <v/>
      </c>
      <c r="H189" s="83" t="str">
        <f>IF('I Component'!V190=0,"",'I Component'!V190)</f>
        <v/>
      </c>
      <c r="I189" s="83" t="str">
        <f>IF('I Component'!W190=0,"",'I Component'!W190)</f>
        <v/>
      </c>
      <c r="J189" s="83">
        <f t="shared" si="0"/>
        <v>0</v>
      </c>
      <c r="K189" s="1"/>
      <c r="L189" s="1"/>
      <c r="M189" s="1"/>
      <c r="N189" s="1"/>
      <c r="O189" s="1"/>
      <c r="P189" s="1"/>
      <c r="Q189" s="1"/>
      <c r="R189" s="1"/>
      <c r="S189" s="1"/>
      <c r="T189" s="1"/>
      <c r="U189" s="1"/>
      <c r="V189" s="1"/>
      <c r="W189" s="1"/>
      <c r="X189" s="1"/>
      <c r="Y189" s="1"/>
      <c r="Z189" s="1"/>
    </row>
    <row r="190" spans="1:26" ht="15.75" customHeight="1">
      <c r="A190" s="80">
        <f>'Students Details'!A190</f>
        <v>0</v>
      </c>
      <c r="B190" s="81" t="str">
        <f>IF('Students Details'!B190="","",'Students Details'!B190)</f>
        <v/>
      </c>
      <c r="C190" s="82" t="str">
        <f>IF('Students Details'!C190="","",'Students Details'!C190)</f>
        <v/>
      </c>
      <c r="D190" s="83" t="str">
        <f>IF('I Component'!R191=0,"",'I Component'!R191)</f>
        <v/>
      </c>
      <c r="E190" s="83" t="str">
        <f>IF('I Component'!S191=0,"",'I Component'!S191)</f>
        <v/>
      </c>
      <c r="F190" s="83" t="str">
        <f>IF('I Component'!T191=0,"",'I Component'!T191)</f>
        <v/>
      </c>
      <c r="G190" s="83" t="str">
        <f>IF('I Component'!U191=0,"",'I Component'!U191)</f>
        <v/>
      </c>
      <c r="H190" s="83" t="str">
        <f>IF('I Component'!V191=0,"",'I Component'!V191)</f>
        <v/>
      </c>
      <c r="I190" s="83" t="str">
        <f>IF('I Component'!W191=0,"",'I Component'!W191)</f>
        <v/>
      </c>
      <c r="J190" s="83">
        <f t="shared" si="0"/>
        <v>0</v>
      </c>
      <c r="K190" s="1"/>
      <c r="L190" s="1"/>
      <c r="M190" s="1"/>
      <c r="N190" s="1"/>
      <c r="O190" s="1"/>
      <c r="P190" s="1"/>
      <c r="Q190" s="1"/>
      <c r="R190" s="1"/>
      <c r="S190" s="1"/>
      <c r="T190" s="1"/>
      <c r="U190" s="1"/>
      <c r="V190" s="1"/>
      <c r="W190" s="1"/>
      <c r="X190" s="1"/>
      <c r="Y190" s="1"/>
      <c r="Z190" s="1"/>
    </row>
    <row r="191" spans="1:26" ht="15.75" customHeight="1">
      <c r="A191" s="80">
        <f>'Students Details'!A191</f>
        <v>0</v>
      </c>
      <c r="B191" s="81" t="str">
        <f>IF('Students Details'!B191="","",'Students Details'!B191)</f>
        <v/>
      </c>
      <c r="C191" s="82" t="str">
        <f>IF('Students Details'!C191="","",'Students Details'!C191)</f>
        <v/>
      </c>
      <c r="D191" s="83" t="str">
        <f>IF('I Component'!R192=0,"",'I Component'!R192)</f>
        <v/>
      </c>
      <c r="E191" s="83" t="str">
        <f>IF('I Component'!S192=0,"",'I Component'!S192)</f>
        <v/>
      </c>
      <c r="F191" s="83" t="str">
        <f>IF('I Component'!T192=0,"",'I Component'!T192)</f>
        <v/>
      </c>
      <c r="G191" s="83" t="str">
        <f>IF('I Component'!U192=0,"",'I Component'!U192)</f>
        <v/>
      </c>
      <c r="H191" s="83" t="str">
        <f>IF('I Component'!V192=0,"",'I Component'!V192)</f>
        <v/>
      </c>
      <c r="I191" s="83" t="str">
        <f>IF('I Component'!W192=0,"",'I Component'!W192)</f>
        <v/>
      </c>
      <c r="J191" s="83">
        <f t="shared" si="0"/>
        <v>0</v>
      </c>
      <c r="K191" s="1"/>
      <c r="L191" s="1"/>
      <c r="M191" s="1"/>
      <c r="N191" s="1"/>
      <c r="O191" s="1"/>
      <c r="P191" s="1"/>
      <c r="Q191" s="1"/>
      <c r="R191" s="1"/>
      <c r="S191" s="1"/>
      <c r="T191" s="1"/>
      <c r="U191" s="1"/>
      <c r="V191" s="1"/>
      <c r="W191" s="1"/>
      <c r="X191" s="1"/>
      <c r="Y191" s="1"/>
      <c r="Z191" s="1"/>
    </row>
    <row r="192" spans="1:26" ht="15.75" customHeight="1">
      <c r="A192" s="80">
        <f>'Students Details'!A192</f>
        <v>0</v>
      </c>
      <c r="B192" s="81" t="str">
        <f>IF('Students Details'!B192="","",'Students Details'!B192)</f>
        <v/>
      </c>
      <c r="C192" s="82" t="str">
        <f>IF('Students Details'!C192="","",'Students Details'!C192)</f>
        <v/>
      </c>
      <c r="D192" s="83" t="str">
        <f>IF('I Component'!R193=0,"",'I Component'!R193)</f>
        <v/>
      </c>
      <c r="E192" s="83" t="str">
        <f>IF('I Component'!S193=0,"",'I Component'!S193)</f>
        <v/>
      </c>
      <c r="F192" s="83" t="str">
        <f>IF('I Component'!T193=0,"",'I Component'!T193)</f>
        <v/>
      </c>
      <c r="G192" s="83" t="str">
        <f>IF('I Component'!U193=0,"",'I Component'!U193)</f>
        <v/>
      </c>
      <c r="H192" s="83" t="str">
        <f>IF('I Component'!V193=0,"",'I Component'!V193)</f>
        <v/>
      </c>
      <c r="I192" s="83" t="str">
        <f>IF('I Component'!W193=0,"",'I Component'!W193)</f>
        <v/>
      </c>
      <c r="J192" s="83">
        <f t="shared" si="0"/>
        <v>0</v>
      </c>
      <c r="K192" s="1"/>
      <c r="L192" s="1"/>
      <c r="M192" s="1"/>
      <c r="N192" s="1"/>
      <c r="O192" s="1"/>
      <c r="P192" s="1"/>
      <c r="Q192" s="1"/>
      <c r="R192" s="1"/>
      <c r="S192" s="1"/>
      <c r="T192" s="1"/>
      <c r="U192" s="1"/>
      <c r="V192" s="1"/>
      <c r="W192" s="1"/>
      <c r="X192" s="1"/>
      <c r="Y192" s="1"/>
      <c r="Z192" s="1"/>
    </row>
    <row r="193" spans="1:26" ht="15.75" customHeight="1">
      <c r="A193" s="80">
        <f>'Students Details'!A193</f>
        <v>0</v>
      </c>
      <c r="B193" s="81" t="str">
        <f>IF('Students Details'!B193="","",'Students Details'!B193)</f>
        <v/>
      </c>
      <c r="C193" s="82" t="str">
        <f>IF('Students Details'!C193="","",'Students Details'!C193)</f>
        <v/>
      </c>
      <c r="D193" s="83" t="str">
        <f>IF('I Component'!R194=0,"",'I Component'!R194)</f>
        <v/>
      </c>
      <c r="E193" s="83" t="str">
        <f>IF('I Component'!S194=0,"",'I Component'!S194)</f>
        <v/>
      </c>
      <c r="F193" s="83" t="str">
        <f>IF('I Component'!T194=0,"",'I Component'!T194)</f>
        <v/>
      </c>
      <c r="G193" s="83" t="str">
        <f>IF('I Component'!U194=0,"",'I Component'!U194)</f>
        <v/>
      </c>
      <c r="H193" s="83" t="str">
        <f>IF('I Component'!V194=0,"",'I Component'!V194)</f>
        <v/>
      </c>
      <c r="I193" s="83" t="str">
        <f>IF('I Component'!W194=0,"",'I Component'!W194)</f>
        <v/>
      </c>
      <c r="J193" s="83">
        <f t="shared" si="0"/>
        <v>0</v>
      </c>
      <c r="K193" s="1"/>
      <c r="L193" s="1"/>
      <c r="M193" s="1"/>
      <c r="N193" s="1"/>
      <c r="O193" s="1"/>
      <c r="P193" s="1"/>
      <c r="Q193" s="1"/>
      <c r="R193" s="1"/>
      <c r="S193" s="1"/>
      <c r="T193" s="1"/>
      <c r="U193" s="1"/>
      <c r="V193" s="1"/>
      <c r="W193" s="1"/>
      <c r="X193" s="1"/>
      <c r="Y193" s="1"/>
      <c r="Z193" s="1"/>
    </row>
    <row r="194" spans="1:26" ht="15.75" customHeight="1">
      <c r="A194" s="80">
        <f>'Students Details'!A194</f>
        <v>0</v>
      </c>
      <c r="B194" s="81" t="str">
        <f>IF('Students Details'!B194="","",'Students Details'!B194)</f>
        <v/>
      </c>
      <c r="C194" s="82" t="str">
        <f>IF('Students Details'!C194="","",'Students Details'!C194)</f>
        <v/>
      </c>
      <c r="D194" s="83" t="str">
        <f>IF('I Component'!R195=0,"",'I Component'!R195)</f>
        <v/>
      </c>
      <c r="E194" s="83" t="str">
        <f>IF('I Component'!S195=0,"",'I Component'!S195)</f>
        <v/>
      </c>
      <c r="F194" s="83" t="str">
        <f>IF('I Component'!T195=0,"",'I Component'!T195)</f>
        <v/>
      </c>
      <c r="G194" s="83" t="str">
        <f>IF('I Component'!U195=0,"",'I Component'!U195)</f>
        <v/>
      </c>
      <c r="H194" s="83" t="str">
        <f>IF('I Component'!V195=0,"",'I Component'!V195)</f>
        <v/>
      </c>
      <c r="I194" s="83" t="str">
        <f>IF('I Component'!W195=0,"",'I Component'!W195)</f>
        <v/>
      </c>
      <c r="J194" s="83">
        <f t="shared" si="0"/>
        <v>0</v>
      </c>
      <c r="K194" s="1"/>
      <c r="L194" s="1"/>
      <c r="M194" s="1"/>
      <c r="N194" s="1"/>
      <c r="O194" s="1"/>
      <c r="P194" s="1"/>
      <c r="Q194" s="1"/>
      <c r="R194" s="1"/>
      <c r="S194" s="1"/>
      <c r="T194" s="1"/>
      <c r="U194" s="1"/>
      <c r="V194" s="1"/>
      <c r="W194" s="1"/>
      <c r="X194" s="1"/>
      <c r="Y194" s="1"/>
      <c r="Z194" s="1"/>
    </row>
    <row r="195" spans="1:26" ht="15.75" customHeight="1">
      <c r="A195" s="80">
        <f>'Students Details'!A195</f>
        <v>0</v>
      </c>
      <c r="B195" s="81" t="str">
        <f>IF('Students Details'!B195="","",'Students Details'!B195)</f>
        <v/>
      </c>
      <c r="C195" s="82" t="str">
        <f>IF('Students Details'!C195="","",'Students Details'!C195)</f>
        <v/>
      </c>
      <c r="D195" s="83" t="str">
        <f>IF('I Component'!R196=0,"",'I Component'!R196)</f>
        <v/>
      </c>
      <c r="E195" s="83" t="str">
        <f>IF('I Component'!S196=0,"",'I Component'!S196)</f>
        <v/>
      </c>
      <c r="F195" s="83" t="str">
        <f>IF('I Component'!T196=0,"",'I Component'!T196)</f>
        <v/>
      </c>
      <c r="G195" s="83" t="str">
        <f>IF('I Component'!U196=0,"",'I Component'!U196)</f>
        <v/>
      </c>
      <c r="H195" s="83" t="str">
        <f>IF('I Component'!V196=0,"",'I Component'!V196)</f>
        <v/>
      </c>
      <c r="I195" s="83" t="str">
        <f>IF('I Component'!W196=0,"",'I Component'!W196)</f>
        <v/>
      </c>
      <c r="J195" s="83">
        <f t="shared" si="0"/>
        <v>0</v>
      </c>
      <c r="K195" s="1"/>
      <c r="L195" s="1"/>
      <c r="M195" s="1"/>
      <c r="N195" s="1"/>
      <c r="O195" s="1"/>
      <c r="P195" s="1"/>
      <c r="Q195" s="1"/>
      <c r="R195" s="1"/>
      <c r="S195" s="1"/>
      <c r="T195" s="1"/>
      <c r="U195" s="1"/>
      <c r="V195" s="1"/>
      <c r="W195" s="1"/>
      <c r="X195" s="1"/>
      <c r="Y195" s="1"/>
      <c r="Z195" s="1"/>
    </row>
    <row r="196" spans="1:26" ht="15.75" customHeight="1">
      <c r="A196" s="80">
        <f>'Students Details'!A196</f>
        <v>0</v>
      </c>
      <c r="B196" s="81" t="str">
        <f>IF('Students Details'!B196="","",'Students Details'!B196)</f>
        <v/>
      </c>
      <c r="C196" s="82" t="str">
        <f>IF('Students Details'!C196="","",'Students Details'!C196)</f>
        <v/>
      </c>
      <c r="D196" s="83" t="str">
        <f>IF('I Component'!R197=0,"",'I Component'!R197)</f>
        <v/>
      </c>
      <c r="E196" s="83" t="str">
        <f>IF('I Component'!S197=0,"",'I Component'!S197)</f>
        <v/>
      </c>
      <c r="F196" s="83" t="str">
        <f>IF('I Component'!T197=0,"",'I Component'!T197)</f>
        <v/>
      </c>
      <c r="G196" s="83" t="str">
        <f>IF('I Component'!U197=0,"",'I Component'!U197)</f>
        <v/>
      </c>
      <c r="H196" s="83" t="str">
        <f>IF('I Component'!V197=0,"",'I Component'!V197)</f>
        <v/>
      </c>
      <c r="I196" s="83" t="str">
        <f>IF('I Component'!W197=0,"",'I Component'!W197)</f>
        <v/>
      </c>
      <c r="J196" s="83">
        <f t="shared" si="0"/>
        <v>0</v>
      </c>
      <c r="K196" s="1"/>
      <c r="L196" s="1"/>
      <c r="M196" s="1"/>
      <c r="N196" s="1"/>
      <c r="O196" s="1"/>
      <c r="P196" s="1"/>
      <c r="Q196" s="1"/>
      <c r="R196" s="1"/>
      <c r="S196" s="1"/>
      <c r="T196" s="1"/>
      <c r="U196" s="1"/>
      <c r="V196" s="1"/>
      <c r="W196" s="1"/>
      <c r="X196" s="1"/>
      <c r="Y196" s="1"/>
      <c r="Z196" s="1"/>
    </row>
    <row r="197" spans="1:26" ht="15.75" customHeight="1">
      <c r="A197" s="80">
        <f>'Students Details'!A197</f>
        <v>0</v>
      </c>
      <c r="B197" s="81" t="str">
        <f>IF('Students Details'!B197="","",'Students Details'!B197)</f>
        <v/>
      </c>
      <c r="C197" s="82" t="str">
        <f>IF('Students Details'!C197="","",'Students Details'!C197)</f>
        <v/>
      </c>
      <c r="D197" s="83" t="str">
        <f>IF('I Component'!R198=0,"",'I Component'!R198)</f>
        <v/>
      </c>
      <c r="E197" s="83" t="str">
        <f>IF('I Component'!S198=0,"",'I Component'!S198)</f>
        <v/>
      </c>
      <c r="F197" s="83" t="str">
        <f>IF('I Component'!T198=0,"",'I Component'!T198)</f>
        <v/>
      </c>
      <c r="G197" s="83" t="str">
        <f>IF('I Component'!U198=0,"",'I Component'!U198)</f>
        <v/>
      </c>
      <c r="H197" s="83" t="str">
        <f>IF('I Component'!V198=0,"",'I Component'!V198)</f>
        <v/>
      </c>
      <c r="I197" s="83" t="str">
        <f>IF('I Component'!W198=0,"",'I Component'!W198)</f>
        <v/>
      </c>
      <c r="J197" s="83">
        <f t="shared" si="0"/>
        <v>0</v>
      </c>
      <c r="K197" s="1"/>
      <c r="L197" s="1"/>
      <c r="M197" s="1"/>
      <c r="N197" s="1"/>
      <c r="O197" s="1"/>
      <c r="P197" s="1"/>
      <c r="Q197" s="1"/>
      <c r="R197" s="1"/>
      <c r="S197" s="1"/>
      <c r="T197" s="1"/>
      <c r="U197" s="1"/>
      <c r="V197" s="1"/>
      <c r="W197" s="1"/>
      <c r="X197" s="1"/>
      <c r="Y197" s="1"/>
      <c r="Z197" s="1"/>
    </row>
    <row r="198" spans="1:26" ht="15.75" customHeight="1">
      <c r="A198" s="80">
        <f>'Students Details'!A198</f>
        <v>0</v>
      </c>
      <c r="B198" s="81" t="str">
        <f>IF('Students Details'!B198="","",'Students Details'!B198)</f>
        <v/>
      </c>
      <c r="C198" s="82" t="str">
        <f>IF('Students Details'!C198="","",'Students Details'!C198)</f>
        <v/>
      </c>
      <c r="D198" s="83" t="str">
        <f>IF('I Component'!R199=0,"",'I Component'!R199)</f>
        <v/>
      </c>
      <c r="E198" s="83" t="str">
        <f>IF('I Component'!S199=0,"",'I Component'!S199)</f>
        <v/>
      </c>
      <c r="F198" s="83" t="str">
        <f>IF('I Component'!T199=0,"",'I Component'!T199)</f>
        <v/>
      </c>
      <c r="G198" s="83" t="str">
        <f>IF('I Component'!U199=0,"",'I Component'!U199)</f>
        <v/>
      </c>
      <c r="H198" s="83" t="str">
        <f>IF('I Component'!V199=0,"",'I Component'!V199)</f>
        <v/>
      </c>
      <c r="I198" s="83" t="str">
        <f>IF('I Component'!W199=0,"",'I Component'!W199)</f>
        <v/>
      </c>
      <c r="J198" s="83">
        <f t="shared" si="0"/>
        <v>0</v>
      </c>
      <c r="K198" s="1"/>
      <c r="L198" s="1"/>
      <c r="M198" s="1"/>
      <c r="N198" s="1"/>
      <c r="O198" s="1"/>
      <c r="P198" s="1"/>
      <c r="Q198" s="1"/>
      <c r="R198" s="1"/>
      <c r="S198" s="1"/>
      <c r="T198" s="1"/>
      <c r="U198" s="1"/>
      <c r="V198" s="1"/>
      <c r="W198" s="1"/>
      <c r="X198" s="1"/>
      <c r="Y198" s="1"/>
      <c r="Z198" s="1"/>
    </row>
    <row r="199" spans="1:26" ht="15.75" customHeight="1">
      <c r="A199" s="80">
        <f>'Students Details'!A199</f>
        <v>0</v>
      </c>
      <c r="B199" s="81" t="str">
        <f>IF('Students Details'!B199="","",'Students Details'!B199)</f>
        <v/>
      </c>
      <c r="C199" s="82" t="str">
        <f>IF('Students Details'!C199="","",'Students Details'!C199)</f>
        <v/>
      </c>
      <c r="D199" s="83" t="str">
        <f>IF('I Component'!R200=0,"",'I Component'!R200)</f>
        <v/>
      </c>
      <c r="E199" s="83" t="str">
        <f>IF('I Component'!S200=0,"",'I Component'!S200)</f>
        <v/>
      </c>
      <c r="F199" s="83" t="str">
        <f>IF('I Component'!T200=0,"",'I Component'!T200)</f>
        <v/>
      </c>
      <c r="G199" s="83" t="str">
        <f>IF('I Component'!U200=0,"",'I Component'!U200)</f>
        <v/>
      </c>
      <c r="H199" s="83" t="str">
        <f>IF('I Component'!V200=0,"",'I Component'!V200)</f>
        <v/>
      </c>
      <c r="I199" s="83" t="str">
        <f>IF('I Component'!W200=0,"",'I Component'!W200)</f>
        <v/>
      </c>
      <c r="J199" s="83">
        <f t="shared" si="0"/>
        <v>0</v>
      </c>
      <c r="K199" s="1"/>
      <c r="L199" s="1"/>
      <c r="M199" s="1"/>
      <c r="N199" s="1"/>
      <c r="O199" s="1"/>
      <c r="P199" s="1"/>
      <c r="Q199" s="1"/>
      <c r="R199" s="1"/>
      <c r="S199" s="1"/>
      <c r="T199" s="1"/>
      <c r="U199" s="1"/>
      <c r="V199" s="1"/>
      <c r="W199" s="1"/>
      <c r="X199" s="1"/>
      <c r="Y199" s="1"/>
      <c r="Z199" s="1"/>
    </row>
    <row r="200" spans="1:26" ht="15.75" customHeight="1">
      <c r="A200" s="80">
        <f>'Students Details'!A200</f>
        <v>0</v>
      </c>
      <c r="B200" s="81" t="str">
        <f>IF('Students Details'!B200="","",'Students Details'!B200)</f>
        <v/>
      </c>
      <c r="C200" s="82" t="str">
        <f>IF('Students Details'!C200="","",'Students Details'!C200)</f>
        <v/>
      </c>
      <c r="D200" s="83" t="str">
        <f>IF('I Component'!R201=0,"",'I Component'!R201)</f>
        <v/>
      </c>
      <c r="E200" s="83" t="str">
        <f>IF('I Component'!S201=0,"",'I Component'!S201)</f>
        <v/>
      </c>
      <c r="F200" s="83" t="str">
        <f>IF('I Component'!T201=0,"",'I Component'!T201)</f>
        <v/>
      </c>
      <c r="G200" s="83" t="str">
        <f>IF('I Component'!U201=0,"",'I Component'!U201)</f>
        <v/>
      </c>
      <c r="H200" s="83" t="str">
        <f>IF('I Component'!V201=0,"",'I Component'!V201)</f>
        <v/>
      </c>
      <c r="I200" s="83" t="str">
        <f>IF('I Component'!W201=0,"",'I Component'!W201)</f>
        <v/>
      </c>
      <c r="J200" s="83">
        <f t="shared" si="0"/>
        <v>0</v>
      </c>
      <c r="K200" s="1"/>
      <c r="L200" s="1"/>
      <c r="M200" s="1"/>
      <c r="N200" s="1"/>
      <c r="O200" s="1"/>
      <c r="P200" s="1"/>
      <c r="Q200" s="1"/>
      <c r="R200" s="1"/>
      <c r="S200" s="1"/>
      <c r="T200" s="1"/>
      <c r="U200" s="1"/>
      <c r="V200" s="1"/>
      <c r="W200" s="1"/>
      <c r="X200" s="1"/>
      <c r="Y200" s="1"/>
      <c r="Z200" s="1"/>
    </row>
    <row r="201" spans="1:26" ht="15.75" customHeight="1">
      <c r="A201" s="80">
        <f>'Students Details'!A201</f>
        <v>0</v>
      </c>
      <c r="B201" s="81" t="str">
        <f>IF('Students Details'!B201="","",'Students Details'!B201)</f>
        <v/>
      </c>
      <c r="C201" s="82" t="str">
        <f>IF('Students Details'!C201="","",'Students Details'!C201)</f>
        <v/>
      </c>
      <c r="D201" s="83" t="str">
        <f>IF('I Component'!R202=0,"",'I Component'!R202)</f>
        <v/>
      </c>
      <c r="E201" s="83" t="str">
        <f>IF('I Component'!S202=0,"",'I Component'!S202)</f>
        <v/>
      </c>
      <c r="F201" s="83" t="str">
        <f>IF('I Component'!T202=0,"",'I Component'!T202)</f>
        <v/>
      </c>
      <c r="G201" s="83" t="str">
        <f>IF('I Component'!U202=0,"",'I Component'!U202)</f>
        <v/>
      </c>
      <c r="H201" s="83" t="str">
        <f>IF('I Component'!V202=0,"",'I Component'!V202)</f>
        <v/>
      </c>
      <c r="I201" s="83" t="str">
        <f>IF('I Component'!W202=0,"",'I Component'!W202)</f>
        <v/>
      </c>
      <c r="J201" s="83">
        <f t="shared" si="0"/>
        <v>0</v>
      </c>
      <c r="K201" s="1"/>
      <c r="L201" s="1"/>
      <c r="M201" s="1"/>
      <c r="N201" s="1"/>
      <c r="O201" s="1"/>
      <c r="P201" s="1"/>
      <c r="Q201" s="1"/>
      <c r="R201" s="1"/>
      <c r="S201" s="1"/>
      <c r="T201" s="1"/>
      <c r="U201" s="1"/>
      <c r="V201" s="1"/>
      <c r="W201" s="1"/>
      <c r="X201" s="1"/>
      <c r="Y201" s="1"/>
      <c r="Z201" s="1"/>
    </row>
    <row r="202" spans="1:26" ht="15.75" customHeight="1">
      <c r="A202" s="80">
        <f>'Students Details'!A202</f>
        <v>0</v>
      </c>
      <c r="B202" s="81" t="str">
        <f>IF('Students Details'!B202="","",'Students Details'!B202)</f>
        <v/>
      </c>
      <c r="C202" s="82" t="str">
        <f>IF('Students Details'!C202="","",'Students Details'!C202)</f>
        <v/>
      </c>
      <c r="D202" s="83" t="str">
        <f>IF('I Component'!R203=0,"",'I Component'!R203)</f>
        <v/>
      </c>
      <c r="E202" s="83" t="str">
        <f>IF('I Component'!S203=0,"",'I Component'!S203)</f>
        <v/>
      </c>
      <c r="F202" s="83" t="str">
        <f>IF('I Component'!T203=0,"",'I Component'!T203)</f>
        <v/>
      </c>
      <c r="G202" s="83" t="str">
        <f>IF('I Component'!U203=0,"",'I Component'!U203)</f>
        <v/>
      </c>
      <c r="H202" s="83" t="str">
        <f>IF('I Component'!V203=0,"",'I Component'!V203)</f>
        <v/>
      </c>
      <c r="I202" s="83" t="str">
        <f>IF('I Component'!W203=0,"",'I Component'!W203)</f>
        <v/>
      </c>
      <c r="J202" s="83">
        <f t="shared" si="0"/>
        <v>0</v>
      </c>
      <c r="K202" s="1"/>
      <c r="L202" s="1"/>
      <c r="M202" s="1"/>
      <c r="N202" s="1"/>
      <c r="O202" s="1"/>
      <c r="P202" s="1"/>
      <c r="Q202" s="1"/>
      <c r="R202" s="1"/>
      <c r="S202" s="1"/>
      <c r="T202" s="1"/>
      <c r="U202" s="1"/>
      <c r="V202" s="1"/>
      <c r="W202" s="1"/>
      <c r="X202" s="1"/>
      <c r="Y202" s="1"/>
      <c r="Z202" s="1"/>
    </row>
    <row r="203" spans="1:26" ht="15.75" customHeight="1">
      <c r="A203" s="80">
        <f>'Students Details'!A203</f>
        <v>0</v>
      </c>
      <c r="B203" s="81" t="str">
        <f>IF('Students Details'!B203="","",'Students Details'!B203)</f>
        <v/>
      </c>
      <c r="C203" s="82" t="str">
        <f>IF('Students Details'!C203="","",'Students Details'!C203)</f>
        <v/>
      </c>
      <c r="D203" s="83" t="str">
        <f>IF('I Component'!R204=0,"",'I Component'!R204)</f>
        <v/>
      </c>
      <c r="E203" s="83" t="str">
        <f>IF('I Component'!S204=0,"",'I Component'!S204)</f>
        <v/>
      </c>
      <c r="F203" s="83" t="str">
        <f>IF('I Component'!T204=0,"",'I Component'!T204)</f>
        <v/>
      </c>
      <c r="G203" s="83" t="str">
        <f>IF('I Component'!U204=0,"",'I Component'!U204)</f>
        <v/>
      </c>
      <c r="H203" s="83" t="str">
        <f>IF('I Component'!V204=0,"",'I Component'!V204)</f>
        <v/>
      </c>
      <c r="I203" s="83" t="str">
        <f>IF('I Component'!W204=0,"",'I Component'!W204)</f>
        <v/>
      </c>
      <c r="J203" s="83">
        <f t="shared" si="0"/>
        <v>0</v>
      </c>
      <c r="K203" s="1"/>
      <c r="L203" s="1"/>
      <c r="M203" s="1"/>
      <c r="N203" s="1"/>
      <c r="O203" s="1"/>
      <c r="P203" s="1"/>
      <c r="Q203" s="1"/>
      <c r="R203" s="1"/>
      <c r="S203" s="1"/>
      <c r="T203" s="1"/>
      <c r="U203" s="1"/>
      <c r="V203" s="1"/>
      <c r="W203" s="1"/>
      <c r="X203" s="1"/>
      <c r="Y203" s="1"/>
      <c r="Z203" s="1"/>
    </row>
    <row r="204" spans="1:26" ht="15.75" customHeight="1">
      <c r="A204" s="80">
        <f>'Students Details'!A204</f>
        <v>0</v>
      </c>
      <c r="B204" s="81" t="str">
        <f>IF('Students Details'!B204="","",'Students Details'!B204)</f>
        <v/>
      </c>
      <c r="C204" s="82" t="str">
        <f>IF('Students Details'!C204="","",'Students Details'!C204)</f>
        <v/>
      </c>
      <c r="D204" s="83" t="str">
        <f>IF('I Component'!R205=0,"",'I Component'!R205)</f>
        <v/>
      </c>
      <c r="E204" s="83" t="str">
        <f>IF('I Component'!S205=0,"",'I Component'!S205)</f>
        <v/>
      </c>
      <c r="F204" s="83" t="str">
        <f>IF('I Component'!T205=0,"",'I Component'!T205)</f>
        <v/>
      </c>
      <c r="G204" s="83" t="str">
        <f>IF('I Component'!U205=0,"",'I Component'!U205)</f>
        <v/>
      </c>
      <c r="H204" s="83" t="str">
        <f>IF('I Component'!V205=0,"",'I Component'!V205)</f>
        <v/>
      </c>
      <c r="I204" s="83" t="str">
        <f>IF('I Component'!W205=0,"",'I Component'!W205)</f>
        <v/>
      </c>
      <c r="J204" s="83">
        <f t="shared" si="0"/>
        <v>0</v>
      </c>
      <c r="K204" s="1"/>
      <c r="L204" s="1"/>
      <c r="M204" s="1"/>
      <c r="N204" s="1"/>
      <c r="O204" s="1"/>
      <c r="P204" s="1"/>
      <c r="Q204" s="1"/>
      <c r="R204" s="1"/>
      <c r="S204" s="1"/>
      <c r="T204" s="1"/>
      <c r="U204" s="1"/>
      <c r="V204" s="1"/>
      <c r="W204" s="1"/>
      <c r="X204" s="1"/>
      <c r="Y204" s="1"/>
      <c r="Z204" s="1"/>
    </row>
    <row r="205" spans="1:26" ht="15.75" customHeight="1">
      <c r="A205" s="80">
        <f>'Students Details'!A205</f>
        <v>0</v>
      </c>
      <c r="B205" s="81" t="str">
        <f>IF('Students Details'!B205="","",'Students Details'!B205)</f>
        <v/>
      </c>
      <c r="C205" s="82" t="str">
        <f>IF('Students Details'!C205="","",'Students Details'!C205)</f>
        <v/>
      </c>
      <c r="D205" s="83" t="str">
        <f>IF('I Component'!R206=0,"",'I Component'!R206)</f>
        <v/>
      </c>
      <c r="E205" s="83" t="str">
        <f>IF('I Component'!S206=0,"",'I Component'!S206)</f>
        <v/>
      </c>
      <c r="F205" s="83" t="str">
        <f>IF('I Component'!T206=0,"",'I Component'!T206)</f>
        <v/>
      </c>
      <c r="G205" s="83" t="str">
        <f>IF('I Component'!U206=0,"",'I Component'!U206)</f>
        <v/>
      </c>
      <c r="H205" s="83" t="str">
        <f>IF('I Component'!V206=0,"",'I Component'!V206)</f>
        <v/>
      </c>
      <c r="I205" s="83" t="str">
        <f>IF('I Component'!W206=0,"",'I Component'!W206)</f>
        <v/>
      </c>
      <c r="J205" s="83">
        <f t="shared" si="0"/>
        <v>0</v>
      </c>
      <c r="K205" s="1"/>
      <c r="L205" s="1"/>
      <c r="M205" s="1"/>
      <c r="N205" s="1"/>
      <c r="O205" s="1"/>
      <c r="P205" s="1"/>
      <c r="Q205" s="1"/>
      <c r="R205" s="1"/>
      <c r="S205" s="1"/>
      <c r="T205" s="1"/>
      <c r="U205" s="1"/>
      <c r="V205" s="1"/>
      <c r="W205" s="1"/>
      <c r="X205" s="1"/>
      <c r="Y205" s="1"/>
      <c r="Z205" s="1"/>
    </row>
    <row r="206" spans="1:26" ht="15.75" customHeight="1">
      <c r="A206" s="80">
        <f>'Students Details'!A206</f>
        <v>0</v>
      </c>
      <c r="B206" s="81" t="str">
        <f>IF('Students Details'!B206="","",'Students Details'!B206)</f>
        <v/>
      </c>
      <c r="C206" s="82" t="str">
        <f>IF('Students Details'!C206="","",'Students Details'!C206)</f>
        <v/>
      </c>
      <c r="D206" s="83" t="str">
        <f>IF('I Component'!R207=0,"",'I Component'!R207)</f>
        <v/>
      </c>
      <c r="E206" s="83" t="str">
        <f>IF('I Component'!S207=0,"",'I Component'!S207)</f>
        <v/>
      </c>
      <c r="F206" s="83" t="str">
        <f>IF('I Component'!T207=0,"",'I Component'!T207)</f>
        <v/>
      </c>
      <c r="G206" s="83" t="str">
        <f>IF('I Component'!U207=0,"",'I Component'!U207)</f>
        <v/>
      </c>
      <c r="H206" s="83" t="str">
        <f>IF('I Component'!V207=0,"",'I Component'!V207)</f>
        <v/>
      </c>
      <c r="I206" s="83" t="str">
        <f>IF('I Component'!W207=0,"",'I Component'!W207)</f>
        <v/>
      </c>
      <c r="J206" s="83">
        <f t="shared" si="0"/>
        <v>0</v>
      </c>
      <c r="K206" s="1"/>
      <c r="L206" s="1"/>
      <c r="M206" s="1"/>
      <c r="N206" s="1"/>
      <c r="O206" s="1"/>
      <c r="P206" s="1"/>
      <c r="Q206" s="1"/>
      <c r="R206" s="1"/>
      <c r="S206" s="1"/>
      <c r="T206" s="1"/>
      <c r="U206" s="1"/>
      <c r="V206" s="1"/>
      <c r="W206" s="1"/>
      <c r="X206" s="1"/>
      <c r="Y206" s="1"/>
      <c r="Z206" s="1"/>
    </row>
    <row r="207" spans="1:26" ht="15.75" customHeight="1">
      <c r="A207" s="107"/>
      <c r="B207" s="108"/>
      <c r="C207" s="109"/>
      <c r="D207" s="110"/>
      <c r="E207" s="107"/>
      <c r="F207" s="111"/>
      <c r="G207" s="107"/>
      <c r="H207" s="111"/>
      <c r="I207" s="111"/>
      <c r="J207" s="107"/>
      <c r="K207" s="1"/>
      <c r="L207" s="1"/>
      <c r="M207" s="1"/>
      <c r="N207" s="1"/>
      <c r="O207" s="1"/>
      <c r="P207" s="1"/>
      <c r="Q207" s="1"/>
      <c r="R207" s="1"/>
      <c r="S207" s="1"/>
      <c r="T207" s="1"/>
      <c r="U207" s="1"/>
      <c r="V207" s="1"/>
      <c r="W207" s="1"/>
      <c r="X207" s="1"/>
      <c r="Y207" s="1"/>
      <c r="Z207" s="1"/>
    </row>
    <row r="208" spans="1:26" ht="15.75" customHeight="1">
      <c r="A208" s="89" t="s">
        <v>85</v>
      </c>
      <c r="B208" s="15">
        <f>COUNT(B7:B206)</f>
        <v>0</v>
      </c>
      <c r="C208" s="90" t="s">
        <v>86</v>
      </c>
      <c r="D208" s="91">
        <f>J208</f>
        <v>40</v>
      </c>
      <c r="E208" s="91">
        <f>J208</f>
        <v>40</v>
      </c>
      <c r="F208" s="91">
        <f>J208</f>
        <v>40</v>
      </c>
      <c r="G208" s="91">
        <f>J208</f>
        <v>40</v>
      </c>
      <c r="H208" s="91">
        <f>J208</f>
        <v>40</v>
      </c>
      <c r="I208" s="91">
        <f>J208</f>
        <v>40</v>
      </c>
      <c r="J208" s="91">
        <f>'CO-PO Mapping'!E30</f>
        <v>40</v>
      </c>
      <c r="K208" s="1"/>
      <c r="L208" s="1"/>
      <c r="M208" s="1"/>
      <c r="N208" s="1"/>
      <c r="O208" s="1"/>
      <c r="P208" s="1"/>
      <c r="Q208" s="1"/>
      <c r="R208" s="1"/>
      <c r="S208" s="1"/>
      <c r="T208" s="1"/>
      <c r="U208" s="1"/>
      <c r="V208" s="1"/>
      <c r="W208" s="1"/>
      <c r="X208" s="1"/>
      <c r="Y208" s="1"/>
      <c r="Z208" s="1"/>
    </row>
    <row r="209" spans="1:26" ht="13.5" customHeight="1">
      <c r="A209" s="80"/>
      <c r="B209" s="112"/>
      <c r="C209" s="93" t="s">
        <v>87</v>
      </c>
      <c r="D209" s="113" t="str">
        <f t="shared" ref="D209:I209" si="1">IFERROR(D208*D6/100,"")</f>
        <v/>
      </c>
      <c r="E209" s="113" t="str">
        <f t="shared" si="1"/>
        <v/>
      </c>
      <c r="F209" s="113" t="str">
        <f t="shared" si="1"/>
        <v/>
      </c>
      <c r="G209" s="113" t="str">
        <f t="shared" si="1"/>
        <v/>
      </c>
      <c r="H209" s="113" t="str">
        <f t="shared" si="1"/>
        <v/>
      </c>
      <c r="I209" s="113" t="str">
        <f t="shared" si="1"/>
        <v/>
      </c>
      <c r="J209" s="113" t="str">
        <f>IF(J6=0,"",J208*J6/100)</f>
        <v/>
      </c>
      <c r="K209" s="1"/>
      <c r="L209" s="1"/>
      <c r="M209" s="1"/>
      <c r="N209" s="1"/>
      <c r="O209" s="1"/>
      <c r="P209" s="1"/>
      <c r="Q209" s="1"/>
      <c r="R209" s="1"/>
      <c r="S209" s="1"/>
      <c r="T209" s="1"/>
      <c r="U209" s="1"/>
      <c r="V209" s="1"/>
      <c r="W209" s="1"/>
      <c r="X209" s="1"/>
      <c r="Y209" s="1"/>
      <c r="Z209" s="1"/>
    </row>
    <row r="210" spans="1:26" ht="15.75" customHeight="1">
      <c r="A210" s="80"/>
      <c r="B210" s="112"/>
      <c r="C210" s="95"/>
      <c r="D210" s="83"/>
      <c r="E210" s="83"/>
      <c r="F210" s="83"/>
      <c r="G210" s="83"/>
      <c r="H210" s="83"/>
      <c r="I210" s="83"/>
      <c r="J210" s="83"/>
      <c r="K210" s="1"/>
      <c r="L210" s="1"/>
      <c r="M210" s="1"/>
      <c r="N210" s="1"/>
      <c r="O210" s="1"/>
      <c r="P210" s="1"/>
      <c r="Q210" s="1"/>
      <c r="R210" s="1"/>
      <c r="S210" s="1"/>
      <c r="T210" s="1"/>
      <c r="U210" s="1"/>
      <c r="V210" s="1"/>
      <c r="W210" s="1"/>
      <c r="X210" s="1"/>
      <c r="Y210" s="1"/>
      <c r="Z210" s="1"/>
    </row>
    <row r="211" spans="1:26" ht="15.75" customHeight="1">
      <c r="A211" s="80"/>
      <c r="B211" s="112"/>
      <c r="C211" s="96" t="s">
        <v>88</v>
      </c>
      <c r="D211" s="83">
        <f t="shared" ref="D211:J211" si="2">COUNTIF(D7:D206,"&gt;="&amp;D209)</f>
        <v>0</v>
      </c>
      <c r="E211" s="83">
        <f t="shared" si="2"/>
        <v>0</v>
      </c>
      <c r="F211" s="83">
        <f t="shared" si="2"/>
        <v>0</v>
      </c>
      <c r="G211" s="83">
        <f t="shared" si="2"/>
        <v>0</v>
      </c>
      <c r="H211" s="83">
        <f t="shared" si="2"/>
        <v>0</v>
      </c>
      <c r="I211" s="83">
        <f t="shared" si="2"/>
        <v>0</v>
      </c>
      <c r="J211" s="83">
        <f t="shared" si="2"/>
        <v>0</v>
      </c>
      <c r="K211" s="1"/>
      <c r="L211" s="1"/>
      <c r="M211" s="1"/>
      <c r="N211" s="1"/>
      <c r="O211" s="1"/>
      <c r="P211" s="1"/>
      <c r="Q211" s="1"/>
      <c r="R211" s="1"/>
      <c r="S211" s="1"/>
      <c r="T211" s="1"/>
      <c r="U211" s="1"/>
      <c r="V211" s="1"/>
      <c r="W211" s="1"/>
      <c r="X211" s="1"/>
      <c r="Y211" s="1"/>
      <c r="Z211" s="1"/>
    </row>
    <row r="212" spans="1:26" ht="15.75" customHeight="1">
      <c r="A212" s="80"/>
      <c r="B212" s="112"/>
      <c r="C212" s="96"/>
      <c r="D212" s="83"/>
      <c r="E212" s="83"/>
      <c r="F212" s="83"/>
      <c r="G212" s="83"/>
      <c r="H212" s="83"/>
      <c r="I212" s="83"/>
      <c r="J212" s="83"/>
      <c r="K212" s="1"/>
      <c r="L212" s="1"/>
      <c r="M212" s="1"/>
      <c r="N212" s="1"/>
      <c r="O212" s="1"/>
      <c r="P212" s="1"/>
      <c r="Q212" s="1"/>
      <c r="R212" s="1"/>
      <c r="S212" s="1"/>
      <c r="T212" s="1"/>
      <c r="U212" s="1"/>
      <c r="V212" s="1"/>
      <c r="W212" s="1"/>
      <c r="X212" s="1"/>
      <c r="Y212" s="1"/>
      <c r="Z212" s="1"/>
    </row>
    <row r="213" spans="1:26" ht="15.75" customHeight="1">
      <c r="A213" s="80"/>
      <c r="B213" s="112"/>
      <c r="C213" s="96" t="s">
        <v>89</v>
      </c>
      <c r="D213" s="83" t="e">
        <f t="shared" ref="D213:J213" si="3">D211/$B$208*100</f>
        <v>#DIV/0!</v>
      </c>
      <c r="E213" s="83" t="e">
        <f t="shared" si="3"/>
        <v>#DIV/0!</v>
      </c>
      <c r="F213" s="83" t="e">
        <f t="shared" si="3"/>
        <v>#DIV/0!</v>
      </c>
      <c r="G213" s="83" t="e">
        <f t="shared" si="3"/>
        <v>#DIV/0!</v>
      </c>
      <c r="H213" s="83" t="e">
        <f t="shared" si="3"/>
        <v>#DIV/0!</v>
      </c>
      <c r="I213" s="83" t="e">
        <f t="shared" si="3"/>
        <v>#DIV/0!</v>
      </c>
      <c r="J213" s="83" t="e">
        <f t="shared" si="3"/>
        <v>#DIV/0!</v>
      </c>
      <c r="K213" s="1"/>
      <c r="L213" s="1"/>
      <c r="M213" s="1"/>
      <c r="N213" s="1"/>
      <c r="O213" s="1"/>
      <c r="P213" s="1"/>
      <c r="Q213" s="1"/>
      <c r="R213" s="1"/>
      <c r="S213" s="1"/>
      <c r="T213" s="1"/>
      <c r="U213" s="1"/>
      <c r="V213" s="1"/>
      <c r="W213" s="1"/>
      <c r="X213" s="1"/>
      <c r="Y213" s="1"/>
      <c r="Z213" s="1"/>
    </row>
    <row r="214" spans="1:26" ht="15.75" customHeight="1">
      <c r="A214" s="80"/>
      <c r="B214" s="112"/>
      <c r="C214" s="96"/>
      <c r="D214" s="83"/>
      <c r="E214" s="83"/>
      <c r="F214" s="83"/>
      <c r="G214" s="83"/>
      <c r="H214" s="83"/>
      <c r="I214" s="83"/>
      <c r="J214" s="83"/>
      <c r="K214" s="1"/>
      <c r="L214" s="1"/>
      <c r="M214" s="1"/>
      <c r="N214" s="1"/>
      <c r="O214" s="1"/>
      <c r="P214" s="1"/>
      <c r="Q214" s="1"/>
      <c r="R214" s="1"/>
      <c r="S214" s="1"/>
      <c r="T214" s="1"/>
      <c r="U214" s="1"/>
      <c r="V214" s="1"/>
      <c r="W214" s="1"/>
      <c r="X214" s="1"/>
      <c r="Y214" s="1"/>
      <c r="Z214" s="1"/>
    </row>
    <row r="215" spans="1:26" ht="12.75" customHeight="1">
      <c r="A215" s="80"/>
      <c r="B215" s="112"/>
      <c r="C215" s="96" t="s">
        <v>99</v>
      </c>
      <c r="D215" s="97" t="str">
        <f>IF(D6="","",IF(D213&lt;='CO-PO Mapping'!L27,0,IF(D213&lt;='CO-PO Mapping'!L28,1,IF(D213&lt;='CO-PO Mapping'!L29,2,3))))</f>
        <v/>
      </c>
      <c r="E215" s="97" t="str">
        <f>IF(E6="","",IF(E213&lt;='CO-PO Mapping'!$L$27,0,IF(E213&lt;='CO-PO Mapping'!$L$28,1,IF(E213&lt;='CO-PO Mapping'!$L$29,2,3))))</f>
        <v/>
      </c>
      <c r="F215" s="97" t="str">
        <f>IF(F6="","",IF(F213&lt;='CO-PO Mapping'!$L$27,0,IF(F213&lt;='CO-PO Mapping'!$L$28,1,IF(F213&lt;='CO-PO Mapping'!$L$29,2,3))))</f>
        <v/>
      </c>
      <c r="G215" s="97" t="str">
        <f>IF(G6="","",IF(G213&lt;='CO-PO Mapping'!$L$27,0,IF(G213&lt;='CO-PO Mapping'!$L$28,1,IF(G213&lt;='CO-PO Mapping'!$L$29,2,3))))</f>
        <v/>
      </c>
      <c r="H215" s="97" t="str">
        <f>IF(H6="","",IF(H213&lt;='CO-PO Mapping'!$L$27,0,IF(H213&lt;='CO-PO Mapping'!$L$28,1,IF(H213&lt;='CO-PO Mapping'!$L$29,2,3))))</f>
        <v/>
      </c>
      <c r="I215" s="97" t="str">
        <f>IF(I6="","",IF(I213&lt;='CO-PO Mapping'!$L$27,0,IF(I213&lt;='CO-PO Mapping'!$L$28,1,IF(I213&lt;='CO-PO Mapping'!$L$29,2,3))))</f>
        <v/>
      </c>
      <c r="J215" s="97" t="e">
        <f>IF(J6="","",IF(J213&lt;='CO-PO Mapping'!$L$27,0,IF(J213&lt;='CO-PO Mapping'!$L$28,1,IF(J213&lt;='CO-PO Mapping'!$L$29,2,3))))</f>
        <v>#DIV/0!</v>
      </c>
      <c r="K215" s="1"/>
      <c r="L215" s="1"/>
      <c r="M215" s="1"/>
      <c r="N215" s="1"/>
      <c r="O215" s="1"/>
      <c r="P215" s="1"/>
      <c r="Q215" s="1"/>
      <c r="R215" s="1"/>
      <c r="S215" s="1"/>
      <c r="T215" s="1"/>
      <c r="U215" s="1"/>
      <c r="V215" s="1"/>
      <c r="W215" s="1"/>
      <c r="X215" s="1"/>
      <c r="Y215" s="1"/>
      <c r="Z215" s="1"/>
    </row>
    <row r="216" spans="1:26" ht="15.75" hidden="1" customHeight="1">
      <c r="A216" s="114"/>
      <c r="B216" s="98"/>
      <c r="C216" s="99" t="b">
        <f>IF($B$216=1,C215,IF($B$216=2,#REF!,IF($B$216=3,#REF!)))</f>
        <v>0</v>
      </c>
      <c r="D216" s="100" t="str">
        <f t="shared" ref="D216:H216" si="4">IF($J$6="0","0",D215)</f>
        <v/>
      </c>
      <c r="E216" s="100" t="str">
        <f t="shared" si="4"/>
        <v/>
      </c>
      <c r="F216" s="100" t="str">
        <f t="shared" si="4"/>
        <v/>
      </c>
      <c r="G216" s="100" t="str">
        <f t="shared" si="4"/>
        <v/>
      </c>
      <c r="H216" s="100" t="str">
        <f t="shared" si="4"/>
        <v/>
      </c>
      <c r="I216" s="101"/>
      <c r="J216" s="100" t="e">
        <f>IF($J$6="0","0",J215)</f>
        <v>#DIV/0!</v>
      </c>
      <c r="K216" s="10"/>
      <c r="L216" s="10"/>
      <c r="M216" s="10"/>
      <c r="N216" s="10"/>
      <c r="O216" s="10"/>
      <c r="P216" s="10"/>
      <c r="Q216" s="10"/>
      <c r="R216" s="10"/>
      <c r="S216" s="10"/>
      <c r="T216" s="10"/>
      <c r="U216" s="10"/>
      <c r="V216" s="10"/>
      <c r="W216" s="10"/>
      <c r="X216" s="10"/>
      <c r="Y216" s="10"/>
      <c r="Z216" s="10"/>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4"/>
      <c r="B222" s="4"/>
      <c r="C222" s="115"/>
      <c r="D222" s="4"/>
      <c r="E222" s="4"/>
      <c r="F222" s="4"/>
      <c r="G222" s="4"/>
      <c r="H222" s="4"/>
      <c r="I222" s="4"/>
      <c r="J222" s="4"/>
      <c r="K222" s="1"/>
      <c r="L222" s="1"/>
      <c r="M222" s="1"/>
      <c r="N222" s="1"/>
      <c r="O222" s="1"/>
      <c r="P222" s="1"/>
      <c r="Q222" s="1"/>
      <c r="R222" s="1"/>
      <c r="S222" s="1"/>
      <c r="T222" s="1"/>
      <c r="U222" s="1"/>
      <c r="V222" s="1"/>
      <c r="W222" s="1"/>
      <c r="X222" s="1"/>
      <c r="Y222" s="1"/>
      <c r="Z222" s="1"/>
    </row>
    <row r="223" spans="1:26" ht="15.75" customHeight="1">
      <c r="A223" s="4"/>
      <c r="B223" s="4"/>
      <c r="C223" s="115"/>
      <c r="D223" s="4"/>
      <c r="E223" s="4"/>
      <c r="F223" s="4"/>
      <c r="G223" s="4"/>
      <c r="H223" s="4"/>
      <c r="I223" s="4"/>
      <c r="J223" s="4"/>
      <c r="K223" s="1"/>
      <c r="L223" s="1"/>
      <c r="M223" s="1"/>
      <c r="N223" s="1"/>
      <c r="O223" s="1"/>
      <c r="P223" s="1"/>
      <c r="Q223" s="1"/>
      <c r="R223" s="1"/>
      <c r="S223" s="1"/>
      <c r="T223" s="1"/>
      <c r="U223" s="1"/>
      <c r="V223" s="1"/>
      <c r="W223" s="1"/>
      <c r="X223" s="1"/>
      <c r="Y223" s="1"/>
      <c r="Z223" s="1"/>
    </row>
    <row r="224" spans="1:26" ht="15.75" customHeight="1">
      <c r="A224" s="103"/>
      <c r="B224" s="103"/>
      <c r="C224" s="103"/>
      <c r="D224" s="116"/>
      <c r="E224" s="103"/>
      <c r="F224" s="103"/>
      <c r="G224" s="103"/>
      <c r="H224" s="103"/>
      <c r="I224" s="103"/>
      <c r="J224" s="103"/>
      <c r="K224" s="1"/>
      <c r="L224" s="1"/>
      <c r="M224" s="1"/>
      <c r="N224" s="1"/>
      <c r="O224" s="1"/>
      <c r="P224" s="1"/>
      <c r="Q224" s="1"/>
      <c r="R224" s="1"/>
      <c r="S224" s="1"/>
      <c r="T224" s="1"/>
      <c r="U224" s="1"/>
      <c r="V224" s="1"/>
      <c r="W224" s="1"/>
      <c r="X224" s="1"/>
      <c r="Y224" s="1"/>
      <c r="Z224" s="1"/>
    </row>
    <row r="225" spans="1:26" ht="15.75" customHeight="1">
      <c r="A225" s="4"/>
      <c r="B225" s="4"/>
      <c r="C225" s="117"/>
      <c r="D225" s="118"/>
      <c r="E225" s="118"/>
      <c r="F225" s="118"/>
      <c r="G225" s="118"/>
      <c r="H225" s="118"/>
      <c r="I225" s="118"/>
      <c r="J225" s="118"/>
      <c r="K225" s="1"/>
      <c r="L225" s="1"/>
      <c r="M225" s="1"/>
      <c r="N225" s="1"/>
      <c r="O225" s="1"/>
      <c r="P225" s="1"/>
      <c r="Q225" s="1"/>
      <c r="R225" s="1"/>
      <c r="S225" s="1"/>
      <c r="T225" s="1"/>
      <c r="U225" s="1"/>
      <c r="V225" s="1"/>
      <c r="W225" s="1"/>
      <c r="X225" s="1"/>
      <c r="Y225" s="1"/>
      <c r="Z225" s="1"/>
    </row>
    <row r="226" spans="1:26" ht="15.75" customHeight="1">
      <c r="A226" s="4"/>
      <c r="B226" s="119"/>
      <c r="C226" s="120"/>
      <c r="D226" s="118"/>
      <c r="E226" s="118"/>
      <c r="F226" s="4"/>
      <c r="G226" s="4"/>
      <c r="H226" s="4"/>
      <c r="I226" s="4"/>
      <c r="J226" s="4"/>
      <c r="K226" s="1"/>
      <c r="L226" s="1"/>
      <c r="M226" s="1"/>
      <c r="N226" s="1"/>
      <c r="O226" s="1"/>
      <c r="P226" s="1"/>
      <c r="Q226" s="1"/>
      <c r="R226" s="1"/>
      <c r="S226" s="1"/>
      <c r="T226" s="1"/>
      <c r="U226" s="1"/>
      <c r="V226" s="1"/>
      <c r="W226" s="1"/>
      <c r="X226" s="1"/>
      <c r="Y226" s="1"/>
      <c r="Z226" s="1"/>
    </row>
    <row r="227" spans="1:26" ht="15.75" customHeight="1">
      <c r="A227" s="4"/>
      <c r="B227" s="119"/>
      <c r="C227" s="120"/>
      <c r="D227" s="118"/>
      <c r="E227" s="4"/>
      <c r="F227" s="4"/>
      <c r="G227" s="4"/>
      <c r="H227" s="4"/>
      <c r="I227" s="4"/>
      <c r="J227" s="4"/>
      <c r="K227" s="1"/>
      <c r="L227" s="1"/>
      <c r="M227" s="1"/>
      <c r="N227" s="1"/>
      <c r="O227" s="1"/>
      <c r="P227" s="1"/>
      <c r="Q227" s="1"/>
      <c r="R227" s="1"/>
      <c r="S227" s="1"/>
      <c r="T227" s="1"/>
      <c r="U227" s="1"/>
      <c r="V227" s="1"/>
      <c r="W227" s="1"/>
      <c r="X227" s="1"/>
      <c r="Y227" s="1"/>
      <c r="Z227" s="1"/>
    </row>
    <row r="228" spans="1:26" ht="15.75" customHeight="1">
      <c r="A228" s="4"/>
      <c r="B228" s="119"/>
      <c r="C228" s="120"/>
      <c r="D228" s="4"/>
      <c r="E228" s="4"/>
      <c r="F228" s="4"/>
      <c r="G228" s="4"/>
      <c r="H228" s="4"/>
      <c r="I228" s="4"/>
      <c r="J228" s="4"/>
      <c r="K228" s="1"/>
      <c r="L228" s="1"/>
      <c r="M228" s="1"/>
      <c r="N228" s="1"/>
      <c r="O228" s="1"/>
      <c r="P228" s="1"/>
      <c r="Q228" s="1"/>
      <c r="R228" s="1"/>
      <c r="S228" s="1"/>
      <c r="T228" s="1"/>
      <c r="U228" s="1"/>
      <c r="V228" s="1"/>
      <c r="W228" s="1"/>
      <c r="X228" s="1"/>
      <c r="Y228" s="1"/>
      <c r="Z228" s="1"/>
    </row>
    <row r="229" spans="1:26" ht="15.75" customHeight="1">
      <c r="A229" s="4"/>
      <c r="B229" s="4"/>
      <c r="C229" s="115"/>
      <c r="D229" s="4"/>
      <c r="E229" s="4"/>
      <c r="F229" s="4"/>
      <c r="G229" s="4"/>
      <c r="H229" s="4"/>
      <c r="I229" s="4"/>
      <c r="J229" s="4"/>
      <c r="K229" s="1"/>
      <c r="L229" s="1"/>
      <c r="M229" s="1"/>
      <c r="N229" s="1"/>
      <c r="O229" s="1"/>
      <c r="P229" s="1"/>
      <c r="Q229" s="1"/>
      <c r="R229" s="1"/>
      <c r="S229" s="1"/>
      <c r="T229" s="1"/>
      <c r="U229" s="1"/>
      <c r="V229" s="1"/>
      <c r="W229" s="1"/>
      <c r="X229" s="1"/>
      <c r="Y229" s="1"/>
      <c r="Z229" s="1"/>
    </row>
    <row r="230" spans="1:26" ht="15.75" customHeight="1">
      <c r="A230" s="4"/>
      <c r="B230" s="4"/>
      <c r="C230" s="115"/>
      <c r="D230" s="4"/>
      <c r="E230" s="4"/>
      <c r="F230" s="4"/>
      <c r="G230" s="4"/>
      <c r="H230" s="4"/>
      <c r="I230" s="4"/>
      <c r="J230" s="4"/>
      <c r="K230" s="1"/>
      <c r="L230" s="1"/>
      <c r="M230" s="1"/>
      <c r="N230" s="1"/>
      <c r="O230" s="1"/>
      <c r="P230" s="1"/>
      <c r="Q230" s="1"/>
      <c r="R230" s="1"/>
      <c r="S230" s="1"/>
      <c r="T230" s="1"/>
      <c r="U230" s="1"/>
      <c r="V230" s="1"/>
      <c r="W230" s="1"/>
      <c r="X230" s="1"/>
      <c r="Y230" s="1"/>
      <c r="Z230" s="1"/>
    </row>
    <row r="231" spans="1:26" ht="15.75" customHeight="1">
      <c r="A231" s="4"/>
      <c r="B231" s="4"/>
      <c r="C231" s="115"/>
      <c r="D231" s="4"/>
      <c r="E231" s="4"/>
      <c r="F231" s="4"/>
      <c r="G231" s="4"/>
      <c r="H231" s="4"/>
      <c r="I231" s="4"/>
      <c r="J231" s="4"/>
      <c r="K231" s="1"/>
      <c r="L231" s="1"/>
      <c r="M231" s="1"/>
      <c r="N231" s="1"/>
      <c r="O231" s="1"/>
      <c r="P231" s="1"/>
      <c r="Q231" s="1"/>
      <c r="R231" s="1"/>
      <c r="S231" s="1"/>
      <c r="T231" s="1"/>
      <c r="U231" s="1"/>
      <c r="V231" s="1"/>
      <c r="W231" s="1"/>
      <c r="X231" s="1"/>
      <c r="Y231" s="1"/>
      <c r="Z231" s="1"/>
    </row>
    <row r="232" spans="1:26" ht="15.75" customHeight="1">
      <c r="A232" s="4"/>
      <c r="B232" s="4"/>
      <c r="C232" s="115"/>
      <c r="D232" s="4"/>
      <c r="E232" s="4"/>
      <c r="F232" s="4"/>
      <c r="G232" s="4"/>
      <c r="H232" s="4"/>
      <c r="I232" s="4"/>
      <c r="J232" s="4"/>
      <c r="K232" s="1"/>
      <c r="L232" s="1"/>
      <c r="M232" s="1"/>
      <c r="N232" s="1"/>
      <c r="O232" s="1"/>
      <c r="P232" s="1"/>
      <c r="Q232" s="1"/>
      <c r="R232" s="1"/>
      <c r="S232" s="1"/>
      <c r="T232" s="1"/>
      <c r="U232" s="1"/>
      <c r="V232" s="1"/>
      <c r="W232" s="1"/>
      <c r="X232" s="1"/>
      <c r="Y232" s="1"/>
      <c r="Z232" s="1"/>
    </row>
    <row r="233" spans="1:26" ht="15.75" customHeight="1">
      <c r="A233" s="4"/>
      <c r="B233" s="4"/>
      <c r="C233" s="115"/>
      <c r="D233" s="4"/>
      <c r="E233" s="4"/>
      <c r="F233" s="4"/>
      <c r="G233" s="4"/>
      <c r="H233" s="4"/>
      <c r="I233" s="4"/>
      <c r="J233" s="4"/>
      <c r="K233" s="1"/>
      <c r="L233" s="1"/>
      <c r="M233" s="1"/>
      <c r="N233" s="1"/>
      <c r="O233" s="1"/>
      <c r="P233" s="1"/>
      <c r="Q233" s="1"/>
      <c r="R233" s="1"/>
      <c r="S233" s="1"/>
      <c r="T233" s="1"/>
      <c r="U233" s="1"/>
      <c r="V233" s="1"/>
      <c r="W233" s="1"/>
      <c r="X233" s="1"/>
      <c r="Y233" s="1"/>
      <c r="Z233" s="1"/>
    </row>
    <row r="234" spans="1:26" ht="15.75" customHeight="1">
      <c r="A234" s="4"/>
      <c r="B234" s="4"/>
      <c r="C234" s="115"/>
      <c r="D234" s="4"/>
      <c r="E234" s="4"/>
      <c r="F234" s="4"/>
      <c r="G234" s="4"/>
      <c r="H234" s="4"/>
      <c r="I234" s="4"/>
      <c r="J234" s="4"/>
      <c r="K234" s="1"/>
      <c r="L234" s="1"/>
      <c r="M234" s="1"/>
      <c r="N234" s="1"/>
      <c r="O234" s="1"/>
      <c r="P234" s="1"/>
      <c r="Q234" s="1"/>
      <c r="R234" s="1"/>
      <c r="S234" s="1"/>
      <c r="T234" s="1"/>
      <c r="U234" s="1"/>
      <c r="V234" s="1"/>
      <c r="W234" s="1"/>
      <c r="X234" s="1"/>
      <c r="Y234" s="1"/>
      <c r="Z234" s="1"/>
    </row>
    <row r="235" spans="1:26" ht="15.75" customHeight="1">
      <c r="A235" s="4"/>
      <c r="B235" s="4"/>
      <c r="C235" s="115"/>
      <c r="D235" s="4"/>
      <c r="E235" s="4"/>
      <c r="F235" s="4"/>
      <c r="G235" s="4"/>
      <c r="H235" s="4"/>
      <c r="I235" s="4"/>
      <c r="J235" s="4"/>
      <c r="K235" s="1"/>
      <c r="L235" s="1"/>
      <c r="M235" s="1"/>
      <c r="N235" s="1"/>
      <c r="O235" s="1"/>
      <c r="P235" s="1"/>
      <c r="Q235" s="1"/>
      <c r="R235" s="1"/>
      <c r="S235" s="1"/>
      <c r="T235" s="1"/>
      <c r="U235" s="1"/>
      <c r="V235" s="1"/>
      <c r="W235" s="1"/>
      <c r="X235" s="1"/>
      <c r="Y235" s="1"/>
      <c r="Z235" s="1"/>
    </row>
    <row r="236" spans="1:26" ht="15.75" customHeight="1">
      <c r="A236" s="4"/>
      <c r="B236" s="4"/>
      <c r="C236" s="115"/>
      <c r="D236" s="4"/>
      <c r="E236" s="4"/>
      <c r="F236" s="4"/>
      <c r="G236" s="4"/>
      <c r="H236" s="4"/>
      <c r="I236" s="4"/>
      <c r="J236" s="4"/>
      <c r="K236" s="1"/>
      <c r="L236" s="1"/>
      <c r="M236" s="1"/>
      <c r="N236" s="1"/>
      <c r="O236" s="1"/>
      <c r="P236" s="1"/>
      <c r="Q236" s="1"/>
      <c r="R236" s="1"/>
      <c r="S236" s="1"/>
      <c r="T236" s="1"/>
      <c r="U236" s="1"/>
      <c r="V236" s="1"/>
      <c r="W236" s="1"/>
      <c r="X236" s="1"/>
      <c r="Y236" s="1"/>
      <c r="Z236" s="1"/>
    </row>
    <row r="237" spans="1:26" ht="15.75" customHeight="1">
      <c r="A237" s="4"/>
      <c r="B237" s="4"/>
      <c r="C237" s="115"/>
      <c r="D237" s="4"/>
      <c r="E237" s="4"/>
      <c r="F237" s="4"/>
      <c r="G237" s="4"/>
      <c r="H237" s="4"/>
      <c r="I237" s="4"/>
      <c r="J237" s="4"/>
      <c r="K237" s="1"/>
      <c r="L237" s="1"/>
      <c r="M237" s="1"/>
      <c r="N237" s="1"/>
      <c r="O237" s="1"/>
      <c r="P237" s="1"/>
      <c r="Q237" s="1"/>
      <c r="R237" s="1"/>
      <c r="S237" s="1"/>
      <c r="T237" s="1"/>
      <c r="U237" s="1"/>
      <c r="V237" s="1"/>
      <c r="W237" s="1"/>
      <c r="X237" s="1"/>
      <c r="Y237" s="1"/>
      <c r="Z237" s="1"/>
    </row>
    <row r="238" spans="1:26" ht="15.75" customHeight="1">
      <c r="A238" s="4"/>
      <c r="B238" s="4"/>
      <c r="C238" s="115"/>
      <c r="D238" s="4"/>
      <c r="E238" s="4"/>
      <c r="F238" s="4"/>
      <c r="G238" s="4"/>
      <c r="H238" s="4"/>
      <c r="I238" s="4"/>
      <c r="J238" s="4"/>
      <c r="K238" s="1"/>
      <c r="L238" s="1"/>
      <c r="M238" s="1"/>
      <c r="N238" s="1"/>
      <c r="O238" s="1"/>
      <c r="P238" s="1"/>
      <c r="Q238" s="1"/>
      <c r="R238" s="1"/>
      <c r="S238" s="1"/>
      <c r="T238" s="1"/>
      <c r="U238" s="1"/>
      <c r="V238" s="1"/>
      <c r="W238" s="1"/>
      <c r="X238" s="1"/>
      <c r="Y238" s="1"/>
      <c r="Z238" s="1"/>
    </row>
    <row r="239" spans="1:26" ht="15.75" customHeight="1">
      <c r="A239" s="4"/>
      <c r="B239" s="4"/>
      <c r="C239" s="115"/>
      <c r="D239" s="4"/>
      <c r="E239" s="4"/>
      <c r="F239" s="4"/>
      <c r="G239" s="4"/>
      <c r="H239" s="4"/>
      <c r="I239" s="4"/>
      <c r="J239" s="4"/>
      <c r="K239" s="1"/>
      <c r="L239" s="1"/>
      <c r="M239" s="1"/>
      <c r="N239" s="1"/>
      <c r="O239" s="1"/>
      <c r="P239" s="1"/>
      <c r="Q239" s="1"/>
      <c r="R239" s="1"/>
      <c r="S239" s="1"/>
      <c r="T239" s="1"/>
      <c r="U239" s="1"/>
      <c r="V239" s="1"/>
      <c r="W239" s="1"/>
      <c r="X239" s="1"/>
      <c r="Y239" s="1"/>
      <c r="Z239" s="1"/>
    </row>
    <row r="240" spans="1:26" ht="15.75" customHeight="1">
      <c r="A240" s="4"/>
      <c r="B240" s="4"/>
      <c r="C240" s="115"/>
      <c r="D240" s="4"/>
      <c r="E240" s="4"/>
      <c r="F240" s="4"/>
      <c r="G240" s="4"/>
      <c r="H240" s="4"/>
      <c r="I240" s="4"/>
      <c r="J240" s="4"/>
      <c r="K240" s="1"/>
      <c r="L240" s="1"/>
      <c r="M240" s="1"/>
      <c r="N240" s="1"/>
      <c r="O240" s="1"/>
      <c r="P240" s="1"/>
      <c r="Q240" s="1"/>
      <c r="R240" s="1"/>
      <c r="S240" s="1"/>
      <c r="T240" s="1"/>
      <c r="U240" s="1"/>
      <c r="V240" s="1"/>
      <c r="W240" s="1"/>
      <c r="X240" s="1"/>
      <c r="Y240" s="1"/>
      <c r="Z240" s="1"/>
    </row>
    <row r="241" spans="1:26" ht="15.75" customHeight="1">
      <c r="A241" s="4"/>
      <c r="B241" s="4"/>
      <c r="C241" s="115"/>
      <c r="D241" s="4"/>
      <c r="E241" s="4"/>
      <c r="F241" s="4"/>
      <c r="G241" s="4"/>
      <c r="H241" s="4"/>
      <c r="I241" s="4"/>
      <c r="J241" s="4"/>
      <c r="K241" s="1"/>
      <c r="L241" s="1"/>
      <c r="M241" s="1"/>
      <c r="N241" s="1"/>
      <c r="O241" s="1"/>
      <c r="P241" s="1"/>
      <c r="Q241" s="1"/>
      <c r="R241" s="1"/>
      <c r="S241" s="1"/>
      <c r="T241" s="1"/>
      <c r="U241" s="1"/>
      <c r="V241" s="1"/>
      <c r="W241" s="1"/>
      <c r="X241" s="1"/>
      <c r="Y241" s="1"/>
      <c r="Z241" s="1"/>
    </row>
    <row r="242" spans="1:26" ht="15.75" customHeight="1">
      <c r="A242" s="4"/>
      <c r="B242" s="4"/>
      <c r="C242" s="115"/>
      <c r="D242" s="4"/>
      <c r="E242" s="4"/>
      <c r="F242" s="4"/>
      <c r="G242" s="4"/>
      <c r="H242" s="4"/>
      <c r="I242" s="4"/>
      <c r="J242" s="4"/>
      <c r="K242" s="1"/>
      <c r="L242" s="1"/>
      <c r="M242" s="1"/>
      <c r="N242" s="1"/>
      <c r="O242" s="1"/>
      <c r="P242" s="1"/>
      <c r="Q242" s="1"/>
      <c r="R242" s="1"/>
      <c r="S242" s="1"/>
      <c r="T242" s="1"/>
      <c r="U242" s="1"/>
      <c r="V242" s="1"/>
      <c r="W242" s="1"/>
      <c r="X242" s="1"/>
      <c r="Y242" s="1"/>
      <c r="Z242" s="1"/>
    </row>
    <row r="243" spans="1:26" ht="15.75" customHeight="1">
      <c r="A243" s="4"/>
      <c r="B243" s="4"/>
      <c r="C243" s="115"/>
      <c r="D243" s="4"/>
      <c r="E243" s="4"/>
      <c r="F243" s="4"/>
      <c r="G243" s="4"/>
      <c r="H243" s="4"/>
      <c r="I243" s="4"/>
      <c r="J243" s="4"/>
      <c r="K243" s="1"/>
      <c r="L243" s="1"/>
      <c r="M243" s="1"/>
      <c r="N243" s="1"/>
      <c r="O243" s="1"/>
      <c r="P243" s="1"/>
      <c r="Q243" s="1"/>
      <c r="R243" s="1"/>
      <c r="S243" s="1"/>
      <c r="T243" s="1"/>
      <c r="U243" s="1"/>
      <c r="V243" s="1"/>
      <c r="W243" s="1"/>
      <c r="X243" s="1"/>
      <c r="Y243" s="1"/>
      <c r="Z243" s="1"/>
    </row>
    <row r="244" spans="1:26" ht="15.75" customHeight="1">
      <c r="A244" s="4"/>
      <c r="B244" s="4"/>
      <c r="C244" s="115"/>
      <c r="D244" s="4"/>
      <c r="E244" s="4"/>
      <c r="F244" s="4"/>
      <c r="G244" s="4"/>
      <c r="H244" s="4"/>
      <c r="I244" s="4"/>
      <c r="J244" s="4"/>
      <c r="K244" s="1"/>
      <c r="L244" s="1"/>
      <c r="M244" s="1"/>
      <c r="N244" s="1"/>
      <c r="O244" s="1"/>
      <c r="P244" s="1"/>
      <c r="Q244" s="1"/>
      <c r="R244" s="1"/>
      <c r="S244" s="1"/>
      <c r="T244" s="1"/>
      <c r="U244" s="1"/>
      <c r="V244" s="1"/>
      <c r="W244" s="1"/>
      <c r="X244" s="1"/>
      <c r="Y244" s="1"/>
      <c r="Z244" s="1"/>
    </row>
    <row r="245" spans="1:26" ht="15.75" customHeight="1">
      <c r="A245" s="4"/>
      <c r="B245" s="4"/>
      <c r="C245" s="115"/>
      <c r="D245" s="4"/>
      <c r="E245" s="4"/>
      <c r="F245" s="4"/>
      <c r="G245" s="4"/>
      <c r="H245" s="4"/>
      <c r="I245" s="4"/>
      <c r="J245" s="4"/>
      <c r="K245" s="1"/>
      <c r="L245" s="1"/>
      <c r="M245" s="1"/>
      <c r="N245" s="1"/>
      <c r="O245" s="1"/>
      <c r="P245" s="1"/>
      <c r="Q245" s="1"/>
      <c r="R245" s="1"/>
      <c r="S245" s="1"/>
      <c r="T245" s="1"/>
      <c r="U245" s="1"/>
      <c r="V245" s="1"/>
      <c r="W245" s="1"/>
      <c r="X245" s="1"/>
      <c r="Y245" s="1"/>
      <c r="Z245" s="1"/>
    </row>
    <row r="246" spans="1:26" ht="15.75" customHeight="1">
      <c r="A246" s="4"/>
      <c r="B246" s="4"/>
      <c r="C246" s="115"/>
      <c r="D246" s="4"/>
      <c r="E246" s="4"/>
      <c r="F246" s="4"/>
      <c r="G246" s="4"/>
      <c r="H246" s="4"/>
      <c r="I246" s="4"/>
      <c r="J246" s="4"/>
      <c r="K246" s="1"/>
      <c r="L246" s="1"/>
      <c r="M246" s="1"/>
      <c r="N246" s="1"/>
      <c r="O246" s="1"/>
      <c r="P246" s="1"/>
      <c r="Q246" s="1"/>
      <c r="R246" s="1"/>
      <c r="S246" s="1"/>
      <c r="T246" s="1"/>
      <c r="U246" s="1"/>
      <c r="V246" s="1"/>
      <c r="W246" s="1"/>
      <c r="X246" s="1"/>
      <c r="Y246" s="1"/>
      <c r="Z246" s="1"/>
    </row>
    <row r="247" spans="1:26" ht="15.75" customHeight="1">
      <c r="A247" s="4"/>
      <c r="B247" s="4"/>
      <c r="C247" s="115"/>
      <c r="D247" s="4"/>
      <c r="E247" s="4"/>
      <c r="F247" s="4"/>
      <c r="G247" s="4"/>
      <c r="H247" s="4"/>
      <c r="I247" s="4"/>
      <c r="J247" s="4"/>
      <c r="K247" s="1"/>
      <c r="L247" s="1"/>
      <c r="M247" s="1"/>
      <c r="N247" s="1"/>
      <c r="O247" s="1"/>
      <c r="P247" s="1"/>
      <c r="Q247" s="1"/>
      <c r="R247" s="1"/>
      <c r="S247" s="1"/>
      <c r="T247" s="1"/>
      <c r="U247" s="1"/>
      <c r="V247" s="1"/>
      <c r="W247" s="1"/>
      <c r="X247" s="1"/>
      <c r="Y247" s="1"/>
      <c r="Z247" s="1"/>
    </row>
    <row r="248" spans="1:26" ht="15.75" customHeight="1">
      <c r="A248" s="4"/>
      <c r="B248" s="4"/>
      <c r="C248" s="115"/>
      <c r="D248" s="4"/>
      <c r="E248" s="4"/>
      <c r="F248" s="4"/>
      <c r="G248" s="4"/>
      <c r="H248" s="4"/>
      <c r="I248" s="4"/>
      <c r="J248" s="4"/>
      <c r="K248" s="1"/>
      <c r="L248" s="1"/>
      <c r="M248" s="1"/>
      <c r="N248" s="1"/>
      <c r="O248" s="1"/>
      <c r="P248" s="1"/>
      <c r="Q248" s="1"/>
      <c r="R248" s="1"/>
      <c r="S248" s="1"/>
      <c r="T248" s="1"/>
      <c r="U248" s="1"/>
      <c r="V248" s="1"/>
      <c r="W248" s="1"/>
      <c r="X248" s="1"/>
      <c r="Y248" s="1"/>
      <c r="Z248" s="1"/>
    </row>
    <row r="249" spans="1:26" ht="15.75" customHeight="1">
      <c r="A249" s="4"/>
      <c r="B249" s="4"/>
      <c r="C249" s="115"/>
      <c r="D249" s="4"/>
      <c r="E249" s="4"/>
      <c r="F249" s="4"/>
      <c r="G249" s="4"/>
      <c r="H249" s="4"/>
      <c r="I249" s="4"/>
      <c r="J249" s="4"/>
      <c r="K249" s="1"/>
      <c r="L249" s="1"/>
      <c r="M249" s="1"/>
      <c r="N249" s="1"/>
      <c r="O249" s="1"/>
      <c r="P249" s="1"/>
      <c r="Q249" s="1"/>
      <c r="R249" s="1"/>
      <c r="S249" s="1"/>
      <c r="T249" s="1"/>
      <c r="U249" s="1"/>
      <c r="V249" s="1"/>
      <c r="W249" s="1"/>
      <c r="X249" s="1"/>
      <c r="Y249" s="1"/>
      <c r="Z249" s="1"/>
    </row>
    <row r="250" spans="1:26" ht="15.75" customHeight="1">
      <c r="A250" s="4"/>
      <c r="B250" s="4"/>
      <c r="C250" s="115"/>
      <c r="D250" s="4"/>
      <c r="E250" s="4"/>
      <c r="F250" s="4"/>
      <c r="G250" s="4"/>
      <c r="H250" s="4"/>
      <c r="I250" s="4"/>
      <c r="J250" s="4"/>
      <c r="K250" s="1"/>
      <c r="L250" s="1"/>
      <c r="M250" s="1"/>
      <c r="N250" s="1"/>
      <c r="O250" s="1"/>
      <c r="P250" s="1"/>
      <c r="Q250" s="1"/>
      <c r="R250" s="1"/>
      <c r="S250" s="1"/>
      <c r="T250" s="1"/>
      <c r="U250" s="1"/>
      <c r="V250" s="1"/>
      <c r="W250" s="1"/>
      <c r="X250" s="1"/>
      <c r="Y250" s="1"/>
      <c r="Z250" s="1"/>
    </row>
    <row r="251" spans="1:26" ht="15.75" customHeight="1">
      <c r="A251" s="4"/>
      <c r="B251" s="4"/>
      <c r="C251" s="115"/>
      <c r="D251" s="4"/>
      <c r="E251" s="4"/>
      <c r="F251" s="4"/>
      <c r="G251" s="4"/>
      <c r="H251" s="4"/>
      <c r="I251" s="4"/>
      <c r="J251" s="4"/>
      <c r="K251" s="1"/>
      <c r="L251" s="1"/>
      <c r="M251" s="1"/>
      <c r="N251" s="1"/>
      <c r="O251" s="1"/>
      <c r="P251" s="1"/>
      <c r="Q251" s="1"/>
      <c r="R251" s="1"/>
      <c r="S251" s="1"/>
      <c r="T251" s="1"/>
      <c r="U251" s="1"/>
      <c r="V251" s="1"/>
      <c r="W251" s="1"/>
      <c r="X251" s="1"/>
      <c r="Y251" s="1"/>
      <c r="Z251" s="1"/>
    </row>
    <row r="252" spans="1:26" ht="15.75" customHeight="1">
      <c r="A252" s="4"/>
      <c r="B252" s="4"/>
      <c r="C252" s="115"/>
      <c r="D252" s="4"/>
      <c r="E252" s="4"/>
      <c r="F252" s="4"/>
      <c r="G252" s="4"/>
      <c r="H252" s="4"/>
      <c r="I252" s="4"/>
      <c r="J252" s="4"/>
      <c r="K252" s="1"/>
      <c r="L252" s="1"/>
      <c r="M252" s="1"/>
      <c r="N252" s="1"/>
      <c r="O252" s="1"/>
      <c r="P252" s="1"/>
      <c r="Q252" s="1"/>
      <c r="R252" s="1"/>
      <c r="S252" s="1"/>
      <c r="T252" s="1"/>
      <c r="U252" s="1"/>
      <c r="V252" s="1"/>
      <c r="W252" s="1"/>
      <c r="X252" s="1"/>
      <c r="Y252" s="1"/>
      <c r="Z252" s="1"/>
    </row>
    <row r="253" spans="1:26" ht="15.75" customHeight="1">
      <c r="A253" s="4"/>
      <c r="B253" s="4"/>
      <c r="C253" s="115"/>
      <c r="D253" s="4"/>
      <c r="E253" s="4"/>
      <c r="F253" s="4"/>
      <c r="G253" s="4"/>
      <c r="H253" s="4"/>
      <c r="I253" s="4"/>
      <c r="J253" s="4"/>
      <c r="K253" s="1"/>
      <c r="L253" s="1"/>
      <c r="M253" s="1"/>
      <c r="N253" s="1"/>
      <c r="O253" s="1"/>
      <c r="P253" s="1"/>
      <c r="Q253" s="1"/>
      <c r="R253" s="1"/>
      <c r="S253" s="1"/>
      <c r="T253" s="1"/>
      <c r="U253" s="1"/>
      <c r="V253" s="1"/>
      <c r="W253" s="1"/>
      <c r="X253" s="1"/>
      <c r="Y253" s="1"/>
      <c r="Z253" s="1"/>
    </row>
    <row r="254" spans="1:26" ht="15.75" customHeight="1">
      <c r="A254" s="4"/>
      <c r="B254" s="4"/>
      <c r="C254" s="115"/>
      <c r="D254" s="4"/>
      <c r="E254" s="4"/>
      <c r="F254" s="4"/>
      <c r="G254" s="4"/>
      <c r="H254" s="4"/>
      <c r="I254" s="4"/>
      <c r="J254" s="4"/>
      <c r="K254" s="1"/>
      <c r="L254" s="1"/>
      <c r="M254" s="1"/>
      <c r="N254" s="1"/>
      <c r="O254" s="1"/>
      <c r="P254" s="1"/>
      <c r="Q254" s="1"/>
      <c r="R254" s="1"/>
      <c r="S254" s="1"/>
      <c r="T254" s="1"/>
      <c r="U254" s="1"/>
      <c r="V254" s="1"/>
      <c r="W254" s="1"/>
      <c r="X254" s="1"/>
      <c r="Y254" s="1"/>
      <c r="Z254" s="1"/>
    </row>
    <row r="255" spans="1:26" ht="15.75" customHeight="1">
      <c r="A255" s="4"/>
      <c r="B255" s="4"/>
      <c r="C255" s="115"/>
      <c r="D255" s="4"/>
      <c r="E255" s="4"/>
      <c r="F255" s="4"/>
      <c r="G255" s="4"/>
      <c r="H255" s="4"/>
      <c r="I255" s="4"/>
      <c r="J255" s="4"/>
      <c r="K255" s="1"/>
      <c r="L255" s="1"/>
      <c r="M255" s="1"/>
      <c r="N255" s="1"/>
      <c r="O255" s="1"/>
      <c r="P255" s="1"/>
      <c r="Q255" s="1"/>
      <c r="R255" s="1"/>
      <c r="S255" s="1"/>
      <c r="T255" s="1"/>
      <c r="U255" s="1"/>
      <c r="V255" s="1"/>
      <c r="W255" s="1"/>
      <c r="X255" s="1"/>
      <c r="Y255" s="1"/>
      <c r="Z255" s="1"/>
    </row>
    <row r="256" spans="1:26" ht="15.75" customHeight="1">
      <c r="A256" s="4"/>
      <c r="B256" s="4"/>
      <c r="C256" s="115"/>
      <c r="D256" s="4"/>
      <c r="E256" s="4"/>
      <c r="F256" s="4"/>
      <c r="G256" s="4"/>
      <c r="H256" s="4"/>
      <c r="I256" s="4"/>
      <c r="J256" s="4"/>
      <c r="K256" s="1"/>
      <c r="L256" s="1"/>
      <c r="M256" s="1"/>
      <c r="N256" s="1"/>
      <c r="O256" s="1"/>
      <c r="P256" s="1"/>
      <c r="Q256" s="1"/>
      <c r="R256" s="1"/>
      <c r="S256" s="1"/>
      <c r="T256" s="1"/>
      <c r="U256" s="1"/>
      <c r="V256" s="1"/>
      <c r="W256" s="1"/>
      <c r="X256" s="1"/>
      <c r="Y256" s="1"/>
      <c r="Z256" s="1"/>
    </row>
    <row r="257" spans="1:26" ht="15.75" customHeight="1">
      <c r="A257" s="4"/>
      <c r="B257" s="4"/>
      <c r="C257" s="115"/>
      <c r="D257" s="4"/>
      <c r="E257" s="4"/>
      <c r="F257" s="4"/>
      <c r="G257" s="4"/>
      <c r="H257" s="4"/>
      <c r="I257" s="4"/>
      <c r="J257" s="4"/>
      <c r="K257" s="1"/>
      <c r="L257" s="1"/>
      <c r="M257" s="1"/>
      <c r="N257" s="1"/>
      <c r="O257" s="1"/>
      <c r="P257" s="1"/>
      <c r="Q257" s="1"/>
      <c r="R257" s="1"/>
      <c r="S257" s="1"/>
      <c r="T257" s="1"/>
      <c r="U257" s="1"/>
      <c r="V257" s="1"/>
      <c r="W257" s="1"/>
      <c r="X257" s="1"/>
      <c r="Y257" s="1"/>
      <c r="Z257" s="1"/>
    </row>
    <row r="258" spans="1:26" ht="15.75" customHeight="1">
      <c r="A258" s="4"/>
      <c r="B258" s="4"/>
      <c r="C258" s="115"/>
      <c r="D258" s="4"/>
      <c r="E258" s="4"/>
      <c r="F258" s="4"/>
      <c r="G258" s="4"/>
      <c r="H258" s="4"/>
      <c r="I258" s="4"/>
      <c r="J258" s="4"/>
      <c r="K258" s="1"/>
      <c r="L258" s="1"/>
      <c r="M258" s="1"/>
      <c r="N258" s="1"/>
      <c r="O258" s="1"/>
      <c r="P258" s="1"/>
      <c r="Q258" s="1"/>
      <c r="R258" s="1"/>
      <c r="S258" s="1"/>
      <c r="T258" s="1"/>
      <c r="U258" s="1"/>
      <c r="V258" s="1"/>
      <c r="W258" s="1"/>
      <c r="X258" s="1"/>
      <c r="Y258" s="1"/>
      <c r="Z258" s="1"/>
    </row>
    <row r="259" spans="1:26" ht="15.75" customHeight="1">
      <c r="A259" s="4"/>
      <c r="B259" s="4"/>
      <c r="C259" s="115"/>
      <c r="D259" s="4"/>
      <c r="E259" s="4"/>
      <c r="F259" s="4"/>
      <c r="G259" s="4"/>
      <c r="H259" s="4"/>
      <c r="I259" s="4"/>
      <c r="J259" s="4"/>
      <c r="K259" s="1"/>
      <c r="L259" s="1"/>
      <c r="M259" s="1"/>
      <c r="N259" s="1"/>
      <c r="O259" s="1"/>
      <c r="P259" s="1"/>
      <c r="Q259" s="1"/>
      <c r="R259" s="1"/>
      <c r="S259" s="1"/>
      <c r="T259" s="1"/>
      <c r="U259" s="1"/>
      <c r="V259" s="1"/>
      <c r="W259" s="1"/>
      <c r="X259" s="1"/>
      <c r="Y259" s="1"/>
      <c r="Z259" s="1"/>
    </row>
    <row r="260" spans="1:26" ht="15.75" customHeight="1">
      <c r="A260" s="4"/>
      <c r="B260" s="4"/>
      <c r="C260" s="115"/>
      <c r="D260" s="4"/>
      <c r="E260" s="4"/>
      <c r="F260" s="4"/>
      <c r="G260" s="4"/>
      <c r="H260" s="4"/>
      <c r="I260" s="4"/>
      <c r="J260" s="4"/>
      <c r="K260" s="1"/>
      <c r="L260" s="1"/>
      <c r="M260" s="1"/>
      <c r="N260" s="1"/>
      <c r="O260" s="1"/>
      <c r="P260" s="1"/>
      <c r="Q260" s="1"/>
      <c r="R260" s="1"/>
      <c r="S260" s="1"/>
      <c r="T260" s="1"/>
      <c r="U260" s="1"/>
      <c r="V260" s="1"/>
      <c r="W260" s="1"/>
      <c r="X260" s="1"/>
      <c r="Y260" s="1"/>
      <c r="Z260" s="1"/>
    </row>
    <row r="261" spans="1:26" ht="15.75" customHeight="1">
      <c r="A261" s="4"/>
      <c r="B261" s="4"/>
      <c r="C261" s="115"/>
      <c r="D261" s="4"/>
      <c r="E261" s="4"/>
      <c r="F261" s="4"/>
      <c r="G261" s="4"/>
      <c r="H261" s="4"/>
      <c r="I261" s="4"/>
      <c r="J261" s="4"/>
      <c r="K261" s="1"/>
      <c r="L261" s="1"/>
      <c r="M261" s="1"/>
      <c r="N261" s="1"/>
      <c r="O261" s="1"/>
      <c r="P261" s="1"/>
      <c r="Q261" s="1"/>
      <c r="R261" s="1"/>
      <c r="S261" s="1"/>
      <c r="T261" s="1"/>
      <c r="U261" s="1"/>
      <c r="V261" s="1"/>
      <c r="W261" s="1"/>
      <c r="X261" s="1"/>
      <c r="Y261" s="1"/>
      <c r="Z261" s="1"/>
    </row>
    <row r="262" spans="1:26" ht="15.75" customHeight="1">
      <c r="A262" s="4"/>
      <c r="B262" s="4"/>
      <c r="C262" s="115"/>
      <c r="D262" s="4"/>
      <c r="E262" s="4"/>
      <c r="F262" s="4"/>
      <c r="G262" s="4"/>
      <c r="H262" s="4"/>
      <c r="I262" s="4"/>
      <c r="J262" s="4"/>
      <c r="K262" s="1"/>
      <c r="L262" s="1"/>
      <c r="M262" s="1"/>
      <c r="N262" s="1"/>
      <c r="O262" s="1"/>
      <c r="P262" s="1"/>
      <c r="Q262" s="1"/>
      <c r="R262" s="1"/>
      <c r="S262" s="1"/>
      <c r="T262" s="1"/>
      <c r="U262" s="1"/>
      <c r="V262" s="1"/>
      <c r="W262" s="1"/>
      <c r="X262" s="1"/>
      <c r="Y262" s="1"/>
      <c r="Z262" s="1"/>
    </row>
    <row r="263" spans="1:26" ht="15.75" customHeight="1">
      <c r="A263" s="4"/>
      <c r="B263" s="4"/>
      <c r="C263" s="115"/>
      <c r="D263" s="4"/>
      <c r="E263" s="4"/>
      <c r="F263" s="4"/>
      <c r="G263" s="4"/>
      <c r="H263" s="4"/>
      <c r="I263" s="4"/>
      <c r="J263" s="4"/>
      <c r="K263" s="1"/>
      <c r="L263" s="1"/>
      <c r="M263" s="1"/>
      <c r="N263" s="1"/>
      <c r="O263" s="1"/>
      <c r="P263" s="1"/>
      <c r="Q263" s="1"/>
      <c r="R263" s="1"/>
      <c r="S263" s="1"/>
      <c r="T263" s="1"/>
      <c r="U263" s="1"/>
      <c r="V263" s="1"/>
      <c r="W263" s="1"/>
      <c r="X263" s="1"/>
      <c r="Y263" s="1"/>
      <c r="Z263" s="1"/>
    </row>
    <row r="264" spans="1:26" ht="15.75" customHeight="1">
      <c r="A264" s="4"/>
      <c r="B264" s="4"/>
      <c r="C264" s="115"/>
      <c r="D264" s="4"/>
      <c r="E264" s="4"/>
      <c r="F264" s="4"/>
      <c r="G264" s="4"/>
      <c r="H264" s="4"/>
      <c r="I264" s="4"/>
      <c r="J264" s="4"/>
      <c r="K264" s="1"/>
      <c r="L264" s="1"/>
      <c r="M264" s="1"/>
      <c r="N264" s="1"/>
      <c r="O264" s="1"/>
      <c r="P264" s="1"/>
      <c r="Q264" s="1"/>
      <c r="R264" s="1"/>
      <c r="S264" s="1"/>
      <c r="T264" s="1"/>
      <c r="U264" s="1"/>
      <c r="V264" s="1"/>
      <c r="W264" s="1"/>
      <c r="X264" s="1"/>
      <c r="Y264" s="1"/>
      <c r="Z264" s="1"/>
    </row>
    <row r="265" spans="1:26" ht="15.75" customHeight="1">
      <c r="A265" s="4"/>
      <c r="B265" s="4"/>
      <c r="C265" s="115"/>
      <c r="D265" s="4"/>
      <c r="E265" s="4"/>
      <c r="F265" s="4"/>
      <c r="G265" s="4"/>
      <c r="H265" s="4"/>
      <c r="I265" s="4"/>
      <c r="J265" s="4"/>
      <c r="K265" s="1"/>
      <c r="L265" s="1"/>
      <c r="M265" s="1"/>
      <c r="N265" s="1"/>
      <c r="O265" s="1"/>
      <c r="P265" s="1"/>
      <c r="Q265" s="1"/>
      <c r="R265" s="1"/>
      <c r="S265" s="1"/>
      <c r="T265" s="1"/>
      <c r="U265" s="1"/>
      <c r="V265" s="1"/>
      <c r="W265" s="1"/>
      <c r="X265" s="1"/>
      <c r="Y265" s="1"/>
      <c r="Z265" s="1"/>
    </row>
    <row r="266" spans="1:26" ht="15.75" customHeight="1">
      <c r="A266" s="4"/>
      <c r="B266" s="4"/>
      <c r="C266" s="115"/>
      <c r="D266" s="4"/>
      <c r="E266" s="4"/>
      <c r="F266" s="4"/>
      <c r="G266" s="4"/>
      <c r="H266" s="4"/>
      <c r="I266" s="4"/>
      <c r="J266" s="4"/>
      <c r="K266" s="1"/>
      <c r="L266" s="1"/>
      <c r="M266" s="1"/>
      <c r="N266" s="1"/>
      <c r="O266" s="1"/>
      <c r="P266" s="1"/>
      <c r="Q266" s="1"/>
      <c r="R266" s="1"/>
      <c r="S266" s="1"/>
      <c r="T266" s="1"/>
      <c r="U266" s="1"/>
      <c r="V266" s="1"/>
      <c r="W266" s="1"/>
      <c r="X266" s="1"/>
      <c r="Y266" s="1"/>
      <c r="Z266" s="1"/>
    </row>
    <row r="267" spans="1:26" ht="15.75" customHeight="1">
      <c r="A267" s="4"/>
      <c r="B267" s="4"/>
      <c r="C267" s="115"/>
      <c r="D267" s="4"/>
      <c r="E267" s="4"/>
      <c r="F267" s="4"/>
      <c r="G267" s="4"/>
      <c r="H267" s="4"/>
      <c r="I267" s="4"/>
      <c r="J267" s="4"/>
      <c r="K267" s="1"/>
      <c r="L267" s="1"/>
      <c r="M267" s="1"/>
      <c r="N267" s="1"/>
      <c r="O267" s="1"/>
      <c r="P267" s="1"/>
      <c r="Q267" s="1"/>
      <c r="R267" s="1"/>
      <c r="S267" s="1"/>
      <c r="T267" s="1"/>
      <c r="U267" s="1"/>
      <c r="V267" s="1"/>
      <c r="W267" s="1"/>
      <c r="X267" s="1"/>
      <c r="Y267" s="1"/>
      <c r="Z267" s="1"/>
    </row>
    <row r="268" spans="1:26" ht="15.75" customHeight="1">
      <c r="A268" s="4"/>
      <c r="B268" s="4"/>
      <c r="C268" s="115"/>
      <c r="D268" s="4"/>
      <c r="E268" s="4"/>
      <c r="F268" s="4"/>
      <c r="G268" s="4"/>
      <c r="H268" s="4"/>
      <c r="I268" s="4"/>
      <c r="J268" s="4"/>
      <c r="K268" s="1"/>
      <c r="L268" s="1"/>
      <c r="M268" s="1"/>
      <c r="N268" s="1"/>
      <c r="O268" s="1"/>
      <c r="P268" s="1"/>
      <c r="Q268" s="1"/>
      <c r="R268" s="1"/>
      <c r="S268" s="1"/>
      <c r="T268" s="1"/>
      <c r="U268" s="1"/>
      <c r="V268" s="1"/>
      <c r="W268" s="1"/>
      <c r="X268" s="1"/>
      <c r="Y268" s="1"/>
      <c r="Z268" s="1"/>
    </row>
    <row r="269" spans="1:26" ht="15.75" customHeight="1">
      <c r="A269" s="4"/>
      <c r="B269" s="4"/>
      <c r="C269" s="115"/>
      <c r="D269" s="4"/>
      <c r="E269" s="4"/>
      <c r="F269" s="4"/>
      <c r="G269" s="4"/>
      <c r="H269" s="4"/>
      <c r="I269" s="4"/>
      <c r="J269" s="4"/>
      <c r="K269" s="1"/>
      <c r="L269" s="1"/>
      <c r="M269" s="1"/>
      <c r="N269" s="1"/>
      <c r="O269" s="1"/>
      <c r="P269" s="1"/>
      <c r="Q269" s="1"/>
      <c r="R269" s="1"/>
      <c r="S269" s="1"/>
      <c r="T269" s="1"/>
      <c r="U269" s="1"/>
      <c r="V269" s="1"/>
      <c r="W269" s="1"/>
      <c r="X269" s="1"/>
      <c r="Y269" s="1"/>
      <c r="Z269" s="1"/>
    </row>
    <row r="270" spans="1:26" ht="15.75" customHeight="1">
      <c r="A270" s="4"/>
      <c r="B270" s="4"/>
      <c r="C270" s="115"/>
      <c r="D270" s="4"/>
      <c r="E270" s="4"/>
      <c r="F270" s="4"/>
      <c r="G270" s="4"/>
      <c r="H270" s="4"/>
      <c r="I270" s="4"/>
      <c r="J270" s="4"/>
      <c r="K270" s="1"/>
      <c r="L270" s="1"/>
      <c r="M270" s="1"/>
      <c r="N270" s="1"/>
      <c r="O270" s="1"/>
      <c r="P270" s="1"/>
      <c r="Q270" s="1"/>
      <c r="R270" s="1"/>
      <c r="S270" s="1"/>
      <c r="T270" s="1"/>
      <c r="U270" s="1"/>
      <c r="V270" s="1"/>
      <c r="W270" s="1"/>
      <c r="X270" s="1"/>
      <c r="Y270" s="1"/>
      <c r="Z270" s="1"/>
    </row>
    <row r="271" spans="1:26" ht="15.75" customHeight="1">
      <c r="A271" s="4"/>
      <c r="B271" s="4"/>
      <c r="C271" s="115"/>
      <c r="D271" s="4"/>
      <c r="E271" s="4"/>
      <c r="F271" s="4"/>
      <c r="G271" s="4"/>
      <c r="H271" s="4"/>
      <c r="I271" s="4"/>
      <c r="J271" s="4"/>
      <c r="K271" s="1"/>
      <c r="L271" s="1"/>
      <c r="M271" s="1"/>
      <c r="N271" s="1"/>
      <c r="O271" s="1"/>
      <c r="P271" s="1"/>
      <c r="Q271" s="1"/>
      <c r="R271" s="1"/>
      <c r="S271" s="1"/>
      <c r="T271" s="1"/>
      <c r="U271" s="1"/>
      <c r="V271" s="1"/>
      <c r="W271" s="1"/>
      <c r="X271" s="1"/>
      <c r="Y271" s="1"/>
      <c r="Z271" s="1"/>
    </row>
    <row r="272" spans="1:26" ht="15.75" customHeight="1">
      <c r="A272" s="4"/>
      <c r="B272" s="4"/>
      <c r="C272" s="115"/>
      <c r="D272" s="4"/>
      <c r="E272" s="4"/>
      <c r="F272" s="4"/>
      <c r="G272" s="4"/>
      <c r="H272" s="4"/>
      <c r="I272" s="4"/>
      <c r="J272" s="4"/>
      <c r="K272" s="1"/>
      <c r="L272" s="1"/>
      <c r="M272" s="1"/>
      <c r="N272" s="1"/>
      <c r="O272" s="1"/>
      <c r="P272" s="1"/>
      <c r="Q272" s="1"/>
      <c r="R272" s="1"/>
      <c r="S272" s="1"/>
      <c r="T272" s="1"/>
      <c r="U272" s="1"/>
      <c r="V272" s="1"/>
      <c r="W272" s="1"/>
      <c r="X272" s="1"/>
      <c r="Y272" s="1"/>
      <c r="Z272" s="1"/>
    </row>
    <row r="273" spans="1:26" ht="15.75" customHeight="1">
      <c r="A273" s="4"/>
      <c r="B273" s="4"/>
      <c r="C273" s="115"/>
      <c r="D273" s="4"/>
      <c r="E273" s="4"/>
      <c r="F273" s="4"/>
      <c r="G273" s="4"/>
      <c r="H273" s="4"/>
      <c r="I273" s="4"/>
      <c r="J273" s="4"/>
      <c r="K273" s="1"/>
      <c r="L273" s="1"/>
      <c r="M273" s="1"/>
      <c r="N273" s="1"/>
      <c r="O273" s="1"/>
      <c r="P273" s="1"/>
      <c r="Q273" s="1"/>
      <c r="R273" s="1"/>
      <c r="S273" s="1"/>
      <c r="T273" s="1"/>
      <c r="U273" s="1"/>
      <c r="V273" s="1"/>
      <c r="W273" s="1"/>
      <c r="X273" s="1"/>
      <c r="Y273" s="1"/>
      <c r="Z273" s="1"/>
    </row>
    <row r="274" spans="1:26" ht="15.75" customHeight="1">
      <c r="A274" s="4"/>
      <c r="B274" s="4"/>
      <c r="C274" s="115"/>
      <c r="D274" s="4"/>
      <c r="E274" s="4"/>
      <c r="F274" s="4"/>
      <c r="G274" s="4"/>
      <c r="H274" s="4"/>
      <c r="I274" s="4"/>
      <c r="J274" s="4"/>
      <c r="K274" s="1"/>
      <c r="L274" s="1"/>
      <c r="M274" s="1"/>
      <c r="N274" s="1"/>
      <c r="O274" s="1"/>
      <c r="P274" s="1"/>
      <c r="Q274" s="1"/>
      <c r="R274" s="1"/>
      <c r="S274" s="1"/>
      <c r="T274" s="1"/>
      <c r="U274" s="1"/>
      <c r="V274" s="1"/>
      <c r="W274" s="1"/>
      <c r="X274" s="1"/>
      <c r="Y274" s="1"/>
      <c r="Z274" s="1"/>
    </row>
    <row r="275" spans="1:26" ht="15.75" customHeight="1">
      <c r="A275" s="4"/>
      <c r="B275" s="4"/>
      <c r="C275" s="115"/>
      <c r="D275" s="4"/>
      <c r="E275" s="4"/>
      <c r="F275" s="4"/>
      <c r="G275" s="4"/>
      <c r="H275" s="4"/>
      <c r="I275" s="4"/>
      <c r="J275" s="4"/>
      <c r="K275" s="1"/>
      <c r="L275" s="1"/>
      <c r="M275" s="1"/>
      <c r="N275" s="1"/>
      <c r="O275" s="1"/>
      <c r="P275" s="1"/>
      <c r="Q275" s="1"/>
      <c r="R275" s="1"/>
      <c r="S275" s="1"/>
      <c r="T275" s="1"/>
      <c r="U275" s="1"/>
      <c r="V275" s="1"/>
      <c r="W275" s="1"/>
      <c r="X275" s="1"/>
      <c r="Y275" s="1"/>
      <c r="Z275" s="1"/>
    </row>
    <row r="276" spans="1:26" ht="15.75" customHeight="1">
      <c r="A276" s="4"/>
      <c r="B276" s="4"/>
      <c r="C276" s="115"/>
      <c r="D276" s="4"/>
      <c r="E276" s="4"/>
      <c r="F276" s="4"/>
      <c r="G276" s="4"/>
      <c r="H276" s="4"/>
      <c r="I276" s="4"/>
      <c r="J276" s="4"/>
      <c r="K276" s="1"/>
      <c r="L276" s="1"/>
      <c r="M276" s="1"/>
      <c r="N276" s="1"/>
      <c r="O276" s="1"/>
      <c r="P276" s="1"/>
      <c r="Q276" s="1"/>
      <c r="R276" s="1"/>
      <c r="S276" s="1"/>
      <c r="T276" s="1"/>
      <c r="U276" s="1"/>
      <c r="V276" s="1"/>
      <c r="W276" s="1"/>
      <c r="X276" s="1"/>
      <c r="Y276" s="1"/>
      <c r="Z276" s="1"/>
    </row>
    <row r="277" spans="1:26" ht="15.75" customHeight="1">
      <c r="A277" s="4"/>
      <c r="B277" s="4"/>
      <c r="C277" s="115"/>
      <c r="D277" s="4"/>
      <c r="E277" s="4"/>
      <c r="F277" s="4"/>
      <c r="G277" s="4"/>
      <c r="H277" s="4"/>
      <c r="I277" s="4"/>
      <c r="J277" s="4"/>
      <c r="K277" s="1"/>
      <c r="L277" s="1"/>
      <c r="M277" s="1"/>
      <c r="N277" s="1"/>
      <c r="O277" s="1"/>
      <c r="P277" s="1"/>
      <c r="Q277" s="1"/>
      <c r="R277" s="1"/>
      <c r="S277" s="1"/>
      <c r="T277" s="1"/>
      <c r="U277" s="1"/>
      <c r="V277" s="1"/>
      <c r="W277" s="1"/>
      <c r="X277" s="1"/>
      <c r="Y277" s="1"/>
      <c r="Z277" s="1"/>
    </row>
    <row r="278" spans="1:26" ht="15.75" customHeight="1">
      <c r="A278" s="4"/>
      <c r="B278" s="4"/>
      <c r="C278" s="115"/>
      <c r="D278" s="4"/>
      <c r="E278" s="4"/>
      <c r="F278" s="4"/>
      <c r="G278" s="4"/>
      <c r="H278" s="4"/>
      <c r="I278" s="4"/>
      <c r="J278" s="4"/>
      <c r="K278" s="1"/>
      <c r="L278" s="1"/>
      <c r="M278" s="1"/>
      <c r="N278" s="1"/>
      <c r="O278" s="1"/>
      <c r="P278" s="1"/>
      <c r="Q278" s="1"/>
      <c r="R278" s="1"/>
      <c r="S278" s="1"/>
      <c r="T278" s="1"/>
      <c r="U278" s="1"/>
      <c r="V278" s="1"/>
      <c r="W278" s="1"/>
      <c r="X278" s="1"/>
      <c r="Y278" s="1"/>
      <c r="Z278" s="1"/>
    </row>
    <row r="279" spans="1:26" ht="15.75" customHeight="1">
      <c r="A279" s="4"/>
      <c r="B279" s="4"/>
      <c r="C279" s="115"/>
      <c r="D279" s="4"/>
      <c r="E279" s="4"/>
      <c r="F279" s="4"/>
      <c r="G279" s="4"/>
      <c r="H279" s="4"/>
      <c r="I279" s="4"/>
      <c r="J279" s="4"/>
      <c r="K279" s="1"/>
      <c r="L279" s="1"/>
      <c r="M279" s="1"/>
      <c r="N279" s="1"/>
      <c r="O279" s="1"/>
      <c r="P279" s="1"/>
      <c r="Q279" s="1"/>
      <c r="R279" s="1"/>
      <c r="S279" s="1"/>
      <c r="T279" s="1"/>
      <c r="U279" s="1"/>
      <c r="V279" s="1"/>
      <c r="W279" s="1"/>
      <c r="X279" s="1"/>
      <c r="Y279" s="1"/>
      <c r="Z279" s="1"/>
    </row>
    <row r="280" spans="1:26" ht="15.75" customHeight="1">
      <c r="A280" s="4"/>
      <c r="B280" s="4"/>
      <c r="C280" s="115"/>
      <c r="D280" s="4"/>
      <c r="E280" s="4"/>
      <c r="F280" s="4"/>
      <c r="G280" s="4"/>
      <c r="H280" s="4"/>
      <c r="I280" s="4"/>
      <c r="J280" s="4"/>
      <c r="K280" s="1"/>
      <c r="L280" s="1"/>
      <c r="M280" s="1"/>
      <c r="N280" s="1"/>
      <c r="O280" s="1"/>
      <c r="P280" s="1"/>
      <c r="Q280" s="1"/>
      <c r="R280" s="1"/>
      <c r="S280" s="1"/>
      <c r="T280" s="1"/>
      <c r="U280" s="1"/>
      <c r="V280" s="1"/>
      <c r="W280" s="1"/>
      <c r="X280" s="1"/>
      <c r="Y280" s="1"/>
      <c r="Z280" s="1"/>
    </row>
    <row r="281" spans="1:26" ht="15.75" customHeight="1">
      <c r="A281" s="4"/>
      <c r="B281" s="4"/>
      <c r="C281" s="115"/>
      <c r="D281" s="4"/>
      <c r="E281" s="4"/>
      <c r="F281" s="4"/>
      <c r="G281" s="4"/>
      <c r="H281" s="4"/>
      <c r="I281" s="4"/>
      <c r="J281" s="4"/>
      <c r="K281" s="1"/>
      <c r="L281" s="1"/>
      <c r="M281" s="1"/>
      <c r="N281" s="1"/>
      <c r="O281" s="1"/>
      <c r="P281" s="1"/>
      <c r="Q281" s="1"/>
      <c r="R281" s="1"/>
      <c r="S281" s="1"/>
      <c r="T281" s="1"/>
      <c r="U281" s="1"/>
      <c r="V281" s="1"/>
      <c r="W281" s="1"/>
      <c r="X281" s="1"/>
      <c r="Y281" s="1"/>
      <c r="Z281" s="1"/>
    </row>
    <row r="282" spans="1:26" ht="15.75" customHeight="1">
      <c r="A282" s="4"/>
      <c r="B282" s="4"/>
      <c r="C282" s="115"/>
      <c r="D282" s="4"/>
      <c r="E282" s="4"/>
      <c r="F282" s="4"/>
      <c r="G282" s="4"/>
      <c r="H282" s="4"/>
      <c r="I282" s="4"/>
      <c r="J282" s="4"/>
      <c r="K282" s="1"/>
      <c r="L282" s="1"/>
      <c r="M282" s="1"/>
      <c r="N282" s="1"/>
      <c r="O282" s="1"/>
      <c r="P282" s="1"/>
      <c r="Q282" s="1"/>
      <c r="R282" s="1"/>
      <c r="S282" s="1"/>
      <c r="T282" s="1"/>
      <c r="U282" s="1"/>
      <c r="V282" s="1"/>
      <c r="W282" s="1"/>
      <c r="X282" s="1"/>
      <c r="Y282" s="1"/>
      <c r="Z282" s="1"/>
    </row>
    <row r="283" spans="1:26" ht="15.75" customHeight="1">
      <c r="A283" s="4"/>
      <c r="B283" s="4"/>
      <c r="C283" s="115"/>
      <c r="D283" s="4"/>
      <c r="E283" s="4"/>
      <c r="F283" s="4"/>
      <c r="G283" s="4"/>
      <c r="H283" s="4"/>
      <c r="I283" s="4"/>
      <c r="J283" s="4"/>
      <c r="K283" s="1"/>
      <c r="L283" s="1"/>
      <c r="M283" s="1"/>
      <c r="N283" s="1"/>
      <c r="O283" s="1"/>
      <c r="P283" s="1"/>
      <c r="Q283" s="1"/>
      <c r="R283" s="1"/>
      <c r="S283" s="1"/>
      <c r="T283" s="1"/>
      <c r="U283" s="1"/>
      <c r="V283" s="1"/>
      <c r="W283" s="1"/>
      <c r="X283" s="1"/>
      <c r="Y283" s="1"/>
      <c r="Z283" s="1"/>
    </row>
    <row r="284" spans="1:26" ht="15.75" customHeight="1">
      <c r="A284" s="4"/>
      <c r="B284" s="4"/>
      <c r="C284" s="115"/>
      <c r="D284" s="4"/>
      <c r="E284" s="4"/>
      <c r="F284" s="4"/>
      <c r="G284" s="4"/>
      <c r="H284" s="4"/>
      <c r="I284" s="4"/>
      <c r="J284" s="4"/>
      <c r="K284" s="1"/>
      <c r="L284" s="1"/>
      <c r="M284" s="1"/>
      <c r="N284" s="1"/>
      <c r="O284" s="1"/>
      <c r="P284" s="1"/>
      <c r="Q284" s="1"/>
      <c r="R284" s="1"/>
      <c r="S284" s="1"/>
      <c r="T284" s="1"/>
      <c r="U284" s="1"/>
      <c r="V284" s="1"/>
      <c r="W284" s="1"/>
      <c r="X284" s="1"/>
      <c r="Y284" s="1"/>
      <c r="Z284" s="1"/>
    </row>
    <row r="285" spans="1:26" ht="15.75" customHeight="1">
      <c r="A285" s="4"/>
      <c r="B285" s="4"/>
      <c r="C285" s="115"/>
      <c r="D285" s="4"/>
      <c r="E285" s="4"/>
      <c r="F285" s="4"/>
      <c r="G285" s="4"/>
      <c r="H285" s="4"/>
      <c r="I285" s="4"/>
      <c r="J285" s="4"/>
      <c r="K285" s="1"/>
      <c r="L285" s="1"/>
      <c r="M285" s="1"/>
      <c r="N285" s="1"/>
      <c r="O285" s="1"/>
      <c r="P285" s="1"/>
      <c r="Q285" s="1"/>
      <c r="R285" s="1"/>
      <c r="S285" s="1"/>
      <c r="T285" s="1"/>
      <c r="U285" s="1"/>
      <c r="V285" s="1"/>
      <c r="W285" s="1"/>
      <c r="X285" s="1"/>
      <c r="Y285" s="1"/>
      <c r="Z285" s="1"/>
    </row>
    <row r="286" spans="1:26" ht="15.75" customHeight="1">
      <c r="A286" s="4"/>
      <c r="B286" s="4"/>
      <c r="C286" s="115"/>
      <c r="D286" s="4"/>
      <c r="E286" s="4"/>
      <c r="F286" s="4"/>
      <c r="G286" s="4"/>
      <c r="H286" s="4"/>
      <c r="I286" s="4"/>
      <c r="J286" s="4"/>
      <c r="K286" s="1"/>
      <c r="L286" s="1"/>
      <c r="M286" s="1"/>
      <c r="N286" s="1"/>
      <c r="O286" s="1"/>
      <c r="P286" s="1"/>
      <c r="Q286" s="1"/>
      <c r="R286" s="1"/>
      <c r="S286" s="1"/>
      <c r="T286" s="1"/>
      <c r="U286" s="1"/>
      <c r="V286" s="1"/>
      <c r="W286" s="1"/>
      <c r="X286" s="1"/>
      <c r="Y286" s="1"/>
      <c r="Z286" s="1"/>
    </row>
    <row r="287" spans="1:26" ht="15.75" customHeight="1">
      <c r="A287" s="4"/>
      <c r="B287" s="4"/>
      <c r="C287" s="115"/>
      <c r="D287" s="4"/>
      <c r="E287" s="4"/>
      <c r="F287" s="4"/>
      <c r="G287" s="4"/>
      <c r="H287" s="4"/>
      <c r="I287" s="4"/>
      <c r="J287" s="4"/>
      <c r="K287" s="1"/>
      <c r="L287" s="1"/>
      <c r="M287" s="1"/>
      <c r="N287" s="1"/>
      <c r="O287" s="1"/>
      <c r="P287" s="1"/>
      <c r="Q287" s="1"/>
      <c r="R287" s="1"/>
      <c r="S287" s="1"/>
      <c r="T287" s="1"/>
      <c r="U287" s="1"/>
      <c r="V287" s="1"/>
      <c r="W287" s="1"/>
      <c r="X287" s="1"/>
      <c r="Y287" s="1"/>
      <c r="Z287" s="1"/>
    </row>
    <row r="288" spans="1:26" ht="15.75" customHeight="1">
      <c r="A288" s="4"/>
      <c r="B288" s="4"/>
      <c r="C288" s="115"/>
      <c r="D288" s="4"/>
      <c r="E288" s="4"/>
      <c r="F288" s="4"/>
      <c r="G288" s="4"/>
      <c r="H288" s="4"/>
      <c r="I288" s="4"/>
      <c r="J288" s="4"/>
      <c r="K288" s="1"/>
      <c r="L288" s="1"/>
      <c r="M288" s="1"/>
      <c r="N288" s="1"/>
      <c r="O288" s="1"/>
      <c r="P288" s="1"/>
      <c r="Q288" s="1"/>
      <c r="R288" s="1"/>
      <c r="S288" s="1"/>
      <c r="T288" s="1"/>
      <c r="U288" s="1"/>
      <c r="V288" s="1"/>
      <c r="W288" s="1"/>
      <c r="X288" s="1"/>
      <c r="Y288" s="1"/>
      <c r="Z288" s="1"/>
    </row>
    <row r="289" spans="1:26" ht="15.75" customHeight="1">
      <c r="A289" s="4"/>
      <c r="B289" s="4"/>
      <c r="C289" s="115"/>
      <c r="D289" s="4"/>
      <c r="E289" s="4"/>
      <c r="F289" s="4"/>
      <c r="G289" s="4"/>
      <c r="H289" s="4"/>
      <c r="I289" s="4"/>
      <c r="J289" s="4"/>
      <c r="K289" s="1"/>
      <c r="L289" s="1"/>
      <c r="M289" s="1"/>
      <c r="N289" s="1"/>
      <c r="O289" s="1"/>
      <c r="P289" s="1"/>
      <c r="Q289" s="1"/>
      <c r="R289" s="1"/>
      <c r="S289" s="1"/>
      <c r="T289" s="1"/>
      <c r="U289" s="1"/>
      <c r="V289" s="1"/>
      <c r="W289" s="1"/>
      <c r="X289" s="1"/>
      <c r="Y289" s="1"/>
      <c r="Z289" s="1"/>
    </row>
    <row r="290" spans="1:26" ht="15.75" customHeight="1">
      <c r="A290" s="4"/>
      <c r="B290" s="4"/>
      <c r="C290" s="115"/>
      <c r="D290" s="4"/>
      <c r="E290" s="4"/>
      <c r="F290" s="4"/>
      <c r="G290" s="4"/>
      <c r="H290" s="4"/>
      <c r="I290" s="4"/>
      <c r="J290" s="4"/>
      <c r="K290" s="1"/>
      <c r="L290" s="1"/>
      <c r="M290" s="1"/>
      <c r="N290" s="1"/>
      <c r="O290" s="1"/>
      <c r="P290" s="1"/>
      <c r="Q290" s="1"/>
      <c r="R290" s="1"/>
      <c r="S290" s="1"/>
      <c r="T290" s="1"/>
      <c r="U290" s="1"/>
      <c r="V290" s="1"/>
      <c r="W290" s="1"/>
      <c r="X290" s="1"/>
      <c r="Y290" s="1"/>
      <c r="Z290" s="1"/>
    </row>
    <row r="291" spans="1:26" ht="15.75" customHeight="1">
      <c r="A291" s="4"/>
      <c r="B291" s="4"/>
      <c r="C291" s="115"/>
      <c r="D291" s="4"/>
      <c r="E291" s="4"/>
      <c r="F291" s="4"/>
      <c r="G291" s="4"/>
      <c r="H291" s="4"/>
      <c r="I291" s="4"/>
      <c r="J291" s="4"/>
      <c r="K291" s="1"/>
      <c r="L291" s="1"/>
      <c r="M291" s="1"/>
      <c r="N291" s="1"/>
      <c r="O291" s="1"/>
      <c r="P291" s="1"/>
      <c r="Q291" s="1"/>
      <c r="R291" s="1"/>
      <c r="S291" s="1"/>
      <c r="T291" s="1"/>
      <c r="U291" s="1"/>
      <c r="V291" s="1"/>
      <c r="W291" s="1"/>
      <c r="X291" s="1"/>
      <c r="Y291" s="1"/>
      <c r="Z291" s="1"/>
    </row>
    <row r="292" spans="1:26" ht="15.75" customHeight="1">
      <c r="A292" s="4"/>
      <c r="B292" s="4"/>
      <c r="C292" s="115"/>
      <c r="D292" s="4"/>
      <c r="E292" s="4"/>
      <c r="F292" s="4"/>
      <c r="G292" s="4"/>
      <c r="H292" s="4"/>
      <c r="I292" s="4"/>
      <c r="J292" s="4"/>
      <c r="K292" s="1"/>
      <c r="L292" s="1"/>
      <c r="M292" s="1"/>
      <c r="N292" s="1"/>
      <c r="O292" s="1"/>
      <c r="P292" s="1"/>
      <c r="Q292" s="1"/>
      <c r="R292" s="1"/>
      <c r="S292" s="1"/>
      <c r="T292" s="1"/>
      <c r="U292" s="1"/>
      <c r="V292" s="1"/>
      <c r="W292" s="1"/>
      <c r="X292" s="1"/>
      <c r="Y292" s="1"/>
      <c r="Z292" s="1"/>
    </row>
    <row r="293" spans="1:26" ht="15.75" customHeight="1">
      <c r="A293" s="4"/>
      <c r="B293" s="4"/>
      <c r="C293" s="115"/>
      <c r="D293" s="4"/>
      <c r="E293" s="4"/>
      <c r="F293" s="4"/>
      <c r="G293" s="4"/>
      <c r="H293" s="4"/>
      <c r="I293" s="4"/>
      <c r="J293" s="4"/>
      <c r="K293" s="1"/>
      <c r="L293" s="1"/>
      <c r="M293" s="1"/>
      <c r="N293" s="1"/>
      <c r="O293" s="1"/>
      <c r="P293" s="1"/>
      <c r="Q293" s="1"/>
      <c r="R293" s="1"/>
      <c r="S293" s="1"/>
      <c r="T293" s="1"/>
      <c r="U293" s="1"/>
      <c r="V293" s="1"/>
      <c r="W293" s="1"/>
      <c r="X293" s="1"/>
      <c r="Y293" s="1"/>
      <c r="Z293" s="1"/>
    </row>
    <row r="294" spans="1:26" ht="15.75" customHeight="1">
      <c r="A294" s="4"/>
      <c r="B294" s="4"/>
      <c r="C294" s="115"/>
      <c r="D294" s="4"/>
      <c r="E294" s="4"/>
      <c r="F294" s="4"/>
      <c r="G294" s="4"/>
      <c r="H294" s="4"/>
      <c r="I294" s="4"/>
      <c r="J294" s="4"/>
      <c r="K294" s="1"/>
      <c r="L294" s="1"/>
      <c r="M294" s="1"/>
      <c r="N294" s="1"/>
      <c r="O294" s="1"/>
      <c r="P294" s="1"/>
      <c r="Q294" s="1"/>
      <c r="R294" s="1"/>
      <c r="S294" s="1"/>
      <c r="T294" s="1"/>
      <c r="U294" s="1"/>
      <c r="V294" s="1"/>
      <c r="W294" s="1"/>
      <c r="X294" s="1"/>
      <c r="Y294" s="1"/>
      <c r="Z294" s="1"/>
    </row>
    <row r="295" spans="1:26" ht="15.75" customHeight="1">
      <c r="A295" s="4"/>
      <c r="B295" s="4"/>
      <c r="C295" s="115"/>
      <c r="D295" s="4"/>
      <c r="E295" s="4"/>
      <c r="F295" s="4"/>
      <c r="G295" s="4"/>
      <c r="H295" s="4"/>
      <c r="I295" s="4"/>
      <c r="J295" s="4"/>
      <c r="K295" s="1"/>
      <c r="L295" s="1"/>
      <c r="M295" s="1"/>
      <c r="N295" s="1"/>
      <c r="O295" s="1"/>
      <c r="P295" s="1"/>
      <c r="Q295" s="1"/>
      <c r="R295" s="1"/>
      <c r="S295" s="1"/>
      <c r="T295" s="1"/>
      <c r="U295" s="1"/>
      <c r="V295" s="1"/>
      <c r="W295" s="1"/>
      <c r="X295" s="1"/>
      <c r="Y295" s="1"/>
      <c r="Z295" s="1"/>
    </row>
    <row r="296" spans="1:26" ht="15.75" customHeight="1">
      <c r="A296" s="4"/>
      <c r="B296" s="4"/>
      <c r="C296" s="115"/>
      <c r="D296" s="4"/>
      <c r="E296" s="4"/>
      <c r="F296" s="4"/>
      <c r="G296" s="4"/>
      <c r="H296" s="4"/>
      <c r="I296" s="4"/>
      <c r="J296" s="4"/>
      <c r="K296" s="1"/>
      <c r="L296" s="1"/>
      <c r="M296" s="1"/>
      <c r="N296" s="1"/>
      <c r="O296" s="1"/>
      <c r="P296" s="1"/>
      <c r="Q296" s="1"/>
      <c r="R296" s="1"/>
      <c r="S296" s="1"/>
      <c r="T296" s="1"/>
      <c r="U296" s="1"/>
      <c r="V296" s="1"/>
      <c r="W296" s="1"/>
      <c r="X296" s="1"/>
      <c r="Y296" s="1"/>
      <c r="Z296" s="1"/>
    </row>
    <row r="297" spans="1:26" ht="15.75" customHeight="1">
      <c r="A297" s="4"/>
      <c r="B297" s="4"/>
      <c r="C297" s="115"/>
      <c r="D297" s="4"/>
      <c r="E297" s="4"/>
      <c r="F297" s="4"/>
      <c r="G297" s="4"/>
      <c r="H297" s="4"/>
      <c r="I297" s="4"/>
      <c r="J297" s="4"/>
      <c r="K297" s="1"/>
      <c r="L297" s="1"/>
      <c r="M297" s="1"/>
      <c r="N297" s="1"/>
      <c r="O297" s="1"/>
      <c r="P297" s="1"/>
      <c r="Q297" s="1"/>
      <c r="R297" s="1"/>
      <c r="S297" s="1"/>
      <c r="T297" s="1"/>
      <c r="U297" s="1"/>
      <c r="V297" s="1"/>
      <c r="W297" s="1"/>
      <c r="X297" s="1"/>
      <c r="Y297" s="1"/>
      <c r="Z297" s="1"/>
    </row>
    <row r="298" spans="1:26" ht="15.75" customHeight="1">
      <c r="A298" s="4"/>
      <c r="B298" s="4"/>
      <c r="C298" s="115"/>
      <c r="D298" s="4"/>
      <c r="E298" s="4"/>
      <c r="F298" s="4"/>
      <c r="G298" s="4"/>
      <c r="H298" s="4"/>
      <c r="I298" s="4"/>
      <c r="J298" s="4"/>
      <c r="K298" s="1"/>
      <c r="L298" s="1"/>
      <c r="M298" s="1"/>
      <c r="N298" s="1"/>
      <c r="O298" s="1"/>
      <c r="P298" s="1"/>
      <c r="Q298" s="1"/>
      <c r="R298" s="1"/>
      <c r="S298" s="1"/>
      <c r="T298" s="1"/>
      <c r="U298" s="1"/>
      <c r="V298" s="1"/>
      <c r="W298" s="1"/>
      <c r="X298" s="1"/>
      <c r="Y298" s="1"/>
      <c r="Z298" s="1"/>
    </row>
    <row r="299" spans="1:26" ht="15.75" customHeight="1">
      <c r="A299" s="4"/>
      <c r="B299" s="4"/>
      <c r="C299" s="115"/>
      <c r="D299" s="4"/>
      <c r="E299" s="4"/>
      <c r="F299" s="4"/>
      <c r="G299" s="4"/>
      <c r="H299" s="4"/>
      <c r="I299" s="4"/>
      <c r="J299" s="4"/>
      <c r="K299" s="1"/>
      <c r="L299" s="1"/>
      <c r="M299" s="1"/>
      <c r="N299" s="1"/>
      <c r="O299" s="1"/>
      <c r="P299" s="1"/>
      <c r="Q299" s="1"/>
      <c r="R299" s="1"/>
      <c r="S299" s="1"/>
      <c r="T299" s="1"/>
      <c r="U299" s="1"/>
      <c r="V299" s="1"/>
      <c r="W299" s="1"/>
      <c r="X299" s="1"/>
      <c r="Y299" s="1"/>
      <c r="Z299" s="1"/>
    </row>
    <row r="300" spans="1:26" ht="15.75" customHeight="1">
      <c r="A300" s="4"/>
      <c r="B300" s="4"/>
      <c r="C300" s="115"/>
      <c r="D300" s="4"/>
      <c r="E300" s="4"/>
      <c r="F300" s="4"/>
      <c r="G300" s="4"/>
      <c r="H300" s="4"/>
      <c r="I300" s="4"/>
      <c r="J300" s="4"/>
      <c r="K300" s="1"/>
      <c r="L300" s="1"/>
      <c r="M300" s="1"/>
      <c r="N300" s="1"/>
      <c r="O300" s="1"/>
      <c r="P300" s="1"/>
      <c r="Q300" s="1"/>
      <c r="R300" s="1"/>
      <c r="S300" s="1"/>
      <c r="T300" s="1"/>
      <c r="U300" s="1"/>
      <c r="V300" s="1"/>
      <c r="W300" s="1"/>
      <c r="X300" s="1"/>
      <c r="Y300" s="1"/>
      <c r="Z300" s="1"/>
    </row>
    <row r="301" spans="1:26" ht="15.75" customHeight="1">
      <c r="A301" s="4"/>
      <c r="B301" s="4"/>
      <c r="C301" s="115"/>
      <c r="D301" s="4"/>
      <c r="E301" s="4"/>
      <c r="F301" s="4"/>
      <c r="G301" s="4"/>
      <c r="H301" s="4"/>
      <c r="I301" s="4"/>
      <c r="J301" s="4"/>
      <c r="K301" s="1"/>
      <c r="L301" s="1"/>
      <c r="M301" s="1"/>
      <c r="N301" s="1"/>
      <c r="O301" s="1"/>
      <c r="P301" s="1"/>
      <c r="Q301" s="1"/>
      <c r="R301" s="1"/>
      <c r="S301" s="1"/>
      <c r="T301" s="1"/>
      <c r="U301" s="1"/>
      <c r="V301" s="1"/>
      <c r="W301" s="1"/>
      <c r="X301" s="1"/>
      <c r="Y301" s="1"/>
      <c r="Z301" s="1"/>
    </row>
    <row r="302" spans="1:26" ht="15.75" customHeight="1">
      <c r="A302" s="4"/>
      <c r="B302" s="4"/>
      <c r="C302" s="115"/>
      <c r="D302" s="4"/>
      <c r="E302" s="4"/>
      <c r="F302" s="4"/>
      <c r="G302" s="4"/>
      <c r="H302" s="4"/>
      <c r="I302" s="4"/>
      <c r="J302" s="4"/>
      <c r="K302" s="1"/>
      <c r="L302" s="1"/>
      <c r="M302" s="1"/>
      <c r="N302" s="1"/>
      <c r="O302" s="1"/>
      <c r="P302" s="1"/>
      <c r="Q302" s="1"/>
      <c r="R302" s="1"/>
      <c r="S302" s="1"/>
      <c r="T302" s="1"/>
      <c r="U302" s="1"/>
      <c r="V302" s="1"/>
      <c r="W302" s="1"/>
      <c r="X302" s="1"/>
      <c r="Y302" s="1"/>
      <c r="Z302" s="1"/>
    </row>
    <row r="303" spans="1:26" ht="15.75" customHeight="1">
      <c r="A303" s="4"/>
      <c r="B303" s="4"/>
      <c r="C303" s="115"/>
      <c r="D303" s="4"/>
      <c r="E303" s="4"/>
      <c r="F303" s="4"/>
      <c r="G303" s="4"/>
      <c r="H303" s="4"/>
      <c r="I303" s="4"/>
      <c r="J303" s="4"/>
      <c r="K303" s="1"/>
      <c r="L303" s="1"/>
      <c r="M303" s="1"/>
      <c r="N303" s="1"/>
      <c r="O303" s="1"/>
      <c r="P303" s="1"/>
      <c r="Q303" s="1"/>
      <c r="R303" s="1"/>
      <c r="S303" s="1"/>
      <c r="T303" s="1"/>
      <c r="U303" s="1"/>
      <c r="V303" s="1"/>
      <c r="W303" s="1"/>
      <c r="X303" s="1"/>
      <c r="Y303" s="1"/>
      <c r="Z303" s="1"/>
    </row>
    <row r="304" spans="1:26" ht="15.75" customHeight="1">
      <c r="A304" s="4"/>
      <c r="B304" s="4"/>
      <c r="C304" s="115"/>
      <c r="D304" s="4"/>
      <c r="E304" s="4"/>
      <c r="F304" s="4"/>
      <c r="G304" s="4"/>
      <c r="H304" s="4"/>
      <c r="I304" s="4"/>
      <c r="J304" s="4"/>
      <c r="K304" s="1"/>
      <c r="L304" s="1"/>
      <c r="M304" s="1"/>
      <c r="N304" s="1"/>
      <c r="O304" s="1"/>
      <c r="P304" s="1"/>
      <c r="Q304" s="1"/>
      <c r="R304" s="1"/>
      <c r="S304" s="1"/>
      <c r="T304" s="1"/>
      <c r="U304" s="1"/>
      <c r="V304" s="1"/>
      <c r="W304" s="1"/>
      <c r="X304" s="1"/>
      <c r="Y304" s="1"/>
      <c r="Z304" s="1"/>
    </row>
    <row r="305" spans="1:26" ht="15.75" customHeight="1">
      <c r="A305" s="4"/>
      <c r="B305" s="4"/>
      <c r="C305" s="115"/>
      <c r="D305" s="4"/>
      <c r="E305" s="4"/>
      <c r="F305" s="4"/>
      <c r="G305" s="4"/>
      <c r="H305" s="4"/>
      <c r="I305" s="4"/>
      <c r="J305" s="4"/>
      <c r="K305" s="1"/>
      <c r="L305" s="1"/>
      <c r="M305" s="1"/>
      <c r="N305" s="1"/>
      <c r="O305" s="1"/>
      <c r="P305" s="1"/>
      <c r="Q305" s="1"/>
      <c r="R305" s="1"/>
      <c r="S305" s="1"/>
      <c r="T305" s="1"/>
      <c r="U305" s="1"/>
      <c r="V305" s="1"/>
      <c r="W305" s="1"/>
      <c r="X305" s="1"/>
      <c r="Y305" s="1"/>
      <c r="Z305" s="1"/>
    </row>
    <row r="306" spans="1:26" ht="15.75" customHeight="1">
      <c r="A306" s="4"/>
      <c r="B306" s="4"/>
      <c r="C306" s="115"/>
      <c r="D306" s="4"/>
      <c r="E306" s="4"/>
      <c r="F306" s="4"/>
      <c r="G306" s="4"/>
      <c r="H306" s="4"/>
      <c r="I306" s="4"/>
      <c r="J306" s="4"/>
      <c r="K306" s="1"/>
      <c r="L306" s="1"/>
      <c r="M306" s="1"/>
      <c r="N306" s="1"/>
      <c r="O306" s="1"/>
      <c r="P306" s="1"/>
      <c r="Q306" s="1"/>
      <c r="R306" s="1"/>
      <c r="S306" s="1"/>
      <c r="T306" s="1"/>
      <c r="U306" s="1"/>
      <c r="V306" s="1"/>
      <c r="W306" s="1"/>
      <c r="X306" s="1"/>
      <c r="Y306" s="1"/>
      <c r="Z306" s="1"/>
    </row>
    <row r="307" spans="1:26" ht="15.75" customHeight="1">
      <c r="A307" s="4"/>
      <c r="B307" s="4"/>
      <c r="C307" s="115"/>
      <c r="D307" s="4"/>
      <c r="E307" s="4"/>
      <c r="F307" s="4"/>
      <c r="G307" s="4"/>
      <c r="H307" s="4"/>
      <c r="I307" s="4"/>
      <c r="J307" s="4"/>
      <c r="K307" s="1"/>
      <c r="L307" s="1"/>
      <c r="M307" s="1"/>
      <c r="N307" s="1"/>
      <c r="O307" s="1"/>
      <c r="P307" s="1"/>
      <c r="Q307" s="1"/>
      <c r="R307" s="1"/>
      <c r="S307" s="1"/>
      <c r="T307" s="1"/>
      <c r="U307" s="1"/>
      <c r="V307" s="1"/>
      <c r="W307" s="1"/>
      <c r="X307" s="1"/>
      <c r="Y307" s="1"/>
      <c r="Z307" s="1"/>
    </row>
    <row r="308" spans="1:26" ht="15.75" customHeight="1">
      <c r="A308" s="4"/>
      <c r="B308" s="4"/>
      <c r="C308" s="115"/>
      <c r="D308" s="4"/>
      <c r="E308" s="4"/>
      <c r="F308" s="4"/>
      <c r="G308" s="4"/>
      <c r="H308" s="4"/>
      <c r="I308" s="4"/>
      <c r="J308" s="4"/>
      <c r="K308" s="1"/>
      <c r="L308" s="1"/>
      <c r="M308" s="1"/>
      <c r="N308" s="1"/>
      <c r="O308" s="1"/>
      <c r="P308" s="1"/>
      <c r="Q308" s="1"/>
      <c r="R308" s="1"/>
      <c r="S308" s="1"/>
      <c r="T308" s="1"/>
      <c r="U308" s="1"/>
      <c r="V308" s="1"/>
      <c r="W308" s="1"/>
      <c r="X308" s="1"/>
      <c r="Y308" s="1"/>
      <c r="Z308" s="1"/>
    </row>
    <row r="309" spans="1:26" ht="15.75" customHeight="1">
      <c r="A309" s="4"/>
      <c r="B309" s="4"/>
      <c r="C309" s="115"/>
      <c r="D309" s="4"/>
      <c r="E309" s="4"/>
      <c r="F309" s="4"/>
      <c r="G309" s="4"/>
      <c r="H309" s="4"/>
      <c r="I309" s="4"/>
      <c r="J309" s="4"/>
      <c r="K309" s="1"/>
      <c r="L309" s="1"/>
      <c r="M309" s="1"/>
      <c r="N309" s="1"/>
      <c r="O309" s="1"/>
      <c r="P309" s="1"/>
      <c r="Q309" s="1"/>
      <c r="R309" s="1"/>
      <c r="S309" s="1"/>
      <c r="T309" s="1"/>
      <c r="U309" s="1"/>
      <c r="V309" s="1"/>
      <c r="W309" s="1"/>
      <c r="X309" s="1"/>
      <c r="Y309" s="1"/>
      <c r="Z309" s="1"/>
    </row>
    <row r="310" spans="1:26" ht="15.75" customHeight="1">
      <c r="A310" s="4"/>
      <c r="B310" s="4"/>
      <c r="C310" s="115"/>
      <c r="D310" s="4"/>
      <c r="E310" s="4"/>
      <c r="F310" s="4"/>
      <c r="G310" s="4"/>
      <c r="H310" s="4"/>
      <c r="I310" s="4"/>
      <c r="J310" s="4"/>
      <c r="K310" s="1"/>
      <c r="L310" s="1"/>
      <c r="M310" s="1"/>
      <c r="N310" s="1"/>
      <c r="O310" s="1"/>
      <c r="P310" s="1"/>
      <c r="Q310" s="1"/>
      <c r="R310" s="1"/>
      <c r="S310" s="1"/>
      <c r="T310" s="1"/>
      <c r="U310" s="1"/>
      <c r="V310" s="1"/>
      <c r="W310" s="1"/>
      <c r="X310" s="1"/>
      <c r="Y310" s="1"/>
      <c r="Z310" s="1"/>
    </row>
    <row r="311" spans="1:26" ht="15.75" customHeight="1">
      <c r="A311" s="4"/>
      <c r="B311" s="4"/>
      <c r="C311" s="115"/>
      <c r="D311" s="4"/>
      <c r="E311" s="4"/>
      <c r="F311" s="4"/>
      <c r="G311" s="4"/>
      <c r="H311" s="4"/>
      <c r="I311" s="4"/>
      <c r="J311" s="4"/>
      <c r="K311" s="1"/>
      <c r="L311" s="1"/>
      <c r="M311" s="1"/>
      <c r="N311" s="1"/>
      <c r="O311" s="1"/>
      <c r="P311" s="1"/>
      <c r="Q311" s="1"/>
      <c r="R311" s="1"/>
      <c r="S311" s="1"/>
      <c r="T311" s="1"/>
      <c r="U311" s="1"/>
      <c r="V311" s="1"/>
      <c r="W311" s="1"/>
      <c r="X311" s="1"/>
      <c r="Y311" s="1"/>
      <c r="Z311" s="1"/>
    </row>
    <row r="312" spans="1:26" ht="15.75" customHeight="1">
      <c r="A312" s="4"/>
      <c r="B312" s="4"/>
      <c r="C312" s="115"/>
      <c r="D312" s="4"/>
      <c r="E312" s="4"/>
      <c r="F312" s="4"/>
      <c r="G312" s="4"/>
      <c r="H312" s="4"/>
      <c r="I312" s="4"/>
      <c r="J312" s="4"/>
      <c r="K312" s="1"/>
      <c r="L312" s="1"/>
      <c r="M312" s="1"/>
      <c r="N312" s="1"/>
      <c r="O312" s="1"/>
      <c r="P312" s="1"/>
      <c r="Q312" s="1"/>
      <c r="R312" s="1"/>
      <c r="S312" s="1"/>
      <c r="T312" s="1"/>
      <c r="U312" s="1"/>
      <c r="V312" s="1"/>
      <c r="W312" s="1"/>
      <c r="X312" s="1"/>
      <c r="Y312" s="1"/>
      <c r="Z312" s="1"/>
    </row>
    <row r="313" spans="1:26" ht="15.75" customHeight="1">
      <c r="A313" s="4"/>
      <c r="B313" s="4"/>
      <c r="C313" s="115"/>
      <c r="D313" s="4"/>
      <c r="E313" s="4"/>
      <c r="F313" s="4"/>
      <c r="G313" s="4"/>
      <c r="H313" s="4"/>
      <c r="I313" s="4"/>
      <c r="J313" s="4"/>
      <c r="K313" s="1"/>
      <c r="L313" s="1"/>
      <c r="M313" s="1"/>
      <c r="N313" s="1"/>
      <c r="O313" s="1"/>
      <c r="P313" s="1"/>
      <c r="Q313" s="1"/>
      <c r="R313" s="1"/>
      <c r="S313" s="1"/>
      <c r="T313" s="1"/>
      <c r="U313" s="1"/>
      <c r="V313" s="1"/>
      <c r="W313" s="1"/>
      <c r="X313" s="1"/>
      <c r="Y313" s="1"/>
      <c r="Z313" s="1"/>
    </row>
    <row r="314" spans="1:26" ht="15.75" customHeight="1">
      <c r="A314" s="4"/>
      <c r="B314" s="4"/>
      <c r="C314" s="115"/>
      <c r="D314" s="4"/>
      <c r="E314" s="4"/>
      <c r="F314" s="4"/>
      <c r="G314" s="4"/>
      <c r="H314" s="4"/>
      <c r="I314" s="4"/>
      <c r="J314" s="4"/>
      <c r="K314" s="1"/>
      <c r="L314" s="1"/>
      <c r="M314" s="1"/>
      <c r="N314" s="1"/>
      <c r="O314" s="1"/>
      <c r="P314" s="1"/>
      <c r="Q314" s="1"/>
      <c r="R314" s="1"/>
      <c r="S314" s="1"/>
      <c r="T314" s="1"/>
      <c r="U314" s="1"/>
      <c r="V314" s="1"/>
      <c r="W314" s="1"/>
      <c r="X314" s="1"/>
      <c r="Y314" s="1"/>
      <c r="Z314" s="1"/>
    </row>
    <row r="315" spans="1:26" ht="15.75" customHeight="1">
      <c r="A315" s="4"/>
      <c r="B315" s="4"/>
      <c r="C315" s="115"/>
      <c r="D315" s="4"/>
      <c r="E315" s="4"/>
      <c r="F315" s="4"/>
      <c r="G315" s="4"/>
      <c r="H315" s="4"/>
      <c r="I315" s="4"/>
      <c r="J315" s="4"/>
      <c r="K315" s="1"/>
      <c r="L315" s="1"/>
      <c r="M315" s="1"/>
      <c r="N315" s="1"/>
      <c r="O315" s="1"/>
      <c r="P315" s="1"/>
      <c r="Q315" s="1"/>
      <c r="R315" s="1"/>
      <c r="S315" s="1"/>
      <c r="T315" s="1"/>
      <c r="U315" s="1"/>
      <c r="V315" s="1"/>
      <c r="W315" s="1"/>
      <c r="X315" s="1"/>
      <c r="Y315" s="1"/>
      <c r="Z315" s="1"/>
    </row>
    <row r="316" spans="1:26" ht="15.75" customHeight="1">
      <c r="A316" s="4"/>
      <c r="B316" s="4"/>
      <c r="C316" s="115"/>
      <c r="D316" s="4"/>
      <c r="E316" s="4"/>
      <c r="F316" s="4"/>
      <c r="G316" s="4"/>
      <c r="H316" s="4"/>
      <c r="I316" s="4"/>
      <c r="J316" s="4"/>
      <c r="K316" s="1"/>
      <c r="L316" s="1"/>
      <c r="M316" s="1"/>
      <c r="N316" s="1"/>
      <c r="O316" s="1"/>
      <c r="P316" s="1"/>
      <c r="Q316" s="1"/>
      <c r="R316" s="1"/>
      <c r="S316" s="1"/>
      <c r="T316" s="1"/>
      <c r="U316" s="1"/>
      <c r="V316" s="1"/>
      <c r="W316" s="1"/>
      <c r="X316" s="1"/>
      <c r="Y316" s="1"/>
      <c r="Z316" s="1"/>
    </row>
    <row r="317" spans="1:26" ht="15.75" customHeight="1">
      <c r="A317" s="4"/>
      <c r="B317" s="4"/>
      <c r="C317" s="115"/>
      <c r="D317" s="4"/>
      <c r="E317" s="4"/>
      <c r="F317" s="4"/>
      <c r="G317" s="4"/>
      <c r="H317" s="4"/>
      <c r="I317" s="4"/>
      <c r="J317" s="4"/>
      <c r="K317" s="1"/>
      <c r="L317" s="1"/>
      <c r="M317" s="1"/>
      <c r="N317" s="1"/>
      <c r="O317" s="1"/>
      <c r="P317" s="1"/>
      <c r="Q317" s="1"/>
      <c r="R317" s="1"/>
      <c r="S317" s="1"/>
      <c r="T317" s="1"/>
      <c r="U317" s="1"/>
      <c r="V317" s="1"/>
      <c r="W317" s="1"/>
      <c r="X317" s="1"/>
      <c r="Y317" s="1"/>
      <c r="Z317" s="1"/>
    </row>
    <row r="318" spans="1:26" ht="15.75" customHeight="1">
      <c r="A318" s="4"/>
      <c r="B318" s="4"/>
      <c r="C318" s="115"/>
      <c r="D318" s="4"/>
      <c r="E318" s="4"/>
      <c r="F318" s="4"/>
      <c r="G318" s="4"/>
      <c r="H318" s="4"/>
      <c r="I318" s="4"/>
      <c r="J318" s="4"/>
      <c r="K318" s="1"/>
      <c r="L318" s="1"/>
      <c r="M318" s="1"/>
      <c r="N318" s="1"/>
      <c r="O318" s="1"/>
      <c r="P318" s="1"/>
      <c r="Q318" s="1"/>
      <c r="R318" s="1"/>
      <c r="S318" s="1"/>
      <c r="T318" s="1"/>
      <c r="U318" s="1"/>
      <c r="V318" s="1"/>
      <c r="W318" s="1"/>
      <c r="X318" s="1"/>
      <c r="Y318" s="1"/>
      <c r="Z318" s="1"/>
    </row>
    <row r="319" spans="1:26" ht="15.75" customHeight="1">
      <c r="A319" s="4"/>
      <c r="B319" s="4"/>
      <c r="C319" s="115"/>
      <c r="D319" s="4"/>
      <c r="E319" s="4"/>
      <c r="F319" s="4"/>
      <c r="G319" s="4"/>
      <c r="H319" s="4"/>
      <c r="I319" s="4"/>
      <c r="J319" s="4"/>
      <c r="K319" s="1"/>
      <c r="L319" s="1"/>
      <c r="M319" s="1"/>
      <c r="N319" s="1"/>
      <c r="O319" s="1"/>
      <c r="P319" s="1"/>
      <c r="Q319" s="1"/>
      <c r="R319" s="1"/>
      <c r="S319" s="1"/>
      <c r="T319" s="1"/>
      <c r="U319" s="1"/>
      <c r="V319" s="1"/>
      <c r="W319" s="1"/>
      <c r="X319" s="1"/>
      <c r="Y319" s="1"/>
      <c r="Z319" s="1"/>
    </row>
    <row r="320" spans="1:26" ht="15.75" customHeight="1">
      <c r="A320" s="4"/>
      <c r="B320" s="4"/>
      <c r="C320" s="115"/>
      <c r="D320" s="4"/>
      <c r="E320" s="4"/>
      <c r="F320" s="4"/>
      <c r="G320" s="4"/>
      <c r="H320" s="4"/>
      <c r="I320" s="4"/>
      <c r="J320" s="4"/>
      <c r="K320" s="1"/>
      <c r="L320" s="1"/>
      <c r="M320" s="1"/>
      <c r="N320" s="1"/>
      <c r="O320" s="1"/>
      <c r="P320" s="1"/>
      <c r="Q320" s="1"/>
      <c r="R320" s="1"/>
      <c r="S320" s="1"/>
      <c r="T320" s="1"/>
      <c r="U320" s="1"/>
      <c r="V320" s="1"/>
      <c r="W320" s="1"/>
      <c r="X320" s="1"/>
      <c r="Y320" s="1"/>
      <c r="Z320" s="1"/>
    </row>
    <row r="321" spans="1:26" ht="15.75" customHeight="1">
      <c r="A321" s="4"/>
      <c r="B321" s="4"/>
      <c r="C321" s="115"/>
      <c r="D321" s="4"/>
      <c r="E321" s="4"/>
      <c r="F321" s="4"/>
      <c r="G321" s="4"/>
      <c r="H321" s="4"/>
      <c r="I321" s="4"/>
      <c r="J321" s="4"/>
      <c r="K321" s="1"/>
      <c r="L321" s="1"/>
      <c r="M321" s="1"/>
      <c r="N321" s="1"/>
      <c r="O321" s="1"/>
      <c r="P321" s="1"/>
      <c r="Q321" s="1"/>
      <c r="R321" s="1"/>
      <c r="S321" s="1"/>
      <c r="T321" s="1"/>
      <c r="U321" s="1"/>
      <c r="V321" s="1"/>
      <c r="W321" s="1"/>
      <c r="X321" s="1"/>
      <c r="Y321" s="1"/>
      <c r="Z321" s="1"/>
    </row>
    <row r="322" spans="1:26" ht="15.75" customHeight="1">
      <c r="A322" s="4"/>
      <c r="B322" s="4"/>
      <c r="C322" s="115"/>
      <c r="D322" s="4"/>
      <c r="E322" s="4"/>
      <c r="F322" s="4"/>
      <c r="G322" s="4"/>
      <c r="H322" s="4"/>
      <c r="I322" s="4"/>
      <c r="J322" s="4"/>
      <c r="K322" s="1"/>
      <c r="L322" s="1"/>
      <c r="M322" s="1"/>
      <c r="N322" s="1"/>
      <c r="O322" s="1"/>
      <c r="P322" s="1"/>
      <c r="Q322" s="1"/>
      <c r="R322" s="1"/>
      <c r="S322" s="1"/>
      <c r="T322" s="1"/>
      <c r="U322" s="1"/>
      <c r="V322" s="1"/>
      <c r="W322" s="1"/>
      <c r="X322" s="1"/>
      <c r="Y322" s="1"/>
      <c r="Z322" s="1"/>
    </row>
    <row r="323" spans="1:26" ht="15.75" customHeight="1">
      <c r="A323" s="4"/>
      <c r="B323" s="4"/>
      <c r="C323" s="115"/>
      <c r="D323" s="4"/>
      <c r="E323" s="4"/>
      <c r="F323" s="4"/>
      <c r="G323" s="4"/>
      <c r="H323" s="4"/>
      <c r="I323" s="4"/>
      <c r="J323" s="4"/>
      <c r="K323" s="1"/>
      <c r="L323" s="1"/>
      <c r="M323" s="1"/>
      <c r="N323" s="1"/>
      <c r="O323" s="1"/>
      <c r="P323" s="1"/>
      <c r="Q323" s="1"/>
      <c r="R323" s="1"/>
      <c r="S323" s="1"/>
      <c r="T323" s="1"/>
      <c r="U323" s="1"/>
      <c r="V323" s="1"/>
      <c r="W323" s="1"/>
      <c r="X323" s="1"/>
      <c r="Y323" s="1"/>
      <c r="Z323" s="1"/>
    </row>
    <row r="324" spans="1:26" ht="15.75" customHeight="1">
      <c r="A324" s="4"/>
      <c r="B324" s="4"/>
      <c r="C324" s="115"/>
      <c r="D324" s="4"/>
      <c r="E324" s="4"/>
      <c r="F324" s="4"/>
      <c r="G324" s="4"/>
      <c r="H324" s="4"/>
      <c r="I324" s="4"/>
      <c r="J324" s="4"/>
      <c r="K324" s="1"/>
      <c r="L324" s="1"/>
      <c r="M324" s="1"/>
      <c r="N324" s="1"/>
      <c r="O324" s="1"/>
      <c r="P324" s="1"/>
      <c r="Q324" s="1"/>
      <c r="R324" s="1"/>
      <c r="S324" s="1"/>
      <c r="T324" s="1"/>
      <c r="U324" s="1"/>
      <c r="V324" s="1"/>
      <c r="W324" s="1"/>
      <c r="X324" s="1"/>
      <c r="Y324" s="1"/>
      <c r="Z324" s="1"/>
    </row>
    <row r="325" spans="1:26" ht="15.75" customHeight="1">
      <c r="A325" s="4"/>
      <c r="B325" s="4"/>
      <c r="C325" s="115"/>
      <c r="D325" s="4"/>
      <c r="E325" s="4"/>
      <c r="F325" s="4"/>
      <c r="G325" s="4"/>
      <c r="H325" s="4"/>
      <c r="I325" s="4"/>
      <c r="J325" s="4"/>
      <c r="K325" s="1"/>
      <c r="L325" s="1"/>
      <c r="M325" s="1"/>
      <c r="N325" s="1"/>
      <c r="O325" s="1"/>
      <c r="P325" s="1"/>
      <c r="Q325" s="1"/>
      <c r="R325" s="1"/>
      <c r="S325" s="1"/>
      <c r="T325" s="1"/>
      <c r="U325" s="1"/>
      <c r="V325" s="1"/>
      <c r="W325" s="1"/>
      <c r="X325" s="1"/>
      <c r="Y325" s="1"/>
      <c r="Z325" s="1"/>
    </row>
    <row r="326" spans="1:26" ht="15.75" customHeight="1">
      <c r="A326" s="4"/>
      <c r="B326" s="4"/>
      <c r="C326" s="115"/>
      <c r="D326" s="4"/>
      <c r="E326" s="4"/>
      <c r="F326" s="4"/>
      <c r="G326" s="4"/>
      <c r="H326" s="4"/>
      <c r="I326" s="4"/>
      <c r="J326" s="4"/>
      <c r="K326" s="1"/>
      <c r="L326" s="1"/>
      <c r="M326" s="1"/>
      <c r="N326" s="1"/>
      <c r="O326" s="1"/>
      <c r="P326" s="1"/>
      <c r="Q326" s="1"/>
      <c r="R326" s="1"/>
      <c r="S326" s="1"/>
      <c r="T326" s="1"/>
      <c r="U326" s="1"/>
      <c r="V326" s="1"/>
      <c r="W326" s="1"/>
      <c r="X326" s="1"/>
      <c r="Y326" s="1"/>
      <c r="Z326" s="1"/>
    </row>
    <row r="327" spans="1:26" ht="15.75" customHeight="1">
      <c r="A327" s="4"/>
      <c r="B327" s="4"/>
      <c r="C327" s="115"/>
      <c r="D327" s="4"/>
      <c r="E327" s="4"/>
      <c r="F327" s="4"/>
      <c r="G327" s="4"/>
      <c r="H327" s="4"/>
      <c r="I327" s="4"/>
      <c r="J327" s="4"/>
      <c r="K327" s="1"/>
      <c r="L327" s="1"/>
      <c r="M327" s="1"/>
      <c r="N327" s="1"/>
      <c r="O327" s="1"/>
      <c r="P327" s="1"/>
      <c r="Q327" s="1"/>
      <c r="R327" s="1"/>
      <c r="S327" s="1"/>
      <c r="T327" s="1"/>
      <c r="U327" s="1"/>
      <c r="V327" s="1"/>
      <c r="W327" s="1"/>
      <c r="X327" s="1"/>
      <c r="Y327" s="1"/>
      <c r="Z327" s="1"/>
    </row>
    <row r="328" spans="1:26" ht="15.75" customHeight="1">
      <c r="A328" s="4"/>
      <c r="B328" s="4"/>
      <c r="C328" s="115"/>
      <c r="D328" s="4"/>
      <c r="E328" s="4"/>
      <c r="F328" s="4"/>
      <c r="G328" s="4"/>
      <c r="H328" s="4"/>
      <c r="I328" s="4"/>
      <c r="J328" s="4"/>
      <c r="K328" s="1"/>
      <c r="L328" s="1"/>
      <c r="M328" s="1"/>
      <c r="N328" s="1"/>
      <c r="O328" s="1"/>
      <c r="P328" s="1"/>
      <c r="Q328" s="1"/>
      <c r="R328" s="1"/>
      <c r="S328" s="1"/>
      <c r="T328" s="1"/>
      <c r="U328" s="1"/>
      <c r="V328" s="1"/>
      <c r="W328" s="1"/>
      <c r="X328" s="1"/>
      <c r="Y328" s="1"/>
      <c r="Z328" s="1"/>
    </row>
    <row r="329" spans="1:26" ht="15.75" customHeight="1">
      <c r="A329" s="4"/>
      <c r="B329" s="4"/>
      <c r="C329" s="115"/>
      <c r="D329" s="4"/>
      <c r="E329" s="4"/>
      <c r="F329" s="4"/>
      <c r="G329" s="4"/>
      <c r="H329" s="4"/>
      <c r="I329" s="4"/>
      <c r="J329" s="4"/>
      <c r="K329" s="1"/>
      <c r="L329" s="1"/>
      <c r="M329" s="1"/>
      <c r="N329" s="1"/>
      <c r="O329" s="1"/>
      <c r="P329" s="1"/>
      <c r="Q329" s="1"/>
      <c r="R329" s="1"/>
      <c r="S329" s="1"/>
      <c r="T329" s="1"/>
      <c r="U329" s="1"/>
      <c r="V329" s="1"/>
      <c r="W329" s="1"/>
      <c r="X329" s="1"/>
      <c r="Y329" s="1"/>
      <c r="Z329" s="1"/>
    </row>
    <row r="330" spans="1:26" ht="15.75" customHeight="1">
      <c r="A330" s="4"/>
      <c r="B330" s="4"/>
      <c r="C330" s="115"/>
      <c r="D330" s="4"/>
      <c r="E330" s="4"/>
      <c r="F330" s="4"/>
      <c r="G330" s="4"/>
      <c r="H330" s="4"/>
      <c r="I330" s="4"/>
      <c r="J330" s="4"/>
      <c r="K330" s="1"/>
      <c r="L330" s="1"/>
      <c r="M330" s="1"/>
      <c r="N330" s="1"/>
      <c r="O330" s="1"/>
      <c r="P330" s="1"/>
      <c r="Q330" s="1"/>
      <c r="R330" s="1"/>
      <c r="S330" s="1"/>
      <c r="T330" s="1"/>
      <c r="U330" s="1"/>
      <c r="V330" s="1"/>
      <c r="W330" s="1"/>
      <c r="X330" s="1"/>
      <c r="Y330" s="1"/>
      <c r="Z330" s="1"/>
    </row>
    <row r="331" spans="1:26" ht="15.75" customHeight="1">
      <c r="A331" s="4"/>
      <c r="B331" s="4"/>
      <c r="C331" s="115"/>
      <c r="D331" s="4"/>
      <c r="E331" s="4"/>
      <c r="F331" s="4"/>
      <c r="G331" s="4"/>
      <c r="H331" s="4"/>
      <c r="I331" s="4"/>
      <c r="J331" s="4"/>
      <c r="K331" s="1"/>
      <c r="L331" s="1"/>
      <c r="M331" s="1"/>
      <c r="N331" s="1"/>
      <c r="O331" s="1"/>
      <c r="P331" s="1"/>
      <c r="Q331" s="1"/>
      <c r="R331" s="1"/>
      <c r="S331" s="1"/>
      <c r="T331" s="1"/>
      <c r="U331" s="1"/>
      <c r="V331" s="1"/>
      <c r="W331" s="1"/>
      <c r="X331" s="1"/>
      <c r="Y331" s="1"/>
      <c r="Z331" s="1"/>
    </row>
    <row r="332" spans="1:26" ht="15.75" customHeight="1">
      <c r="A332" s="4"/>
      <c r="B332" s="4"/>
      <c r="C332" s="115"/>
      <c r="D332" s="4"/>
      <c r="E332" s="4"/>
      <c r="F332" s="4"/>
      <c r="G332" s="4"/>
      <c r="H332" s="4"/>
      <c r="I332" s="4"/>
      <c r="J332" s="4"/>
      <c r="K332" s="1"/>
      <c r="L332" s="1"/>
      <c r="M332" s="1"/>
      <c r="N332" s="1"/>
      <c r="O332" s="1"/>
      <c r="P332" s="1"/>
      <c r="Q332" s="1"/>
      <c r="R332" s="1"/>
      <c r="S332" s="1"/>
      <c r="T332" s="1"/>
      <c r="U332" s="1"/>
      <c r="V332" s="1"/>
      <c r="W332" s="1"/>
      <c r="X332" s="1"/>
      <c r="Y332" s="1"/>
      <c r="Z332" s="1"/>
    </row>
    <row r="333" spans="1:26" ht="15.75" customHeight="1">
      <c r="A333" s="4"/>
      <c r="B333" s="4"/>
      <c r="C333" s="115"/>
      <c r="D333" s="4"/>
      <c r="E333" s="4"/>
      <c r="F333" s="4"/>
      <c r="G333" s="4"/>
      <c r="H333" s="4"/>
      <c r="I333" s="4"/>
      <c r="J333" s="4"/>
      <c r="K333" s="1"/>
      <c r="L333" s="1"/>
      <c r="M333" s="1"/>
      <c r="N333" s="1"/>
      <c r="O333" s="1"/>
      <c r="P333" s="1"/>
      <c r="Q333" s="1"/>
      <c r="R333" s="1"/>
      <c r="S333" s="1"/>
      <c r="T333" s="1"/>
      <c r="U333" s="1"/>
      <c r="V333" s="1"/>
      <c r="W333" s="1"/>
      <c r="X333" s="1"/>
      <c r="Y333" s="1"/>
      <c r="Z333" s="1"/>
    </row>
    <row r="334" spans="1:26" ht="15.75" customHeight="1">
      <c r="A334" s="4"/>
      <c r="B334" s="4"/>
      <c r="C334" s="115"/>
      <c r="D334" s="4"/>
      <c r="E334" s="4"/>
      <c r="F334" s="4"/>
      <c r="G334" s="4"/>
      <c r="H334" s="4"/>
      <c r="I334" s="4"/>
      <c r="J334" s="4"/>
      <c r="K334" s="1"/>
      <c r="L334" s="1"/>
      <c r="M334" s="1"/>
      <c r="N334" s="1"/>
      <c r="O334" s="1"/>
      <c r="P334" s="1"/>
      <c r="Q334" s="1"/>
      <c r="R334" s="1"/>
      <c r="S334" s="1"/>
      <c r="T334" s="1"/>
      <c r="U334" s="1"/>
      <c r="V334" s="1"/>
      <c r="W334" s="1"/>
      <c r="X334" s="1"/>
      <c r="Y334" s="1"/>
      <c r="Z334" s="1"/>
    </row>
    <row r="335" spans="1:26" ht="15.75" customHeight="1">
      <c r="A335" s="4"/>
      <c r="B335" s="4"/>
      <c r="C335" s="115"/>
      <c r="D335" s="4"/>
      <c r="E335" s="4"/>
      <c r="F335" s="4"/>
      <c r="G335" s="4"/>
      <c r="H335" s="4"/>
      <c r="I335" s="4"/>
      <c r="J335" s="4"/>
      <c r="K335" s="1"/>
      <c r="L335" s="1"/>
      <c r="M335" s="1"/>
      <c r="N335" s="1"/>
      <c r="O335" s="1"/>
      <c r="P335" s="1"/>
      <c r="Q335" s="1"/>
      <c r="R335" s="1"/>
      <c r="S335" s="1"/>
      <c r="T335" s="1"/>
      <c r="U335" s="1"/>
      <c r="V335" s="1"/>
      <c r="W335" s="1"/>
      <c r="X335" s="1"/>
      <c r="Y335" s="1"/>
      <c r="Z335" s="1"/>
    </row>
    <row r="336" spans="1:26" ht="15.75" customHeight="1">
      <c r="A336" s="4"/>
      <c r="B336" s="4"/>
      <c r="C336" s="115"/>
      <c r="D336" s="4"/>
      <c r="E336" s="4"/>
      <c r="F336" s="4"/>
      <c r="G336" s="4"/>
      <c r="H336" s="4"/>
      <c r="I336" s="4"/>
      <c r="J336" s="4"/>
      <c r="K336" s="1"/>
      <c r="L336" s="1"/>
      <c r="M336" s="1"/>
      <c r="N336" s="1"/>
      <c r="O336" s="1"/>
      <c r="P336" s="1"/>
      <c r="Q336" s="1"/>
      <c r="R336" s="1"/>
      <c r="S336" s="1"/>
      <c r="T336" s="1"/>
      <c r="U336" s="1"/>
      <c r="V336" s="1"/>
      <c r="W336" s="1"/>
      <c r="X336" s="1"/>
      <c r="Y336" s="1"/>
      <c r="Z336" s="1"/>
    </row>
    <row r="337" spans="1:26" ht="15.75" customHeight="1">
      <c r="A337" s="4"/>
      <c r="B337" s="4"/>
      <c r="C337" s="115"/>
      <c r="D337" s="4"/>
      <c r="E337" s="4"/>
      <c r="F337" s="4"/>
      <c r="G337" s="4"/>
      <c r="H337" s="4"/>
      <c r="I337" s="4"/>
      <c r="J337" s="4"/>
      <c r="K337" s="1"/>
      <c r="L337" s="1"/>
      <c r="M337" s="1"/>
      <c r="N337" s="1"/>
      <c r="O337" s="1"/>
      <c r="P337" s="1"/>
      <c r="Q337" s="1"/>
      <c r="R337" s="1"/>
      <c r="S337" s="1"/>
      <c r="T337" s="1"/>
      <c r="U337" s="1"/>
      <c r="V337" s="1"/>
      <c r="W337" s="1"/>
      <c r="X337" s="1"/>
      <c r="Y337" s="1"/>
      <c r="Z337" s="1"/>
    </row>
    <row r="338" spans="1:26" ht="15.75" customHeight="1">
      <c r="A338" s="4"/>
      <c r="B338" s="4"/>
      <c r="C338" s="115"/>
      <c r="D338" s="4"/>
      <c r="E338" s="4"/>
      <c r="F338" s="4"/>
      <c r="G338" s="4"/>
      <c r="H338" s="4"/>
      <c r="I338" s="4"/>
      <c r="J338" s="4"/>
      <c r="K338" s="1"/>
      <c r="L338" s="1"/>
      <c r="M338" s="1"/>
      <c r="N338" s="1"/>
      <c r="O338" s="1"/>
      <c r="P338" s="1"/>
      <c r="Q338" s="1"/>
      <c r="R338" s="1"/>
      <c r="S338" s="1"/>
      <c r="T338" s="1"/>
      <c r="U338" s="1"/>
      <c r="V338" s="1"/>
      <c r="W338" s="1"/>
      <c r="X338" s="1"/>
      <c r="Y338" s="1"/>
      <c r="Z338" s="1"/>
    </row>
    <row r="339" spans="1:26" ht="15.75" customHeight="1">
      <c r="A339" s="4"/>
      <c r="B339" s="4"/>
      <c r="C339" s="115"/>
      <c r="D339" s="4"/>
      <c r="E339" s="4"/>
      <c r="F339" s="4"/>
      <c r="G339" s="4"/>
      <c r="H339" s="4"/>
      <c r="I339" s="4"/>
      <c r="J339" s="4"/>
      <c r="K339" s="1"/>
      <c r="L339" s="1"/>
      <c r="M339" s="1"/>
      <c r="N339" s="1"/>
      <c r="O339" s="1"/>
      <c r="P339" s="1"/>
      <c r="Q339" s="1"/>
      <c r="R339" s="1"/>
      <c r="S339" s="1"/>
      <c r="T339" s="1"/>
      <c r="U339" s="1"/>
      <c r="V339" s="1"/>
      <c r="W339" s="1"/>
      <c r="X339" s="1"/>
      <c r="Y339" s="1"/>
      <c r="Z339" s="1"/>
    </row>
    <row r="340" spans="1:26" ht="15.75" customHeight="1">
      <c r="A340" s="4"/>
      <c r="B340" s="4"/>
      <c r="C340" s="115"/>
      <c r="D340" s="4"/>
      <c r="E340" s="4"/>
      <c r="F340" s="4"/>
      <c r="G340" s="4"/>
      <c r="H340" s="4"/>
      <c r="I340" s="4"/>
      <c r="J340" s="4"/>
      <c r="K340" s="1"/>
      <c r="L340" s="1"/>
      <c r="M340" s="1"/>
      <c r="N340" s="1"/>
      <c r="O340" s="1"/>
      <c r="P340" s="1"/>
      <c r="Q340" s="1"/>
      <c r="R340" s="1"/>
      <c r="S340" s="1"/>
      <c r="T340" s="1"/>
      <c r="U340" s="1"/>
      <c r="V340" s="1"/>
      <c r="W340" s="1"/>
      <c r="X340" s="1"/>
      <c r="Y340" s="1"/>
      <c r="Z340" s="1"/>
    </row>
    <row r="341" spans="1:26" ht="15.75" customHeight="1">
      <c r="A341" s="4"/>
      <c r="B341" s="4"/>
      <c r="C341" s="115"/>
      <c r="D341" s="4"/>
      <c r="E341" s="4"/>
      <c r="F341" s="4"/>
      <c r="G341" s="4"/>
      <c r="H341" s="4"/>
      <c r="I341" s="4"/>
      <c r="J341" s="4"/>
      <c r="K341" s="1"/>
      <c r="L341" s="1"/>
      <c r="M341" s="1"/>
      <c r="N341" s="1"/>
      <c r="O341" s="1"/>
      <c r="P341" s="1"/>
      <c r="Q341" s="1"/>
      <c r="R341" s="1"/>
      <c r="S341" s="1"/>
      <c r="T341" s="1"/>
      <c r="U341" s="1"/>
      <c r="V341" s="1"/>
      <c r="W341" s="1"/>
      <c r="X341" s="1"/>
      <c r="Y341" s="1"/>
      <c r="Z341" s="1"/>
    </row>
    <row r="342" spans="1:26" ht="15.75" customHeight="1">
      <c r="A342" s="4"/>
      <c r="B342" s="4"/>
      <c r="C342" s="115"/>
      <c r="D342" s="4"/>
      <c r="E342" s="4"/>
      <c r="F342" s="4"/>
      <c r="G342" s="4"/>
      <c r="H342" s="4"/>
      <c r="I342" s="4"/>
      <c r="J342" s="4"/>
      <c r="K342" s="1"/>
      <c r="L342" s="1"/>
      <c r="M342" s="1"/>
      <c r="N342" s="1"/>
      <c r="O342" s="1"/>
      <c r="P342" s="1"/>
      <c r="Q342" s="1"/>
      <c r="R342" s="1"/>
      <c r="S342" s="1"/>
      <c r="T342" s="1"/>
      <c r="U342" s="1"/>
      <c r="V342" s="1"/>
      <c r="W342" s="1"/>
      <c r="X342" s="1"/>
      <c r="Y342" s="1"/>
      <c r="Z342" s="1"/>
    </row>
    <row r="343" spans="1:26" ht="15.75" customHeight="1">
      <c r="A343" s="4"/>
      <c r="B343" s="4"/>
      <c r="C343" s="115"/>
      <c r="D343" s="4"/>
      <c r="E343" s="4"/>
      <c r="F343" s="4"/>
      <c r="G343" s="4"/>
      <c r="H343" s="4"/>
      <c r="I343" s="4"/>
      <c r="J343" s="4"/>
      <c r="K343" s="1"/>
      <c r="L343" s="1"/>
      <c r="M343" s="1"/>
      <c r="N343" s="1"/>
      <c r="O343" s="1"/>
      <c r="P343" s="1"/>
      <c r="Q343" s="1"/>
      <c r="R343" s="1"/>
      <c r="S343" s="1"/>
      <c r="T343" s="1"/>
      <c r="U343" s="1"/>
      <c r="V343" s="1"/>
      <c r="W343" s="1"/>
      <c r="X343" s="1"/>
      <c r="Y343" s="1"/>
      <c r="Z343" s="1"/>
    </row>
    <row r="344" spans="1:26" ht="15.75" customHeight="1">
      <c r="A344" s="4"/>
      <c r="B344" s="4"/>
      <c r="C344" s="115"/>
      <c r="D344" s="4"/>
      <c r="E344" s="4"/>
      <c r="F344" s="4"/>
      <c r="G344" s="4"/>
      <c r="H344" s="4"/>
      <c r="I344" s="4"/>
      <c r="J344" s="4"/>
      <c r="K344" s="1"/>
      <c r="L344" s="1"/>
      <c r="M344" s="1"/>
      <c r="N344" s="1"/>
      <c r="O344" s="1"/>
      <c r="P344" s="1"/>
      <c r="Q344" s="1"/>
      <c r="R344" s="1"/>
      <c r="S344" s="1"/>
      <c r="T344" s="1"/>
      <c r="U344" s="1"/>
      <c r="V344" s="1"/>
      <c r="W344" s="1"/>
      <c r="X344" s="1"/>
      <c r="Y344" s="1"/>
      <c r="Z344" s="1"/>
    </row>
    <row r="345" spans="1:26" ht="15.75" customHeight="1">
      <c r="A345" s="4"/>
      <c r="B345" s="4"/>
      <c r="C345" s="115"/>
      <c r="D345" s="4"/>
      <c r="E345" s="4"/>
      <c r="F345" s="4"/>
      <c r="G345" s="4"/>
      <c r="H345" s="4"/>
      <c r="I345" s="4"/>
      <c r="J345" s="4"/>
      <c r="K345" s="1"/>
      <c r="L345" s="1"/>
      <c r="M345" s="1"/>
      <c r="N345" s="1"/>
      <c r="O345" s="1"/>
      <c r="P345" s="1"/>
      <c r="Q345" s="1"/>
      <c r="R345" s="1"/>
      <c r="S345" s="1"/>
      <c r="T345" s="1"/>
      <c r="U345" s="1"/>
      <c r="V345" s="1"/>
      <c r="W345" s="1"/>
      <c r="X345" s="1"/>
      <c r="Y345" s="1"/>
      <c r="Z345" s="1"/>
    </row>
    <row r="346" spans="1:26" ht="15.75" customHeight="1">
      <c r="A346" s="4"/>
      <c r="B346" s="4"/>
      <c r="C346" s="115"/>
      <c r="D346" s="4"/>
      <c r="E346" s="4"/>
      <c r="F346" s="4"/>
      <c r="G346" s="4"/>
      <c r="H346" s="4"/>
      <c r="I346" s="4"/>
      <c r="J346" s="4"/>
      <c r="K346" s="1"/>
      <c r="L346" s="1"/>
      <c r="M346" s="1"/>
      <c r="N346" s="1"/>
      <c r="O346" s="1"/>
      <c r="P346" s="1"/>
      <c r="Q346" s="1"/>
      <c r="R346" s="1"/>
      <c r="S346" s="1"/>
      <c r="T346" s="1"/>
      <c r="U346" s="1"/>
      <c r="V346" s="1"/>
      <c r="W346" s="1"/>
      <c r="X346" s="1"/>
      <c r="Y346" s="1"/>
      <c r="Z346" s="1"/>
    </row>
    <row r="347" spans="1:26" ht="15.75" customHeight="1">
      <c r="A347" s="4"/>
      <c r="B347" s="4"/>
      <c r="C347" s="115"/>
      <c r="D347" s="4"/>
      <c r="E347" s="4"/>
      <c r="F347" s="4"/>
      <c r="G347" s="4"/>
      <c r="H347" s="4"/>
      <c r="I347" s="4"/>
      <c r="J347" s="4"/>
      <c r="K347" s="1"/>
      <c r="L347" s="1"/>
      <c r="M347" s="1"/>
      <c r="N347" s="1"/>
      <c r="O347" s="1"/>
      <c r="P347" s="1"/>
      <c r="Q347" s="1"/>
      <c r="R347" s="1"/>
      <c r="S347" s="1"/>
      <c r="T347" s="1"/>
      <c r="U347" s="1"/>
      <c r="V347" s="1"/>
      <c r="W347" s="1"/>
      <c r="X347" s="1"/>
      <c r="Y347" s="1"/>
      <c r="Z347" s="1"/>
    </row>
    <row r="348" spans="1:26" ht="15.75" customHeight="1">
      <c r="A348" s="4"/>
      <c r="B348" s="4"/>
      <c r="C348" s="115"/>
      <c r="D348" s="4"/>
      <c r="E348" s="4"/>
      <c r="F348" s="4"/>
      <c r="G348" s="4"/>
      <c r="H348" s="4"/>
      <c r="I348" s="4"/>
      <c r="J348" s="4"/>
      <c r="K348" s="1"/>
      <c r="L348" s="1"/>
      <c r="M348" s="1"/>
      <c r="N348" s="1"/>
      <c r="O348" s="1"/>
      <c r="P348" s="1"/>
      <c r="Q348" s="1"/>
      <c r="R348" s="1"/>
      <c r="S348" s="1"/>
      <c r="T348" s="1"/>
      <c r="U348" s="1"/>
      <c r="V348" s="1"/>
      <c r="W348" s="1"/>
      <c r="X348" s="1"/>
      <c r="Y348" s="1"/>
      <c r="Z348" s="1"/>
    </row>
    <row r="349" spans="1:26" ht="15.75" customHeight="1">
      <c r="A349" s="4"/>
      <c r="B349" s="4"/>
      <c r="C349" s="115"/>
      <c r="D349" s="4"/>
      <c r="E349" s="4"/>
      <c r="F349" s="4"/>
      <c r="G349" s="4"/>
      <c r="H349" s="4"/>
      <c r="I349" s="4"/>
      <c r="J349" s="4"/>
      <c r="K349" s="1"/>
      <c r="L349" s="1"/>
      <c r="M349" s="1"/>
      <c r="N349" s="1"/>
      <c r="O349" s="1"/>
      <c r="P349" s="1"/>
      <c r="Q349" s="1"/>
      <c r="R349" s="1"/>
      <c r="S349" s="1"/>
      <c r="T349" s="1"/>
      <c r="U349" s="1"/>
      <c r="V349" s="1"/>
      <c r="W349" s="1"/>
      <c r="X349" s="1"/>
      <c r="Y349" s="1"/>
      <c r="Z349" s="1"/>
    </row>
    <row r="350" spans="1:26" ht="15.75" customHeight="1">
      <c r="A350" s="4"/>
      <c r="B350" s="4"/>
      <c r="C350" s="115"/>
      <c r="D350" s="4"/>
      <c r="E350" s="4"/>
      <c r="F350" s="4"/>
      <c r="G350" s="4"/>
      <c r="H350" s="4"/>
      <c r="I350" s="4"/>
      <c r="J350" s="4"/>
      <c r="K350" s="1"/>
      <c r="L350" s="1"/>
      <c r="M350" s="1"/>
      <c r="N350" s="1"/>
      <c r="O350" s="1"/>
      <c r="P350" s="1"/>
      <c r="Q350" s="1"/>
      <c r="R350" s="1"/>
      <c r="S350" s="1"/>
      <c r="T350" s="1"/>
      <c r="U350" s="1"/>
      <c r="V350" s="1"/>
      <c r="W350" s="1"/>
      <c r="X350" s="1"/>
      <c r="Y350" s="1"/>
      <c r="Z350" s="1"/>
    </row>
    <row r="351" spans="1:26" ht="15.75" customHeight="1">
      <c r="A351" s="4"/>
      <c r="B351" s="4"/>
      <c r="C351" s="115"/>
      <c r="D351" s="4"/>
      <c r="E351" s="4"/>
      <c r="F351" s="4"/>
      <c r="G351" s="4"/>
      <c r="H351" s="4"/>
      <c r="I351" s="4"/>
      <c r="J351" s="4"/>
      <c r="K351" s="1"/>
      <c r="L351" s="1"/>
      <c r="M351" s="1"/>
      <c r="N351" s="1"/>
      <c r="O351" s="1"/>
      <c r="P351" s="1"/>
      <c r="Q351" s="1"/>
      <c r="R351" s="1"/>
      <c r="S351" s="1"/>
      <c r="T351" s="1"/>
      <c r="U351" s="1"/>
      <c r="V351" s="1"/>
      <c r="W351" s="1"/>
      <c r="X351" s="1"/>
      <c r="Y351" s="1"/>
      <c r="Z351" s="1"/>
    </row>
    <row r="352" spans="1:26" ht="15.75" customHeight="1">
      <c r="A352" s="4"/>
      <c r="B352" s="4"/>
      <c r="C352" s="115"/>
      <c r="D352" s="4"/>
      <c r="E352" s="4"/>
      <c r="F352" s="4"/>
      <c r="G352" s="4"/>
      <c r="H352" s="4"/>
      <c r="I352" s="4"/>
      <c r="J352" s="4"/>
      <c r="K352" s="1"/>
      <c r="L352" s="1"/>
      <c r="M352" s="1"/>
      <c r="N352" s="1"/>
      <c r="O352" s="1"/>
      <c r="P352" s="1"/>
      <c r="Q352" s="1"/>
      <c r="R352" s="1"/>
      <c r="S352" s="1"/>
      <c r="T352" s="1"/>
      <c r="U352" s="1"/>
      <c r="V352" s="1"/>
      <c r="W352" s="1"/>
      <c r="X352" s="1"/>
      <c r="Y352" s="1"/>
      <c r="Z352" s="1"/>
    </row>
    <row r="353" spans="1:26" ht="15.75" customHeight="1">
      <c r="A353" s="4"/>
      <c r="B353" s="4"/>
      <c r="C353" s="115"/>
      <c r="D353" s="4"/>
      <c r="E353" s="4"/>
      <c r="F353" s="4"/>
      <c r="G353" s="4"/>
      <c r="H353" s="4"/>
      <c r="I353" s="4"/>
      <c r="J353" s="4"/>
      <c r="K353" s="1"/>
      <c r="L353" s="1"/>
      <c r="M353" s="1"/>
      <c r="N353" s="1"/>
      <c r="O353" s="1"/>
      <c r="P353" s="1"/>
      <c r="Q353" s="1"/>
      <c r="R353" s="1"/>
      <c r="S353" s="1"/>
      <c r="T353" s="1"/>
      <c r="U353" s="1"/>
      <c r="V353" s="1"/>
      <c r="W353" s="1"/>
      <c r="X353" s="1"/>
      <c r="Y353" s="1"/>
      <c r="Z353" s="1"/>
    </row>
    <row r="354" spans="1:26" ht="15.75" customHeight="1">
      <c r="A354" s="4"/>
      <c r="B354" s="4"/>
      <c r="C354" s="115"/>
      <c r="D354" s="4"/>
      <c r="E354" s="4"/>
      <c r="F354" s="4"/>
      <c r="G354" s="4"/>
      <c r="H354" s="4"/>
      <c r="I354" s="4"/>
      <c r="J354" s="4"/>
      <c r="K354" s="1"/>
      <c r="L354" s="1"/>
      <c r="M354" s="1"/>
      <c r="N354" s="1"/>
      <c r="O354" s="1"/>
      <c r="P354" s="1"/>
      <c r="Q354" s="1"/>
      <c r="R354" s="1"/>
      <c r="S354" s="1"/>
      <c r="T354" s="1"/>
      <c r="U354" s="1"/>
      <c r="V354" s="1"/>
      <c r="W354" s="1"/>
      <c r="X354" s="1"/>
      <c r="Y354" s="1"/>
      <c r="Z354" s="1"/>
    </row>
    <row r="355" spans="1:26" ht="15.75" customHeight="1">
      <c r="A355" s="4"/>
      <c r="B355" s="4"/>
      <c r="C355" s="115"/>
      <c r="D355" s="4"/>
      <c r="E355" s="4"/>
      <c r="F355" s="4"/>
      <c r="G355" s="4"/>
      <c r="H355" s="4"/>
      <c r="I355" s="4"/>
      <c r="J355" s="4"/>
      <c r="K355" s="1"/>
      <c r="L355" s="1"/>
      <c r="M355" s="1"/>
      <c r="N355" s="1"/>
      <c r="O355" s="1"/>
      <c r="P355" s="1"/>
      <c r="Q355" s="1"/>
      <c r="R355" s="1"/>
      <c r="S355" s="1"/>
      <c r="T355" s="1"/>
      <c r="U355" s="1"/>
      <c r="V355" s="1"/>
      <c r="W355" s="1"/>
      <c r="X355" s="1"/>
      <c r="Y355" s="1"/>
      <c r="Z355" s="1"/>
    </row>
    <row r="356" spans="1:26" ht="15.75" customHeight="1">
      <c r="A356" s="4"/>
      <c r="B356" s="4"/>
      <c r="C356" s="115"/>
      <c r="D356" s="4"/>
      <c r="E356" s="4"/>
      <c r="F356" s="4"/>
      <c r="G356" s="4"/>
      <c r="H356" s="4"/>
      <c r="I356" s="4"/>
      <c r="J356" s="4"/>
      <c r="K356" s="1"/>
      <c r="L356" s="1"/>
      <c r="M356" s="1"/>
      <c r="N356" s="1"/>
      <c r="O356" s="1"/>
      <c r="P356" s="1"/>
      <c r="Q356" s="1"/>
      <c r="R356" s="1"/>
      <c r="S356" s="1"/>
      <c r="T356" s="1"/>
      <c r="U356" s="1"/>
      <c r="V356" s="1"/>
      <c r="W356" s="1"/>
      <c r="X356" s="1"/>
      <c r="Y356" s="1"/>
      <c r="Z356" s="1"/>
    </row>
    <row r="357" spans="1:26" ht="15.75" customHeight="1">
      <c r="A357" s="4"/>
      <c r="B357" s="4"/>
      <c r="C357" s="115"/>
      <c r="D357" s="4"/>
      <c r="E357" s="4"/>
      <c r="F357" s="4"/>
      <c r="G357" s="4"/>
      <c r="H357" s="4"/>
      <c r="I357" s="4"/>
      <c r="J357" s="4"/>
      <c r="K357" s="1"/>
      <c r="L357" s="1"/>
      <c r="M357" s="1"/>
      <c r="N357" s="1"/>
      <c r="O357" s="1"/>
      <c r="P357" s="1"/>
      <c r="Q357" s="1"/>
      <c r="R357" s="1"/>
      <c r="S357" s="1"/>
      <c r="T357" s="1"/>
      <c r="U357" s="1"/>
      <c r="V357" s="1"/>
      <c r="W357" s="1"/>
      <c r="X357" s="1"/>
      <c r="Y357" s="1"/>
      <c r="Z357" s="1"/>
    </row>
    <row r="358" spans="1:26" ht="15.75" customHeight="1">
      <c r="A358" s="4"/>
      <c r="B358" s="4"/>
      <c r="C358" s="115"/>
      <c r="D358" s="4"/>
      <c r="E358" s="4"/>
      <c r="F358" s="4"/>
      <c r="G358" s="4"/>
      <c r="H358" s="4"/>
      <c r="I358" s="4"/>
      <c r="J358" s="4"/>
      <c r="K358" s="1"/>
      <c r="L358" s="1"/>
      <c r="M358" s="1"/>
      <c r="N358" s="1"/>
      <c r="O358" s="1"/>
      <c r="P358" s="1"/>
      <c r="Q358" s="1"/>
      <c r="R358" s="1"/>
      <c r="S358" s="1"/>
      <c r="T358" s="1"/>
      <c r="U358" s="1"/>
      <c r="V358" s="1"/>
      <c r="W358" s="1"/>
      <c r="X358" s="1"/>
      <c r="Y358" s="1"/>
      <c r="Z358" s="1"/>
    </row>
    <row r="359" spans="1:26" ht="15.75" customHeight="1">
      <c r="A359" s="4"/>
      <c r="B359" s="4"/>
      <c r="C359" s="115"/>
      <c r="D359" s="4"/>
      <c r="E359" s="4"/>
      <c r="F359" s="4"/>
      <c r="G359" s="4"/>
      <c r="H359" s="4"/>
      <c r="I359" s="4"/>
      <c r="J359" s="4"/>
      <c r="K359" s="1"/>
      <c r="L359" s="1"/>
      <c r="M359" s="1"/>
      <c r="N359" s="1"/>
      <c r="O359" s="1"/>
      <c r="P359" s="1"/>
      <c r="Q359" s="1"/>
      <c r="R359" s="1"/>
      <c r="S359" s="1"/>
      <c r="T359" s="1"/>
      <c r="U359" s="1"/>
      <c r="V359" s="1"/>
      <c r="W359" s="1"/>
      <c r="X359" s="1"/>
      <c r="Y359" s="1"/>
      <c r="Z359" s="1"/>
    </row>
    <row r="360" spans="1:26" ht="15.75" customHeight="1">
      <c r="A360" s="4"/>
      <c r="B360" s="4"/>
      <c r="C360" s="115"/>
      <c r="D360" s="4"/>
      <c r="E360" s="4"/>
      <c r="F360" s="4"/>
      <c r="G360" s="4"/>
      <c r="H360" s="4"/>
      <c r="I360" s="4"/>
      <c r="J360" s="4"/>
      <c r="K360" s="1"/>
      <c r="L360" s="1"/>
      <c r="M360" s="1"/>
      <c r="N360" s="1"/>
      <c r="O360" s="1"/>
      <c r="P360" s="1"/>
      <c r="Q360" s="1"/>
      <c r="R360" s="1"/>
      <c r="S360" s="1"/>
      <c r="T360" s="1"/>
      <c r="U360" s="1"/>
      <c r="V360" s="1"/>
      <c r="W360" s="1"/>
      <c r="X360" s="1"/>
      <c r="Y360" s="1"/>
      <c r="Z360" s="1"/>
    </row>
    <row r="361" spans="1:26" ht="15.75" customHeight="1">
      <c r="A361" s="4"/>
      <c r="B361" s="4"/>
      <c r="C361" s="115"/>
      <c r="D361" s="4"/>
      <c r="E361" s="4"/>
      <c r="F361" s="4"/>
      <c r="G361" s="4"/>
      <c r="H361" s="4"/>
      <c r="I361" s="4"/>
      <c r="J361" s="4"/>
      <c r="K361" s="1"/>
      <c r="L361" s="1"/>
      <c r="M361" s="1"/>
      <c r="N361" s="1"/>
      <c r="O361" s="1"/>
      <c r="P361" s="1"/>
      <c r="Q361" s="1"/>
      <c r="R361" s="1"/>
      <c r="S361" s="1"/>
      <c r="T361" s="1"/>
      <c r="U361" s="1"/>
      <c r="V361" s="1"/>
      <c r="W361" s="1"/>
      <c r="X361" s="1"/>
      <c r="Y361" s="1"/>
      <c r="Z361" s="1"/>
    </row>
    <row r="362" spans="1:26" ht="15.75" customHeight="1">
      <c r="A362" s="4"/>
      <c r="B362" s="4"/>
      <c r="C362" s="115"/>
      <c r="D362" s="4"/>
      <c r="E362" s="4"/>
      <c r="F362" s="4"/>
      <c r="G362" s="4"/>
      <c r="H362" s="4"/>
      <c r="I362" s="4"/>
      <c r="J362" s="4"/>
      <c r="K362" s="1"/>
      <c r="L362" s="1"/>
      <c r="M362" s="1"/>
      <c r="N362" s="1"/>
      <c r="O362" s="1"/>
      <c r="P362" s="1"/>
      <c r="Q362" s="1"/>
      <c r="R362" s="1"/>
      <c r="S362" s="1"/>
      <c r="T362" s="1"/>
      <c r="U362" s="1"/>
      <c r="V362" s="1"/>
      <c r="W362" s="1"/>
      <c r="X362" s="1"/>
      <c r="Y362" s="1"/>
      <c r="Z362" s="1"/>
    </row>
    <row r="363" spans="1:26" ht="15.75" customHeight="1">
      <c r="A363" s="4"/>
      <c r="B363" s="4"/>
      <c r="C363" s="115"/>
      <c r="D363" s="4"/>
      <c r="E363" s="4"/>
      <c r="F363" s="4"/>
      <c r="G363" s="4"/>
      <c r="H363" s="4"/>
      <c r="I363" s="4"/>
      <c r="J363" s="4"/>
      <c r="K363" s="1"/>
      <c r="L363" s="1"/>
      <c r="M363" s="1"/>
      <c r="N363" s="1"/>
      <c r="O363" s="1"/>
      <c r="P363" s="1"/>
      <c r="Q363" s="1"/>
      <c r="R363" s="1"/>
      <c r="S363" s="1"/>
      <c r="T363" s="1"/>
      <c r="U363" s="1"/>
      <c r="V363" s="1"/>
      <c r="W363" s="1"/>
      <c r="X363" s="1"/>
      <c r="Y363" s="1"/>
      <c r="Z363" s="1"/>
    </row>
    <row r="364" spans="1:26" ht="15.75" customHeight="1">
      <c r="A364" s="4"/>
      <c r="B364" s="4"/>
      <c r="C364" s="115"/>
      <c r="D364" s="4"/>
      <c r="E364" s="4"/>
      <c r="F364" s="4"/>
      <c r="G364" s="4"/>
      <c r="H364" s="4"/>
      <c r="I364" s="4"/>
      <c r="J364" s="4"/>
      <c r="K364" s="1"/>
      <c r="L364" s="1"/>
      <c r="M364" s="1"/>
      <c r="N364" s="1"/>
      <c r="O364" s="1"/>
      <c r="P364" s="1"/>
      <c r="Q364" s="1"/>
      <c r="R364" s="1"/>
      <c r="S364" s="1"/>
      <c r="T364" s="1"/>
      <c r="U364" s="1"/>
      <c r="V364" s="1"/>
      <c r="W364" s="1"/>
      <c r="X364" s="1"/>
      <c r="Y364" s="1"/>
      <c r="Z364" s="1"/>
    </row>
    <row r="365" spans="1:26" ht="15.75" customHeight="1">
      <c r="A365" s="4"/>
      <c r="B365" s="4"/>
      <c r="C365" s="115"/>
      <c r="D365" s="4"/>
      <c r="E365" s="4"/>
      <c r="F365" s="4"/>
      <c r="G365" s="4"/>
      <c r="H365" s="4"/>
      <c r="I365" s="4"/>
      <c r="J365" s="4"/>
      <c r="K365" s="1"/>
      <c r="L365" s="1"/>
      <c r="M365" s="1"/>
      <c r="N365" s="1"/>
      <c r="O365" s="1"/>
      <c r="P365" s="1"/>
      <c r="Q365" s="1"/>
      <c r="R365" s="1"/>
      <c r="S365" s="1"/>
      <c r="T365" s="1"/>
      <c r="U365" s="1"/>
      <c r="V365" s="1"/>
      <c r="W365" s="1"/>
      <c r="X365" s="1"/>
      <c r="Y365" s="1"/>
      <c r="Z365" s="1"/>
    </row>
    <row r="366" spans="1:26" ht="15.75" customHeight="1">
      <c r="A366" s="4"/>
      <c r="B366" s="4"/>
      <c r="C366" s="115"/>
      <c r="D366" s="4"/>
      <c r="E366" s="4"/>
      <c r="F366" s="4"/>
      <c r="G366" s="4"/>
      <c r="H366" s="4"/>
      <c r="I366" s="4"/>
      <c r="J366" s="4"/>
      <c r="K366" s="1"/>
      <c r="L366" s="1"/>
      <c r="M366" s="1"/>
      <c r="N366" s="1"/>
      <c r="O366" s="1"/>
      <c r="P366" s="1"/>
      <c r="Q366" s="1"/>
      <c r="R366" s="1"/>
      <c r="S366" s="1"/>
      <c r="T366" s="1"/>
      <c r="U366" s="1"/>
      <c r="V366" s="1"/>
      <c r="W366" s="1"/>
      <c r="X366" s="1"/>
      <c r="Y366" s="1"/>
      <c r="Z366" s="1"/>
    </row>
    <row r="367" spans="1:26" ht="15.75" customHeight="1">
      <c r="A367" s="4"/>
      <c r="B367" s="4"/>
      <c r="C367" s="115"/>
      <c r="D367" s="4"/>
      <c r="E367" s="4"/>
      <c r="F367" s="4"/>
      <c r="G367" s="4"/>
      <c r="H367" s="4"/>
      <c r="I367" s="4"/>
      <c r="J367" s="4"/>
      <c r="K367" s="1"/>
      <c r="L367" s="1"/>
      <c r="M367" s="1"/>
      <c r="N367" s="1"/>
      <c r="O367" s="1"/>
      <c r="P367" s="1"/>
      <c r="Q367" s="1"/>
      <c r="R367" s="1"/>
      <c r="S367" s="1"/>
      <c r="T367" s="1"/>
      <c r="U367" s="1"/>
      <c r="V367" s="1"/>
      <c r="W367" s="1"/>
      <c r="X367" s="1"/>
      <c r="Y367" s="1"/>
      <c r="Z367" s="1"/>
    </row>
    <row r="368" spans="1:26" ht="15.75" customHeight="1">
      <c r="A368" s="4"/>
      <c r="B368" s="4"/>
      <c r="C368" s="115"/>
      <c r="D368" s="4"/>
      <c r="E368" s="4"/>
      <c r="F368" s="4"/>
      <c r="G368" s="4"/>
      <c r="H368" s="4"/>
      <c r="I368" s="4"/>
      <c r="J368" s="4"/>
      <c r="K368" s="1"/>
      <c r="L368" s="1"/>
      <c r="M368" s="1"/>
      <c r="N368" s="1"/>
      <c r="O368" s="1"/>
      <c r="P368" s="1"/>
      <c r="Q368" s="1"/>
      <c r="R368" s="1"/>
      <c r="S368" s="1"/>
      <c r="T368" s="1"/>
      <c r="U368" s="1"/>
      <c r="V368" s="1"/>
      <c r="W368" s="1"/>
      <c r="X368" s="1"/>
      <c r="Y368" s="1"/>
      <c r="Z368" s="1"/>
    </row>
    <row r="369" spans="1:26" ht="15.75" customHeight="1">
      <c r="A369" s="4"/>
      <c r="B369" s="4"/>
      <c r="C369" s="115"/>
      <c r="D369" s="4"/>
      <c r="E369" s="4"/>
      <c r="F369" s="4"/>
      <c r="G369" s="4"/>
      <c r="H369" s="4"/>
      <c r="I369" s="4"/>
      <c r="J369" s="4"/>
      <c r="K369" s="1"/>
      <c r="L369" s="1"/>
      <c r="M369" s="1"/>
      <c r="N369" s="1"/>
      <c r="O369" s="1"/>
      <c r="P369" s="1"/>
      <c r="Q369" s="1"/>
      <c r="R369" s="1"/>
      <c r="S369" s="1"/>
      <c r="T369" s="1"/>
      <c r="U369" s="1"/>
      <c r="V369" s="1"/>
      <c r="W369" s="1"/>
      <c r="X369" s="1"/>
      <c r="Y369" s="1"/>
      <c r="Z369" s="1"/>
    </row>
    <row r="370" spans="1:26" ht="15.75" customHeight="1">
      <c r="A370" s="4"/>
      <c r="B370" s="4"/>
      <c r="C370" s="115"/>
      <c r="D370" s="4"/>
      <c r="E370" s="4"/>
      <c r="F370" s="4"/>
      <c r="G370" s="4"/>
      <c r="H370" s="4"/>
      <c r="I370" s="4"/>
      <c r="J370" s="4"/>
      <c r="K370" s="1"/>
      <c r="L370" s="1"/>
      <c r="M370" s="1"/>
      <c r="N370" s="1"/>
      <c r="O370" s="1"/>
      <c r="P370" s="1"/>
      <c r="Q370" s="1"/>
      <c r="R370" s="1"/>
      <c r="S370" s="1"/>
      <c r="T370" s="1"/>
      <c r="U370" s="1"/>
      <c r="V370" s="1"/>
      <c r="W370" s="1"/>
      <c r="X370" s="1"/>
      <c r="Y370" s="1"/>
      <c r="Z370" s="1"/>
    </row>
    <row r="371" spans="1:26" ht="15.75" customHeight="1">
      <c r="A371" s="4"/>
      <c r="B371" s="4"/>
      <c r="C371" s="115"/>
      <c r="D371" s="4"/>
      <c r="E371" s="4"/>
      <c r="F371" s="4"/>
      <c r="G371" s="4"/>
      <c r="H371" s="4"/>
      <c r="I371" s="4"/>
      <c r="J371" s="4"/>
      <c r="K371" s="1"/>
      <c r="L371" s="1"/>
      <c r="M371" s="1"/>
      <c r="N371" s="1"/>
      <c r="O371" s="1"/>
      <c r="P371" s="1"/>
      <c r="Q371" s="1"/>
      <c r="R371" s="1"/>
      <c r="S371" s="1"/>
      <c r="T371" s="1"/>
      <c r="U371" s="1"/>
      <c r="V371" s="1"/>
      <c r="W371" s="1"/>
      <c r="X371" s="1"/>
      <c r="Y371" s="1"/>
      <c r="Z371" s="1"/>
    </row>
    <row r="372" spans="1:26" ht="15.75" customHeight="1">
      <c r="A372" s="4"/>
      <c r="B372" s="4"/>
      <c r="C372" s="115"/>
      <c r="D372" s="4"/>
      <c r="E372" s="4"/>
      <c r="F372" s="4"/>
      <c r="G372" s="4"/>
      <c r="H372" s="4"/>
      <c r="I372" s="4"/>
      <c r="J372" s="4"/>
      <c r="K372" s="1"/>
      <c r="L372" s="1"/>
      <c r="M372" s="1"/>
      <c r="N372" s="1"/>
      <c r="O372" s="1"/>
      <c r="P372" s="1"/>
      <c r="Q372" s="1"/>
      <c r="R372" s="1"/>
      <c r="S372" s="1"/>
      <c r="T372" s="1"/>
      <c r="U372" s="1"/>
      <c r="V372" s="1"/>
      <c r="W372" s="1"/>
      <c r="X372" s="1"/>
      <c r="Y372" s="1"/>
      <c r="Z372" s="1"/>
    </row>
    <row r="373" spans="1:26" ht="15.75" customHeight="1">
      <c r="A373" s="4"/>
      <c r="B373" s="4"/>
      <c r="C373" s="115"/>
      <c r="D373" s="4"/>
      <c r="E373" s="4"/>
      <c r="F373" s="4"/>
      <c r="G373" s="4"/>
      <c r="H373" s="4"/>
      <c r="I373" s="4"/>
      <c r="J373" s="4"/>
      <c r="K373" s="1"/>
      <c r="L373" s="1"/>
      <c r="M373" s="1"/>
      <c r="N373" s="1"/>
      <c r="O373" s="1"/>
      <c r="P373" s="1"/>
      <c r="Q373" s="1"/>
      <c r="R373" s="1"/>
      <c r="S373" s="1"/>
      <c r="T373" s="1"/>
      <c r="U373" s="1"/>
      <c r="V373" s="1"/>
      <c r="W373" s="1"/>
      <c r="X373" s="1"/>
      <c r="Y373" s="1"/>
      <c r="Z373" s="1"/>
    </row>
    <row r="374" spans="1:26" ht="15.75" customHeight="1">
      <c r="A374" s="4"/>
      <c r="B374" s="4"/>
      <c r="C374" s="115"/>
      <c r="D374" s="4"/>
      <c r="E374" s="4"/>
      <c r="F374" s="4"/>
      <c r="G374" s="4"/>
      <c r="H374" s="4"/>
      <c r="I374" s="4"/>
      <c r="J374" s="4"/>
      <c r="K374" s="1"/>
      <c r="L374" s="1"/>
      <c r="M374" s="1"/>
      <c r="N374" s="1"/>
      <c r="O374" s="1"/>
      <c r="P374" s="1"/>
      <c r="Q374" s="1"/>
      <c r="R374" s="1"/>
      <c r="S374" s="1"/>
      <c r="T374" s="1"/>
      <c r="U374" s="1"/>
      <c r="V374" s="1"/>
      <c r="W374" s="1"/>
      <c r="X374" s="1"/>
      <c r="Y374" s="1"/>
      <c r="Z374" s="1"/>
    </row>
    <row r="375" spans="1:26" ht="15.75" customHeight="1">
      <c r="A375" s="4"/>
      <c r="B375" s="4"/>
      <c r="C375" s="115"/>
      <c r="D375" s="4"/>
      <c r="E375" s="4"/>
      <c r="F375" s="4"/>
      <c r="G375" s="4"/>
      <c r="H375" s="4"/>
      <c r="I375" s="4"/>
      <c r="J375" s="4"/>
      <c r="K375" s="1"/>
      <c r="L375" s="1"/>
      <c r="M375" s="1"/>
      <c r="N375" s="1"/>
      <c r="O375" s="1"/>
      <c r="P375" s="1"/>
      <c r="Q375" s="1"/>
      <c r="R375" s="1"/>
      <c r="S375" s="1"/>
      <c r="T375" s="1"/>
      <c r="U375" s="1"/>
      <c r="V375" s="1"/>
      <c r="W375" s="1"/>
      <c r="X375" s="1"/>
      <c r="Y375" s="1"/>
      <c r="Z375" s="1"/>
    </row>
    <row r="376" spans="1:26" ht="15.75" customHeight="1">
      <c r="A376" s="4"/>
      <c r="B376" s="4"/>
      <c r="C376" s="115"/>
      <c r="D376" s="4"/>
      <c r="E376" s="4"/>
      <c r="F376" s="4"/>
      <c r="G376" s="4"/>
      <c r="H376" s="4"/>
      <c r="I376" s="4"/>
      <c r="J376" s="4"/>
      <c r="K376" s="1"/>
      <c r="L376" s="1"/>
      <c r="M376" s="1"/>
      <c r="N376" s="1"/>
      <c r="O376" s="1"/>
      <c r="P376" s="1"/>
      <c r="Q376" s="1"/>
      <c r="R376" s="1"/>
      <c r="S376" s="1"/>
      <c r="T376" s="1"/>
      <c r="U376" s="1"/>
      <c r="V376" s="1"/>
      <c r="W376" s="1"/>
      <c r="X376" s="1"/>
      <c r="Y376" s="1"/>
      <c r="Z376" s="1"/>
    </row>
    <row r="377" spans="1:26" ht="15.75" customHeight="1">
      <c r="A377" s="4"/>
      <c r="B377" s="4"/>
      <c r="C377" s="115"/>
      <c r="D377" s="4"/>
      <c r="E377" s="4"/>
      <c r="F377" s="4"/>
      <c r="G377" s="4"/>
      <c r="H377" s="4"/>
      <c r="I377" s="4"/>
      <c r="J377" s="4"/>
      <c r="K377" s="1"/>
      <c r="L377" s="1"/>
      <c r="M377" s="1"/>
      <c r="N377" s="1"/>
      <c r="O377" s="1"/>
      <c r="P377" s="1"/>
      <c r="Q377" s="1"/>
      <c r="R377" s="1"/>
      <c r="S377" s="1"/>
      <c r="T377" s="1"/>
      <c r="U377" s="1"/>
      <c r="V377" s="1"/>
      <c r="W377" s="1"/>
      <c r="X377" s="1"/>
      <c r="Y377" s="1"/>
      <c r="Z377" s="1"/>
    </row>
    <row r="378" spans="1:26" ht="15.75" customHeight="1">
      <c r="A378" s="4"/>
      <c r="B378" s="4"/>
      <c r="C378" s="115"/>
      <c r="D378" s="4"/>
      <c r="E378" s="4"/>
      <c r="F378" s="4"/>
      <c r="G378" s="4"/>
      <c r="H378" s="4"/>
      <c r="I378" s="4"/>
      <c r="J378" s="4"/>
      <c r="K378" s="1"/>
      <c r="L378" s="1"/>
      <c r="M378" s="1"/>
      <c r="N378" s="1"/>
      <c r="O378" s="1"/>
      <c r="P378" s="1"/>
      <c r="Q378" s="1"/>
      <c r="R378" s="1"/>
      <c r="S378" s="1"/>
      <c r="T378" s="1"/>
      <c r="U378" s="1"/>
      <c r="V378" s="1"/>
      <c r="W378" s="1"/>
      <c r="X378" s="1"/>
      <c r="Y378" s="1"/>
      <c r="Z378" s="1"/>
    </row>
    <row r="379" spans="1:26" ht="15.75" customHeight="1">
      <c r="A379" s="4"/>
      <c r="B379" s="4"/>
      <c r="C379" s="115"/>
      <c r="D379" s="4"/>
      <c r="E379" s="4"/>
      <c r="F379" s="4"/>
      <c r="G379" s="4"/>
      <c r="H379" s="4"/>
      <c r="I379" s="4"/>
      <c r="J379" s="4"/>
      <c r="K379" s="1"/>
      <c r="L379" s="1"/>
      <c r="M379" s="1"/>
      <c r="N379" s="1"/>
      <c r="O379" s="1"/>
      <c r="P379" s="1"/>
      <c r="Q379" s="1"/>
      <c r="R379" s="1"/>
      <c r="S379" s="1"/>
      <c r="T379" s="1"/>
      <c r="U379" s="1"/>
      <c r="V379" s="1"/>
      <c r="W379" s="1"/>
      <c r="X379" s="1"/>
      <c r="Y379" s="1"/>
      <c r="Z379" s="1"/>
    </row>
    <row r="380" spans="1:26" ht="15.75" customHeight="1">
      <c r="A380" s="4"/>
      <c r="B380" s="4"/>
      <c r="C380" s="115"/>
      <c r="D380" s="4"/>
      <c r="E380" s="4"/>
      <c r="F380" s="4"/>
      <c r="G380" s="4"/>
      <c r="H380" s="4"/>
      <c r="I380" s="4"/>
      <c r="J380" s="4"/>
      <c r="K380" s="1"/>
      <c r="L380" s="1"/>
      <c r="M380" s="1"/>
      <c r="N380" s="1"/>
      <c r="O380" s="1"/>
      <c r="P380" s="1"/>
      <c r="Q380" s="1"/>
      <c r="R380" s="1"/>
      <c r="S380" s="1"/>
      <c r="T380" s="1"/>
      <c r="U380" s="1"/>
      <c r="V380" s="1"/>
      <c r="W380" s="1"/>
      <c r="X380" s="1"/>
      <c r="Y380" s="1"/>
      <c r="Z380" s="1"/>
    </row>
    <row r="381" spans="1:26" ht="15.75" customHeight="1">
      <c r="A381" s="4"/>
      <c r="B381" s="4"/>
      <c r="C381" s="115"/>
      <c r="D381" s="4"/>
      <c r="E381" s="4"/>
      <c r="F381" s="4"/>
      <c r="G381" s="4"/>
      <c r="H381" s="4"/>
      <c r="I381" s="4"/>
      <c r="J381" s="4"/>
      <c r="K381" s="1"/>
      <c r="L381" s="1"/>
      <c r="M381" s="1"/>
      <c r="N381" s="1"/>
      <c r="O381" s="1"/>
      <c r="P381" s="1"/>
      <c r="Q381" s="1"/>
      <c r="R381" s="1"/>
      <c r="S381" s="1"/>
      <c r="T381" s="1"/>
      <c r="U381" s="1"/>
      <c r="V381" s="1"/>
      <c r="W381" s="1"/>
      <c r="X381" s="1"/>
      <c r="Y381" s="1"/>
      <c r="Z381" s="1"/>
    </row>
    <row r="382" spans="1:26" ht="15.75" customHeight="1">
      <c r="A382" s="4"/>
      <c r="B382" s="4"/>
      <c r="C382" s="115"/>
      <c r="D382" s="4"/>
      <c r="E382" s="4"/>
      <c r="F382" s="4"/>
      <c r="G382" s="4"/>
      <c r="H382" s="4"/>
      <c r="I382" s="4"/>
      <c r="J382" s="4"/>
      <c r="K382" s="1"/>
      <c r="L382" s="1"/>
      <c r="M382" s="1"/>
      <c r="N382" s="1"/>
      <c r="O382" s="1"/>
      <c r="P382" s="1"/>
      <c r="Q382" s="1"/>
      <c r="R382" s="1"/>
      <c r="S382" s="1"/>
      <c r="T382" s="1"/>
      <c r="U382" s="1"/>
      <c r="V382" s="1"/>
      <c r="W382" s="1"/>
      <c r="X382" s="1"/>
      <c r="Y382" s="1"/>
      <c r="Z382" s="1"/>
    </row>
    <row r="383" spans="1:26" ht="15.75" customHeight="1">
      <c r="A383" s="4"/>
      <c r="B383" s="4"/>
      <c r="C383" s="115"/>
      <c r="D383" s="4"/>
      <c r="E383" s="4"/>
      <c r="F383" s="4"/>
      <c r="G383" s="4"/>
      <c r="H383" s="4"/>
      <c r="I383" s="4"/>
      <c r="J383" s="4"/>
      <c r="K383" s="1"/>
      <c r="L383" s="1"/>
      <c r="M383" s="1"/>
      <c r="N383" s="1"/>
      <c r="O383" s="1"/>
      <c r="P383" s="1"/>
      <c r="Q383" s="1"/>
      <c r="R383" s="1"/>
      <c r="S383" s="1"/>
      <c r="T383" s="1"/>
      <c r="U383" s="1"/>
      <c r="V383" s="1"/>
      <c r="W383" s="1"/>
      <c r="X383" s="1"/>
      <c r="Y383" s="1"/>
      <c r="Z383" s="1"/>
    </row>
    <row r="384" spans="1:26" ht="15.75" customHeight="1">
      <c r="A384" s="4"/>
      <c r="B384" s="4"/>
      <c r="C384" s="115"/>
      <c r="D384" s="4"/>
      <c r="E384" s="4"/>
      <c r="F384" s="4"/>
      <c r="G384" s="4"/>
      <c r="H384" s="4"/>
      <c r="I384" s="4"/>
      <c r="J384" s="4"/>
      <c r="K384" s="1"/>
      <c r="L384" s="1"/>
      <c r="M384" s="1"/>
      <c r="N384" s="1"/>
      <c r="O384" s="1"/>
      <c r="P384" s="1"/>
      <c r="Q384" s="1"/>
      <c r="R384" s="1"/>
      <c r="S384" s="1"/>
      <c r="T384" s="1"/>
      <c r="U384" s="1"/>
      <c r="V384" s="1"/>
      <c r="W384" s="1"/>
      <c r="X384" s="1"/>
      <c r="Y384" s="1"/>
      <c r="Z384" s="1"/>
    </row>
    <row r="385" spans="1:26" ht="15.75" customHeight="1">
      <c r="A385" s="4"/>
      <c r="B385" s="4"/>
      <c r="C385" s="115"/>
      <c r="D385" s="4"/>
      <c r="E385" s="4"/>
      <c r="F385" s="4"/>
      <c r="G385" s="4"/>
      <c r="H385" s="4"/>
      <c r="I385" s="4"/>
      <c r="J385" s="4"/>
      <c r="K385" s="1"/>
      <c r="L385" s="1"/>
      <c r="M385" s="1"/>
      <c r="N385" s="1"/>
      <c r="O385" s="1"/>
      <c r="P385" s="1"/>
      <c r="Q385" s="1"/>
      <c r="R385" s="1"/>
      <c r="S385" s="1"/>
      <c r="T385" s="1"/>
      <c r="U385" s="1"/>
      <c r="V385" s="1"/>
      <c r="W385" s="1"/>
      <c r="X385" s="1"/>
      <c r="Y385" s="1"/>
      <c r="Z385" s="1"/>
    </row>
    <row r="386" spans="1:26" ht="15.75" customHeight="1">
      <c r="A386" s="4"/>
      <c r="B386" s="4"/>
      <c r="C386" s="115"/>
      <c r="D386" s="4"/>
      <c r="E386" s="4"/>
      <c r="F386" s="4"/>
      <c r="G386" s="4"/>
      <c r="H386" s="4"/>
      <c r="I386" s="4"/>
      <c r="J386" s="4"/>
      <c r="K386" s="1"/>
      <c r="L386" s="1"/>
      <c r="M386" s="1"/>
      <c r="N386" s="1"/>
      <c r="O386" s="1"/>
      <c r="P386" s="1"/>
      <c r="Q386" s="1"/>
      <c r="R386" s="1"/>
      <c r="S386" s="1"/>
      <c r="T386" s="1"/>
      <c r="U386" s="1"/>
      <c r="V386" s="1"/>
      <c r="W386" s="1"/>
      <c r="X386" s="1"/>
      <c r="Y386" s="1"/>
      <c r="Z386" s="1"/>
    </row>
    <row r="387" spans="1:26" ht="15.75" customHeight="1">
      <c r="A387" s="4"/>
      <c r="B387" s="4"/>
      <c r="C387" s="115"/>
      <c r="D387" s="4"/>
      <c r="E387" s="4"/>
      <c r="F387" s="4"/>
      <c r="G387" s="4"/>
      <c r="H387" s="4"/>
      <c r="I387" s="4"/>
      <c r="J387" s="4"/>
      <c r="K387" s="1"/>
      <c r="L387" s="1"/>
      <c r="M387" s="1"/>
      <c r="N387" s="1"/>
      <c r="O387" s="1"/>
      <c r="P387" s="1"/>
      <c r="Q387" s="1"/>
      <c r="R387" s="1"/>
      <c r="S387" s="1"/>
      <c r="T387" s="1"/>
      <c r="U387" s="1"/>
      <c r="V387" s="1"/>
      <c r="W387" s="1"/>
      <c r="X387" s="1"/>
      <c r="Y387" s="1"/>
      <c r="Z387" s="1"/>
    </row>
    <row r="388" spans="1:26" ht="15.75" customHeight="1">
      <c r="A388" s="4"/>
      <c r="B388" s="4"/>
      <c r="C388" s="115"/>
      <c r="D388" s="4"/>
      <c r="E388" s="4"/>
      <c r="F388" s="4"/>
      <c r="G388" s="4"/>
      <c r="H388" s="4"/>
      <c r="I388" s="4"/>
      <c r="J388" s="4"/>
      <c r="K388" s="1"/>
      <c r="L388" s="1"/>
      <c r="M388" s="1"/>
      <c r="N388" s="1"/>
      <c r="O388" s="1"/>
      <c r="P388" s="1"/>
      <c r="Q388" s="1"/>
      <c r="R388" s="1"/>
      <c r="S388" s="1"/>
      <c r="T388" s="1"/>
      <c r="U388" s="1"/>
      <c r="V388" s="1"/>
      <c r="W388" s="1"/>
      <c r="X388" s="1"/>
      <c r="Y388" s="1"/>
      <c r="Z388" s="1"/>
    </row>
    <row r="389" spans="1:26" ht="15.75" customHeight="1">
      <c r="A389" s="4"/>
      <c r="B389" s="4"/>
      <c r="C389" s="115"/>
      <c r="D389" s="4"/>
      <c r="E389" s="4"/>
      <c r="F389" s="4"/>
      <c r="G389" s="4"/>
      <c r="H389" s="4"/>
      <c r="I389" s="4"/>
      <c r="J389" s="4"/>
      <c r="K389" s="1"/>
      <c r="L389" s="1"/>
      <c r="M389" s="1"/>
      <c r="N389" s="1"/>
      <c r="O389" s="1"/>
      <c r="P389" s="1"/>
      <c r="Q389" s="1"/>
      <c r="R389" s="1"/>
      <c r="S389" s="1"/>
      <c r="T389" s="1"/>
      <c r="U389" s="1"/>
      <c r="V389" s="1"/>
      <c r="W389" s="1"/>
      <c r="X389" s="1"/>
      <c r="Y389" s="1"/>
      <c r="Z389" s="1"/>
    </row>
    <row r="390" spans="1:26" ht="15.75" customHeight="1">
      <c r="A390" s="4"/>
      <c r="B390" s="4"/>
      <c r="C390" s="115"/>
      <c r="D390" s="4"/>
      <c r="E390" s="4"/>
      <c r="F390" s="4"/>
      <c r="G390" s="4"/>
      <c r="H390" s="4"/>
      <c r="I390" s="4"/>
      <c r="J390" s="4"/>
      <c r="K390" s="1"/>
      <c r="L390" s="1"/>
      <c r="M390" s="1"/>
      <c r="N390" s="1"/>
      <c r="O390" s="1"/>
      <c r="P390" s="1"/>
      <c r="Q390" s="1"/>
      <c r="R390" s="1"/>
      <c r="S390" s="1"/>
      <c r="T390" s="1"/>
      <c r="U390" s="1"/>
      <c r="V390" s="1"/>
      <c r="W390" s="1"/>
      <c r="X390" s="1"/>
      <c r="Y390" s="1"/>
      <c r="Z390" s="1"/>
    </row>
    <row r="391" spans="1:26" ht="15.75" customHeight="1">
      <c r="A391" s="4"/>
      <c r="B391" s="4"/>
      <c r="C391" s="115"/>
      <c r="D391" s="4"/>
      <c r="E391" s="4"/>
      <c r="F391" s="4"/>
      <c r="G391" s="4"/>
      <c r="H391" s="4"/>
      <c r="I391" s="4"/>
      <c r="J391" s="4"/>
      <c r="K391" s="1"/>
      <c r="L391" s="1"/>
      <c r="M391" s="1"/>
      <c r="N391" s="1"/>
      <c r="O391" s="1"/>
      <c r="P391" s="1"/>
      <c r="Q391" s="1"/>
      <c r="R391" s="1"/>
      <c r="S391" s="1"/>
      <c r="T391" s="1"/>
      <c r="U391" s="1"/>
      <c r="V391" s="1"/>
      <c r="W391" s="1"/>
      <c r="X391" s="1"/>
      <c r="Y391" s="1"/>
      <c r="Z391" s="1"/>
    </row>
    <row r="392" spans="1:26" ht="15.75" customHeight="1">
      <c r="A392" s="4"/>
      <c r="B392" s="4"/>
      <c r="C392" s="115"/>
      <c r="D392" s="4"/>
      <c r="E392" s="4"/>
      <c r="F392" s="4"/>
      <c r="G392" s="4"/>
      <c r="H392" s="4"/>
      <c r="I392" s="4"/>
      <c r="J392" s="4"/>
      <c r="K392" s="1"/>
      <c r="L392" s="1"/>
      <c r="M392" s="1"/>
      <c r="N392" s="1"/>
      <c r="O392" s="1"/>
      <c r="P392" s="1"/>
      <c r="Q392" s="1"/>
      <c r="R392" s="1"/>
      <c r="S392" s="1"/>
      <c r="T392" s="1"/>
      <c r="U392" s="1"/>
      <c r="V392" s="1"/>
      <c r="W392" s="1"/>
      <c r="X392" s="1"/>
      <c r="Y392" s="1"/>
      <c r="Z392" s="1"/>
    </row>
    <row r="393" spans="1:26" ht="15.75" customHeight="1">
      <c r="A393" s="4"/>
      <c r="B393" s="4"/>
      <c r="C393" s="115"/>
      <c r="D393" s="4"/>
      <c r="E393" s="4"/>
      <c r="F393" s="4"/>
      <c r="G393" s="4"/>
      <c r="H393" s="4"/>
      <c r="I393" s="4"/>
      <c r="J393" s="4"/>
      <c r="K393" s="1"/>
      <c r="L393" s="1"/>
      <c r="M393" s="1"/>
      <c r="N393" s="1"/>
      <c r="O393" s="1"/>
      <c r="P393" s="1"/>
      <c r="Q393" s="1"/>
      <c r="R393" s="1"/>
      <c r="S393" s="1"/>
      <c r="T393" s="1"/>
      <c r="U393" s="1"/>
      <c r="V393" s="1"/>
      <c r="W393" s="1"/>
      <c r="X393" s="1"/>
      <c r="Y393" s="1"/>
      <c r="Z393" s="1"/>
    </row>
    <row r="394" spans="1:26" ht="15.75" customHeight="1">
      <c r="A394" s="4"/>
      <c r="B394" s="4"/>
      <c r="C394" s="115"/>
      <c r="D394" s="4"/>
      <c r="E394" s="4"/>
      <c r="F394" s="4"/>
      <c r="G394" s="4"/>
      <c r="H394" s="4"/>
      <c r="I394" s="4"/>
      <c r="J394" s="4"/>
      <c r="K394" s="1"/>
      <c r="L394" s="1"/>
      <c r="M394" s="1"/>
      <c r="N394" s="1"/>
      <c r="O394" s="1"/>
      <c r="P394" s="1"/>
      <c r="Q394" s="1"/>
      <c r="R394" s="1"/>
      <c r="S394" s="1"/>
      <c r="T394" s="1"/>
      <c r="U394" s="1"/>
      <c r="V394" s="1"/>
      <c r="W394" s="1"/>
      <c r="X394" s="1"/>
      <c r="Y394" s="1"/>
      <c r="Z394" s="1"/>
    </row>
    <row r="395" spans="1:26" ht="15.75" customHeight="1">
      <c r="A395" s="4"/>
      <c r="B395" s="4"/>
      <c r="C395" s="115"/>
      <c r="D395" s="4"/>
      <c r="E395" s="4"/>
      <c r="F395" s="4"/>
      <c r="G395" s="4"/>
      <c r="H395" s="4"/>
      <c r="I395" s="4"/>
      <c r="J395" s="4"/>
      <c r="K395" s="1"/>
      <c r="L395" s="1"/>
      <c r="M395" s="1"/>
      <c r="N395" s="1"/>
      <c r="O395" s="1"/>
      <c r="P395" s="1"/>
      <c r="Q395" s="1"/>
      <c r="R395" s="1"/>
      <c r="S395" s="1"/>
      <c r="T395" s="1"/>
      <c r="U395" s="1"/>
      <c r="V395" s="1"/>
      <c r="W395" s="1"/>
      <c r="X395" s="1"/>
      <c r="Y395" s="1"/>
      <c r="Z395" s="1"/>
    </row>
    <row r="396" spans="1:26" ht="15.75" customHeight="1">
      <c r="A396" s="4"/>
      <c r="B396" s="4"/>
      <c r="C396" s="115"/>
      <c r="D396" s="4"/>
      <c r="E396" s="4"/>
      <c r="F396" s="4"/>
      <c r="G396" s="4"/>
      <c r="H396" s="4"/>
      <c r="I396" s="4"/>
      <c r="J396" s="4"/>
      <c r="K396" s="1"/>
      <c r="L396" s="1"/>
      <c r="M396" s="1"/>
      <c r="N396" s="1"/>
      <c r="O396" s="1"/>
      <c r="P396" s="1"/>
      <c r="Q396" s="1"/>
      <c r="R396" s="1"/>
      <c r="S396" s="1"/>
      <c r="T396" s="1"/>
      <c r="U396" s="1"/>
      <c r="V396" s="1"/>
      <c r="W396" s="1"/>
      <c r="X396" s="1"/>
      <c r="Y396" s="1"/>
      <c r="Z396" s="1"/>
    </row>
    <row r="397" spans="1:26" ht="15.75" customHeight="1">
      <c r="A397" s="4"/>
      <c r="B397" s="4"/>
      <c r="C397" s="115"/>
      <c r="D397" s="4"/>
      <c r="E397" s="4"/>
      <c r="F397" s="4"/>
      <c r="G397" s="4"/>
      <c r="H397" s="4"/>
      <c r="I397" s="4"/>
      <c r="J397" s="4"/>
      <c r="K397" s="1"/>
      <c r="L397" s="1"/>
      <c r="M397" s="1"/>
      <c r="N397" s="1"/>
      <c r="O397" s="1"/>
      <c r="P397" s="1"/>
      <c r="Q397" s="1"/>
      <c r="R397" s="1"/>
      <c r="S397" s="1"/>
      <c r="T397" s="1"/>
      <c r="U397" s="1"/>
      <c r="V397" s="1"/>
      <c r="W397" s="1"/>
      <c r="X397" s="1"/>
      <c r="Y397" s="1"/>
      <c r="Z397" s="1"/>
    </row>
    <row r="398" spans="1:26" ht="15.75" customHeight="1">
      <c r="A398" s="4"/>
      <c r="B398" s="4"/>
      <c r="C398" s="115"/>
      <c r="D398" s="4"/>
      <c r="E398" s="4"/>
      <c r="F398" s="4"/>
      <c r="G398" s="4"/>
      <c r="H398" s="4"/>
      <c r="I398" s="4"/>
      <c r="J398" s="4"/>
      <c r="K398" s="1"/>
      <c r="L398" s="1"/>
      <c r="M398" s="1"/>
      <c r="N398" s="1"/>
      <c r="O398" s="1"/>
      <c r="P398" s="1"/>
      <c r="Q398" s="1"/>
      <c r="R398" s="1"/>
      <c r="S398" s="1"/>
      <c r="T398" s="1"/>
      <c r="U398" s="1"/>
      <c r="V398" s="1"/>
      <c r="W398" s="1"/>
      <c r="X398" s="1"/>
      <c r="Y398" s="1"/>
      <c r="Z398" s="1"/>
    </row>
    <row r="399" spans="1:26" ht="15.75" customHeight="1">
      <c r="A399" s="4"/>
      <c r="B399" s="4"/>
      <c r="C399" s="115"/>
      <c r="D399" s="4"/>
      <c r="E399" s="4"/>
      <c r="F399" s="4"/>
      <c r="G399" s="4"/>
      <c r="H399" s="4"/>
      <c r="I399" s="4"/>
      <c r="J399" s="4"/>
      <c r="K399" s="1"/>
      <c r="L399" s="1"/>
      <c r="M399" s="1"/>
      <c r="N399" s="1"/>
      <c r="O399" s="1"/>
      <c r="P399" s="1"/>
      <c r="Q399" s="1"/>
      <c r="R399" s="1"/>
      <c r="S399" s="1"/>
      <c r="T399" s="1"/>
      <c r="U399" s="1"/>
      <c r="V399" s="1"/>
      <c r="W399" s="1"/>
      <c r="X399" s="1"/>
      <c r="Y399" s="1"/>
      <c r="Z399" s="1"/>
    </row>
    <row r="400" spans="1:26" ht="15.75" customHeight="1">
      <c r="A400" s="4"/>
      <c r="B400" s="4"/>
      <c r="C400" s="115"/>
      <c r="D400" s="4"/>
      <c r="E400" s="4"/>
      <c r="F400" s="4"/>
      <c r="G400" s="4"/>
      <c r="H400" s="4"/>
      <c r="I400" s="4"/>
      <c r="J400" s="4"/>
      <c r="K400" s="1"/>
      <c r="L400" s="1"/>
      <c r="M400" s="1"/>
      <c r="N400" s="1"/>
      <c r="O400" s="1"/>
      <c r="P400" s="1"/>
      <c r="Q400" s="1"/>
      <c r="R400" s="1"/>
      <c r="S400" s="1"/>
      <c r="T400" s="1"/>
      <c r="U400" s="1"/>
      <c r="V400" s="1"/>
      <c r="W400" s="1"/>
      <c r="X400" s="1"/>
      <c r="Y400" s="1"/>
      <c r="Z400" s="1"/>
    </row>
    <row r="401" spans="1:26" ht="15.75" customHeight="1">
      <c r="A401" s="4"/>
      <c r="B401" s="4"/>
      <c r="C401" s="115"/>
      <c r="D401" s="4"/>
      <c r="E401" s="4"/>
      <c r="F401" s="4"/>
      <c r="G401" s="4"/>
      <c r="H401" s="4"/>
      <c r="I401" s="4"/>
      <c r="J401" s="4"/>
      <c r="K401" s="1"/>
      <c r="L401" s="1"/>
      <c r="M401" s="1"/>
      <c r="N401" s="1"/>
      <c r="O401" s="1"/>
      <c r="P401" s="1"/>
      <c r="Q401" s="1"/>
      <c r="R401" s="1"/>
      <c r="S401" s="1"/>
      <c r="T401" s="1"/>
      <c r="U401" s="1"/>
      <c r="V401" s="1"/>
      <c r="W401" s="1"/>
      <c r="X401" s="1"/>
      <c r="Y401" s="1"/>
      <c r="Z401" s="1"/>
    </row>
    <row r="402" spans="1:26" ht="15.75" customHeight="1">
      <c r="A402" s="4"/>
      <c r="B402" s="4"/>
      <c r="C402" s="115"/>
      <c r="D402" s="4"/>
      <c r="E402" s="4"/>
      <c r="F402" s="4"/>
      <c r="G402" s="4"/>
      <c r="H402" s="4"/>
      <c r="I402" s="4"/>
      <c r="J402" s="4"/>
      <c r="K402" s="1"/>
      <c r="L402" s="1"/>
      <c r="M402" s="1"/>
      <c r="N402" s="1"/>
      <c r="O402" s="1"/>
      <c r="P402" s="1"/>
      <c r="Q402" s="1"/>
      <c r="R402" s="1"/>
      <c r="S402" s="1"/>
      <c r="T402" s="1"/>
      <c r="U402" s="1"/>
      <c r="V402" s="1"/>
      <c r="W402" s="1"/>
      <c r="X402" s="1"/>
      <c r="Y402" s="1"/>
      <c r="Z402" s="1"/>
    </row>
    <row r="403" spans="1:26" ht="15.75" customHeight="1">
      <c r="A403" s="4"/>
      <c r="B403" s="4"/>
      <c r="C403" s="115"/>
      <c r="D403" s="4"/>
      <c r="E403" s="4"/>
      <c r="F403" s="4"/>
      <c r="G403" s="4"/>
      <c r="H403" s="4"/>
      <c r="I403" s="4"/>
      <c r="J403" s="4"/>
      <c r="K403" s="1"/>
      <c r="L403" s="1"/>
      <c r="M403" s="1"/>
      <c r="N403" s="1"/>
      <c r="O403" s="1"/>
      <c r="P403" s="1"/>
      <c r="Q403" s="1"/>
      <c r="R403" s="1"/>
      <c r="S403" s="1"/>
      <c r="T403" s="1"/>
      <c r="U403" s="1"/>
      <c r="V403" s="1"/>
      <c r="W403" s="1"/>
      <c r="X403" s="1"/>
      <c r="Y403" s="1"/>
      <c r="Z403" s="1"/>
    </row>
    <row r="404" spans="1:26" ht="15.75" customHeight="1">
      <c r="A404" s="4"/>
      <c r="B404" s="4"/>
      <c r="C404" s="115"/>
      <c r="D404" s="4"/>
      <c r="E404" s="4"/>
      <c r="F404" s="4"/>
      <c r="G404" s="4"/>
      <c r="H404" s="4"/>
      <c r="I404" s="4"/>
      <c r="J404" s="4"/>
      <c r="K404" s="1"/>
      <c r="L404" s="1"/>
      <c r="M404" s="1"/>
      <c r="N404" s="1"/>
      <c r="O404" s="1"/>
      <c r="P404" s="1"/>
      <c r="Q404" s="1"/>
      <c r="R404" s="1"/>
      <c r="S404" s="1"/>
      <c r="T404" s="1"/>
      <c r="U404" s="1"/>
      <c r="V404" s="1"/>
      <c r="W404" s="1"/>
      <c r="X404" s="1"/>
      <c r="Y404" s="1"/>
      <c r="Z404" s="1"/>
    </row>
    <row r="405" spans="1:26" ht="15.75" customHeight="1">
      <c r="A405" s="4"/>
      <c r="B405" s="4"/>
      <c r="C405" s="115"/>
      <c r="D405" s="4"/>
      <c r="E405" s="4"/>
      <c r="F405" s="4"/>
      <c r="G405" s="4"/>
      <c r="H405" s="4"/>
      <c r="I405" s="4"/>
      <c r="J405" s="4"/>
      <c r="K405" s="1"/>
      <c r="L405" s="1"/>
      <c r="M405" s="1"/>
      <c r="N405" s="1"/>
      <c r="O405" s="1"/>
      <c r="P405" s="1"/>
      <c r="Q405" s="1"/>
      <c r="R405" s="1"/>
      <c r="S405" s="1"/>
      <c r="T405" s="1"/>
      <c r="U405" s="1"/>
      <c r="V405" s="1"/>
      <c r="W405" s="1"/>
      <c r="X405" s="1"/>
      <c r="Y405" s="1"/>
      <c r="Z405" s="1"/>
    </row>
    <row r="406" spans="1:26" ht="15.75" customHeight="1">
      <c r="A406" s="4"/>
      <c r="B406" s="4"/>
      <c r="C406" s="115"/>
      <c r="D406" s="4"/>
      <c r="E406" s="4"/>
      <c r="F406" s="4"/>
      <c r="G406" s="4"/>
      <c r="H406" s="4"/>
      <c r="I406" s="4"/>
      <c r="J406" s="4"/>
      <c r="K406" s="1"/>
      <c r="L406" s="1"/>
      <c r="M406" s="1"/>
      <c r="N406" s="1"/>
      <c r="O406" s="1"/>
      <c r="P406" s="1"/>
      <c r="Q406" s="1"/>
      <c r="R406" s="1"/>
      <c r="S406" s="1"/>
      <c r="T406" s="1"/>
      <c r="U406" s="1"/>
      <c r="V406" s="1"/>
      <c r="W406" s="1"/>
      <c r="X406" s="1"/>
      <c r="Y406" s="1"/>
      <c r="Z406" s="1"/>
    </row>
    <row r="407" spans="1:26" ht="15.75" customHeight="1">
      <c r="A407" s="4"/>
      <c r="B407" s="4"/>
      <c r="C407" s="115"/>
      <c r="D407" s="4"/>
      <c r="E407" s="4"/>
      <c r="F407" s="4"/>
      <c r="G407" s="4"/>
      <c r="H407" s="4"/>
      <c r="I407" s="4"/>
      <c r="J407" s="4"/>
      <c r="K407" s="1"/>
      <c r="L407" s="1"/>
      <c r="M407" s="1"/>
      <c r="N407" s="1"/>
      <c r="O407" s="1"/>
      <c r="P407" s="1"/>
      <c r="Q407" s="1"/>
      <c r="R407" s="1"/>
      <c r="S407" s="1"/>
      <c r="T407" s="1"/>
      <c r="U407" s="1"/>
      <c r="V407" s="1"/>
      <c r="W407" s="1"/>
      <c r="X407" s="1"/>
      <c r="Y407" s="1"/>
      <c r="Z407" s="1"/>
    </row>
    <row r="408" spans="1:26" ht="15.75" customHeight="1">
      <c r="A408" s="4"/>
      <c r="B408" s="4"/>
      <c r="C408" s="115"/>
      <c r="D408" s="4"/>
      <c r="E408" s="4"/>
      <c r="F408" s="4"/>
      <c r="G408" s="4"/>
      <c r="H408" s="4"/>
      <c r="I408" s="4"/>
      <c r="J408" s="4"/>
      <c r="K408" s="1"/>
      <c r="L408" s="1"/>
      <c r="M408" s="1"/>
      <c r="N408" s="1"/>
      <c r="O408" s="1"/>
      <c r="P408" s="1"/>
      <c r="Q408" s="1"/>
      <c r="R408" s="1"/>
      <c r="S408" s="1"/>
      <c r="T408" s="1"/>
      <c r="U408" s="1"/>
      <c r="V408" s="1"/>
      <c r="W408" s="1"/>
      <c r="X408" s="1"/>
      <c r="Y408" s="1"/>
      <c r="Z408" s="1"/>
    </row>
    <row r="409" spans="1:26" ht="15.75" customHeight="1">
      <c r="A409" s="4"/>
      <c r="B409" s="4"/>
      <c r="C409" s="115"/>
      <c r="D409" s="4"/>
      <c r="E409" s="4"/>
      <c r="F409" s="4"/>
      <c r="G409" s="4"/>
      <c r="H409" s="4"/>
      <c r="I409" s="4"/>
      <c r="J409" s="4"/>
      <c r="K409" s="1"/>
      <c r="L409" s="1"/>
      <c r="M409" s="1"/>
      <c r="N409" s="1"/>
      <c r="O409" s="1"/>
      <c r="P409" s="1"/>
      <c r="Q409" s="1"/>
      <c r="R409" s="1"/>
      <c r="S409" s="1"/>
      <c r="T409" s="1"/>
      <c r="U409" s="1"/>
      <c r="V409" s="1"/>
      <c r="W409" s="1"/>
      <c r="X409" s="1"/>
      <c r="Y409" s="1"/>
      <c r="Z409" s="1"/>
    </row>
    <row r="410" spans="1:26" ht="15.75" customHeight="1">
      <c r="A410" s="4"/>
      <c r="B410" s="4"/>
      <c r="C410" s="115"/>
      <c r="D410" s="4"/>
      <c r="E410" s="4"/>
      <c r="F410" s="4"/>
      <c r="G410" s="4"/>
      <c r="H410" s="4"/>
      <c r="I410" s="4"/>
      <c r="J410" s="4"/>
      <c r="K410" s="1"/>
      <c r="L410" s="1"/>
      <c r="M410" s="1"/>
      <c r="N410" s="1"/>
      <c r="O410" s="1"/>
      <c r="P410" s="1"/>
      <c r="Q410" s="1"/>
      <c r="R410" s="1"/>
      <c r="S410" s="1"/>
      <c r="T410" s="1"/>
      <c r="U410" s="1"/>
      <c r="V410" s="1"/>
      <c r="W410" s="1"/>
      <c r="X410" s="1"/>
      <c r="Y410" s="1"/>
      <c r="Z410" s="1"/>
    </row>
    <row r="411" spans="1:26" ht="15.75" customHeight="1">
      <c r="A411" s="4"/>
      <c r="B411" s="4"/>
      <c r="C411" s="115"/>
      <c r="D411" s="4"/>
      <c r="E411" s="4"/>
      <c r="F411" s="4"/>
      <c r="G411" s="4"/>
      <c r="H411" s="4"/>
      <c r="I411" s="4"/>
      <c r="J411" s="4"/>
      <c r="K411" s="1"/>
      <c r="L411" s="1"/>
      <c r="M411" s="1"/>
      <c r="N411" s="1"/>
      <c r="O411" s="1"/>
      <c r="P411" s="1"/>
      <c r="Q411" s="1"/>
      <c r="R411" s="1"/>
      <c r="S411" s="1"/>
      <c r="T411" s="1"/>
      <c r="U411" s="1"/>
      <c r="V411" s="1"/>
      <c r="W411" s="1"/>
      <c r="X411" s="1"/>
      <c r="Y411" s="1"/>
      <c r="Z411" s="1"/>
    </row>
    <row r="412" spans="1:26" ht="15.75" customHeight="1">
      <c r="A412" s="4"/>
      <c r="B412" s="4"/>
      <c r="C412" s="115"/>
      <c r="D412" s="4"/>
      <c r="E412" s="4"/>
      <c r="F412" s="4"/>
      <c r="G412" s="4"/>
      <c r="H412" s="4"/>
      <c r="I412" s="4"/>
      <c r="J412" s="4"/>
      <c r="K412" s="1"/>
      <c r="L412" s="1"/>
      <c r="M412" s="1"/>
      <c r="N412" s="1"/>
      <c r="O412" s="1"/>
      <c r="P412" s="1"/>
      <c r="Q412" s="1"/>
      <c r="R412" s="1"/>
      <c r="S412" s="1"/>
      <c r="T412" s="1"/>
      <c r="U412" s="1"/>
      <c r="V412" s="1"/>
      <c r="W412" s="1"/>
      <c r="X412" s="1"/>
      <c r="Y412" s="1"/>
      <c r="Z412" s="1"/>
    </row>
    <row r="413" spans="1:26" ht="15.75" customHeight="1">
      <c r="A413" s="4"/>
      <c r="B413" s="4"/>
      <c r="C413" s="115"/>
      <c r="D413" s="4"/>
      <c r="E413" s="4"/>
      <c r="F413" s="4"/>
      <c r="G413" s="4"/>
      <c r="H413" s="4"/>
      <c r="I413" s="4"/>
      <c r="J413" s="4"/>
      <c r="K413" s="1"/>
      <c r="L413" s="1"/>
      <c r="M413" s="1"/>
      <c r="N413" s="1"/>
      <c r="O413" s="1"/>
      <c r="P413" s="1"/>
      <c r="Q413" s="1"/>
      <c r="R413" s="1"/>
      <c r="S413" s="1"/>
      <c r="T413" s="1"/>
      <c r="U413" s="1"/>
      <c r="V413" s="1"/>
      <c r="W413" s="1"/>
      <c r="X413" s="1"/>
      <c r="Y413" s="1"/>
      <c r="Z413" s="1"/>
    </row>
    <row r="414" spans="1:26" ht="15.75" customHeight="1">
      <c r="A414" s="4"/>
      <c r="B414" s="4"/>
      <c r="C414" s="115"/>
      <c r="D414" s="4"/>
      <c r="E414" s="4"/>
      <c r="F414" s="4"/>
      <c r="G414" s="4"/>
      <c r="H414" s="4"/>
      <c r="I414" s="4"/>
      <c r="J414" s="4"/>
      <c r="K414" s="1"/>
      <c r="L414" s="1"/>
      <c r="M414" s="1"/>
      <c r="N414" s="1"/>
      <c r="O414" s="1"/>
      <c r="P414" s="1"/>
      <c r="Q414" s="1"/>
      <c r="R414" s="1"/>
      <c r="S414" s="1"/>
      <c r="T414" s="1"/>
      <c r="U414" s="1"/>
      <c r="V414" s="1"/>
      <c r="W414" s="1"/>
      <c r="X414" s="1"/>
      <c r="Y414" s="1"/>
      <c r="Z414" s="1"/>
    </row>
    <row r="415" spans="1:26" ht="15.75" customHeight="1">
      <c r="A415" s="4"/>
      <c r="B415" s="4"/>
      <c r="C415" s="115"/>
      <c r="D415" s="4"/>
      <c r="E415" s="4"/>
      <c r="F415" s="4"/>
      <c r="G415" s="4"/>
      <c r="H415" s="4"/>
      <c r="I415" s="4"/>
      <c r="J415" s="4"/>
      <c r="K415" s="1"/>
      <c r="L415" s="1"/>
      <c r="M415" s="1"/>
      <c r="N415" s="1"/>
      <c r="O415" s="1"/>
      <c r="P415" s="1"/>
      <c r="Q415" s="1"/>
      <c r="R415" s="1"/>
      <c r="S415" s="1"/>
      <c r="T415" s="1"/>
      <c r="U415" s="1"/>
      <c r="V415" s="1"/>
      <c r="W415" s="1"/>
      <c r="X415" s="1"/>
      <c r="Y415" s="1"/>
      <c r="Z415" s="1"/>
    </row>
    <row r="416" spans="1:26" ht="15.75" customHeight="1">
      <c r="A416" s="4"/>
      <c r="B416" s="4"/>
      <c r="C416" s="115"/>
      <c r="D416" s="4"/>
      <c r="E416" s="4"/>
      <c r="F416" s="4"/>
      <c r="G416" s="4"/>
      <c r="H416" s="4"/>
      <c r="I416" s="4"/>
      <c r="J416" s="4"/>
      <c r="K416" s="1"/>
      <c r="L416" s="1"/>
      <c r="M416" s="1"/>
      <c r="N416" s="1"/>
      <c r="O416" s="1"/>
      <c r="P416" s="1"/>
      <c r="Q416" s="1"/>
      <c r="R416" s="1"/>
      <c r="S416" s="1"/>
      <c r="T416" s="1"/>
      <c r="U416" s="1"/>
      <c r="V416" s="1"/>
      <c r="W416" s="1"/>
      <c r="X416" s="1"/>
      <c r="Y416" s="1"/>
      <c r="Z416" s="1"/>
    </row>
    <row r="417" spans="1:26" ht="15.75" customHeight="1">
      <c r="A417" s="4"/>
      <c r="B417" s="4"/>
      <c r="C417" s="115"/>
      <c r="D417" s="4"/>
      <c r="E417" s="4"/>
      <c r="F417" s="4"/>
      <c r="G417" s="4"/>
      <c r="H417" s="4"/>
      <c r="I417" s="4"/>
      <c r="J417" s="4"/>
      <c r="K417" s="1"/>
      <c r="L417" s="1"/>
      <c r="M417" s="1"/>
      <c r="N417" s="1"/>
      <c r="O417" s="1"/>
      <c r="P417" s="1"/>
      <c r="Q417" s="1"/>
      <c r="R417" s="1"/>
      <c r="S417" s="1"/>
      <c r="T417" s="1"/>
      <c r="U417" s="1"/>
      <c r="V417" s="1"/>
      <c r="W417" s="1"/>
      <c r="X417" s="1"/>
      <c r="Y417" s="1"/>
      <c r="Z417" s="1"/>
    </row>
    <row r="418" spans="1:26" ht="15.75" customHeight="1">
      <c r="A418" s="4"/>
      <c r="B418" s="4"/>
      <c r="C418" s="115"/>
      <c r="D418" s="4"/>
      <c r="E418" s="4"/>
      <c r="F418" s="4"/>
      <c r="G418" s="4"/>
      <c r="H418" s="4"/>
      <c r="I418" s="4"/>
      <c r="J418" s="4"/>
      <c r="K418" s="1"/>
      <c r="L418" s="1"/>
      <c r="M418" s="1"/>
      <c r="N418" s="1"/>
      <c r="O418" s="1"/>
      <c r="P418" s="1"/>
      <c r="Q418" s="1"/>
      <c r="R418" s="1"/>
      <c r="S418" s="1"/>
      <c r="T418" s="1"/>
      <c r="U418" s="1"/>
      <c r="V418" s="1"/>
      <c r="W418" s="1"/>
      <c r="X418" s="1"/>
      <c r="Y418" s="1"/>
      <c r="Z418" s="1"/>
    </row>
    <row r="419" spans="1:26" ht="15.75" customHeight="1">
      <c r="A419" s="4"/>
      <c r="B419" s="4"/>
      <c r="C419" s="115"/>
      <c r="D419" s="4"/>
      <c r="E419" s="4"/>
      <c r="F419" s="4"/>
      <c r="G419" s="4"/>
      <c r="H419" s="4"/>
      <c r="I419" s="4"/>
      <c r="J419" s="4"/>
      <c r="K419" s="1"/>
      <c r="L419" s="1"/>
      <c r="M419" s="1"/>
      <c r="N419" s="1"/>
      <c r="O419" s="1"/>
      <c r="P419" s="1"/>
      <c r="Q419" s="1"/>
      <c r="R419" s="1"/>
      <c r="S419" s="1"/>
      <c r="T419" s="1"/>
      <c r="U419" s="1"/>
      <c r="V419" s="1"/>
      <c r="W419" s="1"/>
      <c r="X419" s="1"/>
      <c r="Y419" s="1"/>
      <c r="Z419" s="1"/>
    </row>
    <row r="420" spans="1:26" ht="15.75" customHeight="1">
      <c r="A420" s="4"/>
      <c r="B420" s="4"/>
      <c r="C420" s="115"/>
      <c r="D420" s="4"/>
      <c r="E420" s="4"/>
      <c r="F420" s="4"/>
      <c r="G420" s="4"/>
      <c r="H420" s="4"/>
      <c r="I420" s="4"/>
      <c r="J420" s="4"/>
      <c r="K420" s="1"/>
      <c r="L420" s="1"/>
      <c r="M420" s="1"/>
      <c r="N420" s="1"/>
      <c r="O420" s="1"/>
      <c r="P420" s="1"/>
      <c r="Q420" s="1"/>
      <c r="R420" s="1"/>
      <c r="S420" s="1"/>
      <c r="T420" s="1"/>
      <c r="U420" s="1"/>
      <c r="V420" s="1"/>
      <c r="W420" s="1"/>
      <c r="X420" s="1"/>
      <c r="Y420" s="1"/>
      <c r="Z420" s="1"/>
    </row>
    <row r="421" spans="1:26" ht="15.75" customHeight="1">
      <c r="A421" s="4"/>
      <c r="B421" s="4"/>
      <c r="C421" s="115"/>
      <c r="D421" s="4"/>
      <c r="E421" s="4"/>
      <c r="F421" s="4"/>
      <c r="G421" s="4"/>
      <c r="H421" s="4"/>
      <c r="I421" s="4"/>
      <c r="J421" s="4"/>
      <c r="K421" s="1"/>
      <c r="L421" s="1"/>
      <c r="M421" s="1"/>
      <c r="N421" s="1"/>
      <c r="O421" s="1"/>
      <c r="P421" s="1"/>
      <c r="Q421" s="1"/>
      <c r="R421" s="1"/>
      <c r="S421" s="1"/>
      <c r="T421" s="1"/>
      <c r="U421" s="1"/>
      <c r="V421" s="1"/>
      <c r="W421" s="1"/>
      <c r="X421" s="1"/>
      <c r="Y421" s="1"/>
      <c r="Z421" s="1"/>
    </row>
    <row r="422" spans="1:26" ht="15.75" customHeight="1">
      <c r="A422" s="4"/>
      <c r="B422" s="4"/>
      <c r="C422" s="115"/>
      <c r="D422" s="4"/>
      <c r="E422" s="4"/>
      <c r="F422" s="4"/>
      <c r="G422" s="4"/>
      <c r="H422" s="4"/>
      <c r="I422" s="4"/>
      <c r="J422" s="4"/>
      <c r="K422" s="1"/>
      <c r="L422" s="1"/>
      <c r="M422" s="1"/>
      <c r="N422" s="1"/>
      <c r="O422" s="1"/>
      <c r="P422" s="1"/>
      <c r="Q422" s="1"/>
      <c r="R422" s="1"/>
      <c r="S422" s="1"/>
      <c r="T422" s="1"/>
      <c r="U422" s="1"/>
      <c r="V422" s="1"/>
      <c r="W422" s="1"/>
      <c r="X422" s="1"/>
      <c r="Y422" s="1"/>
      <c r="Z422" s="1"/>
    </row>
    <row r="423" spans="1:26" ht="15.75" customHeight="1">
      <c r="A423" s="4"/>
      <c r="B423" s="4"/>
      <c r="C423" s="115"/>
      <c r="D423" s="4"/>
      <c r="E423" s="4"/>
      <c r="F423" s="4"/>
      <c r="G423" s="4"/>
      <c r="H423" s="4"/>
      <c r="I423" s="4"/>
      <c r="J423" s="4"/>
      <c r="K423" s="1"/>
      <c r="L423" s="1"/>
      <c r="M423" s="1"/>
      <c r="N423" s="1"/>
      <c r="O423" s="1"/>
      <c r="P423" s="1"/>
      <c r="Q423" s="1"/>
      <c r="R423" s="1"/>
      <c r="S423" s="1"/>
      <c r="T423" s="1"/>
      <c r="U423" s="1"/>
      <c r="V423" s="1"/>
      <c r="W423" s="1"/>
      <c r="X423" s="1"/>
      <c r="Y423" s="1"/>
      <c r="Z423" s="1"/>
    </row>
    <row r="424" spans="1:26" ht="15.75" customHeight="1">
      <c r="A424" s="4"/>
      <c r="B424" s="4"/>
      <c r="C424" s="115"/>
      <c r="D424" s="4"/>
      <c r="E424" s="4"/>
      <c r="F424" s="4"/>
      <c r="G424" s="4"/>
      <c r="H424" s="4"/>
      <c r="I424" s="4"/>
      <c r="J424" s="4"/>
      <c r="K424" s="1"/>
      <c r="L424" s="1"/>
      <c r="M424" s="1"/>
      <c r="N424" s="1"/>
      <c r="O424" s="1"/>
      <c r="P424" s="1"/>
      <c r="Q424" s="1"/>
      <c r="R424" s="1"/>
      <c r="S424" s="1"/>
      <c r="T424" s="1"/>
      <c r="U424" s="1"/>
      <c r="V424" s="1"/>
      <c r="W424" s="1"/>
      <c r="X424" s="1"/>
      <c r="Y424" s="1"/>
      <c r="Z424" s="1"/>
    </row>
    <row r="425" spans="1:26" ht="15.75" customHeight="1">
      <c r="A425" s="4"/>
      <c r="B425" s="4"/>
      <c r="C425" s="115"/>
      <c r="D425" s="4"/>
      <c r="E425" s="4"/>
      <c r="F425" s="4"/>
      <c r="G425" s="4"/>
      <c r="H425" s="4"/>
      <c r="I425" s="4"/>
      <c r="J425" s="4"/>
      <c r="K425" s="1"/>
      <c r="L425" s="1"/>
      <c r="M425" s="1"/>
      <c r="N425" s="1"/>
      <c r="O425" s="1"/>
      <c r="P425" s="1"/>
      <c r="Q425" s="1"/>
      <c r="R425" s="1"/>
      <c r="S425" s="1"/>
      <c r="T425" s="1"/>
      <c r="U425" s="1"/>
      <c r="V425" s="1"/>
      <c r="W425" s="1"/>
      <c r="X425" s="1"/>
      <c r="Y425" s="1"/>
      <c r="Z425" s="1"/>
    </row>
    <row r="426" spans="1:26" ht="15.75" customHeight="1">
      <c r="A426" s="4"/>
      <c r="B426" s="4"/>
      <c r="C426" s="115"/>
      <c r="D426" s="4"/>
      <c r="E426" s="4"/>
      <c r="F426" s="4"/>
      <c r="G426" s="4"/>
      <c r="H426" s="4"/>
      <c r="I426" s="4"/>
      <c r="J426" s="4"/>
      <c r="K426" s="1"/>
      <c r="L426" s="1"/>
      <c r="M426" s="1"/>
      <c r="N426" s="1"/>
      <c r="O426" s="1"/>
      <c r="P426" s="1"/>
      <c r="Q426" s="1"/>
      <c r="R426" s="1"/>
      <c r="S426" s="1"/>
      <c r="T426" s="1"/>
      <c r="U426" s="1"/>
      <c r="V426" s="1"/>
      <c r="W426" s="1"/>
      <c r="X426" s="1"/>
      <c r="Y426" s="1"/>
      <c r="Z426" s="1"/>
    </row>
    <row r="427" spans="1:26" ht="15.75" customHeight="1">
      <c r="A427" s="4"/>
      <c r="B427" s="4"/>
      <c r="C427" s="115"/>
      <c r="D427" s="4"/>
      <c r="E427" s="4"/>
      <c r="F427" s="4"/>
      <c r="G427" s="4"/>
      <c r="H427" s="4"/>
      <c r="I427" s="4"/>
      <c r="J427" s="4"/>
      <c r="K427" s="1"/>
      <c r="L427" s="1"/>
      <c r="M427" s="1"/>
      <c r="N427" s="1"/>
      <c r="O427" s="1"/>
      <c r="P427" s="1"/>
      <c r="Q427" s="1"/>
      <c r="R427" s="1"/>
      <c r="S427" s="1"/>
      <c r="T427" s="1"/>
      <c r="U427" s="1"/>
      <c r="V427" s="1"/>
      <c r="W427" s="1"/>
      <c r="X427" s="1"/>
      <c r="Y427" s="1"/>
      <c r="Z427" s="1"/>
    </row>
    <row r="428" spans="1:26" ht="15.75" customHeight="1">
      <c r="A428" s="4"/>
      <c r="B428" s="4"/>
      <c r="C428" s="115"/>
      <c r="D428" s="4"/>
      <c r="E428" s="4"/>
      <c r="F428" s="4"/>
      <c r="G428" s="4"/>
      <c r="H428" s="4"/>
      <c r="I428" s="4"/>
      <c r="J428" s="4"/>
      <c r="K428" s="1"/>
      <c r="L428" s="1"/>
      <c r="M428" s="1"/>
      <c r="N428" s="1"/>
      <c r="O428" s="1"/>
      <c r="P428" s="1"/>
      <c r="Q428" s="1"/>
      <c r="R428" s="1"/>
      <c r="S428" s="1"/>
      <c r="T428" s="1"/>
      <c r="U428" s="1"/>
      <c r="V428" s="1"/>
      <c r="W428" s="1"/>
      <c r="X428" s="1"/>
      <c r="Y428" s="1"/>
      <c r="Z428" s="1"/>
    </row>
    <row r="429" spans="1:26" ht="15.75" customHeight="1">
      <c r="A429" s="4"/>
      <c r="B429" s="4"/>
      <c r="C429" s="115"/>
      <c r="D429" s="4"/>
      <c r="E429" s="4"/>
      <c r="F429" s="4"/>
      <c r="G429" s="4"/>
      <c r="H429" s="4"/>
      <c r="I429" s="4"/>
      <c r="J429" s="4"/>
      <c r="K429" s="1"/>
      <c r="L429" s="1"/>
      <c r="M429" s="1"/>
      <c r="N429" s="1"/>
      <c r="O429" s="1"/>
      <c r="P429" s="1"/>
      <c r="Q429" s="1"/>
      <c r="R429" s="1"/>
      <c r="S429" s="1"/>
      <c r="T429" s="1"/>
      <c r="U429" s="1"/>
      <c r="V429" s="1"/>
      <c r="W429" s="1"/>
      <c r="X429" s="1"/>
      <c r="Y429" s="1"/>
      <c r="Z429" s="1"/>
    </row>
    <row r="430" spans="1:26" ht="15.75" customHeight="1">
      <c r="A430" s="4"/>
      <c r="B430" s="4"/>
      <c r="C430" s="115"/>
      <c r="D430" s="4"/>
      <c r="E430" s="4"/>
      <c r="F430" s="4"/>
      <c r="G430" s="4"/>
      <c r="H430" s="4"/>
      <c r="I430" s="4"/>
      <c r="J430" s="4"/>
      <c r="K430" s="1"/>
      <c r="L430" s="1"/>
      <c r="M430" s="1"/>
      <c r="N430" s="1"/>
      <c r="O430" s="1"/>
      <c r="P430" s="1"/>
      <c r="Q430" s="1"/>
      <c r="R430" s="1"/>
      <c r="S430" s="1"/>
      <c r="T430" s="1"/>
      <c r="U430" s="1"/>
      <c r="V430" s="1"/>
      <c r="W430" s="1"/>
      <c r="X430" s="1"/>
      <c r="Y430" s="1"/>
      <c r="Z430" s="1"/>
    </row>
    <row r="431" spans="1:26" ht="15.75" customHeight="1">
      <c r="A431" s="4"/>
      <c r="B431" s="4"/>
      <c r="C431" s="115"/>
      <c r="D431" s="4"/>
      <c r="E431" s="4"/>
      <c r="F431" s="4"/>
      <c r="G431" s="4"/>
      <c r="H431" s="4"/>
      <c r="I431" s="4"/>
      <c r="J431" s="4"/>
      <c r="K431" s="1"/>
      <c r="L431" s="1"/>
      <c r="M431" s="1"/>
      <c r="N431" s="1"/>
      <c r="O431" s="1"/>
      <c r="P431" s="1"/>
      <c r="Q431" s="1"/>
      <c r="R431" s="1"/>
      <c r="S431" s="1"/>
      <c r="T431" s="1"/>
      <c r="U431" s="1"/>
      <c r="V431" s="1"/>
      <c r="W431" s="1"/>
      <c r="X431" s="1"/>
      <c r="Y431" s="1"/>
      <c r="Z431" s="1"/>
    </row>
    <row r="432" spans="1:26" ht="15.75" customHeight="1">
      <c r="A432" s="4"/>
      <c r="B432" s="4"/>
      <c r="C432" s="115"/>
      <c r="D432" s="4"/>
      <c r="E432" s="4"/>
      <c r="F432" s="4"/>
      <c r="G432" s="4"/>
      <c r="H432" s="4"/>
      <c r="I432" s="4"/>
      <c r="J432" s="4"/>
      <c r="K432" s="1"/>
      <c r="L432" s="1"/>
      <c r="M432" s="1"/>
      <c r="N432" s="1"/>
      <c r="O432" s="1"/>
      <c r="P432" s="1"/>
      <c r="Q432" s="1"/>
      <c r="R432" s="1"/>
      <c r="S432" s="1"/>
      <c r="T432" s="1"/>
      <c r="U432" s="1"/>
      <c r="V432" s="1"/>
      <c r="W432" s="1"/>
      <c r="X432" s="1"/>
      <c r="Y432" s="1"/>
      <c r="Z432" s="1"/>
    </row>
    <row r="433" spans="1:26" ht="15.75" customHeight="1">
      <c r="A433" s="4"/>
      <c r="B433" s="4"/>
      <c r="C433" s="115"/>
      <c r="D433" s="4"/>
      <c r="E433" s="4"/>
      <c r="F433" s="4"/>
      <c r="G433" s="4"/>
      <c r="H433" s="4"/>
      <c r="I433" s="4"/>
      <c r="J433" s="4"/>
      <c r="K433" s="1"/>
      <c r="L433" s="1"/>
      <c r="M433" s="1"/>
      <c r="N433" s="1"/>
      <c r="O433" s="1"/>
      <c r="P433" s="1"/>
      <c r="Q433" s="1"/>
      <c r="R433" s="1"/>
      <c r="S433" s="1"/>
      <c r="T433" s="1"/>
      <c r="U433" s="1"/>
      <c r="V433" s="1"/>
      <c r="W433" s="1"/>
      <c r="X433" s="1"/>
      <c r="Y433" s="1"/>
      <c r="Z433" s="1"/>
    </row>
    <row r="434" spans="1:26" ht="15.75" customHeight="1">
      <c r="A434" s="4"/>
      <c r="B434" s="4"/>
      <c r="C434" s="115"/>
      <c r="D434" s="4"/>
      <c r="E434" s="4"/>
      <c r="F434" s="4"/>
      <c r="G434" s="4"/>
      <c r="H434" s="4"/>
      <c r="I434" s="4"/>
      <c r="J434" s="4"/>
      <c r="K434" s="1"/>
      <c r="L434" s="1"/>
      <c r="M434" s="1"/>
      <c r="N434" s="1"/>
      <c r="O434" s="1"/>
      <c r="P434" s="1"/>
      <c r="Q434" s="1"/>
      <c r="R434" s="1"/>
      <c r="S434" s="1"/>
      <c r="T434" s="1"/>
      <c r="U434" s="1"/>
      <c r="V434" s="1"/>
      <c r="W434" s="1"/>
      <c r="X434" s="1"/>
      <c r="Y434" s="1"/>
      <c r="Z434" s="1"/>
    </row>
    <row r="435" spans="1:26" ht="15.75" customHeight="1">
      <c r="A435" s="4"/>
      <c r="B435" s="4"/>
      <c r="C435" s="115"/>
      <c r="D435" s="4"/>
      <c r="E435" s="4"/>
      <c r="F435" s="4"/>
      <c r="G435" s="4"/>
      <c r="H435" s="4"/>
      <c r="I435" s="4"/>
      <c r="J435" s="4"/>
      <c r="K435" s="1"/>
      <c r="L435" s="1"/>
      <c r="M435" s="1"/>
      <c r="N435" s="1"/>
      <c r="O435" s="1"/>
      <c r="P435" s="1"/>
      <c r="Q435" s="1"/>
      <c r="R435" s="1"/>
      <c r="S435" s="1"/>
      <c r="T435" s="1"/>
      <c r="U435" s="1"/>
      <c r="V435" s="1"/>
      <c r="W435" s="1"/>
      <c r="X435" s="1"/>
      <c r="Y435" s="1"/>
      <c r="Z435" s="1"/>
    </row>
    <row r="436" spans="1:26" ht="15.75" customHeight="1">
      <c r="A436" s="4"/>
      <c r="B436" s="4"/>
      <c r="C436" s="115"/>
      <c r="D436" s="4"/>
      <c r="E436" s="4"/>
      <c r="F436" s="4"/>
      <c r="G436" s="4"/>
      <c r="H436" s="4"/>
      <c r="I436" s="4"/>
      <c r="J436" s="4"/>
      <c r="K436" s="1"/>
      <c r="L436" s="1"/>
      <c r="M436" s="1"/>
      <c r="N436" s="1"/>
      <c r="O436" s="1"/>
      <c r="P436" s="1"/>
      <c r="Q436" s="1"/>
      <c r="R436" s="1"/>
      <c r="S436" s="1"/>
      <c r="T436" s="1"/>
      <c r="U436" s="1"/>
      <c r="V436" s="1"/>
      <c r="W436" s="1"/>
      <c r="X436" s="1"/>
      <c r="Y436" s="1"/>
      <c r="Z436" s="1"/>
    </row>
    <row r="437" spans="1:26" ht="15.75" customHeight="1">
      <c r="A437" s="4"/>
      <c r="B437" s="4"/>
      <c r="C437" s="115"/>
      <c r="D437" s="4"/>
      <c r="E437" s="4"/>
      <c r="F437" s="4"/>
      <c r="G437" s="4"/>
      <c r="H437" s="4"/>
      <c r="I437" s="4"/>
      <c r="J437" s="4"/>
      <c r="K437" s="1"/>
      <c r="L437" s="1"/>
      <c r="M437" s="1"/>
      <c r="N437" s="1"/>
      <c r="O437" s="1"/>
      <c r="P437" s="1"/>
      <c r="Q437" s="1"/>
      <c r="R437" s="1"/>
      <c r="S437" s="1"/>
      <c r="T437" s="1"/>
      <c r="U437" s="1"/>
      <c r="V437" s="1"/>
      <c r="W437" s="1"/>
      <c r="X437" s="1"/>
      <c r="Y437" s="1"/>
      <c r="Z437" s="1"/>
    </row>
    <row r="438" spans="1:26" ht="15.75" customHeight="1">
      <c r="A438" s="4"/>
      <c r="B438" s="4"/>
      <c r="C438" s="115"/>
      <c r="D438" s="4"/>
      <c r="E438" s="4"/>
      <c r="F438" s="4"/>
      <c r="G438" s="4"/>
      <c r="H438" s="4"/>
      <c r="I438" s="4"/>
      <c r="J438" s="4"/>
      <c r="K438" s="1"/>
      <c r="L438" s="1"/>
      <c r="M438" s="1"/>
      <c r="N438" s="1"/>
      <c r="O438" s="1"/>
      <c r="P438" s="1"/>
      <c r="Q438" s="1"/>
      <c r="R438" s="1"/>
      <c r="S438" s="1"/>
      <c r="T438" s="1"/>
      <c r="U438" s="1"/>
      <c r="V438" s="1"/>
      <c r="W438" s="1"/>
      <c r="X438" s="1"/>
      <c r="Y438" s="1"/>
      <c r="Z438" s="1"/>
    </row>
    <row r="439" spans="1:26" ht="15.75" customHeight="1">
      <c r="A439" s="4"/>
      <c r="B439" s="4"/>
      <c r="C439" s="115"/>
      <c r="D439" s="4"/>
      <c r="E439" s="4"/>
      <c r="F439" s="4"/>
      <c r="G439" s="4"/>
      <c r="H439" s="4"/>
      <c r="I439" s="4"/>
      <c r="J439" s="4"/>
      <c r="K439" s="1"/>
      <c r="L439" s="1"/>
      <c r="M439" s="1"/>
      <c r="N439" s="1"/>
      <c r="O439" s="1"/>
      <c r="P439" s="1"/>
      <c r="Q439" s="1"/>
      <c r="R439" s="1"/>
      <c r="S439" s="1"/>
      <c r="T439" s="1"/>
      <c r="U439" s="1"/>
      <c r="V439" s="1"/>
      <c r="W439" s="1"/>
      <c r="X439" s="1"/>
      <c r="Y439" s="1"/>
      <c r="Z439" s="1"/>
    </row>
    <row r="440" spans="1:26" ht="15.75" customHeight="1">
      <c r="A440" s="4"/>
      <c r="B440" s="4"/>
      <c r="C440" s="115"/>
      <c r="D440" s="4"/>
      <c r="E440" s="4"/>
      <c r="F440" s="4"/>
      <c r="G440" s="4"/>
      <c r="H440" s="4"/>
      <c r="I440" s="4"/>
      <c r="J440" s="4"/>
      <c r="K440" s="1"/>
      <c r="L440" s="1"/>
      <c r="M440" s="1"/>
      <c r="N440" s="1"/>
      <c r="O440" s="1"/>
      <c r="P440" s="1"/>
      <c r="Q440" s="1"/>
      <c r="R440" s="1"/>
      <c r="S440" s="1"/>
      <c r="T440" s="1"/>
      <c r="U440" s="1"/>
      <c r="V440" s="1"/>
      <c r="W440" s="1"/>
      <c r="X440" s="1"/>
      <c r="Y440" s="1"/>
      <c r="Z440" s="1"/>
    </row>
    <row r="441" spans="1:26" ht="15.75" customHeight="1">
      <c r="A441" s="4"/>
      <c r="B441" s="4"/>
      <c r="C441" s="115"/>
      <c r="D441" s="4"/>
      <c r="E441" s="4"/>
      <c r="F441" s="4"/>
      <c r="G441" s="4"/>
      <c r="H441" s="4"/>
      <c r="I441" s="4"/>
      <c r="J441" s="4"/>
      <c r="K441" s="1"/>
      <c r="L441" s="1"/>
      <c r="M441" s="1"/>
      <c r="N441" s="1"/>
      <c r="O441" s="1"/>
      <c r="P441" s="1"/>
      <c r="Q441" s="1"/>
      <c r="R441" s="1"/>
      <c r="S441" s="1"/>
      <c r="T441" s="1"/>
      <c r="U441" s="1"/>
      <c r="V441" s="1"/>
      <c r="W441" s="1"/>
      <c r="X441" s="1"/>
      <c r="Y441" s="1"/>
      <c r="Z441" s="1"/>
    </row>
    <row r="442" spans="1:26" ht="15.75" customHeight="1">
      <c r="A442" s="4"/>
      <c r="B442" s="4"/>
      <c r="C442" s="115"/>
      <c r="D442" s="4"/>
      <c r="E442" s="4"/>
      <c r="F442" s="4"/>
      <c r="G442" s="4"/>
      <c r="H442" s="4"/>
      <c r="I442" s="4"/>
      <c r="J442" s="4"/>
      <c r="K442" s="1"/>
      <c r="L442" s="1"/>
      <c r="M442" s="1"/>
      <c r="N442" s="1"/>
      <c r="O442" s="1"/>
      <c r="P442" s="1"/>
      <c r="Q442" s="1"/>
      <c r="R442" s="1"/>
      <c r="S442" s="1"/>
      <c r="T442" s="1"/>
      <c r="U442" s="1"/>
      <c r="V442" s="1"/>
      <c r="W442" s="1"/>
      <c r="X442" s="1"/>
      <c r="Y442" s="1"/>
      <c r="Z442" s="1"/>
    </row>
    <row r="443" spans="1:26" ht="15.75" customHeight="1">
      <c r="A443" s="4"/>
      <c r="B443" s="4"/>
      <c r="C443" s="115"/>
      <c r="D443" s="4"/>
      <c r="E443" s="4"/>
      <c r="F443" s="4"/>
      <c r="G443" s="4"/>
      <c r="H443" s="4"/>
      <c r="I443" s="4"/>
      <c r="J443" s="4"/>
      <c r="K443" s="1"/>
      <c r="L443" s="1"/>
      <c r="M443" s="1"/>
      <c r="N443" s="1"/>
      <c r="O443" s="1"/>
      <c r="P443" s="1"/>
      <c r="Q443" s="1"/>
      <c r="R443" s="1"/>
      <c r="S443" s="1"/>
      <c r="T443" s="1"/>
      <c r="U443" s="1"/>
      <c r="V443" s="1"/>
      <c r="W443" s="1"/>
      <c r="X443" s="1"/>
      <c r="Y443" s="1"/>
      <c r="Z443" s="1"/>
    </row>
    <row r="444" spans="1:26" ht="15.75" customHeight="1">
      <c r="A444" s="4"/>
      <c r="B444" s="4"/>
      <c r="C444" s="115"/>
      <c r="D444" s="4"/>
      <c r="E444" s="4"/>
      <c r="F444" s="4"/>
      <c r="G444" s="4"/>
      <c r="H444" s="4"/>
      <c r="I444" s="4"/>
      <c r="J444" s="4"/>
      <c r="K444" s="1"/>
      <c r="L444" s="1"/>
      <c r="M444" s="1"/>
      <c r="N444" s="1"/>
      <c r="O444" s="1"/>
      <c r="P444" s="1"/>
      <c r="Q444" s="1"/>
      <c r="R444" s="1"/>
      <c r="S444" s="1"/>
      <c r="T444" s="1"/>
      <c r="U444" s="1"/>
      <c r="V444" s="1"/>
      <c r="W444" s="1"/>
      <c r="X444" s="1"/>
      <c r="Y444" s="1"/>
      <c r="Z444" s="1"/>
    </row>
    <row r="445" spans="1:26" ht="15.75" customHeight="1">
      <c r="A445" s="4"/>
      <c r="B445" s="4"/>
      <c r="C445" s="115"/>
      <c r="D445" s="4"/>
      <c r="E445" s="4"/>
      <c r="F445" s="4"/>
      <c r="G445" s="4"/>
      <c r="H445" s="4"/>
      <c r="I445" s="4"/>
      <c r="J445" s="4"/>
      <c r="K445" s="1"/>
      <c r="L445" s="1"/>
      <c r="M445" s="1"/>
      <c r="N445" s="1"/>
      <c r="O445" s="1"/>
      <c r="P445" s="1"/>
      <c r="Q445" s="1"/>
      <c r="R445" s="1"/>
      <c r="S445" s="1"/>
      <c r="T445" s="1"/>
      <c r="U445" s="1"/>
      <c r="V445" s="1"/>
      <c r="W445" s="1"/>
      <c r="X445" s="1"/>
      <c r="Y445" s="1"/>
      <c r="Z445" s="1"/>
    </row>
    <row r="446" spans="1:26" ht="15.75" customHeight="1">
      <c r="A446" s="4"/>
      <c r="B446" s="4"/>
      <c r="C446" s="115"/>
      <c r="D446" s="4"/>
      <c r="E446" s="4"/>
      <c r="F446" s="4"/>
      <c r="G446" s="4"/>
      <c r="H446" s="4"/>
      <c r="I446" s="4"/>
      <c r="J446" s="4"/>
      <c r="K446" s="1"/>
      <c r="L446" s="1"/>
      <c r="M446" s="1"/>
      <c r="N446" s="1"/>
      <c r="O446" s="1"/>
      <c r="P446" s="1"/>
      <c r="Q446" s="1"/>
      <c r="R446" s="1"/>
      <c r="S446" s="1"/>
      <c r="T446" s="1"/>
      <c r="U446" s="1"/>
      <c r="V446" s="1"/>
      <c r="W446" s="1"/>
      <c r="X446" s="1"/>
      <c r="Y446" s="1"/>
      <c r="Z446" s="1"/>
    </row>
    <row r="447" spans="1:26" ht="15.75" customHeight="1">
      <c r="A447" s="4"/>
      <c r="B447" s="4"/>
      <c r="C447" s="115"/>
      <c r="D447" s="4"/>
      <c r="E447" s="4"/>
      <c r="F447" s="4"/>
      <c r="G447" s="4"/>
      <c r="H447" s="4"/>
      <c r="I447" s="4"/>
      <c r="J447" s="4"/>
      <c r="K447" s="1"/>
      <c r="L447" s="1"/>
      <c r="M447" s="1"/>
      <c r="N447" s="1"/>
      <c r="O447" s="1"/>
      <c r="P447" s="1"/>
      <c r="Q447" s="1"/>
      <c r="R447" s="1"/>
      <c r="S447" s="1"/>
      <c r="T447" s="1"/>
      <c r="U447" s="1"/>
      <c r="V447" s="1"/>
      <c r="W447" s="1"/>
      <c r="X447" s="1"/>
      <c r="Y447" s="1"/>
      <c r="Z447" s="1"/>
    </row>
    <row r="448" spans="1:26" ht="15.75" customHeight="1">
      <c r="A448" s="4"/>
      <c r="B448" s="4"/>
      <c r="C448" s="115"/>
      <c r="D448" s="4"/>
      <c r="E448" s="4"/>
      <c r="F448" s="4"/>
      <c r="G448" s="4"/>
      <c r="H448" s="4"/>
      <c r="I448" s="4"/>
      <c r="J448" s="4"/>
      <c r="K448" s="1"/>
      <c r="L448" s="1"/>
      <c r="M448" s="1"/>
      <c r="N448" s="1"/>
      <c r="O448" s="1"/>
      <c r="P448" s="1"/>
      <c r="Q448" s="1"/>
      <c r="R448" s="1"/>
      <c r="S448" s="1"/>
      <c r="T448" s="1"/>
      <c r="U448" s="1"/>
      <c r="V448" s="1"/>
      <c r="W448" s="1"/>
      <c r="X448" s="1"/>
      <c r="Y448" s="1"/>
      <c r="Z448" s="1"/>
    </row>
    <row r="449" spans="1:26" ht="15.75" customHeight="1">
      <c r="A449" s="4"/>
      <c r="B449" s="4"/>
      <c r="C449" s="115"/>
      <c r="D449" s="4"/>
      <c r="E449" s="4"/>
      <c r="F449" s="4"/>
      <c r="G449" s="4"/>
      <c r="H449" s="4"/>
      <c r="I449" s="4"/>
      <c r="J449" s="4"/>
      <c r="K449" s="1"/>
      <c r="L449" s="1"/>
      <c r="M449" s="1"/>
      <c r="N449" s="1"/>
      <c r="O449" s="1"/>
      <c r="P449" s="1"/>
      <c r="Q449" s="1"/>
      <c r="R449" s="1"/>
      <c r="S449" s="1"/>
      <c r="T449" s="1"/>
      <c r="U449" s="1"/>
      <c r="V449" s="1"/>
      <c r="W449" s="1"/>
      <c r="X449" s="1"/>
      <c r="Y449" s="1"/>
      <c r="Z449" s="1"/>
    </row>
    <row r="450" spans="1:26" ht="15.75" customHeight="1">
      <c r="A450" s="4"/>
      <c r="B450" s="4"/>
      <c r="C450" s="115"/>
      <c r="D450" s="4"/>
      <c r="E450" s="4"/>
      <c r="F450" s="4"/>
      <c r="G450" s="4"/>
      <c r="H450" s="4"/>
      <c r="I450" s="4"/>
      <c r="J450" s="4"/>
      <c r="K450" s="1"/>
      <c r="L450" s="1"/>
      <c r="M450" s="1"/>
      <c r="N450" s="1"/>
      <c r="O450" s="1"/>
      <c r="P450" s="1"/>
      <c r="Q450" s="1"/>
      <c r="R450" s="1"/>
      <c r="S450" s="1"/>
      <c r="T450" s="1"/>
      <c r="U450" s="1"/>
      <c r="V450" s="1"/>
      <c r="W450" s="1"/>
      <c r="X450" s="1"/>
      <c r="Y450" s="1"/>
      <c r="Z450" s="1"/>
    </row>
    <row r="451" spans="1:26" ht="15.75" customHeight="1">
      <c r="A451" s="4"/>
      <c r="B451" s="4"/>
      <c r="C451" s="115"/>
      <c r="D451" s="4"/>
      <c r="E451" s="4"/>
      <c r="F451" s="4"/>
      <c r="G451" s="4"/>
      <c r="H451" s="4"/>
      <c r="I451" s="4"/>
      <c r="J451" s="4"/>
      <c r="K451" s="1"/>
      <c r="L451" s="1"/>
      <c r="M451" s="1"/>
      <c r="N451" s="1"/>
      <c r="O451" s="1"/>
      <c r="P451" s="1"/>
      <c r="Q451" s="1"/>
      <c r="R451" s="1"/>
      <c r="S451" s="1"/>
      <c r="T451" s="1"/>
      <c r="U451" s="1"/>
      <c r="V451" s="1"/>
      <c r="W451" s="1"/>
      <c r="X451" s="1"/>
      <c r="Y451" s="1"/>
      <c r="Z451" s="1"/>
    </row>
    <row r="452" spans="1:26" ht="15.75" customHeight="1">
      <c r="A452" s="4"/>
      <c r="B452" s="4"/>
      <c r="C452" s="115"/>
      <c r="D452" s="4"/>
      <c r="E452" s="4"/>
      <c r="F452" s="4"/>
      <c r="G452" s="4"/>
      <c r="H452" s="4"/>
      <c r="I452" s="4"/>
      <c r="J452" s="4"/>
      <c r="K452" s="1"/>
      <c r="L452" s="1"/>
      <c r="M452" s="1"/>
      <c r="N452" s="1"/>
      <c r="O452" s="1"/>
      <c r="P452" s="1"/>
      <c r="Q452" s="1"/>
      <c r="R452" s="1"/>
      <c r="S452" s="1"/>
      <c r="T452" s="1"/>
      <c r="U452" s="1"/>
      <c r="V452" s="1"/>
      <c r="W452" s="1"/>
      <c r="X452" s="1"/>
      <c r="Y452" s="1"/>
      <c r="Z452" s="1"/>
    </row>
    <row r="453" spans="1:26" ht="15.75" customHeight="1">
      <c r="A453" s="4"/>
      <c r="B453" s="4"/>
      <c r="C453" s="115"/>
      <c r="D453" s="4"/>
      <c r="E453" s="4"/>
      <c r="F453" s="4"/>
      <c r="G453" s="4"/>
      <c r="H453" s="4"/>
      <c r="I453" s="4"/>
      <c r="J453" s="4"/>
      <c r="K453" s="1"/>
      <c r="L453" s="1"/>
      <c r="M453" s="1"/>
      <c r="N453" s="1"/>
      <c r="O453" s="1"/>
      <c r="P453" s="1"/>
      <c r="Q453" s="1"/>
      <c r="R453" s="1"/>
      <c r="S453" s="1"/>
      <c r="T453" s="1"/>
      <c r="U453" s="1"/>
      <c r="V453" s="1"/>
      <c r="W453" s="1"/>
      <c r="X453" s="1"/>
      <c r="Y453" s="1"/>
      <c r="Z453" s="1"/>
    </row>
    <row r="454" spans="1:26" ht="15.75" customHeight="1">
      <c r="A454" s="4"/>
      <c r="B454" s="4"/>
      <c r="C454" s="115"/>
      <c r="D454" s="4"/>
      <c r="E454" s="4"/>
      <c r="F454" s="4"/>
      <c r="G454" s="4"/>
      <c r="H454" s="4"/>
      <c r="I454" s="4"/>
      <c r="J454" s="4"/>
      <c r="K454" s="1"/>
      <c r="L454" s="1"/>
      <c r="M454" s="1"/>
      <c r="N454" s="1"/>
      <c r="O454" s="1"/>
      <c r="P454" s="1"/>
      <c r="Q454" s="1"/>
      <c r="R454" s="1"/>
      <c r="S454" s="1"/>
      <c r="T454" s="1"/>
      <c r="U454" s="1"/>
      <c r="V454" s="1"/>
      <c r="W454" s="1"/>
      <c r="X454" s="1"/>
      <c r="Y454" s="1"/>
      <c r="Z454" s="1"/>
    </row>
    <row r="455" spans="1:26" ht="15.75" customHeight="1">
      <c r="A455" s="4"/>
      <c r="B455" s="4"/>
      <c r="C455" s="115"/>
      <c r="D455" s="4"/>
      <c r="E455" s="4"/>
      <c r="F455" s="4"/>
      <c r="G455" s="4"/>
      <c r="H455" s="4"/>
      <c r="I455" s="4"/>
      <c r="J455" s="4"/>
      <c r="K455" s="1"/>
      <c r="L455" s="1"/>
      <c r="M455" s="1"/>
      <c r="N455" s="1"/>
      <c r="O455" s="1"/>
      <c r="P455" s="1"/>
      <c r="Q455" s="1"/>
      <c r="R455" s="1"/>
      <c r="S455" s="1"/>
      <c r="T455" s="1"/>
      <c r="U455" s="1"/>
      <c r="V455" s="1"/>
      <c r="W455" s="1"/>
      <c r="X455" s="1"/>
      <c r="Y455" s="1"/>
      <c r="Z455" s="1"/>
    </row>
    <row r="456" spans="1:26" ht="15.75" customHeight="1">
      <c r="A456" s="4"/>
      <c r="B456" s="4"/>
      <c r="C456" s="115"/>
      <c r="D456" s="4"/>
      <c r="E456" s="4"/>
      <c r="F456" s="4"/>
      <c r="G456" s="4"/>
      <c r="H456" s="4"/>
      <c r="I456" s="4"/>
      <c r="J456" s="4"/>
      <c r="K456" s="1"/>
      <c r="L456" s="1"/>
      <c r="M456" s="1"/>
      <c r="N456" s="1"/>
      <c r="O456" s="1"/>
      <c r="P456" s="1"/>
      <c r="Q456" s="1"/>
      <c r="R456" s="1"/>
      <c r="S456" s="1"/>
      <c r="T456" s="1"/>
      <c r="U456" s="1"/>
      <c r="V456" s="1"/>
      <c r="W456" s="1"/>
      <c r="X456" s="1"/>
      <c r="Y456" s="1"/>
      <c r="Z456" s="1"/>
    </row>
    <row r="457" spans="1:26" ht="15.75" customHeight="1">
      <c r="A457" s="4"/>
      <c r="B457" s="4"/>
      <c r="C457" s="115"/>
      <c r="D457" s="4"/>
      <c r="E457" s="4"/>
      <c r="F457" s="4"/>
      <c r="G457" s="4"/>
      <c r="H457" s="4"/>
      <c r="I457" s="4"/>
      <c r="J457" s="4"/>
      <c r="K457" s="1"/>
      <c r="L457" s="1"/>
      <c r="M457" s="1"/>
      <c r="N457" s="1"/>
      <c r="O457" s="1"/>
      <c r="P457" s="1"/>
      <c r="Q457" s="1"/>
      <c r="R457" s="1"/>
      <c r="S457" s="1"/>
      <c r="T457" s="1"/>
      <c r="U457" s="1"/>
      <c r="V457" s="1"/>
      <c r="W457" s="1"/>
      <c r="X457" s="1"/>
      <c r="Y457" s="1"/>
      <c r="Z457" s="1"/>
    </row>
    <row r="458" spans="1:26" ht="15.75" customHeight="1">
      <c r="A458" s="4"/>
      <c r="B458" s="4"/>
      <c r="C458" s="115"/>
      <c r="D458" s="4"/>
      <c r="E458" s="4"/>
      <c r="F458" s="4"/>
      <c r="G458" s="4"/>
      <c r="H458" s="4"/>
      <c r="I458" s="4"/>
      <c r="J458" s="4"/>
      <c r="K458" s="1"/>
      <c r="L458" s="1"/>
      <c r="M458" s="1"/>
      <c r="N458" s="1"/>
      <c r="O458" s="1"/>
      <c r="P458" s="1"/>
      <c r="Q458" s="1"/>
      <c r="R458" s="1"/>
      <c r="S458" s="1"/>
      <c r="T458" s="1"/>
      <c r="U458" s="1"/>
      <c r="V458" s="1"/>
      <c r="W458" s="1"/>
      <c r="X458" s="1"/>
      <c r="Y458" s="1"/>
      <c r="Z458" s="1"/>
    </row>
    <row r="459" spans="1:26" ht="15.75" customHeight="1">
      <c r="A459" s="4"/>
      <c r="B459" s="4"/>
      <c r="C459" s="115"/>
      <c r="D459" s="4"/>
      <c r="E459" s="4"/>
      <c r="F459" s="4"/>
      <c r="G459" s="4"/>
      <c r="H459" s="4"/>
      <c r="I459" s="4"/>
      <c r="J459" s="4"/>
      <c r="K459" s="1"/>
      <c r="L459" s="1"/>
      <c r="M459" s="1"/>
      <c r="N459" s="1"/>
      <c r="O459" s="1"/>
      <c r="P459" s="1"/>
      <c r="Q459" s="1"/>
      <c r="R459" s="1"/>
      <c r="S459" s="1"/>
      <c r="T459" s="1"/>
      <c r="U459" s="1"/>
      <c r="V459" s="1"/>
      <c r="W459" s="1"/>
      <c r="X459" s="1"/>
      <c r="Y459" s="1"/>
      <c r="Z459" s="1"/>
    </row>
    <row r="460" spans="1:26" ht="15.75" customHeight="1">
      <c r="A460" s="4"/>
      <c r="B460" s="4"/>
      <c r="C460" s="115"/>
      <c r="D460" s="4"/>
      <c r="E460" s="4"/>
      <c r="F460" s="4"/>
      <c r="G460" s="4"/>
      <c r="H460" s="4"/>
      <c r="I460" s="4"/>
      <c r="J460" s="4"/>
      <c r="K460" s="1"/>
      <c r="L460" s="1"/>
      <c r="M460" s="1"/>
      <c r="N460" s="1"/>
      <c r="O460" s="1"/>
      <c r="P460" s="1"/>
      <c r="Q460" s="1"/>
      <c r="R460" s="1"/>
      <c r="S460" s="1"/>
      <c r="T460" s="1"/>
      <c r="U460" s="1"/>
      <c r="V460" s="1"/>
      <c r="W460" s="1"/>
      <c r="X460" s="1"/>
      <c r="Y460" s="1"/>
      <c r="Z460" s="1"/>
    </row>
    <row r="461" spans="1:26" ht="15.75" customHeight="1">
      <c r="A461" s="4"/>
      <c r="B461" s="4"/>
      <c r="C461" s="115"/>
      <c r="D461" s="4"/>
      <c r="E461" s="4"/>
      <c r="F461" s="4"/>
      <c r="G461" s="4"/>
      <c r="H461" s="4"/>
      <c r="I461" s="4"/>
      <c r="J461" s="4"/>
      <c r="K461" s="1"/>
      <c r="L461" s="1"/>
      <c r="M461" s="1"/>
      <c r="N461" s="1"/>
      <c r="O461" s="1"/>
      <c r="P461" s="1"/>
      <c r="Q461" s="1"/>
      <c r="R461" s="1"/>
      <c r="S461" s="1"/>
      <c r="T461" s="1"/>
      <c r="U461" s="1"/>
      <c r="V461" s="1"/>
      <c r="W461" s="1"/>
      <c r="X461" s="1"/>
      <c r="Y461" s="1"/>
      <c r="Z461" s="1"/>
    </row>
    <row r="462" spans="1:26" ht="15.75" customHeight="1">
      <c r="A462" s="4"/>
      <c r="B462" s="4"/>
      <c r="C462" s="115"/>
      <c r="D462" s="4"/>
      <c r="E462" s="4"/>
      <c r="F462" s="4"/>
      <c r="G462" s="4"/>
      <c r="H462" s="4"/>
      <c r="I462" s="4"/>
      <c r="J462" s="4"/>
      <c r="K462" s="1"/>
      <c r="L462" s="1"/>
      <c r="M462" s="1"/>
      <c r="N462" s="1"/>
      <c r="O462" s="1"/>
      <c r="P462" s="1"/>
      <c r="Q462" s="1"/>
      <c r="R462" s="1"/>
      <c r="S462" s="1"/>
      <c r="T462" s="1"/>
      <c r="U462" s="1"/>
      <c r="V462" s="1"/>
      <c r="W462" s="1"/>
      <c r="X462" s="1"/>
      <c r="Y462" s="1"/>
      <c r="Z462" s="1"/>
    </row>
    <row r="463" spans="1:26" ht="15.75" customHeight="1">
      <c r="A463" s="4"/>
      <c r="B463" s="4"/>
      <c r="C463" s="115"/>
      <c r="D463" s="4"/>
      <c r="E463" s="4"/>
      <c r="F463" s="4"/>
      <c r="G463" s="4"/>
      <c r="H463" s="4"/>
      <c r="I463" s="4"/>
      <c r="J463" s="4"/>
      <c r="K463" s="1"/>
      <c r="L463" s="1"/>
      <c r="M463" s="1"/>
      <c r="N463" s="1"/>
      <c r="O463" s="1"/>
      <c r="P463" s="1"/>
      <c r="Q463" s="1"/>
      <c r="R463" s="1"/>
      <c r="S463" s="1"/>
      <c r="T463" s="1"/>
      <c r="U463" s="1"/>
      <c r="V463" s="1"/>
      <c r="W463" s="1"/>
      <c r="X463" s="1"/>
      <c r="Y463" s="1"/>
      <c r="Z463" s="1"/>
    </row>
    <row r="464" spans="1:26" ht="15.75" customHeight="1">
      <c r="A464" s="4"/>
      <c r="B464" s="4"/>
      <c r="C464" s="115"/>
      <c r="D464" s="4"/>
      <c r="E464" s="4"/>
      <c r="F464" s="4"/>
      <c r="G464" s="4"/>
      <c r="H464" s="4"/>
      <c r="I464" s="4"/>
      <c r="J464" s="4"/>
      <c r="K464" s="1"/>
      <c r="L464" s="1"/>
      <c r="M464" s="1"/>
      <c r="N464" s="1"/>
      <c r="O464" s="1"/>
      <c r="P464" s="1"/>
      <c r="Q464" s="1"/>
      <c r="R464" s="1"/>
      <c r="S464" s="1"/>
      <c r="T464" s="1"/>
      <c r="U464" s="1"/>
      <c r="V464" s="1"/>
      <c r="W464" s="1"/>
      <c r="X464" s="1"/>
      <c r="Y464" s="1"/>
      <c r="Z464" s="1"/>
    </row>
    <row r="465" spans="1:26" ht="15.75" customHeight="1">
      <c r="A465" s="4"/>
      <c r="B465" s="4"/>
      <c r="C465" s="115"/>
      <c r="D465" s="4"/>
      <c r="E465" s="4"/>
      <c r="F465" s="4"/>
      <c r="G465" s="4"/>
      <c r="H465" s="4"/>
      <c r="I465" s="4"/>
      <c r="J465" s="4"/>
      <c r="K465" s="1"/>
      <c r="L465" s="1"/>
      <c r="M465" s="1"/>
      <c r="N465" s="1"/>
      <c r="O465" s="1"/>
      <c r="P465" s="1"/>
      <c r="Q465" s="1"/>
      <c r="R465" s="1"/>
      <c r="S465" s="1"/>
      <c r="T465" s="1"/>
      <c r="U465" s="1"/>
      <c r="V465" s="1"/>
      <c r="W465" s="1"/>
      <c r="X465" s="1"/>
      <c r="Y465" s="1"/>
      <c r="Z465" s="1"/>
    </row>
    <row r="466" spans="1:26" ht="15.75" customHeight="1">
      <c r="A466" s="4"/>
      <c r="B466" s="4"/>
      <c r="C466" s="115"/>
      <c r="D466" s="4"/>
      <c r="E466" s="4"/>
      <c r="F466" s="4"/>
      <c r="G466" s="4"/>
      <c r="H466" s="4"/>
      <c r="I466" s="4"/>
      <c r="J466" s="4"/>
      <c r="K466" s="1"/>
      <c r="L466" s="1"/>
      <c r="M466" s="1"/>
      <c r="N466" s="1"/>
      <c r="O466" s="1"/>
      <c r="P466" s="1"/>
      <c r="Q466" s="1"/>
      <c r="R466" s="1"/>
      <c r="S466" s="1"/>
      <c r="T466" s="1"/>
      <c r="U466" s="1"/>
      <c r="V466" s="1"/>
      <c r="W466" s="1"/>
      <c r="X466" s="1"/>
      <c r="Y466" s="1"/>
      <c r="Z466" s="1"/>
    </row>
    <row r="467" spans="1:26" ht="15.75" customHeight="1">
      <c r="A467" s="4"/>
      <c r="B467" s="4"/>
      <c r="C467" s="115"/>
      <c r="D467" s="4"/>
      <c r="E467" s="4"/>
      <c r="F467" s="4"/>
      <c r="G467" s="4"/>
      <c r="H467" s="4"/>
      <c r="I467" s="4"/>
      <c r="J467" s="4"/>
      <c r="K467" s="1"/>
      <c r="L467" s="1"/>
      <c r="M467" s="1"/>
      <c r="N467" s="1"/>
      <c r="O467" s="1"/>
      <c r="P467" s="1"/>
      <c r="Q467" s="1"/>
      <c r="R467" s="1"/>
      <c r="S467" s="1"/>
      <c r="T467" s="1"/>
      <c r="U467" s="1"/>
      <c r="V467" s="1"/>
      <c r="W467" s="1"/>
      <c r="X467" s="1"/>
      <c r="Y467" s="1"/>
      <c r="Z467" s="1"/>
    </row>
    <row r="468" spans="1:26" ht="15.75" customHeight="1">
      <c r="A468" s="4"/>
      <c r="B468" s="4"/>
      <c r="C468" s="115"/>
      <c r="D468" s="4"/>
      <c r="E468" s="4"/>
      <c r="F468" s="4"/>
      <c r="G468" s="4"/>
      <c r="H468" s="4"/>
      <c r="I468" s="4"/>
      <c r="J468" s="4"/>
      <c r="K468" s="1"/>
      <c r="L468" s="1"/>
      <c r="M468" s="1"/>
      <c r="N468" s="1"/>
      <c r="O468" s="1"/>
      <c r="P468" s="1"/>
      <c r="Q468" s="1"/>
      <c r="R468" s="1"/>
      <c r="S468" s="1"/>
      <c r="T468" s="1"/>
      <c r="U468" s="1"/>
      <c r="V468" s="1"/>
      <c r="W468" s="1"/>
      <c r="X468" s="1"/>
      <c r="Y468" s="1"/>
      <c r="Z468" s="1"/>
    </row>
    <row r="469" spans="1:26" ht="15.75" customHeight="1">
      <c r="A469" s="4"/>
      <c r="B469" s="4"/>
      <c r="C469" s="115"/>
      <c r="D469" s="4"/>
      <c r="E469" s="4"/>
      <c r="F469" s="4"/>
      <c r="G469" s="4"/>
      <c r="H469" s="4"/>
      <c r="I469" s="4"/>
      <c r="J469" s="4"/>
      <c r="K469" s="1"/>
      <c r="L469" s="1"/>
      <c r="M469" s="1"/>
      <c r="N469" s="1"/>
      <c r="O469" s="1"/>
      <c r="P469" s="1"/>
      <c r="Q469" s="1"/>
      <c r="R469" s="1"/>
      <c r="S469" s="1"/>
      <c r="T469" s="1"/>
      <c r="U469" s="1"/>
      <c r="V469" s="1"/>
      <c r="W469" s="1"/>
      <c r="X469" s="1"/>
      <c r="Y469" s="1"/>
      <c r="Z469" s="1"/>
    </row>
    <row r="470" spans="1:26" ht="15.75" customHeight="1">
      <c r="A470" s="4"/>
      <c r="B470" s="4"/>
      <c r="C470" s="115"/>
      <c r="D470" s="4"/>
      <c r="E470" s="4"/>
      <c r="F470" s="4"/>
      <c r="G470" s="4"/>
      <c r="H470" s="4"/>
      <c r="I470" s="4"/>
      <c r="J470" s="4"/>
      <c r="K470" s="1"/>
      <c r="L470" s="1"/>
      <c r="M470" s="1"/>
      <c r="N470" s="1"/>
      <c r="O470" s="1"/>
      <c r="P470" s="1"/>
      <c r="Q470" s="1"/>
      <c r="R470" s="1"/>
      <c r="S470" s="1"/>
      <c r="T470" s="1"/>
      <c r="U470" s="1"/>
      <c r="V470" s="1"/>
      <c r="W470" s="1"/>
      <c r="X470" s="1"/>
      <c r="Y470" s="1"/>
      <c r="Z470" s="1"/>
    </row>
    <row r="471" spans="1:26" ht="15.75" customHeight="1">
      <c r="A471" s="4"/>
      <c r="B471" s="4"/>
      <c r="C471" s="115"/>
      <c r="D471" s="4"/>
      <c r="E471" s="4"/>
      <c r="F471" s="4"/>
      <c r="G471" s="4"/>
      <c r="H471" s="4"/>
      <c r="I471" s="4"/>
      <c r="J471" s="4"/>
      <c r="K471" s="1"/>
      <c r="L471" s="1"/>
      <c r="M471" s="1"/>
      <c r="N471" s="1"/>
      <c r="O471" s="1"/>
      <c r="P471" s="1"/>
      <c r="Q471" s="1"/>
      <c r="R471" s="1"/>
      <c r="S471" s="1"/>
      <c r="T471" s="1"/>
      <c r="U471" s="1"/>
      <c r="V471" s="1"/>
      <c r="W471" s="1"/>
      <c r="X471" s="1"/>
      <c r="Y471" s="1"/>
      <c r="Z471" s="1"/>
    </row>
    <row r="472" spans="1:26" ht="15.75" customHeight="1">
      <c r="A472" s="4"/>
      <c r="B472" s="4"/>
      <c r="C472" s="115"/>
      <c r="D472" s="4"/>
      <c r="E472" s="4"/>
      <c r="F472" s="4"/>
      <c r="G472" s="4"/>
      <c r="H472" s="4"/>
      <c r="I472" s="4"/>
      <c r="J472" s="4"/>
      <c r="K472" s="1"/>
      <c r="L472" s="1"/>
      <c r="M472" s="1"/>
      <c r="N472" s="1"/>
      <c r="O472" s="1"/>
      <c r="P472" s="1"/>
      <c r="Q472" s="1"/>
      <c r="R472" s="1"/>
      <c r="S472" s="1"/>
      <c r="T472" s="1"/>
      <c r="U472" s="1"/>
      <c r="V472" s="1"/>
      <c r="W472" s="1"/>
      <c r="X472" s="1"/>
      <c r="Y472" s="1"/>
      <c r="Z472" s="1"/>
    </row>
    <row r="473" spans="1:26" ht="15.75" customHeight="1">
      <c r="A473" s="4"/>
      <c r="B473" s="4"/>
      <c r="C473" s="115"/>
      <c r="D473" s="4"/>
      <c r="E473" s="4"/>
      <c r="F473" s="4"/>
      <c r="G473" s="4"/>
      <c r="H473" s="4"/>
      <c r="I473" s="4"/>
      <c r="J473" s="4"/>
      <c r="K473" s="1"/>
      <c r="L473" s="1"/>
      <c r="M473" s="1"/>
      <c r="N473" s="1"/>
      <c r="O473" s="1"/>
      <c r="P473" s="1"/>
      <c r="Q473" s="1"/>
      <c r="R473" s="1"/>
      <c r="S473" s="1"/>
      <c r="T473" s="1"/>
      <c r="U473" s="1"/>
      <c r="V473" s="1"/>
      <c r="W473" s="1"/>
      <c r="X473" s="1"/>
      <c r="Y473" s="1"/>
      <c r="Z473" s="1"/>
    </row>
    <row r="474" spans="1:26" ht="15.75" customHeight="1">
      <c r="A474" s="4"/>
      <c r="B474" s="4"/>
      <c r="C474" s="115"/>
      <c r="D474" s="4"/>
      <c r="E474" s="4"/>
      <c r="F474" s="4"/>
      <c r="G474" s="4"/>
      <c r="H474" s="4"/>
      <c r="I474" s="4"/>
      <c r="J474" s="4"/>
      <c r="K474" s="1"/>
      <c r="L474" s="1"/>
      <c r="M474" s="1"/>
      <c r="N474" s="1"/>
      <c r="O474" s="1"/>
      <c r="P474" s="1"/>
      <c r="Q474" s="1"/>
      <c r="R474" s="1"/>
      <c r="S474" s="1"/>
      <c r="T474" s="1"/>
      <c r="U474" s="1"/>
      <c r="V474" s="1"/>
      <c r="W474" s="1"/>
      <c r="X474" s="1"/>
      <c r="Y474" s="1"/>
      <c r="Z474" s="1"/>
    </row>
    <row r="475" spans="1:26" ht="15.75" customHeight="1">
      <c r="A475" s="4"/>
      <c r="B475" s="4"/>
      <c r="C475" s="115"/>
      <c r="D475" s="4"/>
      <c r="E475" s="4"/>
      <c r="F475" s="4"/>
      <c r="G475" s="4"/>
      <c r="H475" s="4"/>
      <c r="I475" s="4"/>
      <c r="J475" s="4"/>
      <c r="K475" s="1"/>
      <c r="L475" s="1"/>
      <c r="M475" s="1"/>
      <c r="N475" s="1"/>
      <c r="O475" s="1"/>
      <c r="P475" s="1"/>
      <c r="Q475" s="1"/>
      <c r="R475" s="1"/>
      <c r="S475" s="1"/>
      <c r="T475" s="1"/>
      <c r="U475" s="1"/>
      <c r="V475" s="1"/>
      <c r="W475" s="1"/>
      <c r="X475" s="1"/>
      <c r="Y475" s="1"/>
      <c r="Z475" s="1"/>
    </row>
    <row r="476" spans="1:26" ht="15.75" customHeight="1">
      <c r="A476" s="4"/>
      <c r="B476" s="4"/>
      <c r="C476" s="115"/>
      <c r="D476" s="4"/>
      <c r="E476" s="4"/>
      <c r="F476" s="4"/>
      <c r="G476" s="4"/>
      <c r="H476" s="4"/>
      <c r="I476" s="4"/>
      <c r="J476" s="4"/>
      <c r="K476" s="1"/>
      <c r="L476" s="1"/>
      <c r="M476" s="1"/>
      <c r="N476" s="1"/>
      <c r="O476" s="1"/>
      <c r="P476" s="1"/>
      <c r="Q476" s="1"/>
      <c r="R476" s="1"/>
      <c r="S476" s="1"/>
      <c r="T476" s="1"/>
      <c r="U476" s="1"/>
      <c r="V476" s="1"/>
      <c r="W476" s="1"/>
      <c r="X476" s="1"/>
      <c r="Y476" s="1"/>
      <c r="Z476" s="1"/>
    </row>
    <row r="477" spans="1:26" ht="15.75" customHeight="1">
      <c r="A477" s="4"/>
      <c r="B477" s="4"/>
      <c r="C477" s="115"/>
      <c r="D477" s="4"/>
      <c r="E477" s="4"/>
      <c r="F477" s="4"/>
      <c r="G477" s="4"/>
      <c r="H477" s="4"/>
      <c r="I477" s="4"/>
      <c r="J477" s="4"/>
      <c r="K477" s="1"/>
      <c r="L477" s="1"/>
      <c r="M477" s="1"/>
      <c r="N477" s="1"/>
      <c r="O477" s="1"/>
      <c r="P477" s="1"/>
      <c r="Q477" s="1"/>
      <c r="R477" s="1"/>
      <c r="S477" s="1"/>
      <c r="T477" s="1"/>
      <c r="U477" s="1"/>
      <c r="V477" s="1"/>
      <c r="W477" s="1"/>
      <c r="X477" s="1"/>
      <c r="Y477" s="1"/>
      <c r="Z477" s="1"/>
    </row>
    <row r="478" spans="1:26" ht="15.75" customHeight="1">
      <c r="A478" s="4"/>
      <c r="B478" s="4"/>
      <c r="C478" s="115"/>
      <c r="D478" s="4"/>
      <c r="E478" s="4"/>
      <c r="F478" s="4"/>
      <c r="G478" s="4"/>
      <c r="H478" s="4"/>
      <c r="I478" s="4"/>
      <c r="J478" s="4"/>
      <c r="K478" s="1"/>
      <c r="L478" s="1"/>
      <c r="M478" s="1"/>
      <c r="N478" s="1"/>
      <c r="O478" s="1"/>
      <c r="P478" s="1"/>
      <c r="Q478" s="1"/>
      <c r="R478" s="1"/>
      <c r="S478" s="1"/>
      <c r="T478" s="1"/>
      <c r="U478" s="1"/>
      <c r="V478" s="1"/>
      <c r="W478" s="1"/>
      <c r="X478" s="1"/>
      <c r="Y478" s="1"/>
      <c r="Z478" s="1"/>
    </row>
    <row r="479" spans="1:26" ht="15.75" customHeight="1">
      <c r="A479" s="4"/>
      <c r="B479" s="4"/>
      <c r="C479" s="115"/>
      <c r="D479" s="4"/>
      <c r="E479" s="4"/>
      <c r="F479" s="4"/>
      <c r="G479" s="4"/>
      <c r="H479" s="4"/>
      <c r="I479" s="4"/>
      <c r="J479" s="4"/>
      <c r="K479" s="1"/>
      <c r="L479" s="1"/>
      <c r="M479" s="1"/>
      <c r="N479" s="1"/>
      <c r="O479" s="1"/>
      <c r="P479" s="1"/>
      <c r="Q479" s="1"/>
      <c r="R479" s="1"/>
      <c r="S479" s="1"/>
      <c r="T479" s="1"/>
      <c r="U479" s="1"/>
      <c r="V479" s="1"/>
      <c r="W479" s="1"/>
      <c r="X479" s="1"/>
      <c r="Y479" s="1"/>
      <c r="Z479" s="1"/>
    </row>
    <row r="480" spans="1:26" ht="15.75" customHeight="1">
      <c r="A480" s="4"/>
      <c r="B480" s="4"/>
      <c r="C480" s="115"/>
      <c r="D480" s="4"/>
      <c r="E480" s="4"/>
      <c r="F480" s="4"/>
      <c r="G480" s="4"/>
      <c r="H480" s="4"/>
      <c r="I480" s="4"/>
      <c r="J480" s="4"/>
      <c r="K480" s="1"/>
      <c r="L480" s="1"/>
      <c r="M480" s="1"/>
      <c r="N480" s="1"/>
      <c r="O480" s="1"/>
      <c r="P480" s="1"/>
      <c r="Q480" s="1"/>
      <c r="R480" s="1"/>
      <c r="S480" s="1"/>
      <c r="T480" s="1"/>
      <c r="U480" s="1"/>
      <c r="V480" s="1"/>
      <c r="W480" s="1"/>
      <c r="X480" s="1"/>
      <c r="Y480" s="1"/>
      <c r="Z480" s="1"/>
    </row>
    <row r="481" spans="1:26" ht="15.75" customHeight="1">
      <c r="A481" s="4"/>
      <c r="B481" s="4"/>
      <c r="C481" s="115"/>
      <c r="D481" s="4"/>
      <c r="E481" s="4"/>
      <c r="F481" s="4"/>
      <c r="G481" s="4"/>
      <c r="H481" s="4"/>
      <c r="I481" s="4"/>
      <c r="J481" s="4"/>
      <c r="K481" s="1"/>
      <c r="L481" s="1"/>
      <c r="M481" s="1"/>
      <c r="N481" s="1"/>
      <c r="O481" s="1"/>
      <c r="P481" s="1"/>
      <c r="Q481" s="1"/>
      <c r="R481" s="1"/>
      <c r="S481" s="1"/>
      <c r="T481" s="1"/>
      <c r="U481" s="1"/>
      <c r="V481" s="1"/>
      <c r="W481" s="1"/>
      <c r="X481" s="1"/>
      <c r="Y481" s="1"/>
      <c r="Z481" s="1"/>
    </row>
    <row r="482" spans="1:26" ht="15.75" customHeight="1">
      <c r="A482" s="4"/>
      <c r="B482" s="4"/>
      <c r="C482" s="115"/>
      <c r="D482" s="4"/>
      <c r="E482" s="4"/>
      <c r="F482" s="4"/>
      <c r="G482" s="4"/>
      <c r="H482" s="4"/>
      <c r="I482" s="4"/>
      <c r="J482" s="4"/>
      <c r="K482" s="1"/>
      <c r="L482" s="1"/>
      <c r="M482" s="1"/>
      <c r="N482" s="1"/>
      <c r="O482" s="1"/>
      <c r="P482" s="1"/>
      <c r="Q482" s="1"/>
      <c r="R482" s="1"/>
      <c r="S482" s="1"/>
      <c r="T482" s="1"/>
      <c r="U482" s="1"/>
      <c r="V482" s="1"/>
      <c r="W482" s="1"/>
      <c r="X482" s="1"/>
      <c r="Y482" s="1"/>
      <c r="Z482" s="1"/>
    </row>
    <row r="483" spans="1:26" ht="15.75" customHeight="1">
      <c r="A483" s="4"/>
      <c r="B483" s="4"/>
      <c r="C483" s="115"/>
      <c r="D483" s="4"/>
      <c r="E483" s="4"/>
      <c r="F483" s="4"/>
      <c r="G483" s="4"/>
      <c r="H483" s="4"/>
      <c r="I483" s="4"/>
      <c r="J483" s="4"/>
      <c r="K483" s="1"/>
      <c r="L483" s="1"/>
      <c r="M483" s="1"/>
      <c r="N483" s="1"/>
      <c r="O483" s="1"/>
      <c r="P483" s="1"/>
      <c r="Q483" s="1"/>
      <c r="R483" s="1"/>
      <c r="S483" s="1"/>
      <c r="T483" s="1"/>
      <c r="U483" s="1"/>
      <c r="V483" s="1"/>
      <c r="W483" s="1"/>
      <c r="X483" s="1"/>
      <c r="Y483" s="1"/>
      <c r="Z483" s="1"/>
    </row>
    <row r="484" spans="1:26" ht="15.75" customHeight="1">
      <c r="A484" s="4"/>
      <c r="B484" s="4"/>
      <c r="C484" s="115"/>
      <c r="D484" s="4"/>
      <c r="E484" s="4"/>
      <c r="F484" s="4"/>
      <c r="G484" s="4"/>
      <c r="H484" s="4"/>
      <c r="I484" s="4"/>
      <c r="J484" s="4"/>
      <c r="K484" s="1"/>
      <c r="L484" s="1"/>
      <c r="M484" s="1"/>
      <c r="N484" s="1"/>
      <c r="O484" s="1"/>
      <c r="P484" s="1"/>
      <c r="Q484" s="1"/>
      <c r="R484" s="1"/>
      <c r="S484" s="1"/>
      <c r="T484" s="1"/>
      <c r="U484" s="1"/>
      <c r="V484" s="1"/>
      <c r="W484" s="1"/>
      <c r="X484" s="1"/>
      <c r="Y484" s="1"/>
      <c r="Z484" s="1"/>
    </row>
    <row r="485" spans="1:26" ht="15.75" customHeight="1">
      <c r="A485" s="4"/>
      <c r="B485" s="4"/>
      <c r="C485" s="115"/>
      <c r="D485" s="4"/>
      <c r="E485" s="4"/>
      <c r="F485" s="4"/>
      <c r="G485" s="4"/>
      <c r="H485" s="4"/>
      <c r="I485" s="4"/>
      <c r="J485" s="4"/>
      <c r="K485" s="1"/>
      <c r="L485" s="1"/>
      <c r="M485" s="1"/>
      <c r="N485" s="1"/>
      <c r="O485" s="1"/>
      <c r="P485" s="1"/>
      <c r="Q485" s="1"/>
      <c r="R485" s="1"/>
      <c r="S485" s="1"/>
      <c r="T485" s="1"/>
      <c r="U485" s="1"/>
      <c r="V485" s="1"/>
      <c r="W485" s="1"/>
      <c r="X485" s="1"/>
      <c r="Y485" s="1"/>
      <c r="Z485" s="1"/>
    </row>
    <row r="486" spans="1:26" ht="15.75" customHeight="1">
      <c r="A486" s="4"/>
      <c r="B486" s="4"/>
      <c r="C486" s="115"/>
      <c r="D486" s="4"/>
      <c r="E486" s="4"/>
      <c r="F486" s="4"/>
      <c r="G486" s="4"/>
      <c r="H486" s="4"/>
      <c r="I486" s="4"/>
      <c r="J486" s="4"/>
      <c r="K486" s="1"/>
      <c r="L486" s="1"/>
      <c r="M486" s="1"/>
      <c r="N486" s="1"/>
      <c r="O486" s="1"/>
      <c r="P486" s="1"/>
      <c r="Q486" s="1"/>
      <c r="R486" s="1"/>
      <c r="S486" s="1"/>
      <c r="T486" s="1"/>
      <c r="U486" s="1"/>
      <c r="V486" s="1"/>
      <c r="W486" s="1"/>
      <c r="X486" s="1"/>
      <c r="Y486" s="1"/>
      <c r="Z486" s="1"/>
    </row>
    <row r="487" spans="1:26" ht="15.75" customHeight="1">
      <c r="A487" s="4"/>
      <c r="B487" s="4"/>
      <c r="C487" s="115"/>
      <c r="D487" s="4"/>
      <c r="E487" s="4"/>
      <c r="F487" s="4"/>
      <c r="G487" s="4"/>
      <c r="H487" s="4"/>
      <c r="I487" s="4"/>
      <c r="J487" s="4"/>
      <c r="K487" s="1"/>
      <c r="L487" s="1"/>
      <c r="M487" s="1"/>
      <c r="N487" s="1"/>
      <c r="O487" s="1"/>
      <c r="P487" s="1"/>
      <c r="Q487" s="1"/>
      <c r="R487" s="1"/>
      <c r="S487" s="1"/>
      <c r="T487" s="1"/>
      <c r="U487" s="1"/>
      <c r="V487" s="1"/>
      <c r="W487" s="1"/>
      <c r="X487" s="1"/>
      <c r="Y487" s="1"/>
      <c r="Z487" s="1"/>
    </row>
    <row r="488" spans="1:26" ht="15.75" customHeight="1">
      <c r="A488" s="4"/>
      <c r="B488" s="4"/>
      <c r="C488" s="115"/>
      <c r="D488" s="4"/>
      <c r="E488" s="4"/>
      <c r="F488" s="4"/>
      <c r="G488" s="4"/>
      <c r="H488" s="4"/>
      <c r="I488" s="4"/>
      <c r="J488" s="4"/>
      <c r="K488" s="1"/>
      <c r="L488" s="1"/>
      <c r="M488" s="1"/>
      <c r="N488" s="1"/>
      <c r="O488" s="1"/>
      <c r="P488" s="1"/>
      <c r="Q488" s="1"/>
      <c r="R488" s="1"/>
      <c r="S488" s="1"/>
      <c r="T488" s="1"/>
      <c r="U488" s="1"/>
      <c r="V488" s="1"/>
      <c r="W488" s="1"/>
      <c r="X488" s="1"/>
      <c r="Y488" s="1"/>
      <c r="Z488" s="1"/>
    </row>
    <row r="489" spans="1:26" ht="15.75" customHeight="1">
      <c r="A489" s="4"/>
      <c r="B489" s="4"/>
      <c r="C489" s="115"/>
      <c r="D489" s="4"/>
      <c r="E489" s="4"/>
      <c r="F489" s="4"/>
      <c r="G489" s="4"/>
      <c r="H489" s="4"/>
      <c r="I489" s="4"/>
      <c r="J489" s="4"/>
      <c r="K489" s="1"/>
      <c r="L489" s="1"/>
      <c r="M489" s="1"/>
      <c r="N489" s="1"/>
      <c r="O489" s="1"/>
      <c r="P489" s="1"/>
      <c r="Q489" s="1"/>
      <c r="R489" s="1"/>
      <c r="S489" s="1"/>
      <c r="T489" s="1"/>
      <c r="U489" s="1"/>
      <c r="V489" s="1"/>
      <c r="W489" s="1"/>
      <c r="X489" s="1"/>
      <c r="Y489" s="1"/>
      <c r="Z489" s="1"/>
    </row>
    <row r="490" spans="1:26" ht="15.75" customHeight="1">
      <c r="A490" s="4"/>
      <c r="B490" s="4"/>
      <c r="C490" s="115"/>
      <c r="D490" s="4"/>
      <c r="E490" s="4"/>
      <c r="F490" s="4"/>
      <c r="G490" s="4"/>
      <c r="H490" s="4"/>
      <c r="I490" s="4"/>
      <c r="J490" s="4"/>
      <c r="K490" s="1"/>
      <c r="L490" s="1"/>
      <c r="M490" s="1"/>
      <c r="N490" s="1"/>
      <c r="O490" s="1"/>
      <c r="P490" s="1"/>
      <c r="Q490" s="1"/>
      <c r="R490" s="1"/>
      <c r="S490" s="1"/>
      <c r="T490" s="1"/>
      <c r="U490" s="1"/>
      <c r="V490" s="1"/>
      <c r="W490" s="1"/>
      <c r="X490" s="1"/>
      <c r="Y490" s="1"/>
      <c r="Z490" s="1"/>
    </row>
    <row r="491" spans="1:26" ht="15.75" customHeight="1">
      <c r="A491" s="4"/>
      <c r="B491" s="4"/>
      <c r="C491" s="115"/>
      <c r="D491" s="4"/>
      <c r="E491" s="4"/>
      <c r="F491" s="4"/>
      <c r="G491" s="4"/>
      <c r="H491" s="4"/>
      <c r="I491" s="4"/>
      <c r="J491" s="4"/>
      <c r="K491" s="1"/>
      <c r="L491" s="1"/>
      <c r="M491" s="1"/>
      <c r="N491" s="1"/>
      <c r="O491" s="1"/>
      <c r="P491" s="1"/>
      <c r="Q491" s="1"/>
      <c r="R491" s="1"/>
      <c r="S491" s="1"/>
      <c r="T491" s="1"/>
      <c r="U491" s="1"/>
      <c r="V491" s="1"/>
      <c r="W491" s="1"/>
      <c r="X491" s="1"/>
      <c r="Y491" s="1"/>
      <c r="Z491" s="1"/>
    </row>
    <row r="492" spans="1:26" ht="15.75" customHeight="1">
      <c r="A492" s="4"/>
      <c r="B492" s="4"/>
      <c r="C492" s="115"/>
      <c r="D492" s="4"/>
      <c r="E492" s="4"/>
      <c r="F492" s="4"/>
      <c r="G492" s="4"/>
      <c r="H492" s="4"/>
      <c r="I492" s="4"/>
      <c r="J492" s="4"/>
      <c r="K492" s="1"/>
      <c r="L492" s="1"/>
      <c r="M492" s="1"/>
      <c r="N492" s="1"/>
      <c r="O492" s="1"/>
      <c r="P492" s="1"/>
      <c r="Q492" s="1"/>
      <c r="R492" s="1"/>
      <c r="S492" s="1"/>
      <c r="T492" s="1"/>
      <c r="U492" s="1"/>
      <c r="V492" s="1"/>
      <c r="W492" s="1"/>
      <c r="X492" s="1"/>
      <c r="Y492" s="1"/>
      <c r="Z492" s="1"/>
    </row>
    <row r="493" spans="1:26" ht="15.75" customHeight="1">
      <c r="A493" s="4"/>
      <c r="B493" s="4"/>
      <c r="C493" s="115"/>
      <c r="D493" s="4"/>
      <c r="E493" s="4"/>
      <c r="F493" s="4"/>
      <c r="G493" s="4"/>
      <c r="H493" s="4"/>
      <c r="I493" s="4"/>
      <c r="J493" s="4"/>
      <c r="K493" s="1"/>
      <c r="L493" s="1"/>
      <c r="M493" s="1"/>
      <c r="N493" s="1"/>
      <c r="O493" s="1"/>
      <c r="P493" s="1"/>
      <c r="Q493" s="1"/>
      <c r="R493" s="1"/>
      <c r="S493" s="1"/>
      <c r="T493" s="1"/>
      <c r="U493" s="1"/>
      <c r="V493" s="1"/>
      <c r="W493" s="1"/>
      <c r="X493" s="1"/>
      <c r="Y493" s="1"/>
      <c r="Z493" s="1"/>
    </row>
    <row r="494" spans="1:26" ht="15.75" customHeight="1">
      <c r="A494" s="4"/>
      <c r="B494" s="4"/>
      <c r="C494" s="115"/>
      <c r="D494" s="4"/>
      <c r="E494" s="4"/>
      <c r="F494" s="4"/>
      <c r="G494" s="4"/>
      <c r="H494" s="4"/>
      <c r="I494" s="4"/>
      <c r="J494" s="4"/>
      <c r="K494" s="1"/>
      <c r="L494" s="1"/>
      <c r="M494" s="1"/>
      <c r="N494" s="1"/>
      <c r="O494" s="1"/>
      <c r="P494" s="1"/>
      <c r="Q494" s="1"/>
      <c r="R494" s="1"/>
      <c r="S494" s="1"/>
      <c r="T494" s="1"/>
      <c r="U494" s="1"/>
      <c r="V494" s="1"/>
      <c r="W494" s="1"/>
      <c r="X494" s="1"/>
      <c r="Y494" s="1"/>
      <c r="Z494" s="1"/>
    </row>
    <row r="495" spans="1:26" ht="15.75" customHeight="1">
      <c r="A495" s="4"/>
      <c r="B495" s="4"/>
      <c r="C495" s="115"/>
      <c r="D495" s="4"/>
      <c r="E495" s="4"/>
      <c r="F495" s="4"/>
      <c r="G495" s="4"/>
      <c r="H495" s="4"/>
      <c r="I495" s="4"/>
      <c r="J495" s="4"/>
      <c r="K495" s="1"/>
      <c r="L495" s="1"/>
      <c r="M495" s="1"/>
      <c r="N495" s="1"/>
      <c r="O495" s="1"/>
      <c r="P495" s="1"/>
      <c r="Q495" s="1"/>
      <c r="R495" s="1"/>
      <c r="S495" s="1"/>
      <c r="T495" s="1"/>
      <c r="U495" s="1"/>
      <c r="V495" s="1"/>
      <c r="W495" s="1"/>
      <c r="X495" s="1"/>
      <c r="Y495" s="1"/>
      <c r="Z495" s="1"/>
    </row>
    <row r="496" spans="1:26" ht="15.75" customHeight="1">
      <c r="A496" s="4"/>
      <c r="B496" s="4"/>
      <c r="C496" s="115"/>
      <c r="D496" s="4"/>
      <c r="E496" s="4"/>
      <c r="F496" s="4"/>
      <c r="G496" s="4"/>
      <c r="H496" s="4"/>
      <c r="I496" s="4"/>
      <c r="J496" s="4"/>
      <c r="K496" s="1"/>
      <c r="L496" s="1"/>
      <c r="M496" s="1"/>
      <c r="N496" s="1"/>
      <c r="O496" s="1"/>
      <c r="P496" s="1"/>
      <c r="Q496" s="1"/>
      <c r="R496" s="1"/>
      <c r="S496" s="1"/>
      <c r="T496" s="1"/>
      <c r="U496" s="1"/>
      <c r="V496" s="1"/>
      <c r="W496" s="1"/>
      <c r="X496" s="1"/>
      <c r="Y496" s="1"/>
      <c r="Z496" s="1"/>
    </row>
    <row r="497" spans="1:26" ht="15.75" customHeight="1">
      <c r="A497" s="4"/>
      <c r="B497" s="4"/>
      <c r="C497" s="115"/>
      <c r="D497" s="4"/>
      <c r="E497" s="4"/>
      <c r="F497" s="4"/>
      <c r="G497" s="4"/>
      <c r="H497" s="4"/>
      <c r="I497" s="4"/>
      <c r="J497" s="4"/>
      <c r="K497" s="1"/>
      <c r="L497" s="1"/>
      <c r="M497" s="1"/>
      <c r="N497" s="1"/>
      <c r="O497" s="1"/>
      <c r="P497" s="1"/>
      <c r="Q497" s="1"/>
      <c r="R497" s="1"/>
      <c r="S497" s="1"/>
      <c r="T497" s="1"/>
      <c r="U497" s="1"/>
      <c r="V497" s="1"/>
      <c r="W497" s="1"/>
      <c r="X497" s="1"/>
      <c r="Y497" s="1"/>
      <c r="Z497" s="1"/>
    </row>
    <row r="498" spans="1:26" ht="15.75" customHeight="1">
      <c r="A498" s="4"/>
      <c r="B498" s="4"/>
      <c r="C498" s="115"/>
      <c r="D498" s="4"/>
      <c r="E498" s="4"/>
      <c r="F498" s="4"/>
      <c r="G498" s="4"/>
      <c r="H498" s="4"/>
      <c r="I498" s="4"/>
      <c r="J498" s="4"/>
      <c r="K498" s="1"/>
      <c r="L498" s="1"/>
      <c r="M498" s="1"/>
      <c r="N498" s="1"/>
      <c r="O498" s="1"/>
      <c r="P498" s="1"/>
      <c r="Q498" s="1"/>
      <c r="R498" s="1"/>
      <c r="S498" s="1"/>
      <c r="T498" s="1"/>
      <c r="U498" s="1"/>
      <c r="V498" s="1"/>
      <c r="W498" s="1"/>
      <c r="X498" s="1"/>
      <c r="Y498" s="1"/>
      <c r="Z498" s="1"/>
    </row>
    <row r="499" spans="1:26" ht="15.75" customHeight="1">
      <c r="A499" s="4"/>
      <c r="B499" s="4"/>
      <c r="C499" s="115"/>
      <c r="D499" s="4"/>
      <c r="E499" s="4"/>
      <c r="F499" s="4"/>
      <c r="G499" s="4"/>
      <c r="H499" s="4"/>
      <c r="I499" s="4"/>
      <c r="J499" s="4"/>
      <c r="K499" s="1"/>
      <c r="L499" s="1"/>
      <c r="M499" s="1"/>
      <c r="N499" s="1"/>
      <c r="O499" s="1"/>
      <c r="P499" s="1"/>
      <c r="Q499" s="1"/>
      <c r="R499" s="1"/>
      <c r="S499" s="1"/>
      <c r="T499" s="1"/>
      <c r="U499" s="1"/>
      <c r="V499" s="1"/>
      <c r="W499" s="1"/>
      <c r="X499" s="1"/>
      <c r="Y499" s="1"/>
      <c r="Z499" s="1"/>
    </row>
    <row r="500" spans="1:26" ht="15.75" customHeight="1">
      <c r="A500" s="4"/>
      <c r="B500" s="4"/>
      <c r="C500" s="115"/>
      <c r="D500" s="4"/>
      <c r="E500" s="4"/>
      <c r="F500" s="4"/>
      <c r="G500" s="4"/>
      <c r="H500" s="4"/>
      <c r="I500" s="4"/>
      <c r="J500" s="4"/>
      <c r="K500" s="1"/>
      <c r="L500" s="1"/>
      <c r="M500" s="1"/>
      <c r="N500" s="1"/>
      <c r="O500" s="1"/>
      <c r="P500" s="1"/>
      <c r="Q500" s="1"/>
      <c r="R500" s="1"/>
      <c r="S500" s="1"/>
      <c r="T500" s="1"/>
      <c r="U500" s="1"/>
      <c r="V500" s="1"/>
      <c r="W500" s="1"/>
      <c r="X500" s="1"/>
      <c r="Y500" s="1"/>
      <c r="Z500" s="1"/>
    </row>
    <row r="501" spans="1:26" ht="15.75" customHeight="1">
      <c r="A501" s="4"/>
      <c r="B501" s="4"/>
      <c r="C501" s="115"/>
      <c r="D501" s="4"/>
      <c r="E501" s="4"/>
      <c r="F501" s="4"/>
      <c r="G501" s="4"/>
      <c r="H501" s="4"/>
      <c r="I501" s="4"/>
      <c r="J501" s="4"/>
      <c r="K501" s="1"/>
      <c r="L501" s="1"/>
      <c r="M501" s="1"/>
      <c r="N501" s="1"/>
      <c r="O501" s="1"/>
      <c r="P501" s="1"/>
      <c r="Q501" s="1"/>
      <c r="R501" s="1"/>
      <c r="S501" s="1"/>
      <c r="T501" s="1"/>
      <c r="U501" s="1"/>
      <c r="V501" s="1"/>
      <c r="W501" s="1"/>
      <c r="X501" s="1"/>
      <c r="Y501" s="1"/>
      <c r="Z501" s="1"/>
    </row>
    <row r="502" spans="1:26" ht="15.75" customHeight="1">
      <c r="A502" s="4"/>
      <c r="B502" s="4"/>
      <c r="C502" s="115"/>
      <c r="D502" s="4"/>
      <c r="E502" s="4"/>
      <c r="F502" s="4"/>
      <c r="G502" s="4"/>
      <c r="H502" s="4"/>
      <c r="I502" s="4"/>
      <c r="J502" s="4"/>
      <c r="K502" s="1"/>
      <c r="L502" s="1"/>
      <c r="M502" s="1"/>
      <c r="N502" s="1"/>
      <c r="O502" s="1"/>
      <c r="P502" s="1"/>
      <c r="Q502" s="1"/>
      <c r="R502" s="1"/>
      <c r="S502" s="1"/>
      <c r="T502" s="1"/>
      <c r="U502" s="1"/>
      <c r="V502" s="1"/>
      <c r="W502" s="1"/>
      <c r="X502" s="1"/>
      <c r="Y502" s="1"/>
      <c r="Z502" s="1"/>
    </row>
    <row r="503" spans="1:26" ht="15.75" customHeight="1">
      <c r="A503" s="4"/>
      <c r="B503" s="4"/>
      <c r="C503" s="115"/>
      <c r="D503" s="4"/>
      <c r="E503" s="4"/>
      <c r="F503" s="4"/>
      <c r="G503" s="4"/>
      <c r="H503" s="4"/>
      <c r="I503" s="4"/>
      <c r="J503" s="4"/>
      <c r="K503" s="1"/>
      <c r="L503" s="1"/>
      <c r="M503" s="1"/>
      <c r="N503" s="1"/>
      <c r="O503" s="1"/>
      <c r="P503" s="1"/>
      <c r="Q503" s="1"/>
      <c r="R503" s="1"/>
      <c r="S503" s="1"/>
      <c r="T503" s="1"/>
      <c r="U503" s="1"/>
      <c r="V503" s="1"/>
      <c r="W503" s="1"/>
      <c r="X503" s="1"/>
      <c r="Y503" s="1"/>
      <c r="Z503" s="1"/>
    </row>
    <row r="504" spans="1:26" ht="15.75" customHeight="1">
      <c r="A504" s="4"/>
      <c r="B504" s="4"/>
      <c r="C504" s="115"/>
      <c r="D504" s="4"/>
      <c r="E504" s="4"/>
      <c r="F504" s="4"/>
      <c r="G504" s="4"/>
      <c r="H504" s="4"/>
      <c r="I504" s="4"/>
      <c r="J504" s="4"/>
      <c r="K504" s="1"/>
      <c r="L504" s="1"/>
      <c r="M504" s="1"/>
      <c r="N504" s="1"/>
      <c r="O504" s="1"/>
      <c r="P504" s="1"/>
      <c r="Q504" s="1"/>
      <c r="R504" s="1"/>
      <c r="S504" s="1"/>
      <c r="T504" s="1"/>
      <c r="U504" s="1"/>
      <c r="V504" s="1"/>
      <c r="W504" s="1"/>
      <c r="X504" s="1"/>
      <c r="Y504" s="1"/>
      <c r="Z504" s="1"/>
    </row>
    <row r="505" spans="1:26" ht="15.75" customHeight="1">
      <c r="A505" s="4"/>
      <c r="B505" s="4"/>
      <c r="C505" s="115"/>
      <c r="D505" s="4"/>
      <c r="E505" s="4"/>
      <c r="F505" s="4"/>
      <c r="G505" s="4"/>
      <c r="H505" s="4"/>
      <c r="I505" s="4"/>
      <c r="J505" s="4"/>
      <c r="K505" s="1"/>
      <c r="L505" s="1"/>
      <c r="M505" s="1"/>
      <c r="N505" s="1"/>
      <c r="O505" s="1"/>
      <c r="P505" s="1"/>
      <c r="Q505" s="1"/>
      <c r="R505" s="1"/>
      <c r="S505" s="1"/>
      <c r="T505" s="1"/>
      <c r="U505" s="1"/>
      <c r="V505" s="1"/>
      <c r="W505" s="1"/>
      <c r="X505" s="1"/>
      <c r="Y505" s="1"/>
      <c r="Z505" s="1"/>
    </row>
    <row r="506" spans="1:26" ht="15.75" customHeight="1">
      <c r="A506" s="4"/>
      <c r="B506" s="4"/>
      <c r="C506" s="115"/>
      <c r="D506" s="4"/>
      <c r="E506" s="4"/>
      <c r="F506" s="4"/>
      <c r="G506" s="4"/>
      <c r="H506" s="4"/>
      <c r="I506" s="4"/>
      <c r="J506" s="4"/>
      <c r="K506" s="1"/>
      <c r="L506" s="1"/>
      <c r="M506" s="1"/>
      <c r="N506" s="1"/>
      <c r="O506" s="1"/>
      <c r="P506" s="1"/>
      <c r="Q506" s="1"/>
      <c r="R506" s="1"/>
      <c r="S506" s="1"/>
      <c r="T506" s="1"/>
      <c r="U506" s="1"/>
      <c r="V506" s="1"/>
      <c r="W506" s="1"/>
      <c r="X506" s="1"/>
      <c r="Y506" s="1"/>
      <c r="Z506" s="1"/>
    </row>
    <row r="507" spans="1:26" ht="15.75" customHeight="1">
      <c r="A507" s="4"/>
      <c r="B507" s="4"/>
      <c r="C507" s="115"/>
      <c r="D507" s="4"/>
      <c r="E507" s="4"/>
      <c r="F507" s="4"/>
      <c r="G507" s="4"/>
      <c r="H507" s="4"/>
      <c r="I507" s="4"/>
      <c r="J507" s="4"/>
      <c r="K507" s="1"/>
      <c r="L507" s="1"/>
      <c r="M507" s="1"/>
      <c r="N507" s="1"/>
      <c r="O507" s="1"/>
      <c r="P507" s="1"/>
      <c r="Q507" s="1"/>
      <c r="R507" s="1"/>
      <c r="S507" s="1"/>
      <c r="T507" s="1"/>
      <c r="U507" s="1"/>
      <c r="V507" s="1"/>
      <c r="W507" s="1"/>
      <c r="X507" s="1"/>
      <c r="Y507" s="1"/>
      <c r="Z507" s="1"/>
    </row>
    <row r="508" spans="1:26" ht="15.75" customHeight="1">
      <c r="A508" s="4"/>
      <c r="B508" s="4"/>
      <c r="C508" s="115"/>
      <c r="D508" s="4"/>
      <c r="E508" s="4"/>
      <c r="F508" s="4"/>
      <c r="G508" s="4"/>
      <c r="H508" s="4"/>
      <c r="I508" s="4"/>
      <c r="J508" s="4"/>
      <c r="K508" s="1"/>
      <c r="L508" s="1"/>
      <c r="M508" s="1"/>
      <c r="N508" s="1"/>
      <c r="O508" s="1"/>
      <c r="P508" s="1"/>
      <c r="Q508" s="1"/>
      <c r="R508" s="1"/>
      <c r="S508" s="1"/>
      <c r="T508" s="1"/>
      <c r="U508" s="1"/>
      <c r="V508" s="1"/>
      <c r="W508" s="1"/>
      <c r="X508" s="1"/>
      <c r="Y508" s="1"/>
      <c r="Z508" s="1"/>
    </row>
    <row r="509" spans="1:26" ht="15.75" customHeight="1">
      <c r="A509" s="4"/>
      <c r="B509" s="4"/>
      <c r="C509" s="115"/>
      <c r="D509" s="4"/>
      <c r="E509" s="4"/>
      <c r="F509" s="4"/>
      <c r="G509" s="4"/>
      <c r="H509" s="4"/>
      <c r="I509" s="4"/>
      <c r="J509" s="4"/>
      <c r="K509" s="1"/>
      <c r="L509" s="1"/>
      <c r="M509" s="1"/>
      <c r="N509" s="1"/>
      <c r="O509" s="1"/>
      <c r="P509" s="1"/>
      <c r="Q509" s="1"/>
      <c r="R509" s="1"/>
      <c r="S509" s="1"/>
      <c r="T509" s="1"/>
      <c r="U509" s="1"/>
      <c r="V509" s="1"/>
      <c r="W509" s="1"/>
      <c r="X509" s="1"/>
      <c r="Y509" s="1"/>
      <c r="Z509" s="1"/>
    </row>
    <row r="510" spans="1:26" ht="15.75" customHeight="1">
      <c r="A510" s="4"/>
      <c r="B510" s="4"/>
      <c r="C510" s="115"/>
      <c r="D510" s="4"/>
      <c r="E510" s="4"/>
      <c r="F510" s="4"/>
      <c r="G510" s="4"/>
      <c r="H510" s="4"/>
      <c r="I510" s="4"/>
      <c r="J510" s="4"/>
      <c r="K510" s="1"/>
      <c r="L510" s="1"/>
      <c r="M510" s="1"/>
      <c r="N510" s="1"/>
      <c r="O510" s="1"/>
      <c r="P510" s="1"/>
      <c r="Q510" s="1"/>
      <c r="R510" s="1"/>
      <c r="S510" s="1"/>
      <c r="T510" s="1"/>
      <c r="U510" s="1"/>
      <c r="V510" s="1"/>
      <c r="W510" s="1"/>
      <c r="X510" s="1"/>
      <c r="Y510" s="1"/>
      <c r="Z510" s="1"/>
    </row>
    <row r="511" spans="1:26" ht="15.75" customHeight="1">
      <c r="A511" s="4"/>
      <c r="B511" s="4"/>
      <c r="C511" s="115"/>
      <c r="D511" s="4"/>
      <c r="E511" s="4"/>
      <c r="F511" s="4"/>
      <c r="G511" s="4"/>
      <c r="H511" s="4"/>
      <c r="I511" s="4"/>
      <c r="J511" s="4"/>
      <c r="K511" s="1"/>
      <c r="L511" s="1"/>
      <c r="M511" s="1"/>
      <c r="N511" s="1"/>
      <c r="O511" s="1"/>
      <c r="P511" s="1"/>
      <c r="Q511" s="1"/>
      <c r="R511" s="1"/>
      <c r="S511" s="1"/>
      <c r="T511" s="1"/>
      <c r="U511" s="1"/>
      <c r="V511" s="1"/>
      <c r="W511" s="1"/>
      <c r="X511" s="1"/>
      <c r="Y511" s="1"/>
      <c r="Z511" s="1"/>
    </row>
    <row r="512" spans="1:26" ht="15.75" customHeight="1">
      <c r="A512" s="4"/>
      <c r="B512" s="4"/>
      <c r="C512" s="115"/>
      <c r="D512" s="4"/>
      <c r="E512" s="4"/>
      <c r="F512" s="4"/>
      <c r="G512" s="4"/>
      <c r="H512" s="4"/>
      <c r="I512" s="4"/>
      <c r="J512" s="4"/>
      <c r="K512" s="1"/>
      <c r="L512" s="1"/>
      <c r="M512" s="1"/>
      <c r="N512" s="1"/>
      <c r="O512" s="1"/>
      <c r="P512" s="1"/>
      <c r="Q512" s="1"/>
      <c r="R512" s="1"/>
      <c r="S512" s="1"/>
      <c r="T512" s="1"/>
      <c r="U512" s="1"/>
      <c r="V512" s="1"/>
      <c r="W512" s="1"/>
      <c r="X512" s="1"/>
      <c r="Y512" s="1"/>
      <c r="Z512" s="1"/>
    </row>
    <row r="513" spans="1:26" ht="15.75" customHeight="1">
      <c r="A513" s="4"/>
      <c r="B513" s="4"/>
      <c r="C513" s="115"/>
      <c r="D513" s="4"/>
      <c r="E513" s="4"/>
      <c r="F513" s="4"/>
      <c r="G513" s="4"/>
      <c r="H513" s="4"/>
      <c r="I513" s="4"/>
      <c r="J513" s="4"/>
      <c r="K513" s="1"/>
      <c r="L513" s="1"/>
      <c r="M513" s="1"/>
      <c r="N513" s="1"/>
      <c r="O513" s="1"/>
      <c r="P513" s="1"/>
      <c r="Q513" s="1"/>
      <c r="R513" s="1"/>
      <c r="S513" s="1"/>
      <c r="T513" s="1"/>
      <c r="U513" s="1"/>
      <c r="V513" s="1"/>
      <c r="W513" s="1"/>
      <c r="X513" s="1"/>
      <c r="Y513" s="1"/>
      <c r="Z513" s="1"/>
    </row>
    <row r="514" spans="1:26" ht="15.75" customHeight="1">
      <c r="A514" s="4"/>
      <c r="B514" s="4"/>
      <c r="C514" s="115"/>
      <c r="D514" s="4"/>
      <c r="E514" s="4"/>
      <c r="F514" s="4"/>
      <c r="G514" s="4"/>
      <c r="H514" s="4"/>
      <c r="I514" s="4"/>
      <c r="J514" s="4"/>
      <c r="K514" s="1"/>
      <c r="L514" s="1"/>
      <c r="M514" s="1"/>
      <c r="N514" s="1"/>
      <c r="O514" s="1"/>
      <c r="P514" s="1"/>
      <c r="Q514" s="1"/>
      <c r="R514" s="1"/>
      <c r="S514" s="1"/>
      <c r="T514" s="1"/>
      <c r="U514" s="1"/>
      <c r="V514" s="1"/>
      <c r="W514" s="1"/>
      <c r="X514" s="1"/>
      <c r="Y514" s="1"/>
      <c r="Z514" s="1"/>
    </row>
    <row r="515" spans="1:26" ht="15.75" customHeight="1">
      <c r="A515" s="4"/>
      <c r="B515" s="4"/>
      <c r="C515" s="115"/>
      <c r="D515" s="4"/>
      <c r="E515" s="4"/>
      <c r="F515" s="4"/>
      <c r="G515" s="4"/>
      <c r="H515" s="4"/>
      <c r="I515" s="4"/>
      <c r="J515" s="4"/>
      <c r="K515" s="1"/>
      <c r="L515" s="1"/>
      <c r="M515" s="1"/>
      <c r="N515" s="1"/>
      <c r="O515" s="1"/>
      <c r="P515" s="1"/>
      <c r="Q515" s="1"/>
      <c r="R515" s="1"/>
      <c r="S515" s="1"/>
      <c r="T515" s="1"/>
      <c r="U515" s="1"/>
      <c r="V515" s="1"/>
      <c r="W515" s="1"/>
      <c r="X515" s="1"/>
      <c r="Y515" s="1"/>
      <c r="Z515" s="1"/>
    </row>
    <row r="516" spans="1:26" ht="15.75" customHeight="1">
      <c r="A516" s="4"/>
      <c r="B516" s="4"/>
      <c r="C516" s="115"/>
      <c r="D516" s="4"/>
      <c r="E516" s="4"/>
      <c r="F516" s="4"/>
      <c r="G516" s="4"/>
      <c r="H516" s="4"/>
      <c r="I516" s="4"/>
      <c r="J516" s="4"/>
      <c r="K516" s="1"/>
      <c r="L516" s="1"/>
      <c r="M516" s="1"/>
      <c r="N516" s="1"/>
      <c r="O516" s="1"/>
      <c r="P516" s="1"/>
      <c r="Q516" s="1"/>
      <c r="R516" s="1"/>
      <c r="S516" s="1"/>
      <c r="T516" s="1"/>
      <c r="U516" s="1"/>
      <c r="V516" s="1"/>
      <c r="W516" s="1"/>
      <c r="X516" s="1"/>
      <c r="Y516" s="1"/>
      <c r="Z516" s="1"/>
    </row>
    <row r="517" spans="1:26" ht="15.75" customHeight="1">
      <c r="A517" s="4"/>
      <c r="B517" s="4"/>
      <c r="C517" s="115"/>
      <c r="D517" s="4"/>
      <c r="E517" s="4"/>
      <c r="F517" s="4"/>
      <c r="G517" s="4"/>
      <c r="H517" s="4"/>
      <c r="I517" s="4"/>
      <c r="J517" s="4"/>
      <c r="K517" s="1"/>
      <c r="L517" s="1"/>
      <c r="M517" s="1"/>
      <c r="N517" s="1"/>
      <c r="O517" s="1"/>
      <c r="P517" s="1"/>
      <c r="Q517" s="1"/>
      <c r="R517" s="1"/>
      <c r="S517" s="1"/>
      <c r="T517" s="1"/>
      <c r="U517" s="1"/>
      <c r="V517" s="1"/>
      <c r="W517" s="1"/>
      <c r="X517" s="1"/>
      <c r="Y517" s="1"/>
      <c r="Z517" s="1"/>
    </row>
    <row r="518" spans="1:26" ht="15.75" customHeight="1">
      <c r="A518" s="4"/>
      <c r="B518" s="4"/>
      <c r="C518" s="115"/>
      <c r="D518" s="4"/>
      <c r="E518" s="4"/>
      <c r="F518" s="4"/>
      <c r="G518" s="4"/>
      <c r="H518" s="4"/>
      <c r="I518" s="4"/>
      <c r="J518" s="4"/>
      <c r="K518" s="1"/>
      <c r="L518" s="1"/>
      <c r="M518" s="1"/>
      <c r="N518" s="1"/>
      <c r="O518" s="1"/>
      <c r="P518" s="1"/>
      <c r="Q518" s="1"/>
      <c r="R518" s="1"/>
      <c r="S518" s="1"/>
      <c r="T518" s="1"/>
      <c r="U518" s="1"/>
      <c r="V518" s="1"/>
      <c r="W518" s="1"/>
      <c r="X518" s="1"/>
      <c r="Y518" s="1"/>
      <c r="Z518" s="1"/>
    </row>
    <row r="519" spans="1:26" ht="15.75" customHeight="1">
      <c r="A519" s="4"/>
      <c r="B519" s="4"/>
      <c r="C519" s="115"/>
      <c r="D519" s="4"/>
      <c r="E519" s="4"/>
      <c r="F519" s="4"/>
      <c r="G519" s="4"/>
      <c r="H519" s="4"/>
      <c r="I519" s="4"/>
      <c r="J519" s="4"/>
      <c r="K519" s="1"/>
      <c r="L519" s="1"/>
      <c r="M519" s="1"/>
      <c r="N519" s="1"/>
      <c r="O519" s="1"/>
      <c r="P519" s="1"/>
      <c r="Q519" s="1"/>
      <c r="R519" s="1"/>
      <c r="S519" s="1"/>
      <c r="T519" s="1"/>
      <c r="U519" s="1"/>
      <c r="V519" s="1"/>
      <c r="W519" s="1"/>
      <c r="X519" s="1"/>
      <c r="Y519" s="1"/>
      <c r="Z519" s="1"/>
    </row>
    <row r="520" spans="1:26" ht="15.75" customHeight="1">
      <c r="A520" s="4"/>
      <c r="B520" s="4"/>
      <c r="C520" s="115"/>
      <c r="D520" s="4"/>
      <c r="E520" s="4"/>
      <c r="F520" s="4"/>
      <c r="G520" s="4"/>
      <c r="H520" s="4"/>
      <c r="I520" s="4"/>
      <c r="J520" s="4"/>
      <c r="K520" s="1"/>
      <c r="L520" s="1"/>
      <c r="M520" s="1"/>
      <c r="N520" s="1"/>
      <c r="O520" s="1"/>
      <c r="P520" s="1"/>
      <c r="Q520" s="1"/>
      <c r="R520" s="1"/>
      <c r="S520" s="1"/>
      <c r="T520" s="1"/>
      <c r="U520" s="1"/>
      <c r="V520" s="1"/>
      <c r="W520" s="1"/>
      <c r="X520" s="1"/>
      <c r="Y520" s="1"/>
      <c r="Z520" s="1"/>
    </row>
    <row r="521" spans="1:26" ht="15.75" customHeight="1">
      <c r="A521" s="4"/>
      <c r="B521" s="4"/>
      <c r="C521" s="115"/>
      <c r="D521" s="4"/>
      <c r="E521" s="4"/>
      <c r="F521" s="4"/>
      <c r="G521" s="4"/>
      <c r="H521" s="4"/>
      <c r="I521" s="4"/>
      <c r="J521" s="4"/>
      <c r="K521" s="1"/>
      <c r="L521" s="1"/>
      <c r="M521" s="1"/>
      <c r="N521" s="1"/>
      <c r="O521" s="1"/>
      <c r="P521" s="1"/>
      <c r="Q521" s="1"/>
      <c r="R521" s="1"/>
      <c r="S521" s="1"/>
      <c r="T521" s="1"/>
      <c r="U521" s="1"/>
      <c r="V521" s="1"/>
      <c r="W521" s="1"/>
      <c r="X521" s="1"/>
      <c r="Y521" s="1"/>
      <c r="Z521" s="1"/>
    </row>
    <row r="522" spans="1:26" ht="15.75" customHeight="1">
      <c r="A522" s="4"/>
      <c r="B522" s="4"/>
      <c r="C522" s="115"/>
      <c r="D522" s="4"/>
      <c r="E522" s="4"/>
      <c r="F522" s="4"/>
      <c r="G522" s="4"/>
      <c r="H522" s="4"/>
      <c r="I522" s="4"/>
      <c r="J522" s="4"/>
      <c r="K522" s="1"/>
      <c r="L522" s="1"/>
      <c r="M522" s="1"/>
      <c r="N522" s="1"/>
      <c r="O522" s="1"/>
      <c r="P522" s="1"/>
      <c r="Q522" s="1"/>
      <c r="R522" s="1"/>
      <c r="S522" s="1"/>
      <c r="T522" s="1"/>
      <c r="U522" s="1"/>
      <c r="V522" s="1"/>
      <c r="W522" s="1"/>
      <c r="X522" s="1"/>
      <c r="Y522" s="1"/>
      <c r="Z522" s="1"/>
    </row>
    <row r="523" spans="1:26" ht="15.75" customHeight="1">
      <c r="A523" s="4"/>
      <c r="B523" s="4"/>
      <c r="C523" s="115"/>
      <c r="D523" s="4"/>
      <c r="E523" s="4"/>
      <c r="F523" s="4"/>
      <c r="G523" s="4"/>
      <c r="H523" s="4"/>
      <c r="I523" s="4"/>
      <c r="J523" s="4"/>
      <c r="K523" s="1"/>
      <c r="L523" s="1"/>
      <c r="M523" s="1"/>
      <c r="N523" s="1"/>
      <c r="O523" s="1"/>
      <c r="P523" s="1"/>
      <c r="Q523" s="1"/>
      <c r="R523" s="1"/>
      <c r="S523" s="1"/>
      <c r="T523" s="1"/>
      <c r="U523" s="1"/>
      <c r="V523" s="1"/>
      <c r="W523" s="1"/>
      <c r="X523" s="1"/>
      <c r="Y523" s="1"/>
      <c r="Z523" s="1"/>
    </row>
    <row r="524" spans="1:26" ht="15.75" customHeight="1">
      <c r="A524" s="4"/>
      <c r="B524" s="4"/>
      <c r="C524" s="115"/>
      <c r="D524" s="4"/>
      <c r="E524" s="4"/>
      <c r="F524" s="4"/>
      <c r="G524" s="4"/>
      <c r="H524" s="4"/>
      <c r="I524" s="4"/>
      <c r="J524" s="4"/>
      <c r="K524" s="1"/>
      <c r="L524" s="1"/>
      <c r="M524" s="1"/>
      <c r="N524" s="1"/>
      <c r="O524" s="1"/>
      <c r="P524" s="1"/>
      <c r="Q524" s="1"/>
      <c r="R524" s="1"/>
      <c r="S524" s="1"/>
      <c r="T524" s="1"/>
      <c r="U524" s="1"/>
      <c r="V524" s="1"/>
      <c r="W524" s="1"/>
      <c r="X524" s="1"/>
      <c r="Y524" s="1"/>
      <c r="Z524" s="1"/>
    </row>
    <row r="525" spans="1:26" ht="15.75" customHeight="1">
      <c r="A525" s="4"/>
      <c r="B525" s="4"/>
      <c r="C525" s="115"/>
      <c r="D525" s="4"/>
      <c r="E525" s="4"/>
      <c r="F525" s="4"/>
      <c r="G525" s="4"/>
      <c r="H525" s="4"/>
      <c r="I525" s="4"/>
      <c r="J525" s="4"/>
      <c r="K525" s="1"/>
      <c r="L525" s="1"/>
      <c r="M525" s="1"/>
      <c r="N525" s="1"/>
      <c r="O525" s="1"/>
      <c r="P525" s="1"/>
      <c r="Q525" s="1"/>
      <c r="R525" s="1"/>
      <c r="S525" s="1"/>
      <c r="T525" s="1"/>
      <c r="U525" s="1"/>
      <c r="V525" s="1"/>
      <c r="W525" s="1"/>
      <c r="X525" s="1"/>
      <c r="Y525" s="1"/>
      <c r="Z525" s="1"/>
    </row>
    <row r="526" spans="1:26" ht="15.75" customHeight="1">
      <c r="A526" s="4"/>
      <c r="B526" s="4"/>
      <c r="C526" s="115"/>
      <c r="D526" s="4"/>
      <c r="E526" s="4"/>
      <c r="F526" s="4"/>
      <c r="G526" s="4"/>
      <c r="H526" s="4"/>
      <c r="I526" s="4"/>
      <c r="J526" s="4"/>
      <c r="K526" s="1"/>
      <c r="L526" s="1"/>
      <c r="M526" s="1"/>
      <c r="N526" s="1"/>
      <c r="O526" s="1"/>
      <c r="P526" s="1"/>
      <c r="Q526" s="1"/>
      <c r="R526" s="1"/>
      <c r="S526" s="1"/>
      <c r="T526" s="1"/>
      <c r="U526" s="1"/>
      <c r="V526" s="1"/>
      <c r="W526" s="1"/>
      <c r="X526" s="1"/>
      <c r="Y526" s="1"/>
      <c r="Z526" s="1"/>
    </row>
    <row r="527" spans="1:26" ht="15.75" customHeight="1">
      <c r="A527" s="4"/>
      <c r="B527" s="4"/>
      <c r="C527" s="115"/>
      <c r="D527" s="4"/>
      <c r="E527" s="4"/>
      <c r="F527" s="4"/>
      <c r="G527" s="4"/>
      <c r="H527" s="4"/>
      <c r="I527" s="4"/>
      <c r="J527" s="4"/>
      <c r="K527" s="1"/>
      <c r="L527" s="1"/>
      <c r="M527" s="1"/>
      <c r="N527" s="1"/>
      <c r="O527" s="1"/>
      <c r="P527" s="1"/>
      <c r="Q527" s="1"/>
      <c r="R527" s="1"/>
      <c r="S527" s="1"/>
      <c r="T527" s="1"/>
      <c r="U527" s="1"/>
      <c r="V527" s="1"/>
      <c r="W527" s="1"/>
      <c r="X527" s="1"/>
      <c r="Y527" s="1"/>
      <c r="Z527" s="1"/>
    </row>
    <row r="528" spans="1:26" ht="15.75" customHeight="1">
      <c r="A528" s="4"/>
      <c r="B528" s="4"/>
      <c r="C528" s="115"/>
      <c r="D528" s="4"/>
      <c r="E528" s="4"/>
      <c r="F528" s="4"/>
      <c r="G528" s="4"/>
      <c r="H528" s="4"/>
      <c r="I528" s="4"/>
      <c r="J528" s="4"/>
      <c r="K528" s="1"/>
      <c r="L528" s="1"/>
      <c r="M528" s="1"/>
      <c r="N528" s="1"/>
      <c r="O528" s="1"/>
      <c r="P528" s="1"/>
      <c r="Q528" s="1"/>
      <c r="R528" s="1"/>
      <c r="S528" s="1"/>
      <c r="T528" s="1"/>
      <c r="U528" s="1"/>
      <c r="V528" s="1"/>
      <c r="W528" s="1"/>
      <c r="X528" s="1"/>
      <c r="Y528" s="1"/>
      <c r="Z528" s="1"/>
    </row>
    <row r="529" spans="1:26" ht="15.75" customHeight="1">
      <c r="A529" s="4"/>
      <c r="B529" s="4"/>
      <c r="C529" s="115"/>
      <c r="D529" s="4"/>
      <c r="E529" s="4"/>
      <c r="F529" s="4"/>
      <c r="G529" s="4"/>
      <c r="H529" s="4"/>
      <c r="I529" s="4"/>
      <c r="J529" s="4"/>
      <c r="K529" s="1"/>
      <c r="L529" s="1"/>
      <c r="M529" s="1"/>
      <c r="N529" s="1"/>
      <c r="O529" s="1"/>
      <c r="P529" s="1"/>
      <c r="Q529" s="1"/>
      <c r="R529" s="1"/>
      <c r="S529" s="1"/>
      <c r="T529" s="1"/>
      <c r="U529" s="1"/>
      <c r="V529" s="1"/>
      <c r="W529" s="1"/>
      <c r="X529" s="1"/>
      <c r="Y529" s="1"/>
      <c r="Z529" s="1"/>
    </row>
    <row r="530" spans="1:26" ht="15.75" customHeight="1">
      <c r="A530" s="4"/>
      <c r="B530" s="4"/>
      <c r="C530" s="115"/>
      <c r="D530" s="4"/>
      <c r="E530" s="4"/>
      <c r="F530" s="4"/>
      <c r="G530" s="4"/>
      <c r="H530" s="4"/>
      <c r="I530" s="4"/>
      <c r="J530" s="4"/>
      <c r="K530" s="1"/>
      <c r="L530" s="1"/>
      <c r="M530" s="1"/>
      <c r="N530" s="1"/>
      <c r="O530" s="1"/>
      <c r="P530" s="1"/>
      <c r="Q530" s="1"/>
      <c r="R530" s="1"/>
      <c r="S530" s="1"/>
      <c r="T530" s="1"/>
      <c r="U530" s="1"/>
      <c r="V530" s="1"/>
      <c r="W530" s="1"/>
      <c r="X530" s="1"/>
      <c r="Y530" s="1"/>
      <c r="Z530" s="1"/>
    </row>
    <row r="531" spans="1:26" ht="15.75" customHeight="1">
      <c r="A531" s="4"/>
      <c r="B531" s="4"/>
      <c r="C531" s="115"/>
      <c r="D531" s="4"/>
      <c r="E531" s="4"/>
      <c r="F531" s="4"/>
      <c r="G531" s="4"/>
      <c r="H531" s="4"/>
      <c r="I531" s="4"/>
      <c r="J531" s="4"/>
      <c r="K531" s="1"/>
      <c r="L531" s="1"/>
      <c r="M531" s="1"/>
      <c r="N531" s="1"/>
      <c r="O531" s="1"/>
      <c r="P531" s="1"/>
      <c r="Q531" s="1"/>
      <c r="R531" s="1"/>
      <c r="S531" s="1"/>
      <c r="T531" s="1"/>
      <c r="U531" s="1"/>
      <c r="V531" s="1"/>
      <c r="W531" s="1"/>
      <c r="X531" s="1"/>
      <c r="Y531" s="1"/>
      <c r="Z531" s="1"/>
    </row>
    <row r="532" spans="1:26" ht="15.75" customHeight="1">
      <c r="A532" s="4"/>
      <c r="B532" s="4"/>
      <c r="C532" s="115"/>
      <c r="D532" s="4"/>
      <c r="E532" s="4"/>
      <c r="F532" s="4"/>
      <c r="G532" s="4"/>
      <c r="H532" s="4"/>
      <c r="I532" s="4"/>
      <c r="J532" s="4"/>
      <c r="K532" s="1"/>
      <c r="L532" s="1"/>
      <c r="M532" s="1"/>
      <c r="N532" s="1"/>
      <c r="O532" s="1"/>
      <c r="P532" s="1"/>
      <c r="Q532" s="1"/>
      <c r="R532" s="1"/>
      <c r="S532" s="1"/>
      <c r="T532" s="1"/>
      <c r="U532" s="1"/>
      <c r="V532" s="1"/>
      <c r="W532" s="1"/>
      <c r="X532" s="1"/>
      <c r="Y532" s="1"/>
      <c r="Z532" s="1"/>
    </row>
    <row r="533" spans="1:26" ht="15.75" customHeight="1">
      <c r="A533" s="4"/>
      <c r="B533" s="4"/>
      <c r="C533" s="115"/>
      <c r="D533" s="4"/>
      <c r="E533" s="4"/>
      <c r="F533" s="4"/>
      <c r="G533" s="4"/>
      <c r="H533" s="4"/>
      <c r="I533" s="4"/>
      <c r="J533" s="4"/>
      <c r="K533" s="1"/>
      <c r="L533" s="1"/>
      <c r="M533" s="1"/>
      <c r="N533" s="1"/>
      <c r="O533" s="1"/>
      <c r="P533" s="1"/>
      <c r="Q533" s="1"/>
      <c r="R533" s="1"/>
      <c r="S533" s="1"/>
      <c r="T533" s="1"/>
      <c r="U533" s="1"/>
      <c r="V533" s="1"/>
      <c r="W533" s="1"/>
      <c r="X533" s="1"/>
      <c r="Y533" s="1"/>
      <c r="Z533" s="1"/>
    </row>
    <row r="534" spans="1:26" ht="15.75" customHeight="1">
      <c r="A534" s="4"/>
      <c r="B534" s="4"/>
      <c r="C534" s="115"/>
      <c r="D534" s="4"/>
      <c r="E534" s="4"/>
      <c r="F534" s="4"/>
      <c r="G534" s="4"/>
      <c r="H534" s="4"/>
      <c r="I534" s="4"/>
      <c r="J534" s="4"/>
      <c r="K534" s="1"/>
      <c r="L534" s="1"/>
      <c r="M534" s="1"/>
      <c r="N534" s="1"/>
      <c r="O534" s="1"/>
      <c r="P534" s="1"/>
      <c r="Q534" s="1"/>
      <c r="R534" s="1"/>
      <c r="S534" s="1"/>
      <c r="T534" s="1"/>
      <c r="U534" s="1"/>
      <c r="V534" s="1"/>
      <c r="W534" s="1"/>
      <c r="X534" s="1"/>
      <c r="Y534" s="1"/>
      <c r="Z534" s="1"/>
    </row>
    <row r="535" spans="1:26" ht="15.75" customHeight="1">
      <c r="A535" s="4"/>
      <c r="B535" s="4"/>
      <c r="C535" s="115"/>
      <c r="D535" s="4"/>
      <c r="E535" s="4"/>
      <c r="F535" s="4"/>
      <c r="G535" s="4"/>
      <c r="H535" s="4"/>
      <c r="I535" s="4"/>
      <c r="J535" s="4"/>
      <c r="K535" s="1"/>
      <c r="L535" s="1"/>
      <c r="M535" s="1"/>
      <c r="N535" s="1"/>
      <c r="O535" s="1"/>
      <c r="P535" s="1"/>
      <c r="Q535" s="1"/>
      <c r="R535" s="1"/>
      <c r="S535" s="1"/>
      <c r="T535" s="1"/>
      <c r="U535" s="1"/>
      <c r="V535" s="1"/>
      <c r="W535" s="1"/>
      <c r="X535" s="1"/>
      <c r="Y535" s="1"/>
      <c r="Z535" s="1"/>
    </row>
    <row r="536" spans="1:26" ht="15.75" customHeight="1">
      <c r="A536" s="4"/>
      <c r="B536" s="4"/>
      <c r="C536" s="115"/>
      <c r="D536" s="4"/>
      <c r="E536" s="4"/>
      <c r="F536" s="4"/>
      <c r="G536" s="4"/>
      <c r="H536" s="4"/>
      <c r="I536" s="4"/>
      <c r="J536" s="4"/>
      <c r="K536" s="1"/>
      <c r="L536" s="1"/>
      <c r="M536" s="1"/>
      <c r="N536" s="1"/>
      <c r="O536" s="1"/>
      <c r="P536" s="1"/>
      <c r="Q536" s="1"/>
      <c r="R536" s="1"/>
      <c r="S536" s="1"/>
      <c r="T536" s="1"/>
      <c r="U536" s="1"/>
      <c r="V536" s="1"/>
      <c r="W536" s="1"/>
      <c r="X536" s="1"/>
      <c r="Y536" s="1"/>
      <c r="Z536" s="1"/>
    </row>
    <row r="537" spans="1:26" ht="15.75" customHeight="1">
      <c r="A537" s="4"/>
      <c r="B537" s="4"/>
      <c r="C537" s="115"/>
      <c r="D537" s="4"/>
      <c r="E537" s="4"/>
      <c r="F537" s="4"/>
      <c r="G537" s="4"/>
      <c r="H537" s="4"/>
      <c r="I537" s="4"/>
      <c r="J537" s="4"/>
      <c r="K537" s="1"/>
      <c r="L537" s="1"/>
      <c r="M537" s="1"/>
      <c r="N537" s="1"/>
      <c r="O537" s="1"/>
      <c r="P537" s="1"/>
      <c r="Q537" s="1"/>
      <c r="R537" s="1"/>
      <c r="S537" s="1"/>
      <c r="T537" s="1"/>
      <c r="U537" s="1"/>
      <c r="V537" s="1"/>
      <c r="W537" s="1"/>
      <c r="X537" s="1"/>
      <c r="Y537" s="1"/>
      <c r="Z537" s="1"/>
    </row>
    <row r="538" spans="1:26" ht="15.75" customHeight="1">
      <c r="A538" s="4"/>
      <c r="B538" s="4"/>
      <c r="C538" s="115"/>
      <c r="D538" s="4"/>
      <c r="E538" s="4"/>
      <c r="F538" s="4"/>
      <c r="G538" s="4"/>
      <c r="H538" s="4"/>
      <c r="I538" s="4"/>
      <c r="J538" s="4"/>
      <c r="K538" s="1"/>
      <c r="L538" s="1"/>
      <c r="M538" s="1"/>
      <c r="N538" s="1"/>
      <c r="O538" s="1"/>
      <c r="P538" s="1"/>
      <c r="Q538" s="1"/>
      <c r="R538" s="1"/>
      <c r="S538" s="1"/>
      <c r="T538" s="1"/>
      <c r="U538" s="1"/>
      <c r="V538" s="1"/>
      <c r="W538" s="1"/>
      <c r="X538" s="1"/>
      <c r="Y538" s="1"/>
      <c r="Z538" s="1"/>
    </row>
    <row r="539" spans="1:26" ht="15.75" customHeight="1">
      <c r="A539" s="4"/>
      <c r="B539" s="4"/>
      <c r="C539" s="115"/>
      <c r="D539" s="4"/>
      <c r="E539" s="4"/>
      <c r="F539" s="4"/>
      <c r="G539" s="4"/>
      <c r="H539" s="4"/>
      <c r="I539" s="4"/>
      <c r="J539" s="4"/>
      <c r="K539" s="1"/>
      <c r="L539" s="1"/>
      <c r="M539" s="1"/>
      <c r="N539" s="1"/>
      <c r="O539" s="1"/>
      <c r="P539" s="1"/>
      <c r="Q539" s="1"/>
      <c r="R539" s="1"/>
      <c r="S539" s="1"/>
      <c r="T539" s="1"/>
      <c r="U539" s="1"/>
      <c r="V539" s="1"/>
      <c r="W539" s="1"/>
      <c r="X539" s="1"/>
      <c r="Y539" s="1"/>
      <c r="Z539" s="1"/>
    </row>
    <row r="540" spans="1:26" ht="15.75" customHeight="1">
      <c r="A540" s="4"/>
      <c r="B540" s="4"/>
      <c r="C540" s="115"/>
      <c r="D540" s="4"/>
      <c r="E540" s="4"/>
      <c r="F540" s="4"/>
      <c r="G540" s="4"/>
      <c r="H540" s="4"/>
      <c r="I540" s="4"/>
      <c r="J540" s="4"/>
      <c r="K540" s="1"/>
      <c r="L540" s="1"/>
      <c r="M540" s="1"/>
      <c r="N540" s="1"/>
      <c r="O540" s="1"/>
      <c r="P540" s="1"/>
      <c r="Q540" s="1"/>
      <c r="R540" s="1"/>
      <c r="S540" s="1"/>
      <c r="T540" s="1"/>
      <c r="U540" s="1"/>
      <c r="V540" s="1"/>
      <c r="W540" s="1"/>
      <c r="X540" s="1"/>
      <c r="Y540" s="1"/>
      <c r="Z540" s="1"/>
    </row>
    <row r="541" spans="1:26" ht="15.75" customHeight="1">
      <c r="A541" s="4"/>
      <c r="B541" s="4"/>
      <c r="C541" s="115"/>
      <c r="D541" s="4"/>
      <c r="E541" s="4"/>
      <c r="F541" s="4"/>
      <c r="G541" s="4"/>
      <c r="H541" s="4"/>
      <c r="I541" s="4"/>
      <c r="J541" s="4"/>
      <c r="K541" s="1"/>
      <c r="L541" s="1"/>
      <c r="M541" s="1"/>
      <c r="N541" s="1"/>
      <c r="O541" s="1"/>
      <c r="P541" s="1"/>
      <c r="Q541" s="1"/>
      <c r="R541" s="1"/>
      <c r="S541" s="1"/>
      <c r="T541" s="1"/>
      <c r="U541" s="1"/>
      <c r="V541" s="1"/>
      <c r="W541" s="1"/>
      <c r="X541" s="1"/>
      <c r="Y541" s="1"/>
      <c r="Z541" s="1"/>
    </row>
    <row r="542" spans="1:26" ht="15.75" customHeight="1">
      <c r="A542" s="4"/>
      <c r="B542" s="4"/>
      <c r="C542" s="115"/>
      <c r="D542" s="4"/>
      <c r="E542" s="4"/>
      <c r="F542" s="4"/>
      <c r="G542" s="4"/>
      <c r="H542" s="4"/>
      <c r="I542" s="4"/>
      <c r="J542" s="4"/>
      <c r="K542" s="1"/>
      <c r="L542" s="1"/>
      <c r="M542" s="1"/>
      <c r="N542" s="1"/>
      <c r="O542" s="1"/>
      <c r="P542" s="1"/>
      <c r="Q542" s="1"/>
      <c r="R542" s="1"/>
      <c r="S542" s="1"/>
      <c r="T542" s="1"/>
      <c r="U542" s="1"/>
      <c r="V542" s="1"/>
      <c r="W542" s="1"/>
      <c r="X542" s="1"/>
      <c r="Y542" s="1"/>
      <c r="Z542" s="1"/>
    </row>
    <row r="543" spans="1:26" ht="15.75" customHeight="1">
      <c r="A543" s="4"/>
      <c r="B543" s="4"/>
      <c r="C543" s="115"/>
      <c r="D543" s="4"/>
      <c r="E543" s="4"/>
      <c r="F543" s="4"/>
      <c r="G543" s="4"/>
      <c r="H543" s="4"/>
      <c r="I543" s="4"/>
      <c r="J543" s="4"/>
      <c r="K543" s="1"/>
      <c r="L543" s="1"/>
      <c r="M543" s="1"/>
      <c r="N543" s="1"/>
      <c r="O543" s="1"/>
      <c r="P543" s="1"/>
      <c r="Q543" s="1"/>
      <c r="R543" s="1"/>
      <c r="S543" s="1"/>
      <c r="T543" s="1"/>
      <c r="U543" s="1"/>
      <c r="V543" s="1"/>
      <c r="W543" s="1"/>
      <c r="X543" s="1"/>
      <c r="Y543" s="1"/>
      <c r="Z543" s="1"/>
    </row>
    <row r="544" spans="1:26" ht="15.75" customHeight="1">
      <c r="A544" s="4"/>
      <c r="B544" s="4"/>
      <c r="C544" s="115"/>
      <c r="D544" s="4"/>
      <c r="E544" s="4"/>
      <c r="F544" s="4"/>
      <c r="G544" s="4"/>
      <c r="H544" s="4"/>
      <c r="I544" s="4"/>
      <c r="J544" s="4"/>
      <c r="K544" s="1"/>
      <c r="L544" s="1"/>
      <c r="M544" s="1"/>
      <c r="N544" s="1"/>
      <c r="O544" s="1"/>
      <c r="P544" s="1"/>
      <c r="Q544" s="1"/>
      <c r="R544" s="1"/>
      <c r="S544" s="1"/>
      <c r="T544" s="1"/>
      <c r="U544" s="1"/>
      <c r="V544" s="1"/>
      <c r="W544" s="1"/>
      <c r="X544" s="1"/>
      <c r="Y544" s="1"/>
      <c r="Z544" s="1"/>
    </row>
    <row r="545" spans="1:26" ht="15.75" customHeight="1">
      <c r="A545" s="4"/>
      <c r="B545" s="4"/>
      <c r="C545" s="115"/>
      <c r="D545" s="4"/>
      <c r="E545" s="4"/>
      <c r="F545" s="4"/>
      <c r="G545" s="4"/>
      <c r="H545" s="4"/>
      <c r="I545" s="4"/>
      <c r="J545" s="4"/>
      <c r="K545" s="1"/>
      <c r="L545" s="1"/>
      <c r="M545" s="1"/>
      <c r="N545" s="1"/>
      <c r="O545" s="1"/>
      <c r="P545" s="1"/>
      <c r="Q545" s="1"/>
      <c r="R545" s="1"/>
      <c r="S545" s="1"/>
      <c r="T545" s="1"/>
      <c r="U545" s="1"/>
      <c r="V545" s="1"/>
      <c r="W545" s="1"/>
      <c r="X545" s="1"/>
      <c r="Y545" s="1"/>
      <c r="Z545" s="1"/>
    </row>
    <row r="546" spans="1:26" ht="15.75" customHeight="1">
      <c r="A546" s="4"/>
      <c r="B546" s="4"/>
      <c r="C546" s="115"/>
      <c r="D546" s="4"/>
      <c r="E546" s="4"/>
      <c r="F546" s="4"/>
      <c r="G546" s="4"/>
      <c r="H546" s="4"/>
      <c r="I546" s="4"/>
      <c r="J546" s="4"/>
      <c r="K546" s="1"/>
      <c r="L546" s="1"/>
      <c r="M546" s="1"/>
      <c r="N546" s="1"/>
      <c r="O546" s="1"/>
      <c r="P546" s="1"/>
      <c r="Q546" s="1"/>
      <c r="R546" s="1"/>
      <c r="S546" s="1"/>
      <c r="T546" s="1"/>
      <c r="U546" s="1"/>
      <c r="V546" s="1"/>
      <c r="W546" s="1"/>
      <c r="X546" s="1"/>
      <c r="Y546" s="1"/>
      <c r="Z546" s="1"/>
    </row>
    <row r="547" spans="1:26" ht="15.75" customHeight="1">
      <c r="A547" s="4"/>
      <c r="B547" s="4"/>
      <c r="C547" s="115"/>
      <c r="D547" s="4"/>
      <c r="E547" s="4"/>
      <c r="F547" s="4"/>
      <c r="G547" s="4"/>
      <c r="H547" s="4"/>
      <c r="I547" s="4"/>
      <c r="J547" s="4"/>
      <c r="K547" s="1"/>
      <c r="L547" s="1"/>
      <c r="M547" s="1"/>
      <c r="N547" s="1"/>
      <c r="O547" s="1"/>
      <c r="P547" s="1"/>
      <c r="Q547" s="1"/>
      <c r="R547" s="1"/>
      <c r="S547" s="1"/>
      <c r="T547" s="1"/>
      <c r="U547" s="1"/>
      <c r="V547" s="1"/>
      <c r="W547" s="1"/>
      <c r="X547" s="1"/>
      <c r="Y547" s="1"/>
      <c r="Z547" s="1"/>
    </row>
    <row r="548" spans="1:26" ht="15.75" customHeight="1">
      <c r="A548" s="4"/>
      <c r="B548" s="4"/>
      <c r="C548" s="115"/>
      <c r="D548" s="4"/>
      <c r="E548" s="4"/>
      <c r="F548" s="4"/>
      <c r="G548" s="4"/>
      <c r="H548" s="4"/>
      <c r="I548" s="4"/>
      <c r="J548" s="4"/>
      <c r="K548" s="1"/>
      <c r="L548" s="1"/>
      <c r="M548" s="1"/>
      <c r="N548" s="1"/>
      <c r="O548" s="1"/>
      <c r="P548" s="1"/>
      <c r="Q548" s="1"/>
      <c r="R548" s="1"/>
      <c r="S548" s="1"/>
      <c r="T548" s="1"/>
      <c r="U548" s="1"/>
      <c r="V548" s="1"/>
      <c r="W548" s="1"/>
      <c r="X548" s="1"/>
      <c r="Y548" s="1"/>
      <c r="Z548" s="1"/>
    </row>
    <row r="549" spans="1:26" ht="15.75" customHeight="1">
      <c r="A549" s="4"/>
      <c r="B549" s="4"/>
      <c r="C549" s="115"/>
      <c r="D549" s="4"/>
      <c r="E549" s="4"/>
      <c r="F549" s="4"/>
      <c r="G549" s="4"/>
      <c r="H549" s="4"/>
      <c r="I549" s="4"/>
      <c r="J549" s="4"/>
      <c r="K549" s="1"/>
      <c r="L549" s="1"/>
      <c r="M549" s="1"/>
      <c r="N549" s="1"/>
      <c r="O549" s="1"/>
      <c r="P549" s="1"/>
      <c r="Q549" s="1"/>
      <c r="R549" s="1"/>
      <c r="S549" s="1"/>
      <c r="T549" s="1"/>
      <c r="U549" s="1"/>
      <c r="V549" s="1"/>
      <c r="W549" s="1"/>
      <c r="X549" s="1"/>
      <c r="Y549" s="1"/>
      <c r="Z549" s="1"/>
    </row>
    <row r="550" spans="1:26" ht="15.75" customHeight="1">
      <c r="A550" s="4"/>
      <c r="B550" s="4"/>
      <c r="C550" s="115"/>
      <c r="D550" s="4"/>
      <c r="E550" s="4"/>
      <c r="F550" s="4"/>
      <c r="G550" s="4"/>
      <c r="H550" s="4"/>
      <c r="I550" s="4"/>
      <c r="J550" s="4"/>
      <c r="K550" s="1"/>
      <c r="L550" s="1"/>
      <c r="M550" s="1"/>
      <c r="N550" s="1"/>
      <c r="O550" s="1"/>
      <c r="P550" s="1"/>
      <c r="Q550" s="1"/>
      <c r="R550" s="1"/>
      <c r="S550" s="1"/>
      <c r="T550" s="1"/>
      <c r="U550" s="1"/>
      <c r="V550" s="1"/>
      <c r="W550" s="1"/>
      <c r="X550" s="1"/>
      <c r="Y550" s="1"/>
      <c r="Z550" s="1"/>
    </row>
    <row r="551" spans="1:26" ht="15.75" customHeight="1">
      <c r="A551" s="4"/>
      <c r="B551" s="4"/>
      <c r="C551" s="115"/>
      <c r="D551" s="4"/>
      <c r="E551" s="4"/>
      <c r="F551" s="4"/>
      <c r="G551" s="4"/>
      <c r="H551" s="4"/>
      <c r="I551" s="4"/>
      <c r="J551" s="4"/>
      <c r="K551" s="1"/>
      <c r="L551" s="1"/>
      <c r="M551" s="1"/>
      <c r="N551" s="1"/>
      <c r="O551" s="1"/>
      <c r="P551" s="1"/>
      <c r="Q551" s="1"/>
      <c r="R551" s="1"/>
      <c r="S551" s="1"/>
      <c r="T551" s="1"/>
      <c r="U551" s="1"/>
      <c r="V551" s="1"/>
      <c r="W551" s="1"/>
      <c r="X551" s="1"/>
      <c r="Y551" s="1"/>
      <c r="Z551" s="1"/>
    </row>
    <row r="552" spans="1:26" ht="15.75" customHeight="1">
      <c r="A552" s="4"/>
      <c r="B552" s="4"/>
      <c r="C552" s="115"/>
      <c r="D552" s="4"/>
      <c r="E552" s="4"/>
      <c r="F552" s="4"/>
      <c r="G552" s="4"/>
      <c r="H552" s="4"/>
      <c r="I552" s="4"/>
      <c r="J552" s="4"/>
      <c r="K552" s="1"/>
      <c r="L552" s="1"/>
      <c r="M552" s="1"/>
      <c r="N552" s="1"/>
      <c r="O552" s="1"/>
      <c r="P552" s="1"/>
      <c r="Q552" s="1"/>
      <c r="R552" s="1"/>
      <c r="S552" s="1"/>
      <c r="T552" s="1"/>
      <c r="U552" s="1"/>
      <c r="V552" s="1"/>
      <c r="W552" s="1"/>
      <c r="X552" s="1"/>
      <c r="Y552" s="1"/>
      <c r="Z552" s="1"/>
    </row>
    <row r="553" spans="1:26" ht="15.75" customHeight="1">
      <c r="A553" s="4"/>
      <c r="B553" s="4"/>
      <c r="C553" s="115"/>
      <c r="D553" s="4"/>
      <c r="E553" s="4"/>
      <c r="F553" s="4"/>
      <c r="G553" s="4"/>
      <c r="H553" s="4"/>
      <c r="I553" s="4"/>
      <c r="J553" s="4"/>
      <c r="K553" s="1"/>
      <c r="L553" s="1"/>
      <c r="M553" s="1"/>
      <c r="N553" s="1"/>
      <c r="O553" s="1"/>
      <c r="P553" s="1"/>
      <c r="Q553" s="1"/>
      <c r="R553" s="1"/>
      <c r="S553" s="1"/>
      <c r="T553" s="1"/>
      <c r="U553" s="1"/>
      <c r="V553" s="1"/>
      <c r="W553" s="1"/>
      <c r="X553" s="1"/>
      <c r="Y553" s="1"/>
      <c r="Z553" s="1"/>
    </row>
    <row r="554" spans="1:26" ht="15.75" customHeight="1">
      <c r="A554" s="4"/>
      <c r="B554" s="4"/>
      <c r="C554" s="115"/>
      <c r="D554" s="4"/>
      <c r="E554" s="4"/>
      <c r="F554" s="4"/>
      <c r="G554" s="4"/>
      <c r="H554" s="4"/>
      <c r="I554" s="4"/>
      <c r="J554" s="4"/>
      <c r="K554" s="1"/>
      <c r="L554" s="1"/>
      <c r="M554" s="1"/>
      <c r="N554" s="1"/>
      <c r="O554" s="1"/>
      <c r="P554" s="1"/>
      <c r="Q554" s="1"/>
      <c r="R554" s="1"/>
      <c r="S554" s="1"/>
      <c r="T554" s="1"/>
      <c r="U554" s="1"/>
      <c r="V554" s="1"/>
      <c r="W554" s="1"/>
      <c r="X554" s="1"/>
      <c r="Y554" s="1"/>
      <c r="Z554" s="1"/>
    </row>
    <row r="555" spans="1:26" ht="15.75" customHeight="1">
      <c r="A555" s="4"/>
      <c r="B555" s="4"/>
      <c r="C555" s="115"/>
      <c r="D555" s="4"/>
      <c r="E555" s="4"/>
      <c r="F555" s="4"/>
      <c r="G555" s="4"/>
      <c r="H555" s="4"/>
      <c r="I555" s="4"/>
      <c r="J555" s="4"/>
      <c r="K555" s="1"/>
      <c r="L555" s="1"/>
      <c r="M555" s="1"/>
      <c r="N555" s="1"/>
      <c r="O555" s="1"/>
      <c r="P555" s="1"/>
      <c r="Q555" s="1"/>
      <c r="R555" s="1"/>
      <c r="S555" s="1"/>
      <c r="T555" s="1"/>
      <c r="U555" s="1"/>
      <c r="V555" s="1"/>
      <c r="W555" s="1"/>
      <c r="X555" s="1"/>
      <c r="Y555" s="1"/>
      <c r="Z555" s="1"/>
    </row>
    <row r="556" spans="1:26" ht="15.75" customHeight="1">
      <c r="A556" s="4"/>
      <c r="B556" s="4"/>
      <c r="C556" s="115"/>
      <c r="D556" s="4"/>
      <c r="E556" s="4"/>
      <c r="F556" s="4"/>
      <c r="G556" s="4"/>
      <c r="H556" s="4"/>
      <c r="I556" s="4"/>
      <c r="J556" s="4"/>
      <c r="K556" s="1"/>
      <c r="L556" s="1"/>
      <c r="M556" s="1"/>
      <c r="N556" s="1"/>
      <c r="O556" s="1"/>
      <c r="P556" s="1"/>
      <c r="Q556" s="1"/>
      <c r="R556" s="1"/>
      <c r="S556" s="1"/>
      <c r="T556" s="1"/>
      <c r="U556" s="1"/>
      <c r="V556" s="1"/>
      <c r="W556" s="1"/>
      <c r="X556" s="1"/>
      <c r="Y556" s="1"/>
      <c r="Z556" s="1"/>
    </row>
    <row r="557" spans="1:26" ht="15.75" customHeight="1">
      <c r="A557" s="4"/>
      <c r="B557" s="4"/>
      <c r="C557" s="115"/>
      <c r="D557" s="4"/>
      <c r="E557" s="4"/>
      <c r="F557" s="4"/>
      <c r="G557" s="4"/>
      <c r="H557" s="4"/>
      <c r="I557" s="4"/>
      <c r="J557" s="4"/>
      <c r="K557" s="1"/>
      <c r="L557" s="1"/>
      <c r="M557" s="1"/>
      <c r="N557" s="1"/>
      <c r="O557" s="1"/>
      <c r="P557" s="1"/>
      <c r="Q557" s="1"/>
      <c r="R557" s="1"/>
      <c r="S557" s="1"/>
      <c r="T557" s="1"/>
      <c r="U557" s="1"/>
      <c r="V557" s="1"/>
      <c r="W557" s="1"/>
      <c r="X557" s="1"/>
      <c r="Y557" s="1"/>
      <c r="Z557" s="1"/>
    </row>
    <row r="558" spans="1:26" ht="15.75" customHeight="1">
      <c r="A558" s="4"/>
      <c r="B558" s="4"/>
      <c r="C558" s="115"/>
      <c r="D558" s="4"/>
      <c r="E558" s="4"/>
      <c r="F558" s="4"/>
      <c r="G558" s="4"/>
      <c r="H558" s="4"/>
      <c r="I558" s="4"/>
      <c r="J558" s="4"/>
      <c r="K558" s="1"/>
      <c r="L558" s="1"/>
      <c r="M558" s="1"/>
      <c r="N558" s="1"/>
      <c r="O558" s="1"/>
      <c r="P558" s="1"/>
      <c r="Q558" s="1"/>
      <c r="R558" s="1"/>
      <c r="S558" s="1"/>
      <c r="T558" s="1"/>
      <c r="U558" s="1"/>
      <c r="V558" s="1"/>
      <c r="W558" s="1"/>
      <c r="X558" s="1"/>
      <c r="Y558" s="1"/>
      <c r="Z558" s="1"/>
    </row>
    <row r="559" spans="1:26" ht="15.75" customHeight="1">
      <c r="A559" s="4"/>
      <c r="B559" s="4"/>
      <c r="C559" s="115"/>
      <c r="D559" s="4"/>
      <c r="E559" s="4"/>
      <c r="F559" s="4"/>
      <c r="G559" s="4"/>
      <c r="H559" s="4"/>
      <c r="I559" s="4"/>
      <c r="J559" s="4"/>
      <c r="K559" s="1"/>
      <c r="L559" s="1"/>
      <c r="M559" s="1"/>
      <c r="N559" s="1"/>
      <c r="O559" s="1"/>
      <c r="P559" s="1"/>
      <c r="Q559" s="1"/>
      <c r="R559" s="1"/>
      <c r="S559" s="1"/>
      <c r="T559" s="1"/>
      <c r="U559" s="1"/>
      <c r="V559" s="1"/>
      <c r="W559" s="1"/>
      <c r="X559" s="1"/>
      <c r="Y559" s="1"/>
      <c r="Z559" s="1"/>
    </row>
    <row r="560" spans="1:26" ht="15.75" customHeight="1">
      <c r="A560" s="4"/>
      <c r="B560" s="4"/>
      <c r="C560" s="115"/>
      <c r="D560" s="4"/>
      <c r="E560" s="4"/>
      <c r="F560" s="4"/>
      <c r="G560" s="4"/>
      <c r="H560" s="4"/>
      <c r="I560" s="4"/>
      <c r="J560" s="4"/>
      <c r="K560" s="1"/>
      <c r="L560" s="1"/>
      <c r="M560" s="1"/>
      <c r="N560" s="1"/>
      <c r="O560" s="1"/>
      <c r="P560" s="1"/>
      <c r="Q560" s="1"/>
      <c r="R560" s="1"/>
      <c r="S560" s="1"/>
      <c r="T560" s="1"/>
      <c r="U560" s="1"/>
      <c r="V560" s="1"/>
      <c r="W560" s="1"/>
      <c r="X560" s="1"/>
      <c r="Y560" s="1"/>
      <c r="Z560" s="1"/>
    </row>
    <row r="561" spans="1:26" ht="15.75" customHeight="1">
      <c r="A561" s="4"/>
      <c r="B561" s="4"/>
      <c r="C561" s="115"/>
      <c r="D561" s="4"/>
      <c r="E561" s="4"/>
      <c r="F561" s="4"/>
      <c r="G561" s="4"/>
      <c r="H561" s="4"/>
      <c r="I561" s="4"/>
      <c r="J561" s="4"/>
      <c r="K561" s="1"/>
      <c r="L561" s="1"/>
      <c r="M561" s="1"/>
      <c r="N561" s="1"/>
      <c r="O561" s="1"/>
      <c r="P561" s="1"/>
      <c r="Q561" s="1"/>
      <c r="R561" s="1"/>
      <c r="S561" s="1"/>
      <c r="T561" s="1"/>
      <c r="U561" s="1"/>
      <c r="V561" s="1"/>
      <c r="W561" s="1"/>
      <c r="X561" s="1"/>
      <c r="Y561" s="1"/>
      <c r="Z561" s="1"/>
    </row>
    <row r="562" spans="1:26" ht="15.75" customHeight="1">
      <c r="A562" s="4"/>
      <c r="B562" s="4"/>
      <c r="C562" s="115"/>
      <c r="D562" s="4"/>
      <c r="E562" s="4"/>
      <c r="F562" s="4"/>
      <c r="G562" s="4"/>
      <c r="H562" s="4"/>
      <c r="I562" s="4"/>
      <c r="J562" s="4"/>
      <c r="K562" s="1"/>
      <c r="L562" s="1"/>
      <c r="M562" s="1"/>
      <c r="N562" s="1"/>
      <c r="O562" s="1"/>
      <c r="P562" s="1"/>
      <c r="Q562" s="1"/>
      <c r="R562" s="1"/>
      <c r="S562" s="1"/>
      <c r="T562" s="1"/>
      <c r="U562" s="1"/>
      <c r="V562" s="1"/>
      <c r="W562" s="1"/>
      <c r="X562" s="1"/>
      <c r="Y562" s="1"/>
      <c r="Z562" s="1"/>
    </row>
    <row r="563" spans="1:26" ht="15.75" customHeight="1">
      <c r="A563" s="4"/>
      <c r="B563" s="4"/>
      <c r="C563" s="115"/>
      <c r="D563" s="4"/>
      <c r="E563" s="4"/>
      <c r="F563" s="4"/>
      <c r="G563" s="4"/>
      <c r="H563" s="4"/>
      <c r="I563" s="4"/>
      <c r="J563" s="4"/>
      <c r="K563" s="1"/>
      <c r="L563" s="1"/>
      <c r="M563" s="1"/>
      <c r="N563" s="1"/>
      <c r="O563" s="1"/>
      <c r="P563" s="1"/>
      <c r="Q563" s="1"/>
      <c r="R563" s="1"/>
      <c r="S563" s="1"/>
      <c r="T563" s="1"/>
      <c r="U563" s="1"/>
      <c r="V563" s="1"/>
      <c r="W563" s="1"/>
      <c r="X563" s="1"/>
      <c r="Y563" s="1"/>
      <c r="Z563" s="1"/>
    </row>
    <row r="564" spans="1:26" ht="15.75" customHeight="1">
      <c r="A564" s="4"/>
      <c r="B564" s="4"/>
      <c r="C564" s="115"/>
      <c r="D564" s="4"/>
      <c r="E564" s="4"/>
      <c r="F564" s="4"/>
      <c r="G564" s="4"/>
      <c r="H564" s="4"/>
      <c r="I564" s="4"/>
      <c r="J564" s="4"/>
      <c r="K564" s="1"/>
      <c r="L564" s="1"/>
      <c r="M564" s="1"/>
      <c r="N564" s="1"/>
      <c r="O564" s="1"/>
      <c r="P564" s="1"/>
      <c r="Q564" s="1"/>
      <c r="R564" s="1"/>
      <c r="S564" s="1"/>
      <c r="T564" s="1"/>
      <c r="U564" s="1"/>
      <c r="V564" s="1"/>
      <c r="W564" s="1"/>
      <c r="X564" s="1"/>
      <c r="Y564" s="1"/>
      <c r="Z564" s="1"/>
    </row>
    <row r="565" spans="1:26" ht="15.75" customHeight="1">
      <c r="A565" s="4"/>
      <c r="B565" s="4"/>
      <c r="C565" s="115"/>
      <c r="D565" s="4"/>
      <c r="E565" s="4"/>
      <c r="F565" s="4"/>
      <c r="G565" s="4"/>
      <c r="H565" s="4"/>
      <c r="I565" s="4"/>
      <c r="J565" s="4"/>
      <c r="K565" s="1"/>
      <c r="L565" s="1"/>
      <c r="M565" s="1"/>
      <c r="N565" s="1"/>
      <c r="O565" s="1"/>
      <c r="P565" s="1"/>
      <c r="Q565" s="1"/>
      <c r="R565" s="1"/>
      <c r="S565" s="1"/>
      <c r="T565" s="1"/>
      <c r="U565" s="1"/>
      <c r="V565" s="1"/>
      <c r="W565" s="1"/>
      <c r="X565" s="1"/>
      <c r="Y565" s="1"/>
      <c r="Z565" s="1"/>
    </row>
    <row r="566" spans="1:26" ht="15.75" customHeight="1">
      <c r="A566" s="4"/>
      <c r="B566" s="4"/>
      <c r="C566" s="115"/>
      <c r="D566" s="4"/>
      <c r="E566" s="4"/>
      <c r="F566" s="4"/>
      <c r="G566" s="4"/>
      <c r="H566" s="4"/>
      <c r="I566" s="4"/>
      <c r="J566" s="4"/>
      <c r="K566" s="1"/>
      <c r="L566" s="1"/>
      <c r="M566" s="1"/>
      <c r="N566" s="1"/>
      <c r="O566" s="1"/>
      <c r="P566" s="1"/>
      <c r="Q566" s="1"/>
      <c r="R566" s="1"/>
      <c r="S566" s="1"/>
      <c r="T566" s="1"/>
      <c r="U566" s="1"/>
      <c r="V566" s="1"/>
      <c r="W566" s="1"/>
      <c r="X566" s="1"/>
      <c r="Y566" s="1"/>
      <c r="Z566" s="1"/>
    </row>
    <row r="567" spans="1:26" ht="15.75" customHeight="1">
      <c r="A567" s="4"/>
      <c r="B567" s="4"/>
      <c r="C567" s="115"/>
      <c r="D567" s="4"/>
      <c r="E567" s="4"/>
      <c r="F567" s="4"/>
      <c r="G567" s="4"/>
      <c r="H567" s="4"/>
      <c r="I567" s="4"/>
      <c r="J567" s="4"/>
      <c r="K567" s="1"/>
      <c r="L567" s="1"/>
      <c r="M567" s="1"/>
      <c r="N567" s="1"/>
      <c r="O567" s="1"/>
      <c r="P567" s="1"/>
      <c r="Q567" s="1"/>
      <c r="R567" s="1"/>
      <c r="S567" s="1"/>
      <c r="T567" s="1"/>
      <c r="U567" s="1"/>
      <c r="V567" s="1"/>
      <c r="W567" s="1"/>
      <c r="X567" s="1"/>
      <c r="Y567" s="1"/>
      <c r="Z567" s="1"/>
    </row>
    <row r="568" spans="1:26" ht="15.75" customHeight="1">
      <c r="A568" s="4"/>
      <c r="B568" s="4"/>
      <c r="C568" s="115"/>
      <c r="D568" s="4"/>
      <c r="E568" s="4"/>
      <c r="F568" s="4"/>
      <c r="G568" s="4"/>
      <c r="H568" s="4"/>
      <c r="I568" s="4"/>
      <c r="J568" s="4"/>
      <c r="K568" s="1"/>
      <c r="L568" s="1"/>
      <c r="M568" s="1"/>
      <c r="N568" s="1"/>
      <c r="O568" s="1"/>
      <c r="P568" s="1"/>
      <c r="Q568" s="1"/>
      <c r="R568" s="1"/>
      <c r="S568" s="1"/>
      <c r="T568" s="1"/>
      <c r="U568" s="1"/>
      <c r="V568" s="1"/>
      <c r="W568" s="1"/>
      <c r="X568" s="1"/>
      <c r="Y568" s="1"/>
      <c r="Z568" s="1"/>
    </row>
    <row r="569" spans="1:26" ht="15.75" customHeight="1">
      <c r="A569" s="4"/>
      <c r="B569" s="4"/>
      <c r="C569" s="115"/>
      <c r="D569" s="4"/>
      <c r="E569" s="4"/>
      <c r="F569" s="4"/>
      <c r="G569" s="4"/>
      <c r="H569" s="4"/>
      <c r="I569" s="4"/>
      <c r="J569" s="4"/>
      <c r="K569" s="1"/>
      <c r="L569" s="1"/>
      <c r="M569" s="1"/>
      <c r="N569" s="1"/>
      <c r="O569" s="1"/>
      <c r="P569" s="1"/>
      <c r="Q569" s="1"/>
      <c r="R569" s="1"/>
      <c r="S569" s="1"/>
      <c r="T569" s="1"/>
      <c r="U569" s="1"/>
      <c r="V569" s="1"/>
      <c r="W569" s="1"/>
      <c r="X569" s="1"/>
      <c r="Y569" s="1"/>
      <c r="Z569" s="1"/>
    </row>
    <row r="570" spans="1:26" ht="15.75" customHeight="1">
      <c r="A570" s="4"/>
      <c r="B570" s="4"/>
      <c r="C570" s="115"/>
      <c r="D570" s="4"/>
      <c r="E570" s="4"/>
      <c r="F570" s="4"/>
      <c r="G570" s="4"/>
      <c r="H570" s="4"/>
      <c r="I570" s="4"/>
      <c r="J570" s="4"/>
      <c r="K570" s="1"/>
      <c r="L570" s="1"/>
      <c r="M570" s="1"/>
      <c r="N570" s="1"/>
      <c r="O570" s="1"/>
      <c r="P570" s="1"/>
      <c r="Q570" s="1"/>
      <c r="R570" s="1"/>
      <c r="S570" s="1"/>
      <c r="T570" s="1"/>
      <c r="U570" s="1"/>
      <c r="V570" s="1"/>
      <c r="W570" s="1"/>
      <c r="X570" s="1"/>
      <c r="Y570" s="1"/>
      <c r="Z570" s="1"/>
    </row>
    <row r="571" spans="1:26" ht="15.75" customHeight="1">
      <c r="A571" s="4"/>
      <c r="B571" s="4"/>
      <c r="C571" s="115"/>
      <c r="D571" s="4"/>
      <c r="E571" s="4"/>
      <c r="F571" s="4"/>
      <c r="G571" s="4"/>
      <c r="H571" s="4"/>
      <c r="I571" s="4"/>
      <c r="J571" s="4"/>
      <c r="K571" s="1"/>
      <c r="L571" s="1"/>
      <c r="M571" s="1"/>
      <c r="N571" s="1"/>
      <c r="O571" s="1"/>
      <c r="P571" s="1"/>
      <c r="Q571" s="1"/>
      <c r="R571" s="1"/>
      <c r="S571" s="1"/>
      <c r="T571" s="1"/>
      <c r="U571" s="1"/>
      <c r="V571" s="1"/>
      <c r="W571" s="1"/>
      <c r="X571" s="1"/>
      <c r="Y571" s="1"/>
      <c r="Z571" s="1"/>
    </row>
    <row r="572" spans="1:26" ht="15.75" customHeight="1">
      <c r="A572" s="4"/>
      <c r="B572" s="4"/>
      <c r="C572" s="115"/>
      <c r="D572" s="4"/>
      <c r="E572" s="4"/>
      <c r="F572" s="4"/>
      <c r="G572" s="4"/>
      <c r="H572" s="4"/>
      <c r="I572" s="4"/>
      <c r="J572" s="4"/>
      <c r="K572" s="1"/>
      <c r="L572" s="1"/>
      <c r="M572" s="1"/>
      <c r="N572" s="1"/>
      <c r="O572" s="1"/>
      <c r="P572" s="1"/>
      <c r="Q572" s="1"/>
      <c r="R572" s="1"/>
      <c r="S572" s="1"/>
      <c r="T572" s="1"/>
      <c r="U572" s="1"/>
      <c r="V572" s="1"/>
      <c r="W572" s="1"/>
      <c r="X572" s="1"/>
      <c r="Y572" s="1"/>
      <c r="Z572" s="1"/>
    </row>
    <row r="573" spans="1:26" ht="15.75" customHeight="1">
      <c r="A573" s="4"/>
      <c r="B573" s="4"/>
      <c r="C573" s="115"/>
      <c r="D573" s="4"/>
      <c r="E573" s="4"/>
      <c r="F573" s="4"/>
      <c r="G573" s="4"/>
      <c r="H573" s="4"/>
      <c r="I573" s="4"/>
      <c r="J573" s="4"/>
      <c r="K573" s="1"/>
      <c r="L573" s="1"/>
      <c r="M573" s="1"/>
      <c r="N573" s="1"/>
      <c r="O573" s="1"/>
      <c r="P573" s="1"/>
      <c r="Q573" s="1"/>
      <c r="R573" s="1"/>
      <c r="S573" s="1"/>
      <c r="T573" s="1"/>
      <c r="U573" s="1"/>
      <c r="V573" s="1"/>
      <c r="W573" s="1"/>
      <c r="X573" s="1"/>
      <c r="Y573" s="1"/>
      <c r="Z573" s="1"/>
    </row>
    <row r="574" spans="1:26" ht="15.75" customHeight="1">
      <c r="A574" s="4"/>
      <c r="B574" s="4"/>
      <c r="C574" s="115"/>
      <c r="D574" s="4"/>
      <c r="E574" s="4"/>
      <c r="F574" s="4"/>
      <c r="G574" s="4"/>
      <c r="H574" s="4"/>
      <c r="I574" s="4"/>
      <c r="J574" s="4"/>
      <c r="K574" s="1"/>
      <c r="L574" s="1"/>
      <c r="M574" s="1"/>
      <c r="N574" s="1"/>
      <c r="O574" s="1"/>
      <c r="P574" s="1"/>
      <c r="Q574" s="1"/>
      <c r="R574" s="1"/>
      <c r="S574" s="1"/>
      <c r="T574" s="1"/>
      <c r="U574" s="1"/>
      <c r="V574" s="1"/>
      <c r="W574" s="1"/>
      <c r="X574" s="1"/>
      <c r="Y574" s="1"/>
      <c r="Z574" s="1"/>
    </row>
    <row r="575" spans="1:26" ht="15.75" customHeight="1">
      <c r="A575" s="4"/>
      <c r="B575" s="4"/>
      <c r="C575" s="115"/>
      <c r="D575" s="4"/>
      <c r="E575" s="4"/>
      <c r="F575" s="4"/>
      <c r="G575" s="4"/>
      <c r="H575" s="4"/>
      <c r="I575" s="4"/>
      <c r="J575" s="4"/>
      <c r="K575" s="1"/>
      <c r="L575" s="1"/>
      <c r="M575" s="1"/>
      <c r="N575" s="1"/>
      <c r="O575" s="1"/>
      <c r="P575" s="1"/>
      <c r="Q575" s="1"/>
      <c r="R575" s="1"/>
      <c r="S575" s="1"/>
      <c r="T575" s="1"/>
      <c r="U575" s="1"/>
      <c r="V575" s="1"/>
      <c r="W575" s="1"/>
      <c r="X575" s="1"/>
      <c r="Y575" s="1"/>
      <c r="Z575" s="1"/>
    </row>
    <row r="576" spans="1:26" ht="15.75" customHeight="1">
      <c r="A576" s="4"/>
      <c r="B576" s="4"/>
      <c r="C576" s="115"/>
      <c r="D576" s="4"/>
      <c r="E576" s="4"/>
      <c r="F576" s="4"/>
      <c r="G576" s="4"/>
      <c r="H576" s="4"/>
      <c r="I576" s="4"/>
      <c r="J576" s="4"/>
      <c r="K576" s="1"/>
      <c r="L576" s="1"/>
      <c r="M576" s="1"/>
      <c r="N576" s="1"/>
      <c r="O576" s="1"/>
      <c r="P576" s="1"/>
      <c r="Q576" s="1"/>
      <c r="R576" s="1"/>
      <c r="S576" s="1"/>
      <c r="T576" s="1"/>
      <c r="U576" s="1"/>
      <c r="V576" s="1"/>
      <c r="W576" s="1"/>
      <c r="X576" s="1"/>
      <c r="Y576" s="1"/>
      <c r="Z576" s="1"/>
    </row>
    <row r="577" spans="1:26" ht="15.75" customHeight="1">
      <c r="A577" s="4"/>
      <c r="B577" s="4"/>
      <c r="C577" s="115"/>
      <c r="D577" s="4"/>
      <c r="E577" s="4"/>
      <c r="F577" s="4"/>
      <c r="G577" s="4"/>
      <c r="H577" s="4"/>
      <c r="I577" s="4"/>
      <c r="J577" s="4"/>
      <c r="K577" s="1"/>
      <c r="L577" s="1"/>
      <c r="M577" s="1"/>
      <c r="N577" s="1"/>
      <c r="O577" s="1"/>
      <c r="P577" s="1"/>
      <c r="Q577" s="1"/>
      <c r="R577" s="1"/>
      <c r="S577" s="1"/>
      <c r="T577" s="1"/>
      <c r="U577" s="1"/>
      <c r="V577" s="1"/>
      <c r="W577" s="1"/>
      <c r="X577" s="1"/>
      <c r="Y577" s="1"/>
      <c r="Z577" s="1"/>
    </row>
    <row r="578" spans="1:26" ht="15.75" customHeight="1">
      <c r="A578" s="4"/>
      <c r="B578" s="4"/>
      <c r="C578" s="115"/>
      <c r="D578" s="4"/>
      <c r="E578" s="4"/>
      <c r="F578" s="4"/>
      <c r="G578" s="4"/>
      <c r="H578" s="4"/>
      <c r="I578" s="4"/>
      <c r="J578" s="4"/>
      <c r="K578" s="1"/>
      <c r="L578" s="1"/>
      <c r="M578" s="1"/>
      <c r="N578" s="1"/>
      <c r="O578" s="1"/>
      <c r="P578" s="1"/>
      <c r="Q578" s="1"/>
      <c r="R578" s="1"/>
      <c r="S578" s="1"/>
      <c r="T578" s="1"/>
      <c r="U578" s="1"/>
      <c r="V578" s="1"/>
      <c r="W578" s="1"/>
      <c r="X578" s="1"/>
      <c r="Y578" s="1"/>
      <c r="Z578" s="1"/>
    </row>
    <row r="579" spans="1:26" ht="15.75" customHeight="1">
      <c r="A579" s="4"/>
      <c r="B579" s="4"/>
      <c r="C579" s="115"/>
      <c r="D579" s="4"/>
      <c r="E579" s="4"/>
      <c r="F579" s="4"/>
      <c r="G579" s="4"/>
      <c r="H579" s="4"/>
      <c r="I579" s="4"/>
      <c r="J579" s="4"/>
      <c r="K579" s="1"/>
      <c r="L579" s="1"/>
      <c r="M579" s="1"/>
      <c r="N579" s="1"/>
      <c r="O579" s="1"/>
      <c r="P579" s="1"/>
      <c r="Q579" s="1"/>
      <c r="R579" s="1"/>
      <c r="S579" s="1"/>
      <c r="T579" s="1"/>
      <c r="U579" s="1"/>
      <c r="V579" s="1"/>
      <c r="W579" s="1"/>
      <c r="X579" s="1"/>
      <c r="Y579" s="1"/>
      <c r="Z579" s="1"/>
    </row>
    <row r="580" spans="1:26" ht="15.75" customHeight="1">
      <c r="A580" s="4"/>
      <c r="B580" s="4"/>
      <c r="C580" s="115"/>
      <c r="D580" s="4"/>
      <c r="E580" s="4"/>
      <c r="F580" s="4"/>
      <c r="G580" s="4"/>
      <c r="H580" s="4"/>
      <c r="I580" s="4"/>
      <c r="J580" s="4"/>
      <c r="K580" s="1"/>
      <c r="L580" s="1"/>
      <c r="M580" s="1"/>
      <c r="N580" s="1"/>
      <c r="O580" s="1"/>
      <c r="P580" s="1"/>
      <c r="Q580" s="1"/>
      <c r="R580" s="1"/>
      <c r="S580" s="1"/>
      <c r="T580" s="1"/>
      <c r="U580" s="1"/>
      <c r="V580" s="1"/>
      <c r="W580" s="1"/>
      <c r="X580" s="1"/>
      <c r="Y580" s="1"/>
      <c r="Z580" s="1"/>
    </row>
    <row r="581" spans="1:26" ht="15.75" customHeight="1">
      <c r="A581" s="4"/>
      <c r="B581" s="4"/>
      <c r="C581" s="115"/>
      <c r="D581" s="4"/>
      <c r="E581" s="4"/>
      <c r="F581" s="4"/>
      <c r="G581" s="4"/>
      <c r="H581" s="4"/>
      <c r="I581" s="4"/>
      <c r="J581" s="4"/>
      <c r="K581" s="1"/>
      <c r="L581" s="1"/>
      <c r="M581" s="1"/>
      <c r="N581" s="1"/>
      <c r="O581" s="1"/>
      <c r="P581" s="1"/>
      <c r="Q581" s="1"/>
      <c r="R581" s="1"/>
      <c r="S581" s="1"/>
      <c r="T581" s="1"/>
      <c r="U581" s="1"/>
      <c r="V581" s="1"/>
      <c r="W581" s="1"/>
      <c r="X581" s="1"/>
      <c r="Y581" s="1"/>
      <c r="Z581" s="1"/>
    </row>
    <row r="582" spans="1:26" ht="15.75" customHeight="1">
      <c r="A582" s="4"/>
      <c r="B582" s="4"/>
      <c r="C582" s="115"/>
      <c r="D582" s="4"/>
      <c r="E582" s="4"/>
      <c r="F582" s="4"/>
      <c r="G582" s="4"/>
      <c r="H582" s="4"/>
      <c r="I582" s="4"/>
      <c r="J582" s="4"/>
      <c r="K582" s="1"/>
      <c r="L582" s="1"/>
      <c r="M582" s="1"/>
      <c r="N582" s="1"/>
      <c r="O582" s="1"/>
      <c r="P582" s="1"/>
      <c r="Q582" s="1"/>
      <c r="R582" s="1"/>
      <c r="S582" s="1"/>
      <c r="T582" s="1"/>
      <c r="U582" s="1"/>
      <c r="V582" s="1"/>
      <c r="W582" s="1"/>
      <c r="X582" s="1"/>
      <c r="Y582" s="1"/>
      <c r="Z582" s="1"/>
    </row>
    <row r="583" spans="1:26" ht="15.75" customHeight="1">
      <c r="A583" s="4"/>
      <c r="B583" s="4"/>
      <c r="C583" s="115"/>
      <c r="D583" s="4"/>
      <c r="E583" s="4"/>
      <c r="F583" s="4"/>
      <c r="G583" s="4"/>
      <c r="H583" s="4"/>
      <c r="I583" s="4"/>
      <c r="J583" s="4"/>
      <c r="K583" s="1"/>
      <c r="L583" s="1"/>
      <c r="M583" s="1"/>
      <c r="N583" s="1"/>
      <c r="O583" s="1"/>
      <c r="P583" s="1"/>
      <c r="Q583" s="1"/>
      <c r="R583" s="1"/>
      <c r="S583" s="1"/>
      <c r="T583" s="1"/>
      <c r="U583" s="1"/>
      <c r="V583" s="1"/>
      <c r="W583" s="1"/>
      <c r="X583" s="1"/>
      <c r="Y583" s="1"/>
      <c r="Z583" s="1"/>
    </row>
    <row r="584" spans="1:26" ht="15.75" customHeight="1">
      <c r="A584" s="4"/>
      <c r="B584" s="4"/>
      <c r="C584" s="115"/>
      <c r="D584" s="4"/>
      <c r="E584" s="4"/>
      <c r="F584" s="4"/>
      <c r="G584" s="4"/>
      <c r="H584" s="4"/>
      <c r="I584" s="4"/>
      <c r="J584" s="4"/>
      <c r="K584" s="1"/>
      <c r="L584" s="1"/>
      <c r="M584" s="1"/>
      <c r="N584" s="1"/>
      <c r="O584" s="1"/>
      <c r="P584" s="1"/>
      <c r="Q584" s="1"/>
      <c r="R584" s="1"/>
      <c r="S584" s="1"/>
      <c r="T584" s="1"/>
      <c r="U584" s="1"/>
      <c r="V584" s="1"/>
      <c r="W584" s="1"/>
      <c r="X584" s="1"/>
      <c r="Y584" s="1"/>
      <c r="Z584" s="1"/>
    </row>
    <row r="585" spans="1:26" ht="15.75" customHeight="1">
      <c r="A585" s="4"/>
      <c r="B585" s="4"/>
      <c r="C585" s="115"/>
      <c r="D585" s="4"/>
      <c r="E585" s="4"/>
      <c r="F585" s="4"/>
      <c r="G585" s="4"/>
      <c r="H585" s="4"/>
      <c r="I585" s="4"/>
      <c r="J585" s="4"/>
      <c r="K585" s="1"/>
      <c r="L585" s="1"/>
      <c r="M585" s="1"/>
      <c r="N585" s="1"/>
      <c r="O585" s="1"/>
      <c r="P585" s="1"/>
      <c r="Q585" s="1"/>
      <c r="R585" s="1"/>
      <c r="S585" s="1"/>
      <c r="T585" s="1"/>
      <c r="U585" s="1"/>
      <c r="V585" s="1"/>
      <c r="W585" s="1"/>
      <c r="X585" s="1"/>
      <c r="Y585" s="1"/>
      <c r="Z585" s="1"/>
    </row>
    <row r="586" spans="1:26" ht="15.75" customHeight="1">
      <c r="A586" s="4"/>
      <c r="B586" s="4"/>
      <c r="C586" s="115"/>
      <c r="D586" s="4"/>
      <c r="E586" s="4"/>
      <c r="F586" s="4"/>
      <c r="G586" s="4"/>
      <c r="H586" s="4"/>
      <c r="I586" s="4"/>
      <c r="J586" s="4"/>
      <c r="K586" s="1"/>
      <c r="L586" s="1"/>
      <c r="M586" s="1"/>
      <c r="N586" s="1"/>
      <c r="O586" s="1"/>
      <c r="P586" s="1"/>
      <c r="Q586" s="1"/>
      <c r="R586" s="1"/>
      <c r="S586" s="1"/>
      <c r="T586" s="1"/>
      <c r="U586" s="1"/>
      <c r="V586" s="1"/>
      <c r="W586" s="1"/>
      <c r="X586" s="1"/>
      <c r="Y586" s="1"/>
      <c r="Z586" s="1"/>
    </row>
    <row r="587" spans="1:26" ht="15.75" customHeight="1">
      <c r="A587" s="4"/>
      <c r="B587" s="4"/>
      <c r="C587" s="115"/>
      <c r="D587" s="4"/>
      <c r="E587" s="4"/>
      <c r="F587" s="4"/>
      <c r="G587" s="4"/>
      <c r="H587" s="4"/>
      <c r="I587" s="4"/>
      <c r="J587" s="4"/>
      <c r="K587" s="1"/>
      <c r="L587" s="1"/>
      <c r="M587" s="1"/>
      <c r="N587" s="1"/>
      <c r="O587" s="1"/>
      <c r="P587" s="1"/>
      <c r="Q587" s="1"/>
      <c r="R587" s="1"/>
      <c r="S587" s="1"/>
      <c r="T587" s="1"/>
      <c r="U587" s="1"/>
      <c r="V587" s="1"/>
      <c r="W587" s="1"/>
      <c r="X587" s="1"/>
      <c r="Y587" s="1"/>
      <c r="Z587" s="1"/>
    </row>
    <row r="588" spans="1:26" ht="15.75" customHeight="1">
      <c r="A588" s="4"/>
      <c r="B588" s="4"/>
      <c r="C588" s="115"/>
      <c r="D588" s="4"/>
      <c r="E588" s="4"/>
      <c r="F588" s="4"/>
      <c r="G588" s="4"/>
      <c r="H588" s="4"/>
      <c r="I588" s="4"/>
      <c r="J588" s="4"/>
      <c r="K588" s="1"/>
      <c r="L588" s="1"/>
      <c r="M588" s="1"/>
      <c r="N588" s="1"/>
      <c r="O588" s="1"/>
      <c r="P588" s="1"/>
      <c r="Q588" s="1"/>
      <c r="R588" s="1"/>
      <c r="S588" s="1"/>
      <c r="T588" s="1"/>
      <c r="U588" s="1"/>
      <c r="V588" s="1"/>
      <c r="W588" s="1"/>
      <c r="X588" s="1"/>
      <c r="Y588" s="1"/>
      <c r="Z588" s="1"/>
    </row>
    <row r="589" spans="1:26" ht="15.75" customHeight="1">
      <c r="A589" s="4"/>
      <c r="B589" s="4"/>
      <c r="C589" s="115"/>
      <c r="D589" s="4"/>
      <c r="E589" s="4"/>
      <c r="F589" s="4"/>
      <c r="G589" s="4"/>
      <c r="H589" s="4"/>
      <c r="I589" s="4"/>
      <c r="J589" s="4"/>
      <c r="K589" s="1"/>
      <c r="L589" s="1"/>
      <c r="M589" s="1"/>
      <c r="N589" s="1"/>
      <c r="O589" s="1"/>
      <c r="P589" s="1"/>
      <c r="Q589" s="1"/>
      <c r="R589" s="1"/>
      <c r="S589" s="1"/>
      <c r="T589" s="1"/>
      <c r="U589" s="1"/>
      <c r="V589" s="1"/>
      <c r="W589" s="1"/>
      <c r="X589" s="1"/>
      <c r="Y589" s="1"/>
      <c r="Z589" s="1"/>
    </row>
    <row r="590" spans="1:26" ht="15.75" customHeight="1">
      <c r="A590" s="4"/>
      <c r="B590" s="4"/>
      <c r="C590" s="115"/>
      <c r="D590" s="4"/>
      <c r="E590" s="4"/>
      <c r="F590" s="4"/>
      <c r="G590" s="4"/>
      <c r="H590" s="4"/>
      <c r="I590" s="4"/>
      <c r="J590" s="4"/>
      <c r="K590" s="1"/>
      <c r="L590" s="1"/>
      <c r="M590" s="1"/>
      <c r="N590" s="1"/>
      <c r="O590" s="1"/>
      <c r="P590" s="1"/>
      <c r="Q590" s="1"/>
      <c r="R590" s="1"/>
      <c r="S590" s="1"/>
      <c r="T590" s="1"/>
      <c r="U590" s="1"/>
      <c r="V590" s="1"/>
      <c r="W590" s="1"/>
      <c r="X590" s="1"/>
      <c r="Y590" s="1"/>
      <c r="Z590" s="1"/>
    </row>
    <row r="591" spans="1:26" ht="15.75" customHeight="1">
      <c r="A591" s="4"/>
      <c r="B591" s="4"/>
      <c r="C591" s="115"/>
      <c r="D591" s="4"/>
      <c r="E591" s="4"/>
      <c r="F591" s="4"/>
      <c r="G591" s="4"/>
      <c r="H591" s="4"/>
      <c r="I591" s="4"/>
      <c r="J591" s="4"/>
      <c r="K591" s="1"/>
      <c r="L591" s="1"/>
      <c r="M591" s="1"/>
      <c r="N591" s="1"/>
      <c r="O591" s="1"/>
      <c r="P591" s="1"/>
      <c r="Q591" s="1"/>
      <c r="R591" s="1"/>
      <c r="S591" s="1"/>
      <c r="T591" s="1"/>
      <c r="U591" s="1"/>
      <c r="V591" s="1"/>
      <c r="W591" s="1"/>
      <c r="X591" s="1"/>
      <c r="Y591" s="1"/>
      <c r="Z591" s="1"/>
    </row>
    <row r="592" spans="1:26" ht="15.75" customHeight="1">
      <c r="A592" s="4"/>
      <c r="B592" s="4"/>
      <c r="C592" s="115"/>
      <c r="D592" s="4"/>
      <c r="E592" s="4"/>
      <c r="F592" s="4"/>
      <c r="G592" s="4"/>
      <c r="H592" s="4"/>
      <c r="I592" s="4"/>
      <c r="J592" s="4"/>
      <c r="K592" s="1"/>
      <c r="L592" s="1"/>
      <c r="M592" s="1"/>
      <c r="N592" s="1"/>
      <c r="O592" s="1"/>
      <c r="P592" s="1"/>
      <c r="Q592" s="1"/>
      <c r="R592" s="1"/>
      <c r="S592" s="1"/>
      <c r="T592" s="1"/>
      <c r="U592" s="1"/>
      <c r="V592" s="1"/>
      <c r="W592" s="1"/>
      <c r="X592" s="1"/>
      <c r="Y592" s="1"/>
      <c r="Z592" s="1"/>
    </row>
    <row r="593" spans="1:26" ht="15.75" customHeight="1">
      <c r="A593" s="4"/>
      <c r="B593" s="4"/>
      <c r="C593" s="115"/>
      <c r="D593" s="4"/>
      <c r="E593" s="4"/>
      <c r="F593" s="4"/>
      <c r="G593" s="4"/>
      <c r="H593" s="4"/>
      <c r="I593" s="4"/>
      <c r="J593" s="4"/>
      <c r="K593" s="1"/>
      <c r="L593" s="1"/>
      <c r="M593" s="1"/>
      <c r="N593" s="1"/>
      <c r="O593" s="1"/>
      <c r="P593" s="1"/>
      <c r="Q593" s="1"/>
      <c r="R593" s="1"/>
      <c r="S593" s="1"/>
      <c r="T593" s="1"/>
      <c r="U593" s="1"/>
      <c r="V593" s="1"/>
      <c r="W593" s="1"/>
      <c r="X593" s="1"/>
      <c r="Y593" s="1"/>
      <c r="Z593" s="1"/>
    </row>
    <row r="594" spans="1:26" ht="15.75" customHeight="1">
      <c r="A594" s="4"/>
      <c r="B594" s="4"/>
      <c r="C594" s="115"/>
      <c r="D594" s="4"/>
      <c r="E594" s="4"/>
      <c r="F594" s="4"/>
      <c r="G594" s="4"/>
      <c r="H594" s="4"/>
      <c r="I594" s="4"/>
      <c r="J594" s="4"/>
      <c r="K594" s="1"/>
      <c r="L594" s="1"/>
      <c r="M594" s="1"/>
      <c r="N594" s="1"/>
      <c r="O594" s="1"/>
      <c r="P594" s="1"/>
      <c r="Q594" s="1"/>
      <c r="R594" s="1"/>
      <c r="S594" s="1"/>
      <c r="T594" s="1"/>
      <c r="U594" s="1"/>
      <c r="V594" s="1"/>
      <c r="W594" s="1"/>
      <c r="X594" s="1"/>
      <c r="Y594" s="1"/>
      <c r="Z594" s="1"/>
    </row>
    <row r="595" spans="1:26" ht="15.75" customHeight="1">
      <c r="A595" s="4"/>
      <c r="B595" s="4"/>
      <c r="C595" s="115"/>
      <c r="D595" s="4"/>
      <c r="E595" s="4"/>
      <c r="F595" s="4"/>
      <c r="G595" s="4"/>
      <c r="H595" s="4"/>
      <c r="I595" s="4"/>
      <c r="J595" s="4"/>
      <c r="K595" s="1"/>
      <c r="L595" s="1"/>
      <c r="M595" s="1"/>
      <c r="N595" s="1"/>
      <c r="O595" s="1"/>
      <c r="P595" s="1"/>
      <c r="Q595" s="1"/>
      <c r="R595" s="1"/>
      <c r="S595" s="1"/>
      <c r="T595" s="1"/>
      <c r="U595" s="1"/>
      <c r="V595" s="1"/>
      <c r="W595" s="1"/>
      <c r="X595" s="1"/>
      <c r="Y595" s="1"/>
      <c r="Z595" s="1"/>
    </row>
    <row r="596" spans="1:26" ht="15.75" customHeight="1">
      <c r="A596" s="4"/>
      <c r="B596" s="4"/>
      <c r="C596" s="115"/>
      <c r="D596" s="4"/>
      <c r="E596" s="4"/>
      <c r="F596" s="4"/>
      <c r="G596" s="4"/>
      <c r="H596" s="4"/>
      <c r="I596" s="4"/>
      <c r="J596" s="4"/>
      <c r="K596" s="1"/>
      <c r="L596" s="1"/>
      <c r="M596" s="1"/>
      <c r="N596" s="1"/>
      <c r="O596" s="1"/>
      <c r="P596" s="1"/>
      <c r="Q596" s="1"/>
      <c r="R596" s="1"/>
      <c r="S596" s="1"/>
      <c r="T596" s="1"/>
      <c r="U596" s="1"/>
      <c r="V596" s="1"/>
      <c r="W596" s="1"/>
      <c r="X596" s="1"/>
      <c r="Y596" s="1"/>
      <c r="Z596" s="1"/>
    </row>
    <row r="597" spans="1:26" ht="15.75" customHeight="1">
      <c r="A597" s="4"/>
      <c r="B597" s="4"/>
      <c r="C597" s="115"/>
      <c r="D597" s="4"/>
      <c r="E597" s="4"/>
      <c r="F597" s="4"/>
      <c r="G597" s="4"/>
      <c r="H597" s="4"/>
      <c r="I597" s="4"/>
      <c r="J597" s="4"/>
      <c r="K597" s="1"/>
      <c r="L597" s="1"/>
      <c r="M597" s="1"/>
      <c r="N597" s="1"/>
      <c r="O597" s="1"/>
      <c r="P597" s="1"/>
      <c r="Q597" s="1"/>
      <c r="R597" s="1"/>
      <c r="S597" s="1"/>
      <c r="T597" s="1"/>
      <c r="U597" s="1"/>
      <c r="V597" s="1"/>
      <c r="W597" s="1"/>
      <c r="X597" s="1"/>
      <c r="Y597" s="1"/>
      <c r="Z597" s="1"/>
    </row>
    <row r="598" spans="1:26" ht="15.75" customHeight="1">
      <c r="A598" s="4"/>
      <c r="B598" s="4"/>
      <c r="C598" s="115"/>
      <c r="D598" s="4"/>
      <c r="E598" s="4"/>
      <c r="F598" s="4"/>
      <c r="G598" s="4"/>
      <c r="H598" s="4"/>
      <c r="I598" s="4"/>
      <c r="J598" s="4"/>
      <c r="K598" s="1"/>
      <c r="L598" s="1"/>
      <c r="M598" s="1"/>
      <c r="N598" s="1"/>
      <c r="O598" s="1"/>
      <c r="P598" s="1"/>
      <c r="Q598" s="1"/>
      <c r="R598" s="1"/>
      <c r="S598" s="1"/>
      <c r="T598" s="1"/>
      <c r="U598" s="1"/>
      <c r="V598" s="1"/>
      <c r="W598" s="1"/>
      <c r="X598" s="1"/>
      <c r="Y598" s="1"/>
      <c r="Z598" s="1"/>
    </row>
    <row r="599" spans="1:26" ht="15.75" customHeight="1">
      <c r="A599" s="4"/>
      <c r="B599" s="4"/>
      <c r="C599" s="115"/>
      <c r="D599" s="4"/>
      <c r="E599" s="4"/>
      <c r="F599" s="4"/>
      <c r="G599" s="4"/>
      <c r="H599" s="4"/>
      <c r="I599" s="4"/>
      <c r="J599" s="4"/>
      <c r="K599" s="1"/>
      <c r="L599" s="1"/>
      <c r="M599" s="1"/>
      <c r="N599" s="1"/>
      <c r="O599" s="1"/>
      <c r="P599" s="1"/>
      <c r="Q599" s="1"/>
      <c r="R599" s="1"/>
      <c r="S599" s="1"/>
      <c r="T599" s="1"/>
      <c r="U599" s="1"/>
      <c r="V599" s="1"/>
      <c r="W599" s="1"/>
      <c r="X599" s="1"/>
      <c r="Y599" s="1"/>
      <c r="Z599" s="1"/>
    </row>
    <row r="600" spans="1:26" ht="15.75" customHeight="1">
      <c r="A600" s="4"/>
      <c r="B600" s="4"/>
      <c r="C600" s="115"/>
      <c r="D600" s="4"/>
      <c r="E600" s="4"/>
      <c r="F600" s="4"/>
      <c r="G600" s="4"/>
      <c r="H600" s="4"/>
      <c r="I600" s="4"/>
      <c r="J600" s="4"/>
      <c r="K600" s="1"/>
      <c r="L600" s="1"/>
      <c r="M600" s="1"/>
      <c r="N600" s="1"/>
      <c r="O600" s="1"/>
      <c r="P600" s="1"/>
      <c r="Q600" s="1"/>
      <c r="R600" s="1"/>
      <c r="S600" s="1"/>
      <c r="T600" s="1"/>
      <c r="U600" s="1"/>
      <c r="V600" s="1"/>
      <c r="W600" s="1"/>
      <c r="X600" s="1"/>
      <c r="Y600" s="1"/>
      <c r="Z600" s="1"/>
    </row>
    <row r="601" spans="1:26" ht="15.75" customHeight="1">
      <c r="A601" s="4"/>
      <c r="B601" s="4"/>
      <c r="C601" s="115"/>
      <c r="D601" s="4"/>
      <c r="E601" s="4"/>
      <c r="F601" s="4"/>
      <c r="G601" s="4"/>
      <c r="H601" s="4"/>
      <c r="I601" s="4"/>
      <c r="J601" s="4"/>
      <c r="K601" s="1"/>
      <c r="L601" s="1"/>
      <c r="M601" s="1"/>
      <c r="N601" s="1"/>
      <c r="O601" s="1"/>
      <c r="P601" s="1"/>
      <c r="Q601" s="1"/>
      <c r="R601" s="1"/>
      <c r="S601" s="1"/>
      <c r="T601" s="1"/>
      <c r="U601" s="1"/>
      <c r="V601" s="1"/>
      <c r="W601" s="1"/>
      <c r="X601" s="1"/>
      <c r="Y601" s="1"/>
      <c r="Z601" s="1"/>
    </row>
    <row r="602" spans="1:26" ht="15.75" customHeight="1">
      <c r="A602" s="4"/>
      <c r="B602" s="4"/>
      <c r="C602" s="115"/>
      <c r="D602" s="4"/>
      <c r="E602" s="4"/>
      <c r="F602" s="4"/>
      <c r="G602" s="4"/>
      <c r="H602" s="4"/>
      <c r="I602" s="4"/>
      <c r="J602" s="4"/>
      <c r="K602" s="1"/>
      <c r="L602" s="1"/>
      <c r="M602" s="1"/>
      <c r="N602" s="1"/>
      <c r="O602" s="1"/>
      <c r="P602" s="1"/>
      <c r="Q602" s="1"/>
      <c r="R602" s="1"/>
      <c r="S602" s="1"/>
      <c r="T602" s="1"/>
      <c r="U602" s="1"/>
      <c r="V602" s="1"/>
      <c r="W602" s="1"/>
      <c r="X602" s="1"/>
      <c r="Y602" s="1"/>
      <c r="Z602" s="1"/>
    </row>
    <row r="603" spans="1:26" ht="15.75" customHeight="1">
      <c r="A603" s="4"/>
      <c r="B603" s="4"/>
      <c r="C603" s="115"/>
      <c r="D603" s="4"/>
      <c r="E603" s="4"/>
      <c r="F603" s="4"/>
      <c r="G603" s="4"/>
      <c r="H603" s="4"/>
      <c r="I603" s="4"/>
      <c r="J603" s="4"/>
      <c r="K603" s="1"/>
      <c r="L603" s="1"/>
      <c r="M603" s="1"/>
      <c r="N603" s="1"/>
      <c r="O603" s="1"/>
      <c r="P603" s="1"/>
      <c r="Q603" s="1"/>
      <c r="R603" s="1"/>
      <c r="S603" s="1"/>
      <c r="T603" s="1"/>
      <c r="U603" s="1"/>
      <c r="V603" s="1"/>
      <c r="W603" s="1"/>
      <c r="X603" s="1"/>
      <c r="Y603" s="1"/>
      <c r="Z603" s="1"/>
    </row>
    <row r="604" spans="1:26" ht="15.75" customHeight="1">
      <c r="A604" s="4"/>
      <c r="B604" s="4"/>
      <c r="C604" s="115"/>
      <c r="D604" s="4"/>
      <c r="E604" s="4"/>
      <c r="F604" s="4"/>
      <c r="G604" s="4"/>
      <c r="H604" s="4"/>
      <c r="I604" s="4"/>
      <c r="J604" s="4"/>
      <c r="K604" s="1"/>
      <c r="L604" s="1"/>
      <c r="M604" s="1"/>
      <c r="N604" s="1"/>
      <c r="O604" s="1"/>
      <c r="P604" s="1"/>
      <c r="Q604" s="1"/>
      <c r="R604" s="1"/>
      <c r="S604" s="1"/>
      <c r="T604" s="1"/>
      <c r="U604" s="1"/>
      <c r="V604" s="1"/>
      <c r="W604" s="1"/>
      <c r="X604" s="1"/>
      <c r="Y604" s="1"/>
      <c r="Z604" s="1"/>
    </row>
    <row r="605" spans="1:26" ht="15.75" customHeight="1">
      <c r="A605" s="4"/>
      <c r="B605" s="4"/>
      <c r="C605" s="115"/>
      <c r="D605" s="4"/>
      <c r="E605" s="4"/>
      <c r="F605" s="4"/>
      <c r="G605" s="4"/>
      <c r="H605" s="4"/>
      <c r="I605" s="4"/>
      <c r="J605" s="4"/>
      <c r="K605" s="1"/>
      <c r="L605" s="1"/>
      <c r="M605" s="1"/>
      <c r="N605" s="1"/>
      <c r="O605" s="1"/>
      <c r="P605" s="1"/>
      <c r="Q605" s="1"/>
      <c r="R605" s="1"/>
      <c r="S605" s="1"/>
      <c r="T605" s="1"/>
      <c r="U605" s="1"/>
      <c r="V605" s="1"/>
      <c r="W605" s="1"/>
      <c r="X605" s="1"/>
      <c r="Y605" s="1"/>
      <c r="Z605" s="1"/>
    </row>
    <row r="606" spans="1:26" ht="15.75" customHeight="1">
      <c r="A606" s="4"/>
      <c r="B606" s="4"/>
      <c r="C606" s="115"/>
      <c r="D606" s="4"/>
      <c r="E606" s="4"/>
      <c r="F606" s="4"/>
      <c r="G606" s="4"/>
      <c r="H606" s="4"/>
      <c r="I606" s="4"/>
      <c r="J606" s="4"/>
      <c r="K606" s="1"/>
      <c r="L606" s="1"/>
      <c r="M606" s="1"/>
      <c r="N606" s="1"/>
      <c r="O606" s="1"/>
      <c r="P606" s="1"/>
      <c r="Q606" s="1"/>
      <c r="R606" s="1"/>
      <c r="S606" s="1"/>
      <c r="T606" s="1"/>
      <c r="U606" s="1"/>
      <c r="V606" s="1"/>
      <c r="W606" s="1"/>
      <c r="X606" s="1"/>
      <c r="Y606" s="1"/>
      <c r="Z606" s="1"/>
    </row>
    <row r="607" spans="1:26" ht="15.75" customHeight="1">
      <c r="A607" s="4"/>
      <c r="B607" s="4"/>
      <c r="C607" s="115"/>
      <c r="D607" s="4"/>
      <c r="E607" s="4"/>
      <c r="F607" s="4"/>
      <c r="G607" s="4"/>
      <c r="H607" s="4"/>
      <c r="I607" s="4"/>
      <c r="J607" s="4"/>
      <c r="K607" s="1"/>
      <c r="L607" s="1"/>
      <c r="M607" s="1"/>
      <c r="N607" s="1"/>
      <c r="O607" s="1"/>
      <c r="P607" s="1"/>
      <c r="Q607" s="1"/>
      <c r="R607" s="1"/>
      <c r="S607" s="1"/>
      <c r="T607" s="1"/>
      <c r="U607" s="1"/>
      <c r="V607" s="1"/>
      <c r="W607" s="1"/>
      <c r="X607" s="1"/>
      <c r="Y607" s="1"/>
      <c r="Z607" s="1"/>
    </row>
    <row r="608" spans="1:26" ht="15.75" customHeight="1">
      <c r="A608" s="4"/>
      <c r="B608" s="4"/>
      <c r="C608" s="115"/>
      <c r="D608" s="4"/>
      <c r="E608" s="4"/>
      <c r="F608" s="4"/>
      <c r="G608" s="4"/>
      <c r="H608" s="4"/>
      <c r="I608" s="4"/>
      <c r="J608" s="4"/>
      <c r="K608" s="1"/>
      <c r="L608" s="1"/>
      <c r="M608" s="1"/>
      <c r="N608" s="1"/>
      <c r="O608" s="1"/>
      <c r="P608" s="1"/>
      <c r="Q608" s="1"/>
      <c r="R608" s="1"/>
      <c r="S608" s="1"/>
      <c r="T608" s="1"/>
      <c r="U608" s="1"/>
      <c r="V608" s="1"/>
      <c r="W608" s="1"/>
      <c r="X608" s="1"/>
      <c r="Y608" s="1"/>
      <c r="Z608" s="1"/>
    </row>
    <row r="609" spans="1:26" ht="15.75" customHeight="1">
      <c r="A609" s="4"/>
      <c r="B609" s="4"/>
      <c r="C609" s="115"/>
      <c r="D609" s="4"/>
      <c r="E609" s="4"/>
      <c r="F609" s="4"/>
      <c r="G609" s="4"/>
      <c r="H609" s="4"/>
      <c r="I609" s="4"/>
      <c r="J609" s="4"/>
      <c r="K609" s="1"/>
      <c r="L609" s="1"/>
      <c r="M609" s="1"/>
      <c r="N609" s="1"/>
      <c r="O609" s="1"/>
      <c r="P609" s="1"/>
      <c r="Q609" s="1"/>
      <c r="R609" s="1"/>
      <c r="S609" s="1"/>
      <c r="T609" s="1"/>
      <c r="U609" s="1"/>
      <c r="V609" s="1"/>
      <c r="W609" s="1"/>
      <c r="X609" s="1"/>
      <c r="Y609" s="1"/>
      <c r="Z609" s="1"/>
    </row>
    <row r="610" spans="1:26" ht="15.75" customHeight="1">
      <c r="A610" s="4"/>
      <c r="B610" s="4"/>
      <c r="C610" s="115"/>
      <c r="D610" s="4"/>
      <c r="E610" s="4"/>
      <c r="F610" s="4"/>
      <c r="G610" s="4"/>
      <c r="H610" s="4"/>
      <c r="I610" s="4"/>
      <c r="J610" s="4"/>
      <c r="K610" s="1"/>
      <c r="L610" s="1"/>
      <c r="M610" s="1"/>
      <c r="N610" s="1"/>
      <c r="O610" s="1"/>
      <c r="P610" s="1"/>
      <c r="Q610" s="1"/>
      <c r="R610" s="1"/>
      <c r="S610" s="1"/>
      <c r="T610" s="1"/>
      <c r="U610" s="1"/>
      <c r="V610" s="1"/>
      <c r="W610" s="1"/>
      <c r="X610" s="1"/>
      <c r="Y610" s="1"/>
      <c r="Z610" s="1"/>
    </row>
    <row r="611" spans="1:26" ht="15.75" customHeight="1">
      <c r="A611" s="4"/>
      <c r="B611" s="4"/>
      <c r="C611" s="115"/>
      <c r="D611" s="4"/>
      <c r="E611" s="4"/>
      <c r="F611" s="4"/>
      <c r="G611" s="4"/>
      <c r="H611" s="4"/>
      <c r="I611" s="4"/>
      <c r="J611" s="4"/>
      <c r="K611" s="1"/>
      <c r="L611" s="1"/>
      <c r="M611" s="1"/>
      <c r="N611" s="1"/>
      <c r="O611" s="1"/>
      <c r="P611" s="1"/>
      <c r="Q611" s="1"/>
      <c r="R611" s="1"/>
      <c r="S611" s="1"/>
      <c r="T611" s="1"/>
      <c r="U611" s="1"/>
      <c r="V611" s="1"/>
      <c r="W611" s="1"/>
      <c r="X611" s="1"/>
      <c r="Y611" s="1"/>
      <c r="Z611" s="1"/>
    </row>
    <row r="612" spans="1:26" ht="15.75" customHeight="1">
      <c r="A612" s="4"/>
      <c r="B612" s="4"/>
      <c r="C612" s="115"/>
      <c r="D612" s="4"/>
      <c r="E612" s="4"/>
      <c r="F612" s="4"/>
      <c r="G612" s="4"/>
      <c r="H612" s="4"/>
      <c r="I612" s="4"/>
      <c r="J612" s="4"/>
      <c r="K612" s="1"/>
      <c r="L612" s="1"/>
      <c r="M612" s="1"/>
      <c r="N612" s="1"/>
      <c r="O612" s="1"/>
      <c r="P612" s="1"/>
      <c r="Q612" s="1"/>
      <c r="R612" s="1"/>
      <c r="S612" s="1"/>
      <c r="T612" s="1"/>
      <c r="U612" s="1"/>
      <c r="V612" s="1"/>
      <c r="W612" s="1"/>
      <c r="X612" s="1"/>
      <c r="Y612" s="1"/>
      <c r="Z612" s="1"/>
    </row>
    <row r="613" spans="1:26" ht="15.75" customHeight="1">
      <c r="A613" s="4"/>
      <c r="B613" s="4"/>
      <c r="C613" s="115"/>
      <c r="D613" s="4"/>
      <c r="E613" s="4"/>
      <c r="F613" s="4"/>
      <c r="G613" s="4"/>
      <c r="H613" s="4"/>
      <c r="I613" s="4"/>
      <c r="J613" s="4"/>
      <c r="K613" s="1"/>
      <c r="L613" s="1"/>
      <c r="M613" s="1"/>
      <c r="N613" s="1"/>
      <c r="O613" s="1"/>
      <c r="P613" s="1"/>
      <c r="Q613" s="1"/>
      <c r="R613" s="1"/>
      <c r="S613" s="1"/>
      <c r="T613" s="1"/>
      <c r="U613" s="1"/>
      <c r="V613" s="1"/>
      <c r="W613" s="1"/>
      <c r="X613" s="1"/>
      <c r="Y613" s="1"/>
      <c r="Z613" s="1"/>
    </row>
    <row r="614" spans="1:26" ht="15.75" customHeight="1">
      <c r="A614" s="4"/>
      <c r="B614" s="4"/>
      <c r="C614" s="115"/>
      <c r="D614" s="4"/>
      <c r="E614" s="4"/>
      <c r="F614" s="4"/>
      <c r="G614" s="4"/>
      <c r="H614" s="4"/>
      <c r="I614" s="4"/>
      <c r="J614" s="4"/>
      <c r="K614" s="1"/>
      <c r="L614" s="1"/>
      <c r="M614" s="1"/>
      <c r="N614" s="1"/>
      <c r="O614" s="1"/>
      <c r="P614" s="1"/>
      <c r="Q614" s="1"/>
      <c r="R614" s="1"/>
      <c r="S614" s="1"/>
      <c r="T614" s="1"/>
      <c r="U614" s="1"/>
      <c r="V614" s="1"/>
      <c r="W614" s="1"/>
      <c r="X614" s="1"/>
      <c r="Y614" s="1"/>
      <c r="Z614" s="1"/>
    </row>
    <row r="615" spans="1:26" ht="15.75" customHeight="1">
      <c r="A615" s="4"/>
      <c r="B615" s="4"/>
      <c r="C615" s="115"/>
      <c r="D615" s="4"/>
      <c r="E615" s="4"/>
      <c r="F615" s="4"/>
      <c r="G615" s="4"/>
      <c r="H615" s="4"/>
      <c r="I615" s="4"/>
      <c r="J615" s="4"/>
      <c r="K615" s="1"/>
      <c r="L615" s="1"/>
      <c r="M615" s="1"/>
      <c r="N615" s="1"/>
      <c r="O615" s="1"/>
      <c r="P615" s="1"/>
      <c r="Q615" s="1"/>
      <c r="R615" s="1"/>
      <c r="S615" s="1"/>
      <c r="T615" s="1"/>
      <c r="U615" s="1"/>
      <c r="V615" s="1"/>
      <c r="W615" s="1"/>
      <c r="X615" s="1"/>
      <c r="Y615" s="1"/>
      <c r="Z615" s="1"/>
    </row>
    <row r="616" spans="1:26" ht="15.75" customHeight="1">
      <c r="A616" s="4"/>
      <c r="B616" s="4"/>
      <c r="C616" s="115"/>
      <c r="D616" s="4"/>
      <c r="E616" s="4"/>
      <c r="F616" s="4"/>
      <c r="G616" s="4"/>
      <c r="H616" s="4"/>
      <c r="I616" s="4"/>
      <c r="J616" s="4"/>
      <c r="K616" s="1"/>
      <c r="L616" s="1"/>
      <c r="M616" s="1"/>
      <c r="N616" s="1"/>
      <c r="O616" s="1"/>
      <c r="P616" s="1"/>
      <c r="Q616" s="1"/>
      <c r="R616" s="1"/>
      <c r="S616" s="1"/>
      <c r="T616" s="1"/>
      <c r="U616" s="1"/>
      <c r="V616" s="1"/>
      <c r="W616" s="1"/>
      <c r="X616" s="1"/>
      <c r="Y616" s="1"/>
      <c r="Z616" s="1"/>
    </row>
    <row r="617" spans="1:26" ht="15.75" customHeight="1">
      <c r="A617" s="4"/>
      <c r="B617" s="4"/>
      <c r="C617" s="115"/>
      <c r="D617" s="4"/>
      <c r="E617" s="4"/>
      <c r="F617" s="4"/>
      <c r="G617" s="4"/>
      <c r="H617" s="4"/>
      <c r="I617" s="4"/>
      <c r="J617" s="4"/>
      <c r="K617" s="1"/>
      <c r="L617" s="1"/>
      <c r="M617" s="1"/>
      <c r="N617" s="1"/>
      <c r="O617" s="1"/>
      <c r="P617" s="1"/>
      <c r="Q617" s="1"/>
      <c r="R617" s="1"/>
      <c r="S617" s="1"/>
      <c r="T617" s="1"/>
      <c r="U617" s="1"/>
      <c r="V617" s="1"/>
      <c r="W617" s="1"/>
      <c r="X617" s="1"/>
      <c r="Y617" s="1"/>
      <c r="Z617" s="1"/>
    </row>
    <row r="618" spans="1:26" ht="15.75" customHeight="1">
      <c r="A618" s="4"/>
      <c r="B618" s="4"/>
      <c r="C618" s="115"/>
      <c r="D618" s="4"/>
      <c r="E618" s="4"/>
      <c r="F618" s="4"/>
      <c r="G618" s="4"/>
      <c r="H618" s="4"/>
      <c r="I618" s="4"/>
      <c r="J618" s="4"/>
      <c r="K618" s="1"/>
      <c r="L618" s="1"/>
      <c r="M618" s="1"/>
      <c r="N618" s="1"/>
      <c r="O618" s="1"/>
      <c r="P618" s="1"/>
      <c r="Q618" s="1"/>
      <c r="R618" s="1"/>
      <c r="S618" s="1"/>
      <c r="T618" s="1"/>
      <c r="U618" s="1"/>
      <c r="V618" s="1"/>
      <c r="W618" s="1"/>
      <c r="X618" s="1"/>
      <c r="Y618" s="1"/>
      <c r="Z618" s="1"/>
    </row>
    <row r="619" spans="1:26" ht="15.75" customHeight="1">
      <c r="A619" s="4"/>
      <c r="B619" s="4"/>
      <c r="C619" s="115"/>
      <c r="D619" s="4"/>
      <c r="E619" s="4"/>
      <c r="F619" s="4"/>
      <c r="G619" s="4"/>
      <c r="H619" s="4"/>
      <c r="I619" s="4"/>
      <c r="J619" s="4"/>
      <c r="K619" s="1"/>
      <c r="L619" s="1"/>
      <c r="M619" s="1"/>
      <c r="N619" s="1"/>
      <c r="O619" s="1"/>
      <c r="P619" s="1"/>
      <c r="Q619" s="1"/>
      <c r="R619" s="1"/>
      <c r="S619" s="1"/>
      <c r="T619" s="1"/>
      <c r="U619" s="1"/>
      <c r="V619" s="1"/>
      <c r="W619" s="1"/>
      <c r="X619" s="1"/>
      <c r="Y619" s="1"/>
      <c r="Z619" s="1"/>
    </row>
    <row r="620" spans="1:26" ht="15.75" customHeight="1">
      <c r="A620" s="4"/>
      <c r="B620" s="4"/>
      <c r="C620" s="115"/>
      <c r="D620" s="4"/>
      <c r="E620" s="4"/>
      <c r="F620" s="4"/>
      <c r="G620" s="4"/>
      <c r="H620" s="4"/>
      <c r="I620" s="4"/>
      <c r="J620" s="4"/>
      <c r="K620" s="1"/>
      <c r="L620" s="1"/>
      <c r="M620" s="1"/>
      <c r="N620" s="1"/>
      <c r="O620" s="1"/>
      <c r="P620" s="1"/>
      <c r="Q620" s="1"/>
      <c r="R620" s="1"/>
      <c r="S620" s="1"/>
      <c r="T620" s="1"/>
      <c r="U620" s="1"/>
      <c r="V620" s="1"/>
      <c r="W620" s="1"/>
      <c r="X620" s="1"/>
      <c r="Y620" s="1"/>
      <c r="Z620" s="1"/>
    </row>
    <row r="621" spans="1:26" ht="15.75" customHeight="1">
      <c r="A621" s="4"/>
      <c r="B621" s="4"/>
      <c r="C621" s="115"/>
      <c r="D621" s="4"/>
      <c r="E621" s="4"/>
      <c r="F621" s="4"/>
      <c r="G621" s="4"/>
      <c r="H621" s="4"/>
      <c r="I621" s="4"/>
      <c r="J621" s="4"/>
      <c r="K621" s="1"/>
      <c r="L621" s="1"/>
      <c r="M621" s="1"/>
      <c r="N621" s="1"/>
      <c r="O621" s="1"/>
      <c r="P621" s="1"/>
      <c r="Q621" s="1"/>
      <c r="R621" s="1"/>
      <c r="S621" s="1"/>
      <c r="T621" s="1"/>
      <c r="U621" s="1"/>
      <c r="V621" s="1"/>
      <c r="W621" s="1"/>
      <c r="X621" s="1"/>
      <c r="Y621" s="1"/>
      <c r="Z621" s="1"/>
    </row>
    <row r="622" spans="1:26" ht="15.75" customHeight="1">
      <c r="A622" s="4"/>
      <c r="B622" s="4"/>
      <c r="C622" s="115"/>
      <c r="D622" s="4"/>
      <c r="E622" s="4"/>
      <c r="F622" s="4"/>
      <c r="G622" s="4"/>
      <c r="H622" s="4"/>
      <c r="I622" s="4"/>
      <c r="J622" s="4"/>
      <c r="K622" s="1"/>
      <c r="L622" s="1"/>
      <c r="M622" s="1"/>
      <c r="N622" s="1"/>
      <c r="O622" s="1"/>
      <c r="P622" s="1"/>
      <c r="Q622" s="1"/>
      <c r="R622" s="1"/>
      <c r="S622" s="1"/>
      <c r="T622" s="1"/>
      <c r="U622" s="1"/>
      <c r="V622" s="1"/>
      <c r="W622" s="1"/>
      <c r="X622" s="1"/>
      <c r="Y622" s="1"/>
      <c r="Z622" s="1"/>
    </row>
    <row r="623" spans="1:26" ht="15.75" customHeight="1">
      <c r="A623" s="4"/>
      <c r="B623" s="4"/>
      <c r="C623" s="115"/>
      <c r="D623" s="4"/>
      <c r="E623" s="4"/>
      <c r="F623" s="4"/>
      <c r="G623" s="4"/>
      <c r="H623" s="4"/>
      <c r="I623" s="4"/>
      <c r="J623" s="4"/>
      <c r="K623" s="1"/>
      <c r="L623" s="1"/>
      <c r="M623" s="1"/>
      <c r="N623" s="1"/>
      <c r="O623" s="1"/>
      <c r="P623" s="1"/>
      <c r="Q623" s="1"/>
      <c r="R623" s="1"/>
      <c r="S623" s="1"/>
      <c r="T623" s="1"/>
      <c r="U623" s="1"/>
      <c r="V623" s="1"/>
      <c r="W623" s="1"/>
      <c r="X623" s="1"/>
      <c r="Y623" s="1"/>
      <c r="Z623" s="1"/>
    </row>
    <row r="624" spans="1:26" ht="15.75" customHeight="1">
      <c r="A624" s="4"/>
      <c r="B624" s="4"/>
      <c r="C624" s="115"/>
      <c r="D624" s="4"/>
      <c r="E624" s="4"/>
      <c r="F624" s="4"/>
      <c r="G624" s="4"/>
      <c r="H624" s="4"/>
      <c r="I624" s="4"/>
      <c r="J624" s="4"/>
      <c r="K624" s="1"/>
      <c r="L624" s="1"/>
      <c r="M624" s="1"/>
      <c r="N624" s="1"/>
      <c r="O624" s="1"/>
      <c r="P624" s="1"/>
      <c r="Q624" s="1"/>
      <c r="R624" s="1"/>
      <c r="S624" s="1"/>
      <c r="T624" s="1"/>
      <c r="U624" s="1"/>
      <c r="V624" s="1"/>
      <c r="W624" s="1"/>
      <c r="X624" s="1"/>
      <c r="Y624" s="1"/>
      <c r="Z624" s="1"/>
    </row>
    <row r="625" spans="1:26" ht="15.75" customHeight="1">
      <c r="A625" s="4"/>
      <c r="B625" s="4"/>
      <c r="C625" s="115"/>
      <c r="D625" s="4"/>
      <c r="E625" s="4"/>
      <c r="F625" s="4"/>
      <c r="G625" s="4"/>
      <c r="H625" s="4"/>
      <c r="I625" s="4"/>
      <c r="J625" s="4"/>
      <c r="K625" s="1"/>
      <c r="L625" s="1"/>
      <c r="M625" s="1"/>
      <c r="N625" s="1"/>
      <c r="O625" s="1"/>
      <c r="P625" s="1"/>
      <c r="Q625" s="1"/>
      <c r="R625" s="1"/>
      <c r="S625" s="1"/>
      <c r="T625" s="1"/>
      <c r="U625" s="1"/>
      <c r="V625" s="1"/>
      <c r="W625" s="1"/>
      <c r="X625" s="1"/>
      <c r="Y625" s="1"/>
      <c r="Z625" s="1"/>
    </row>
    <row r="626" spans="1:26" ht="15.75" customHeight="1">
      <c r="A626" s="4"/>
      <c r="B626" s="4"/>
      <c r="C626" s="115"/>
      <c r="D626" s="4"/>
      <c r="E626" s="4"/>
      <c r="F626" s="4"/>
      <c r="G626" s="4"/>
      <c r="H626" s="4"/>
      <c r="I626" s="4"/>
      <c r="J626" s="4"/>
      <c r="K626" s="1"/>
      <c r="L626" s="1"/>
      <c r="M626" s="1"/>
      <c r="N626" s="1"/>
      <c r="O626" s="1"/>
      <c r="P626" s="1"/>
      <c r="Q626" s="1"/>
      <c r="R626" s="1"/>
      <c r="S626" s="1"/>
      <c r="T626" s="1"/>
      <c r="U626" s="1"/>
      <c r="V626" s="1"/>
      <c r="W626" s="1"/>
      <c r="X626" s="1"/>
      <c r="Y626" s="1"/>
      <c r="Z626" s="1"/>
    </row>
    <row r="627" spans="1:26" ht="15.75" customHeight="1">
      <c r="A627" s="4"/>
      <c r="B627" s="4"/>
      <c r="C627" s="115"/>
      <c r="D627" s="4"/>
      <c r="E627" s="4"/>
      <c r="F627" s="4"/>
      <c r="G627" s="4"/>
      <c r="H627" s="4"/>
      <c r="I627" s="4"/>
      <c r="J627" s="4"/>
      <c r="K627" s="1"/>
      <c r="L627" s="1"/>
      <c r="M627" s="1"/>
      <c r="N627" s="1"/>
      <c r="O627" s="1"/>
      <c r="P627" s="1"/>
      <c r="Q627" s="1"/>
      <c r="R627" s="1"/>
      <c r="S627" s="1"/>
      <c r="T627" s="1"/>
      <c r="U627" s="1"/>
      <c r="V627" s="1"/>
      <c r="W627" s="1"/>
      <c r="X627" s="1"/>
      <c r="Y627" s="1"/>
      <c r="Z627" s="1"/>
    </row>
    <row r="628" spans="1:26" ht="15.75" customHeight="1">
      <c r="A628" s="4"/>
      <c r="B628" s="4"/>
      <c r="C628" s="115"/>
      <c r="D628" s="4"/>
      <c r="E628" s="4"/>
      <c r="F628" s="4"/>
      <c r="G628" s="4"/>
      <c r="H628" s="4"/>
      <c r="I628" s="4"/>
      <c r="J628" s="4"/>
      <c r="K628" s="1"/>
      <c r="L628" s="1"/>
      <c r="M628" s="1"/>
      <c r="N628" s="1"/>
      <c r="O628" s="1"/>
      <c r="P628" s="1"/>
      <c r="Q628" s="1"/>
      <c r="R628" s="1"/>
      <c r="S628" s="1"/>
      <c r="T628" s="1"/>
      <c r="U628" s="1"/>
      <c r="V628" s="1"/>
      <c r="W628" s="1"/>
      <c r="X628" s="1"/>
      <c r="Y628" s="1"/>
      <c r="Z628" s="1"/>
    </row>
    <row r="629" spans="1:26" ht="15.75" customHeight="1">
      <c r="A629" s="4"/>
      <c r="B629" s="4"/>
      <c r="C629" s="115"/>
      <c r="D629" s="4"/>
      <c r="E629" s="4"/>
      <c r="F629" s="4"/>
      <c r="G629" s="4"/>
      <c r="H629" s="4"/>
      <c r="I629" s="4"/>
      <c r="J629" s="4"/>
      <c r="K629" s="1"/>
      <c r="L629" s="1"/>
      <c r="M629" s="1"/>
      <c r="N629" s="1"/>
      <c r="O629" s="1"/>
      <c r="P629" s="1"/>
      <c r="Q629" s="1"/>
      <c r="R629" s="1"/>
      <c r="S629" s="1"/>
      <c r="T629" s="1"/>
      <c r="U629" s="1"/>
      <c r="V629" s="1"/>
      <c r="W629" s="1"/>
      <c r="X629" s="1"/>
      <c r="Y629" s="1"/>
      <c r="Z629" s="1"/>
    </row>
    <row r="630" spans="1:26" ht="15.75" customHeight="1">
      <c r="A630" s="4"/>
      <c r="B630" s="4"/>
      <c r="C630" s="115"/>
      <c r="D630" s="4"/>
      <c r="E630" s="4"/>
      <c r="F630" s="4"/>
      <c r="G630" s="4"/>
      <c r="H630" s="4"/>
      <c r="I630" s="4"/>
      <c r="J630" s="4"/>
      <c r="K630" s="1"/>
      <c r="L630" s="1"/>
      <c r="M630" s="1"/>
      <c r="N630" s="1"/>
      <c r="O630" s="1"/>
      <c r="P630" s="1"/>
      <c r="Q630" s="1"/>
      <c r="R630" s="1"/>
      <c r="S630" s="1"/>
      <c r="T630" s="1"/>
      <c r="U630" s="1"/>
      <c r="V630" s="1"/>
      <c r="W630" s="1"/>
      <c r="X630" s="1"/>
      <c r="Y630" s="1"/>
      <c r="Z630" s="1"/>
    </row>
    <row r="631" spans="1:26" ht="15.75" customHeight="1">
      <c r="A631" s="4"/>
      <c r="B631" s="4"/>
      <c r="C631" s="115"/>
      <c r="D631" s="4"/>
      <c r="E631" s="4"/>
      <c r="F631" s="4"/>
      <c r="G631" s="4"/>
      <c r="H631" s="4"/>
      <c r="I631" s="4"/>
      <c r="J631" s="4"/>
      <c r="K631" s="1"/>
      <c r="L631" s="1"/>
      <c r="M631" s="1"/>
      <c r="N631" s="1"/>
      <c r="O631" s="1"/>
      <c r="P631" s="1"/>
      <c r="Q631" s="1"/>
      <c r="R631" s="1"/>
      <c r="S631" s="1"/>
      <c r="T631" s="1"/>
      <c r="U631" s="1"/>
      <c r="V631" s="1"/>
      <c r="W631" s="1"/>
      <c r="X631" s="1"/>
      <c r="Y631" s="1"/>
      <c r="Z631" s="1"/>
    </row>
    <row r="632" spans="1:26" ht="15.75" customHeight="1">
      <c r="A632" s="4"/>
      <c r="B632" s="4"/>
      <c r="C632" s="115"/>
      <c r="D632" s="4"/>
      <c r="E632" s="4"/>
      <c r="F632" s="4"/>
      <c r="G632" s="4"/>
      <c r="H632" s="4"/>
      <c r="I632" s="4"/>
      <c r="J632" s="4"/>
      <c r="K632" s="1"/>
      <c r="L632" s="1"/>
      <c r="M632" s="1"/>
      <c r="N632" s="1"/>
      <c r="O632" s="1"/>
      <c r="P632" s="1"/>
      <c r="Q632" s="1"/>
      <c r="R632" s="1"/>
      <c r="S632" s="1"/>
      <c r="T632" s="1"/>
      <c r="U632" s="1"/>
      <c r="V632" s="1"/>
      <c r="W632" s="1"/>
      <c r="X632" s="1"/>
      <c r="Y632" s="1"/>
      <c r="Z632" s="1"/>
    </row>
    <row r="633" spans="1:26" ht="15.75" customHeight="1">
      <c r="A633" s="4"/>
      <c r="B633" s="4"/>
      <c r="C633" s="115"/>
      <c r="D633" s="4"/>
      <c r="E633" s="4"/>
      <c r="F633" s="4"/>
      <c r="G633" s="4"/>
      <c r="H633" s="4"/>
      <c r="I633" s="4"/>
      <c r="J633" s="4"/>
      <c r="K633" s="1"/>
      <c r="L633" s="1"/>
      <c r="M633" s="1"/>
      <c r="N633" s="1"/>
      <c r="O633" s="1"/>
      <c r="P633" s="1"/>
      <c r="Q633" s="1"/>
      <c r="R633" s="1"/>
      <c r="S633" s="1"/>
      <c r="T633" s="1"/>
      <c r="U633" s="1"/>
      <c r="V633" s="1"/>
      <c r="W633" s="1"/>
      <c r="X633" s="1"/>
      <c r="Y633" s="1"/>
      <c r="Z633" s="1"/>
    </row>
    <row r="634" spans="1:26" ht="15.75" customHeight="1">
      <c r="A634" s="4"/>
      <c r="B634" s="4"/>
      <c r="C634" s="115"/>
      <c r="D634" s="4"/>
      <c r="E634" s="4"/>
      <c r="F634" s="4"/>
      <c r="G634" s="4"/>
      <c r="H634" s="4"/>
      <c r="I634" s="4"/>
      <c r="J634" s="4"/>
      <c r="K634" s="1"/>
      <c r="L634" s="1"/>
      <c r="M634" s="1"/>
      <c r="N634" s="1"/>
      <c r="O634" s="1"/>
      <c r="P634" s="1"/>
      <c r="Q634" s="1"/>
      <c r="R634" s="1"/>
      <c r="S634" s="1"/>
      <c r="T634" s="1"/>
      <c r="U634" s="1"/>
      <c r="V634" s="1"/>
      <c r="W634" s="1"/>
      <c r="X634" s="1"/>
      <c r="Y634" s="1"/>
      <c r="Z634" s="1"/>
    </row>
    <row r="635" spans="1:26" ht="15.75" customHeight="1">
      <c r="A635" s="4"/>
      <c r="B635" s="4"/>
      <c r="C635" s="115"/>
      <c r="D635" s="4"/>
      <c r="E635" s="4"/>
      <c r="F635" s="4"/>
      <c r="G635" s="4"/>
      <c r="H635" s="4"/>
      <c r="I635" s="4"/>
      <c r="J635" s="4"/>
      <c r="K635" s="1"/>
      <c r="L635" s="1"/>
      <c r="M635" s="1"/>
      <c r="N635" s="1"/>
      <c r="O635" s="1"/>
      <c r="P635" s="1"/>
      <c r="Q635" s="1"/>
      <c r="R635" s="1"/>
      <c r="S635" s="1"/>
      <c r="T635" s="1"/>
      <c r="U635" s="1"/>
      <c r="V635" s="1"/>
      <c r="W635" s="1"/>
      <c r="X635" s="1"/>
      <c r="Y635" s="1"/>
      <c r="Z635" s="1"/>
    </row>
    <row r="636" spans="1:26" ht="15.75" customHeight="1">
      <c r="A636" s="4"/>
      <c r="B636" s="4"/>
      <c r="C636" s="115"/>
      <c r="D636" s="4"/>
      <c r="E636" s="4"/>
      <c r="F636" s="4"/>
      <c r="G636" s="4"/>
      <c r="H636" s="4"/>
      <c r="I636" s="4"/>
      <c r="J636" s="4"/>
      <c r="K636" s="1"/>
      <c r="L636" s="1"/>
      <c r="M636" s="1"/>
      <c r="N636" s="1"/>
      <c r="O636" s="1"/>
      <c r="P636" s="1"/>
      <c r="Q636" s="1"/>
      <c r="R636" s="1"/>
      <c r="S636" s="1"/>
      <c r="T636" s="1"/>
      <c r="U636" s="1"/>
      <c r="V636" s="1"/>
      <c r="W636" s="1"/>
      <c r="X636" s="1"/>
      <c r="Y636" s="1"/>
      <c r="Z636" s="1"/>
    </row>
    <row r="637" spans="1:26" ht="15.75" customHeight="1">
      <c r="A637" s="4"/>
      <c r="B637" s="4"/>
      <c r="C637" s="115"/>
      <c r="D637" s="4"/>
      <c r="E637" s="4"/>
      <c r="F637" s="4"/>
      <c r="G637" s="4"/>
      <c r="H637" s="4"/>
      <c r="I637" s="4"/>
      <c r="J637" s="4"/>
      <c r="K637" s="1"/>
      <c r="L637" s="1"/>
      <c r="M637" s="1"/>
      <c r="N637" s="1"/>
      <c r="O637" s="1"/>
      <c r="P637" s="1"/>
      <c r="Q637" s="1"/>
      <c r="R637" s="1"/>
      <c r="S637" s="1"/>
      <c r="T637" s="1"/>
      <c r="U637" s="1"/>
      <c r="V637" s="1"/>
      <c r="W637" s="1"/>
      <c r="X637" s="1"/>
      <c r="Y637" s="1"/>
      <c r="Z637" s="1"/>
    </row>
    <row r="638" spans="1:26" ht="15.75" customHeight="1">
      <c r="A638" s="4"/>
      <c r="B638" s="4"/>
      <c r="C638" s="115"/>
      <c r="D638" s="4"/>
      <c r="E638" s="4"/>
      <c r="F638" s="4"/>
      <c r="G638" s="4"/>
      <c r="H638" s="4"/>
      <c r="I638" s="4"/>
      <c r="J638" s="4"/>
      <c r="K638" s="1"/>
      <c r="L638" s="1"/>
      <c r="M638" s="1"/>
      <c r="N638" s="1"/>
      <c r="O638" s="1"/>
      <c r="P638" s="1"/>
      <c r="Q638" s="1"/>
      <c r="R638" s="1"/>
      <c r="S638" s="1"/>
      <c r="T638" s="1"/>
      <c r="U638" s="1"/>
      <c r="V638" s="1"/>
      <c r="W638" s="1"/>
      <c r="X638" s="1"/>
      <c r="Y638" s="1"/>
      <c r="Z638" s="1"/>
    </row>
    <row r="639" spans="1:26" ht="15.75" customHeight="1">
      <c r="A639" s="4"/>
      <c r="B639" s="4"/>
      <c r="C639" s="115"/>
      <c r="D639" s="4"/>
      <c r="E639" s="4"/>
      <c r="F639" s="4"/>
      <c r="G639" s="4"/>
      <c r="H639" s="4"/>
      <c r="I639" s="4"/>
      <c r="J639" s="4"/>
      <c r="K639" s="1"/>
      <c r="L639" s="1"/>
      <c r="M639" s="1"/>
      <c r="N639" s="1"/>
      <c r="O639" s="1"/>
      <c r="P639" s="1"/>
      <c r="Q639" s="1"/>
      <c r="R639" s="1"/>
      <c r="S639" s="1"/>
      <c r="T639" s="1"/>
      <c r="U639" s="1"/>
      <c r="V639" s="1"/>
      <c r="W639" s="1"/>
      <c r="X639" s="1"/>
      <c r="Y639" s="1"/>
      <c r="Z639" s="1"/>
    </row>
    <row r="640" spans="1:26" ht="15.75" customHeight="1">
      <c r="A640" s="4"/>
      <c r="B640" s="4"/>
      <c r="C640" s="115"/>
      <c r="D640" s="4"/>
      <c r="E640" s="4"/>
      <c r="F640" s="4"/>
      <c r="G640" s="4"/>
      <c r="H640" s="4"/>
      <c r="I640" s="4"/>
      <c r="J640" s="4"/>
      <c r="K640" s="1"/>
      <c r="L640" s="1"/>
      <c r="M640" s="1"/>
      <c r="N640" s="1"/>
      <c r="O640" s="1"/>
      <c r="P640" s="1"/>
      <c r="Q640" s="1"/>
      <c r="R640" s="1"/>
      <c r="S640" s="1"/>
      <c r="T640" s="1"/>
      <c r="U640" s="1"/>
      <c r="V640" s="1"/>
      <c r="W640" s="1"/>
      <c r="X640" s="1"/>
      <c r="Y640" s="1"/>
      <c r="Z640" s="1"/>
    </row>
    <row r="641" spans="1:26" ht="15.75" customHeight="1">
      <c r="A641" s="4"/>
      <c r="B641" s="4"/>
      <c r="C641" s="115"/>
      <c r="D641" s="4"/>
      <c r="E641" s="4"/>
      <c r="F641" s="4"/>
      <c r="G641" s="4"/>
      <c r="H641" s="4"/>
      <c r="I641" s="4"/>
      <c r="J641" s="4"/>
      <c r="K641" s="1"/>
      <c r="L641" s="1"/>
      <c r="M641" s="1"/>
      <c r="N641" s="1"/>
      <c r="O641" s="1"/>
      <c r="P641" s="1"/>
      <c r="Q641" s="1"/>
      <c r="R641" s="1"/>
      <c r="S641" s="1"/>
      <c r="T641" s="1"/>
      <c r="U641" s="1"/>
      <c r="V641" s="1"/>
      <c r="W641" s="1"/>
      <c r="X641" s="1"/>
      <c r="Y641" s="1"/>
      <c r="Z641" s="1"/>
    </row>
    <row r="642" spans="1:26" ht="15.75" customHeight="1">
      <c r="A642" s="4"/>
      <c r="B642" s="4"/>
      <c r="C642" s="115"/>
      <c r="D642" s="4"/>
      <c r="E642" s="4"/>
      <c r="F642" s="4"/>
      <c r="G642" s="4"/>
      <c r="H642" s="4"/>
      <c r="I642" s="4"/>
      <c r="J642" s="4"/>
      <c r="K642" s="1"/>
      <c r="L642" s="1"/>
      <c r="M642" s="1"/>
      <c r="N642" s="1"/>
      <c r="O642" s="1"/>
      <c r="P642" s="1"/>
      <c r="Q642" s="1"/>
      <c r="R642" s="1"/>
      <c r="S642" s="1"/>
      <c r="T642" s="1"/>
      <c r="U642" s="1"/>
      <c r="V642" s="1"/>
      <c r="W642" s="1"/>
      <c r="X642" s="1"/>
      <c r="Y642" s="1"/>
      <c r="Z642" s="1"/>
    </row>
    <row r="643" spans="1:26" ht="15.75" customHeight="1">
      <c r="A643" s="4"/>
      <c r="B643" s="4"/>
      <c r="C643" s="115"/>
      <c r="D643" s="4"/>
      <c r="E643" s="4"/>
      <c r="F643" s="4"/>
      <c r="G643" s="4"/>
      <c r="H643" s="4"/>
      <c r="I643" s="4"/>
      <c r="J643" s="4"/>
      <c r="K643" s="1"/>
      <c r="L643" s="1"/>
      <c r="M643" s="1"/>
      <c r="N643" s="1"/>
      <c r="O643" s="1"/>
      <c r="P643" s="1"/>
      <c r="Q643" s="1"/>
      <c r="R643" s="1"/>
      <c r="S643" s="1"/>
      <c r="T643" s="1"/>
      <c r="U643" s="1"/>
      <c r="V643" s="1"/>
      <c r="W643" s="1"/>
      <c r="X643" s="1"/>
      <c r="Y643" s="1"/>
      <c r="Z643" s="1"/>
    </row>
    <row r="644" spans="1:26" ht="15.75" customHeight="1">
      <c r="A644" s="4"/>
      <c r="B644" s="4"/>
      <c r="C644" s="115"/>
      <c r="D644" s="4"/>
      <c r="E644" s="4"/>
      <c r="F644" s="4"/>
      <c r="G644" s="4"/>
      <c r="H644" s="4"/>
      <c r="I644" s="4"/>
      <c r="J644" s="4"/>
      <c r="K644" s="1"/>
      <c r="L644" s="1"/>
      <c r="M644" s="1"/>
      <c r="N644" s="1"/>
      <c r="O644" s="1"/>
      <c r="P644" s="1"/>
      <c r="Q644" s="1"/>
      <c r="R644" s="1"/>
      <c r="S644" s="1"/>
      <c r="T644" s="1"/>
      <c r="U644" s="1"/>
      <c r="V644" s="1"/>
      <c r="W644" s="1"/>
      <c r="X644" s="1"/>
      <c r="Y644" s="1"/>
      <c r="Z644" s="1"/>
    </row>
    <row r="645" spans="1:26" ht="15.75" customHeight="1">
      <c r="A645" s="4"/>
      <c r="B645" s="4"/>
      <c r="C645" s="115"/>
      <c r="D645" s="4"/>
      <c r="E645" s="4"/>
      <c r="F645" s="4"/>
      <c r="G645" s="4"/>
      <c r="H645" s="4"/>
      <c r="I645" s="4"/>
      <c r="J645" s="4"/>
      <c r="K645" s="1"/>
      <c r="L645" s="1"/>
      <c r="M645" s="1"/>
      <c r="N645" s="1"/>
      <c r="O645" s="1"/>
      <c r="P645" s="1"/>
      <c r="Q645" s="1"/>
      <c r="R645" s="1"/>
      <c r="S645" s="1"/>
      <c r="T645" s="1"/>
      <c r="U645" s="1"/>
      <c r="V645" s="1"/>
      <c r="W645" s="1"/>
      <c r="X645" s="1"/>
      <c r="Y645" s="1"/>
      <c r="Z645" s="1"/>
    </row>
    <row r="646" spans="1:26" ht="15.75" customHeight="1">
      <c r="A646" s="4"/>
      <c r="B646" s="4"/>
      <c r="C646" s="115"/>
      <c r="D646" s="4"/>
      <c r="E646" s="4"/>
      <c r="F646" s="4"/>
      <c r="G646" s="4"/>
      <c r="H646" s="4"/>
      <c r="I646" s="4"/>
      <c r="J646" s="4"/>
      <c r="K646" s="1"/>
      <c r="L646" s="1"/>
      <c r="M646" s="1"/>
      <c r="N646" s="1"/>
      <c r="O646" s="1"/>
      <c r="P646" s="1"/>
      <c r="Q646" s="1"/>
      <c r="R646" s="1"/>
      <c r="S646" s="1"/>
      <c r="T646" s="1"/>
      <c r="U646" s="1"/>
      <c r="V646" s="1"/>
      <c r="W646" s="1"/>
      <c r="X646" s="1"/>
      <c r="Y646" s="1"/>
      <c r="Z646" s="1"/>
    </row>
    <row r="647" spans="1:26" ht="15.75" customHeight="1">
      <c r="A647" s="4"/>
      <c r="B647" s="4"/>
      <c r="C647" s="115"/>
      <c r="D647" s="4"/>
      <c r="E647" s="4"/>
      <c r="F647" s="4"/>
      <c r="G647" s="4"/>
      <c r="H647" s="4"/>
      <c r="I647" s="4"/>
      <c r="J647" s="4"/>
      <c r="K647" s="1"/>
      <c r="L647" s="1"/>
      <c r="M647" s="1"/>
      <c r="N647" s="1"/>
      <c r="O647" s="1"/>
      <c r="P647" s="1"/>
      <c r="Q647" s="1"/>
      <c r="R647" s="1"/>
      <c r="S647" s="1"/>
      <c r="T647" s="1"/>
      <c r="U647" s="1"/>
      <c r="V647" s="1"/>
      <c r="W647" s="1"/>
      <c r="X647" s="1"/>
      <c r="Y647" s="1"/>
      <c r="Z647" s="1"/>
    </row>
    <row r="648" spans="1:26" ht="15.75" customHeight="1">
      <c r="A648" s="4"/>
      <c r="B648" s="4"/>
      <c r="C648" s="115"/>
      <c r="D648" s="4"/>
      <c r="E648" s="4"/>
      <c r="F648" s="4"/>
      <c r="G648" s="4"/>
      <c r="H648" s="4"/>
      <c r="I648" s="4"/>
      <c r="J648" s="4"/>
      <c r="K648" s="1"/>
      <c r="L648" s="1"/>
      <c r="M648" s="1"/>
      <c r="N648" s="1"/>
      <c r="O648" s="1"/>
      <c r="P648" s="1"/>
      <c r="Q648" s="1"/>
      <c r="R648" s="1"/>
      <c r="S648" s="1"/>
      <c r="T648" s="1"/>
      <c r="U648" s="1"/>
      <c r="V648" s="1"/>
      <c r="W648" s="1"/>
      <c r="X648" s="1"/>
      <c r="Y648" s="1"/>
      <c r="Z648" s="1"/>
    </row>
    <row r="649" spans="1:26" ht="15.75" customHeight="1">
      <c r="A649" s="4"/>
      <c r="B649" s="4"/>
      <c r="C649" s="115"/>
      <c r="D649" s="4"/>
      <c r="E649" s="4"/>
      <c r="F649" s="4"/>
      <c r="G649" s="4"/>
      <c r="H649" s="4"/>
      <c r="I649" s="4"/>
      <c r="J649" s="4"/>
      <c r="K649" s="1"/>
      <c r="L649" s="1"/>
      <c r="M649" s="1"/>
      <c r="N649" s="1"/>
      <c r="O649" s="1"/>
      <c r="P649" s="1"/>
      <c r="Q649" s="1"/>
      <c r="R649" s="1"/>
      <c r="S649" s="1"/>
      <c r="T649" s="1"/>
      <c r="U649" s="1"/>
      <c r="V649" s="1"/>
      <c r="W649" s="1"/>
      <c r="X649" s="1"/>
      <c r="Y649" s="1"/>
      <c r="Z649" s="1"/>
    </row>
    <row r="650" spans="1:26" ht="15.75" customHeight="1">
      <c r="A650" s="4"/>
      <c r="B650" s="4"/>
      <c r="C650" s="115"/>
      <c r="D650" s="4"/>
      <c r="E650" s="4"/>
      <c r="F650" s="4"/>
      <c r="G650" s="4"/>
      <c r="H650" s="4"/>
      <c r="I650" s="4"/>
      <c r="J650" s="4"/>
      <c r="K650" s="1"/>
      <c r="L650" s="1"/>
      <c r="M650" s="1"/>
      <c r="N650" s="1"/>
      <c r="O650" s="1"/>
      <c r="P650" s="1"/>
      <c r="Q650" s="1"/>
      <c r="R650" s="1"/>
      <c r="S650" s="1"/>
      <c r="T650" s="1"/>
      <c r="U650" s="1"/>
      <c r="V650" s="1"/>
      <c r="W650" s="1"/>
      <c r="X650" s="1"/>
      <c r="Y650" s="1"/>
      <c r="Z650" s="1"/>
    </row>
    <row r="651" spans="1:26" ht="15.75" customHeight="1">
      <c r="A651" s="4"/>
      <c r="B651" s="4"/>
      <c r="C651" s="115"/>
      <c r="D651" s="4"/>
      <c r="E651" s="4"/>
      <c r="F651" s="4"/>
      <c r="G651" s="4"/>
      <c r="H651" s="4"/>
      <c r="I651" s="4"/>
      <c r="J651" s="4"/>
      <c r="K651" s="1"/>
      <c r="L651" s="1"/>
      <c r="M651" s="1"/>
      <c r="N651" s="1"/>
      <c r="O651" s="1"/>
      <c r="P651" s="1"/>
      <c r="Q651" s="1"/>
      <c r="R651" s="1"/>
      <c r="S651" s="1"/>
      <c r="T651" s="1"/>
      <c r="U651" s="1"/>
      <c r="V651" s="1"/>
      <c r="W651" s="1"/>
      <c r="X651" s="1"/>
      <c r="Y651" s="1"/>
      <c r="Z651" s="1"/>
    </row>
    <row r="652" spans="1:26" ht="15.75" customHeight="1">
      <c r="A652" s="4"/>
      <c r="B652" s="4"/>
      <c r="C652" s="115"/>
      <c r="D652" s="4"/>
      <c r="E652" s="4"/>
      <c r="F652" s="4"/>
      <c r="G652" s="4"/>
      <c r="H652" s="4"/>
      <c r="I652" s="4"/>
      <c r="J652" s="4"/>
      <c r="K652" s="1"/>
      <c r="L652" s="1"/>
      <c r="M652" s="1"/>
      <c r="N652" s="1"/>
      <c r="O652" s="1"/>
      <c r="P652" s="1"/>
      <c r="Q652" s="1"/>
      <c r="R652" s="1"/>
      <c r="S652" s="1"/>
      <c r="T652" s="1"/>
      <c r="U652" s="1"/>
      <c r="V652" s="1"/>
      <c r="W652" s="1"/>
      <c r="X652" s="1"/>
      <c r="Y652" s="1"/>
      <c r="Z652" s="1"/>
    </row>
    <row r="653" spans="1:26" ht="15.75" customHeight="1">
      <c r="A653" s="4"/>
      <c r="B653" s="4"/>
      <c r="C653" s="115"/>
      <c r="D653" s="4"/>
      <c r="E653" s="4"/>
      <c r="F653" s="4"/>
      <c r="G653" s="4"/>
      <c r="H653" s="4"/>
      <c r="I653" s="4"/>
      <c r="J653" s="4"/>
      <c r="K653" s="1"/>
      <c r="L653" s="1"/>
      <c r="M653" s="1"/>
      <c r="N653" s="1"/>
      <c r="O653" s="1"/>
      <c r="P653" s="1"/>
      <c r="Q653" s="1"/>
      <c r="R653" s="1"/>
      <c r="S653" s="1"/>
      <c r="T653" s="1"/>
      <c r="U653" s="1"/>
      <c r="V653" s="1"/>
      <c r="W653" s="1"/>
      <c r="X653" s="1"/>
      <c r="Y653" s="1"/>
      <c r="Z653" s="1"/>
    </row>
    <row r="654" spans="1:26" ht="15.75" customHeight="1">
      <c r="A654" s="4"/>
      <c r="B654" s="4"/>
      <c r="C654" s="115"/>
      <c r="D654" s="4"/>
      <c r="E654" s="4"/>
      <c r="F654" s="4"/>
      <c r="G654" s="4"/>
      <c r="H654" s="4"/>
      <c r="I654" s="4"/>
      <c r="J654" s="4"/>
      <c r="K654" s="1"/>
      <c r="L654" s="1"/>
      <c r="M654" s="1"/>
      <c r="N654" s="1"/>
      <c r="O654" s="1"/>
      <c r="P654" s="1"/>
      <c r="Q654" s="1"/>
      <c r="R654" s="1"/>
      <c r="S654" s="1"/>
      <c r="T654" s="1"/>
      <c r="U654" s="1"/>
      <c r="V654" s="1"/>
      <c r="W654" s="1"/>
      <c r="X654" s="1"/>
      <c r="Y654" s="1"/>
      <c r="Z654" s="1"/>
    </row>
    <row r="655" spans="1:26" ht="15.75" customHeight="1">
      <c r="A655" s="4"/>
      <c r="B655" s="4"/>
      <c r="C655" s="115"/>
      <c r="D655" s="4"/>
      <c r="E655" s="4"/>
      <c r="F655" s="4"/>
      <c r="G655" s="4"/>
      <c r="H655" s="4"/>
      <c r="I655" s="4"/>
      <c r="J655" s="4"/>
      <c r="K655" s="1"/>
      <c r="L655" s="1"/>
      <c r="M655" s="1"/>
      <c r="N655" s="1"/>
      <c r="O655" s="1"/>
      <c r="P655" s="1"/>
      <c r="Q655" s="1"/>
      <c r="R655" s="1"/>
      <c r="S655" s="1"/>
      <c r="T655" s="1"/>
      <c r="U655" s="1"/>
      <c r="V655" s="1"/>
      <c r="W655" s="1"/>
      <c r="X655" s="1"/>
      <c r="Y655" s="1"/>
      <c r="Z655" s="1"/>
    </row>
    <row r="656" spans="1:26" ht="15.75" customHeight="1">
      <c r="A656" s="4"/>
      <c r="B656" s="4"/>
      <c r="C656" s="115"/>
      <c r="D656" s="4"/>
      <c r="E656" s="4"/>
      <c r="F656" s="4"/>
      <c r="G656" s="4"/>
      <c r="H656" s="4"/>
      <c r="I656" s="4"/>
      <c r="J656" s="4"/>
      <c r="K656" s="1"/>
      <c r="L656" s="1"/>
      <c r="M656" s="1"/>
      <c r="N656" s="1"/>
      <c r="O656" s="1"/>
      <c r="P656" s="1"/>
      <c r="Q656" s="1"/>
      <c r="R656" s="1"/>
      <c r="S656" s="1"/>
      <c r="T656" s="1"/>
      <c r="U656" s="1"/>
      <c r="V656" s="1"/>
      <c r="W656" s="1"/>
      <c r="X656" s="1"/>
      <c r="Y656" s="1"/>
      <c r="Z656" s="1"/>
    </row>
    <row r="657" spans="1:26" ht="15.75" customHeight="1">
      <c r="A657" s="4"/>
      <c r="B657" s="4"/>
      <c r="C657" s="115"/>
      <c r="D657" s="4"/>
      <c r="E657" s="4"/>
      <c r="F657" s="4"/>
      <c r="G657" s="4"/>
      <c r="H657" s="4"/>
      <c r="I657" s="4"/>
      <c r="J657" s="4"/>
      <c r="K657" s="1"/>
      <c r="L657" s="1"/>
      <c r="M657" s="1"/>
      <c r="N657" s="1"/>
      <c r="O657" s="1"/>
      <c r="P657" s="1"/>
      <c r="Q657" s="1"/>
      <c r="R657" s="1"/>
      <c r="S657" s="1"/>
      <c r="T657" s="1"/>
      <c r="U657" s="1"/>
      <c r="V657" s="1"/>
      <c r="W657" s="1"/>
      <c r="X657" s="1"/>
      <c r="Y657" s="1"/>
      <c r="Z657" s="1"/>
    </row>
    <row r="658" spans="1:26" ht="15.75" customHeight="1">
      <c r="A658" s="4"/>
      <c r="B658" s="4"/>
      <c r="C658" s="115"/>
      <c r="D658" s="4"/>
      <c r="E658" s="4"/>
      <c r="F658" s="4"/>
      <c r="G658" s="4"/>
      <c r="H658" s="4"/>
      <c r="I658" s="4"/>
      <c r="J658" s="4"/>
      <c r="K658" s="1"/>
      <c r="L658" s="1"/>
      <c r="M658" s="1"/>
      <c r="N658" s="1"/>
      <c r="O658" s="1"/>
      <c r="P658" s="1"/>
      <c r="Q658" s="1"/>
      <c r="R658" s="1"/>
      <c r="S658" s="1"/>
      <c r="T658" s="1"/>
      <c r="U658" s="1"/>
      <c r="V658" s="1"/>
      <c r="W658" s="1"/>
      <c r="X658" s="1"/>
      <c r="Y658" s="1"/>
      <c r="Z658" s="1"/>
    </row>
    <row r="659" spans="1:26" ht="15.75" customHeight="1">
      <c r="A659" s="4"/>
      <c r="B659" s="4"/>
      <c r="C659" s="115"/>
      <c r="D659" s="4"/>
      <c r="E659" s="4"/>
      <c r="F659" s="4"/>
      <c r="G659" s="4"/>
      <c r="H659" s="4"/>
      <c r="I659" s="4"/>
      <c r="J659" s="4"/>
      <c r="K659" s="1"/>
      <c r="L659" s="1"/>
      <c r="M659" s="1"/>
      <c r="N659" s="1"/>
      <c r="O659" s="1"/>
      <c r="P659" s="1"/>
      <c r="Q659" s="1"/>
      <c r="R659" s="1"/>
      <c r="S659" s="1"/>
      <c r="T659" s="1"/>
      <c r="U659" s="1"/>
      <c r="V659" s="1"/>
      <c r="W659" s="1"/>
      <c r="X659" s="1"/>
      <c r="Y659" s="1"/>
      <c r="Z659" s="1"/>
    </row>
    <row r="660" spans="1:26" ht="15.75" customHeight="1">
      <c r="A660" s="4"/>
      <c r="B660" s="4"/>
      <c r="C660" s="115"/>
      <c r="D660" s="4"/>
      <c r="E660" s="4"/>
      <c r="F660" s="4"/>
      <c r="G660" s="4"/>
      <c r="H660" s="4"/>
      <c r="I660" s="4"/>
      <c r="J660" s="4"/>
      <c r="K660" s="1"/>
      <c r="L660" s="1"/>
      <c r="M660" s="1"/>
      <c r="N660" s="1"/>
      <c r="O660" s="1"/>
      <c r="P660" s="1"/>
      <c r="Q660" s="1"/>
      <c r="R660" s="1"/>
      <c r="S660" s="1"/>
      <c r="T660" s="1"/>
      <c r="U660" s="1"/>
      <c r="V660" s="1"/>
      <c r="W660" s="1"/>
      <c r="X660" s="1"/>
      <c r="Y660" s="1"/>
      <c r="Z660" s="1"/>
    </row>
    <row r="661" spans="1:26" ht="15.75" customHeight="1">
      <c r="A661" s="4"/>
      <c r="B661" s="4"/>
      <c r="C661" s="115"/>
      <c r="D661" s="4"/>
      <c r="E661" s="4"/>
      <c r="F661" s="4"/>
      <c r="G661" s="4"/>
      <c r="H661" s="4"/>
      <c r="I661" s="4"/>
      <c r="J661" s="4"/>
      <c r="K661" s="1"/>
      <c r="L661" s="1"/>
      <c r="M661" s="1"/>
      <c r="N661" s="1"/>
      <c r="O661" s="1"/>
      <c r="P661" s="1"/>
      <c r="Q661" s="1"/>
      <c r="R661" s="1"/>
      <c r="S661" s="1"/>
      <c r="T661" s="1"/>
      <c r="U661" s="1"/>
      <c r="V661" s="1"/>
      <c r="W661" s="1"/>
      <c r="X661" s="1"/>
      <c r="Y661" s="1"/>
      <c r="Z661" s="1"/>
    </row>
    <row r="662" spans="1:26" ht="15.75" customHeight="1">
      <c r="A662" s="4"/>
      <c r="B662" s="4"/>
      <c r="C662" s="115"/>
      <c r="D662" s="4"/>
      <c r="E662" s="4"/>
      <c r="F662" s="4"/>
      <c r="G662" s="4"/>
      <c r="H662" s="4"/>
      <c r="I662" s="4"/>
      <c r="J662" s="4"/>
      <c r="K662" s="1"/>
      <c r="L662" s="1"/>
      <c r="M662" s="1"/>
      <c r="N662" s="1"/>
      <c r="O662" s="1"/>
      <c r="P662" s="1"/>
      <c r="Q662" s="1"/>
      <c r="R662" s="1"/>
      <c r="S662" s="1"/>
      <c r="T662" s="1"/>
      <c r="U662" s="1"/>
      <c r="V662" s="1"/>
      <c r="W662" s="1"/>
      <c r="X662" s="1"/>
      <c r="Y662" s="1"/>
      <c r="Z662" s="1"/>
    </row>
    <row r="663" spans="1:26" ht="15.75" customHeight="1">
      <c r="A663" s="4"/>
      <c r="B663" s="4"/>
      <c r="C663" s="115"/>
      <c r="D663" s="4"/>
      <c r="E663" s="4"/>
      <c r="F663" s="4"/>
      <c r="G663" s="4"/>
      <c r="H663" s="4"/>
      <c r="I663" s="4"/>
      <c r="J663" s="4"/>
      <c r="K663" s="1"/>
      <c r="L663" s="1"/>
      <c r="M663" s="1"/>
      <c r="N663" s="1"/>
      <c r="O663" s="1"/>
      <c r="P663" s="1"/>
      <c r="Q663" s="1"/>
      <c r="R663" s="1"/>
      <c r="S663" s="1"/>
      <c r="T663" s="1"/>
      <c r="U663" s="1"/>
      <c r="V663" s="1"/>
      <c r="W663" s="1"/>
      <c r="X663" s="1"/>
      <c r="Y663" s="1"/>
      <c r="Z663" s="1"/>
    </row>
    <row r="664" spans="1:26" ht="15.75" customHeight="1">
      <c r="A664" s="4"/>
      <c r="B664" s="4"/>
      <c r="C664" s="115"/>
      <c r="D664" s="4"/>
      <c r="E664" s="4"/>
      <c r="F664" s="4"/>
      <c r="G664" s="4"/>
      <c r="H664" s="4"/>
      <c r="I664" s="4"/>
      <c r="J664" s="4"/>
      <c r="K664" s="1"/>
      <c r="L664" s="1"/>
      <c r="M664" s="1"/>
      <c r="N664" s="1"/>
      <c r="O664" s="1"/>
      <c r="P664" s="1"/>
      <c r="Q664" s="1"/>
      <c r="R664" s="1"/>
      <c r="S664" s="1"/>
      <c r="T664" s="1"/>
      <c r="U664" s="1"/>
      <c r="V664" s="1"/>
      <c r="W664" s="1"/>
      <c r="X664" s="1"/>
      <c r="Y664" s="1"/>
      <c r="Z664" s="1"/>
    </row>
    <row r="665" spans="1:26" ht="15.75" customHeight="1">
      <c r="A665" s="4"/>
      <c r="B665" s="4"/>
      <c r="C665" s="115"/>
      <c r="D665" s="4"/>
      <c r="E665" s="4"/>
      <c r="F665" s="4"/>
      <c r="G665" s="4"/>
      <c r="H665" s="4"/>
      <c r="I665" s="4"/>
      <c r="J665" s="4"/>
      <c r="K665" s="1"/>
      <c r="L665" s="1"/>
      <c r="M665" s="1"/>
      <c r="N665" s="1"/>
      <c r="O665" s="1"/>
      <c r="P665" s="1"/>
      <c r="Q665" s="1"/>
      <c r="R665" s="1"/>
      <c r="S665" s="1"/>
      <c r="T665" s="1"/>
      <c r="U665" s="1"/>
      <c r="V665" s="1"/>
      <c r="W665" s="1"/>
      <c r="X665" s="1"/>
      <c r="Y665" s="1"/>
      <c r="Z665" s="1"/>
    </row>
    <row r="666" spans="1:26" ht="15.75" customHeight="1">
      <c r="A666" s="4"/>
      <c r="B666" s="4"/>
      <c r="C666" s="115"/>
      <c r="D666" s="4"/>
      <c r="E666" s="4"/>
      <c r="F666" s="4"/>
      <c r="G666" s="4"/>
      <c r="H666" s="4"/>
      <c r="I666" s="4"/>
      <c r="J666" s="4"/>
      <c r="K666" s="1"/>
      <c r="L666" s="1"/>
      <c r="M666" s="1"/>
      <c r="N666" s="1"/>
      <c r="O666" s="1"/>
      <c r="P666" s="1"/>
      <c r="Q666" s="1"/>
      <c r="R666" s="1"/>
      <c r="S666" s="1"/>
      <c r="T666" s="1"/>
      <c r="U666" s="1"/>
      <c r="V666" s="1"/>
      <c r="W666" s="1"/>
      <c r="X666" s="1"/>
      <c r="Y666" s="1"/>
      <c r="Z666" s="1"/>
    </row>
    <row r="667" spans="1:26" ht="15.75" customHeight="1">
      <c r="A667" s="4"/>
      <c r="B667" s="4"/>
      <c r="C667" s="115"/>
      <c r="D667" s="4"/>
      <c r="E667" s="4"/>
      <c r="F667" s="4"/>
      <c r="G667" s="4"/>
      <c r="H667" s="4"/>
      <c r="I667" s="4"/>
      <c r="J667" s="4"/>
      <c r="K667" s="1"/>
      <c r="L667" s="1"/>
      <c r="M667" s="1"/>
      <c r="N667" s="1"/>
      <c r="O667" s="1"/>
      <c r="P667" s="1"/>
      <c r="Q667" s="1"/>
      <c r="R667" s="1"/>
      <c r="S667" s="1"/>
      <c r="T667" s="1"/>
      <c r="U667" s="1"/>
      <c r="V667" s="1"/>
      <c r="W667" s="1"/>
      <c r="X667" s="1"/>
      <c r="Y667" s="1"/>
      <c r="Z667" s="1"/>
    </row>
    <row r="668" spans="1:26" ht="15.75" customHeight="1">
      <c r="A668" s="4"/>
      <c r="B668" s="4"/>
      <c r="C668" s="115"/>
      <c r="D668" s="4"/>
      <c r="E668" s="4"/>
      <c r="F668" s="4"/>
      <c r="G668" s="4"/>
      <c r="H668" s="4"/>
      <c r="I668" s="4"/>
      <c r="J668" s="4"/>
      <c r="K668" s="1"/>
      <c r="L668" s="1"/>
      <c r="M668" s="1"/>
      <c r="N668" s="1"/>
      <c r="O668" s="1"/>
      <c r="P668" s="1"/>
      <c r="Q668" s="1"/>
      <c r="R668" s="1"/>
      <c r="S668" s="1"/>
      <c r="T668" s="1"/>
      <c r="U668" s="1"/>
      <c r="V668" s="1"/>
      <c r="W668" s="1"/>
      <c r="X668" s="1"/>
      <c r="Y668" s="1"/>
      <c r="Z668" s="1"/>
    </row>
    <row r="669" spans="1:26" ht="15.75" customHeight="1">
      <c r="A669" s="4"/>
      <c r="B669" s="4"/>
      <c r="C669" s="115"/>
      <c r="D669" s="4"/>
      <c r="E669" s="4"/>
      <c r="F669" s="4"/>
      <c r="G669" s="4"/>
      <c r="H669" s="4"/>
      <c r="I669" s="4"/>
      <c r="J669" s="4"/>
      <c r="K669" s="1"/>
      <c r="L669" s="1"/>
      <c r="M669" s="1"/>
      <c r="N669" s="1"/>
      <c r="O669" s="1"/>
      <c r="P669" s="1"/>
      <c r="Q669" s="1"/>
      <c r="R669" s="1"/>
      <c r="S669" s="1"/>
      <c r="T669" s="1"/>
      <c r="U669" s="1"/>
      <c r="V669" s="1"/>
      <c r="W669" s="1"/>
      <c r="X669" s="1"/>
      <c r="Y669" s="1"/>
      <c r="Z669" s="1"/>
    </row>
    <row r="670" spans="1:26" ht="15.75" customHeight="1">
      <c r="A670" s="4"/>
      <c r="B670" s="4"/>
      <c r="C670" s="115"/>
      <c r="D670" s="4"/>
      <c r="E670" s="4"/>
      <c r="F670" s="4"/>
      <c r="G670" s="4"/>
      <c r="H670" s="4"/>
      <c r="I670" s="4"/>
      <c r="J670" s="4"/>
      <c r="K670" s="1"/>
      <c r="L670" s="1"/>
      <c r="M670" s="1"/>
      <c r="N670" s="1"/>
      <c r="O670" s="1"/>
      <c r="P670" s="1"/>
      <c r="Q670" s="1"/>
      <c r="R670" s="1"/>
      <c r="S670" s="1"/>
      <c r="T670" s="1"/>
      <c r="U670" s="1"/>
      <c r="V670" s="1"/>
      <c r="W670" s="1"/>
      <c r="X670" s="1"/>
      <c r="Y670" s="1"/>
      <c r="Z670" s="1"/>
    </row>
    <row r="671" spans="1:26" ht="15.75" customHeight="1">
      <c r="A671" s="4"/>
      <c r="B671" s="4"/>
      <c r="C671" s="115"/>
      <c r="D671" s="4"/>
      <c r="E671" s="4"/>
      <c r="F671" s="4"/>
      <c r="G671" s="4"/>
      <c r="H671" s="4"/>
      <c r="I671" s="4"/>
      <c r="J671" s="4"/>
      <c r="K671" s="1"/>
      <c r="L671" s="1"/>
      <c r="M671" s="1"/>
      <c r="N671" s="1"/>
      <c r="O671" s="1"/>
      <c r="P671" s="1"/>
      <c r="Q671" s="1"/>
      <c r="R671" s="1"/>
      <c r="S671" s="1"/>
      <c r="T671" s="1"/>
      <c r="U671" s="1"/>
      <c r="V671" s="1"/>
      <c r="W671" s="1"/>
      <c r="X671" s="1"/>
      <c r="Y671" s="1"/>
      <c r="Z671" s="1"/>
    </row>
    <row r="672" spans="1:26" ht="15.75" customHeight="1">
      <c r="A672" s="4"/>
      <c r="B672" s="4"/>
      <c r="C672" s="115"/>
      <c r="D672" s="4"/>
      <c r="E672" s="4"/>
      <c r="F672" s="4"/>
      <c r="G672" s="4"/>
      <c r="H672" s="4"/>
      <c r="I672" s="4"/>
      <c r="J672" s="4"/>
      <c r="K672" s="1"/>
      <c r="L672" s="1"/>
      <c r="M672" s="1"/>
      <c r="N672" s="1"/>
      <c r="O672" s="1"/>
      <c r="P672" s="1"/>
      <c r="Q672" s="1"/>
      <c r="R672" s="1"/>
      <c r="S672" s="1"/>
      <c r="T672" s="1"/>
      <c r="U672" s="1"/>
      <c r="V672" s="1"/>
      <c r="W672" s="1"/>
      <c r="X672" s="1"/>
      <c r="Y672" s="1"/>
      <c r="Z672" s="1"/>
    </row>
    <row r="673" spans="1:26" ht="15.75" customHeight="1">
      <c r="A673" s="4"/>
      <c r="B673" s="4"/>
      <c r="C673" s="115"/>
      <c r="D673" s="4"/>
      <c r="E673" s="4"/>
      <c r="F673" s="4"/>
      <c r="G673" s="4"/>
      <c r="H673" s="4"/>
      <c r="I673" s="4"/>
      <c r="J673" s="4"/>
      <c r="K673" s="1"/>
      <c r="L673" s="1"/>
      <c r="M673" s="1"/>
      <c r="N673" s="1"/>
      <c r="O673" s="1"/>
      <c r="P673" s="1"/>
      <c r="Q673" s="1"/>
      <c r="R673" s="1"/>
      <c r="S673" s="1"/>
      <c r="T673" s="1"/>
      <c r="U673" s="1"/>
      <c r="V673" s="1"/>
      <c r="W673" s="1"/>
      <c r="X673" s="1"/>
      <c r="Y673" s="1"/>
      <c r="Z673" s="1"/>
    </row>
    <row r="674" spans="1:26" ht="15.75" customHeight="1">
      <c r="A674" s="4"/>
      <c r="B674" s="4"/>
      <c r="C674" s="115"/>
      <c r="D674" s="4"/>
      <c r="E674" s="4"/>
      <c r="F674" s="4"/>
      <c r="G674" s="4"/>
      <c r="H674" s="4"/>
      <c r="I674" s="4"/>
      <c r="J674" s="4"/>
      <c r="K674" s="1"/>
      <c r="L674" s="1"/>
      <c r="M674" s="1"/>
      <c r="N674" s="1"/>
      <c r="O674" s="1"/>
      <c r="P674" s="1"/>
      <c r="Q674" s="1"/>
      <c r="R674" s="1"/>
      <c r="S674" s="1"/>
      <c r="T674" s="1"/>
      <c r="U674" s="1"/>
      <c r="V674" s="1"/>
      <c r="W674" s="1"/>
      <c r="X674" s="1"/>
      <c r="Y674" s="1"/>
      <c r="Z674" s="1"/>
    </row>
    <row r="675" spans="1:26" ht="15.75" customHeight="1">
      <c r="A675" s="4"/>
      <c r="B675" s="4"/>
      <c r="C675" s="115"/>
      <c r="D675" s="4"/>
      <c r="E675" s="4"/>
      <c r="F675" s="4"/>
      <c r="G675" s="4"/>
      <c r="H675" s="4"/>
      <c r="I675" s="4"/>
      <c r="J675" s="4"/>
      <c r="K675" s="1"/>
      <c r="L675" s="1"/>
      <c r="M675" s="1"/>
      <c r="N675" s="1"/>
      <c r="O675" s="1"/>
      <c r="P675" s="1"/>
      <c r="Q675" s="1"/>
      <c r="R675" s="1"/>
      <c r="S675" s="1"/>
      <c r="T675" s="1"/>
      <c r="U675" s="1"/>
      <c r="V675" s="1"/>
      <c r="W675" s="1"/>
      <c r="X675" s="1"/>
      <c r="Y675" s="1"/>
      <c r="Z675" s="1"/>
    </row>
    <row r="676" spans="1:26" ht="15.75" customHeight="1">
      <c r="A676" s="4"/>
      <c r="B676" s="4"/>
      <c r="C676" s="115"/>
      <c r="D676" s="4"/>
      <c r="E676" s="4"/>
      <c r="F676" s="4"/>
      <c r="G676" s="4"/>
      <c r="H676" s="4"/>
      <c r="I676" s="4"/>
      <c r="J676" s="4"/>
      <c r="K676" s="1"/>
      <c r="L676" s="1"/>
      <c r="M676" s="1"/>
      <c r="N676" s="1"/>
      <c r="O676" s="1"/>
      <c r="P676" s="1"/>
      <c r="Q676" s="1"/>
      <c r="R676" s="1"/>
      <c r="S676" s="1"/>
      <c r="T676" s="1"/>
      <c r="U676" s="1"/>
      <c r="V676" s="1"/>
      <c r="W676" s="1"/>
      <c r="X676" s="1"/>
      <c r="Y676" s="1"/>
      <c r="Z676" s="1"/>
    </row>
    <row r="677" spans="1:26" ht="15.75" customHeight="1">
      <c r="A677" s="4"/>
      <c r="B677" s="4"/>
      <c r="C677" s="115"/>
      <c r="D677" s="4"/>
      <c r="E677" s="4"/>
      <c r="F677" s="4"/>
      <c r="G677" s="4"/>
      <c r="H677" s="4"/>
      <c r="I677" s="4"/>
      <c r="J677" s="4"/>
      <c r="K677" s="1"/>
      <c r="L677" s="1"/>
      <c r="M677" s="1"/>
      <c r="N677" s="1"/>
      <c r="O677" s="1"/>
      <c r="P677" s="1"/>
      <c r="Q677" s="1"/>
      <c r="R677" s="1"/>
      <c r="S677" s="1"/>
      <c r="T677" s="1"/>
      <c r="U677" s="1"/>
      <c r="V677" s="1"/>
      <c r="W677" s="1"/>
      <c r="X677" s="1"/>
      <c r="Y677" s="1"/>
      <c r="Z677" s="1"/>
    </row>
    <row r="678" spans="1:26" ht="15.75" customHeight="1">
      <c r="A678" s="4"/>
      <c r="B678" s="4"/>
      <c r="C678" s="115"/>
      <c r="D678" s="4"/>
      <c r="E678" s="4"/>
      <c r="F678" s="4"/>
      <c r="G678" s="4"/>
      <c r="H678" s="4"/>
      <c r="I678" s="4"/>
      <c r="J678" s="4"/>
      <c r="K678" s="1"/>
      <c r="L678" s="1"/>
      <c r="M678" s="1"/>
      <c r="N678" s="1"/>
      <c r="O678" s="1"/>
      <c r="P678" s="1"/>
      <c r="Q678" s="1"/>
      <c r="R678" s="1"/>
      <c r="S678" s="1"/>
      <c r="T678" s="1"/>
      <c r="U678" s="1"/>
      <c r="V678" s="1"/>
      <c r="W678" s="1"/>
      <c r="X678" s="1"/>
      <c r="Y678" s="1"/>
      <c r="Z678" s="1"/>
    </row>
    <row r="679" spans="1:26" ht="15.75" customHeight="1">
      <c r="A679" s="4"/>
      <c r="B679" s="4"/>
      <c r="C679" s="115"/>
      <c r="D679" s="4"/>
      <c r="E679" s="4"/>
      <c r="F679" s="4"/>
      <c r="G679" s="4"/>
      <c r="H679" s="4"/>
      <c r="I679" s="4"/>
      <c r="J679" s="4"/>
      <c r="K679" s="1"/>
      <c r="L679" s="1"/>
      <c r="M679" s="1"/>
      <c r="N679" s="1"/>
      <c r="O679" s="1"/>
      <c r="P679" s="1"/>
      <c r="Q679" s="1"/>
      <c r="R679" s="1"/>
      <c r="S679" s="1"/>
      <c r="T679" s="1"/>
      <c r="U679" s="1"/>
      <c r="V679" s="1"/>
      <c r="W679" s="1"/>
      <c r="X679" s="1"/>
      <c r="Y679" s="1"/>
      <c r="Z679" s="1"/>
    </row>
    <row r="680" spans="1:26" ht="15.75" customHeight="1">
      <c r="A680" s="4"/>
      <c r="B680" s="4"/>
      <c r="C680" s="115"/>
      <c r="D680" s="4"/>
      <c r="E680" s="4"/>
      <c r="F680" s="4"/>
      <c r="G680" s="4"/>
      <c r="H680" s="4"/>
      <c r="I680" s="4"/>
      <c r="J680" s="4"/>
      <c r="K680" s="1"/>
      <c r="L680" s="1"/>
      <c r="M680" s="1"/>
      <c r="N680" s="1"/>
      <c r="O680" s="1"/>
      <c r="P680" s="1"/>
      <c r="Q680" s="1"/>
      <c r="R680" s="1"/>
      <c r="S680" s="1"/>
      <c r="T680" s="1"/>
      <c r="U680" s="1"/>
      <c r="V680" s="1"/>
      <c r="W680" s="1"/>
      <c r="X680" s="1"/>
      <c r="Y680" s="1"/>
      <c r="Z680" s="1"/>
    </row>
    <row r="681" spans="1:26" ht="15.75" customHeight="1">
      <c r="A681" s="4"/>
      <c r="B681" s="4"/>
      <c r="C681" s="115"/>
      <c r="D681" s="4"/>
      <c r="E681" s="4"/>
      <c r="F681" s="4"/>
      <c r="G681" s="4"/>
      <c r="H681" s="4"/>
      <c r="I681" s="4"/>
      <c r="J681" s="4"/>
      <c r="K681" s="1"/>
      <c r="L681" s="1"/>
      <c r="M681" s="1"/>
      <c r="N681" s="1"/>
      <c r="O681" s="1"/>
      <c r="P681" s="1"/>
      <c r="Q681" s="1"/>
      <c r="R681" s="1"/>
      <c r="S681" s="1"/>
      <c r="T681" s="1"/>
      <c r="U681" s="1"/>
      <c r="V681" s="1"/>
      <c r="W681" s="1"/>
      <c r="X681" s="1"/>
      <c r="Y681" s="1"/>
      <c r="Z681" s="1"/>
    </row>
    <row r="682" spans="1:26" ht="15.75" customHeight="1">
      <c r="A682" s="4"/>
      <c r="B682" s="4"/>
      <c r="C682" s="115"/>
      <c r="D682" s="4"/>
      <c r="E682" s="4"/>
      <c r="F682" s="4"/>
      <c r="G682" s="4"/>
      <c r="H682" s="4"/>
      <c r="I682" s="4"/>
      <c r="J682" s="4"/>
      <c r="K682" s="1"/>
      <c r="L682" s="1"/>
      <c r="M682" s="1"/>
      <c r="N682" s="1"/>
      <c r="O682" s="1"/>
      <c r="P682" s="1"/>
      <c r="Q682" s="1"/>
      <c r="R682" s="1"/>
      <c r="S682" s="1"/>
      <c r="T682" s="1"/>
      <c r="U682" s="1"/>
      <c r="V682" s="1"/>
      <c r="W682" s="1"/>
      <c r="X682" s="1"/>
      <c r="Y682" s="1"/>
      <c r="Z682" s="1"/>
    </row>
    <row r="683" spans="1:26" ht="15.75" customHeight="1">
      <c r="A683" s="4"/>
      <c r="B683" s="4"/>
      <c r="C683" s="115"/>
      <c r="D683" s="4"/>
      <c r="E683" s="4"/>
      <c r="F683" s="4"/>
      <c r="G683" s="4"/>
      <c r="H683" s="4"/>
      <c r="I683" s="4"/>
      <c r="J683" s="4"/>
      <c r="K683" s="1"/>
      <c r="L683" s="1"/>
      <c r="M683" s="1"/>
      <c r="N683" s="1"/>
      <c r="O683" s="1"/>
      <c r="P683" s="1"/>
      <c r="Q683" s="1"/>
      <c r="R683" s="1"/>
      <c r="S683" s="1"/>
      <c r="T683" s="1"/>
      <c r="U683" s="1"/>
      <c r="V683" s="1"/>
      <c r="W683" s="1"/>
      <c r="X683" s="1"/>
      <c r="Y683" s="1"/>
      <c r="Z683" s="1"/>
    </row>
    <row r="684" spans="1:26" ht="15.75" customHeight="1">
      <c r="A684" s="4"/>
      <c r="B684" s="4"/>
      <c r="C684" s="115"/>
      <c r="D684" s="4"/>
      <c r="E684" s="4"/>
      <c r="F684" s="4"/>
      <c r="G684" s="4"/>
      <c r="H684" s="4"/>
      <c r="I684" s="4"/>
      <c r="J684" s="4"/>
      <c r="K684" s="1"/>
      <c r="L684" s="1"/>
      <c r="M684" s="1"/>
      <c r="N684" s="1"/>
      <c r="O684" s="1"/>
      <c r="P684" s="1"/>
      <c r="Q684" s="1"/>
      <c r="R684" s="1"/>
      <c r="S684" s="1"/>
      <c r="T684" s="1"/>
      <c r="U684" s="1"/>
      <c r="V684" s="1"/>
      <c r="W684" s="1"/>
      <c r="X684" s="1"/>
      <c r="Y684" s="1"/>
      <c r="Z684" s="1"/>
    </row>
    <row r="685" spans="1:26" ht="15.75" customHeight="1">
      <c r="A685" s="4"/>
      <c r="B685" s="4"/>
      <c r="C685" s="115"/>
      <c r="D685" s="4"/>
      <c r="E685" s="4"/>
      <c r="F685" s="4"/>
      <c r="G685" s="4"/>
      <c r="H685" s="4"/>
      <c r="I685" s="4"/>
      <c r="J685" s="4"/>
      <c r="K685" s="1"/>
      <c r="L685" s="1"/>
      <c r="M685" s="1"/>
      <c r="N685" s="1"/>
      <c r="O685" s="1"/>
      <c r="P685" s="1"/>
      <c r="Q685" s="1"/>
      <c r="R685" s="1"/>
      <c r="S685" s="1"/>
      <c r="T685" s="1"/>
      <c r="U685" s="1"/>
      <c r="V685" s="1"/>
      <c r="W685" s="1"/>
      <c r="X685" s="1"/>
      <c r="Y685" s="1"/>
      <c r="Z685" s="1"/>
    </row>
    <row r="686" spans="1:26" ht="15.75" customHeight="1">
      <c r="A686" s="4"/>
      <c r="B686" s="4"/>
      <c r="C686" s="115"/>
      <c r="D686" s="4"/>
      <c r="E686" s="4"/>
      <c r="F686" s="4"/>
      <c r="G686" s="4"/>
      <c r="H686" s="4"/>
      <c r="I686" s="4"/>
      <c r="J686" s="4"/>
      <c r="K686" s="1"/>
      <c r="L686" s="1"/>
      <c r="M686" s="1"/>
      <c r="N686" s="1"/>
      <c r="O686" s="1"/>
      <c r="P686" s="1"/>
      <c r="Q686" s="1"/>
      <c r="R686" s="1"/>
      <c r="S686" s="1"/>
      <c r="T686" s="1"/>
      <c r="U686" s="1"/>
      <c r="V686" s="1"/>
      <c r="W686" s="1"/>
      <c r="X686" s="1"/>
      <c r="Y686" s="1"/>
      <c r="Z686" s="1"/>
    </row>
    <row r="687" spans="1:26" ht="15.75" customHeight="1">
      <c r="A687" s="4"/>
      <c r="B687" s="4"/>
      <c r="C687" s="115"/>
      <c r="D687" s="4"/>
      <c r="E687" s="4"/>
      <c r="F687" s="4"/>
      <c r="G687" s="4"/>
      <c r="H687" s="4"/>
      <c r="I687" s="4"/>
      <c r="J687" s="4"/>
      <c r="K687" s="1"/>
      <c r="L687" s="1"/>
      <c r="M687" s="1"/>
      <c r="N687" s="1"/>
      <c r="O687" s="1"/>
      <c r="P687" s="1"/>
      <c r="Q687" s="1"/>
      <c r="R687" s="1"/>
      <c r="S687" s="1"/>
      <c r="T687" s="1"/>
      <c r="U687" s="1"/>
      <c r="V687" s="1"/>
      <c r="W687" s="1"/>
      <c r="X687" s="1"/>
      <c r="Y687" s="1"/>
      <c r="Z687" s="1"/>
    </row>
    <row r="688" spans="1:26" ht="15.75" customHeight="1">
      <c r="A688" s="4"/>
      <c r="B688" s="4"/>
      <c r="C688" s="115"/>
      <c r="D688" s="4"/>
      <c r="E688" s="4"/>
      <c r="F688" s="4"/>
      <c r="G688" s="4"/>
      <c r="H688" s="4"/>
      <c r="I688" s="4"/>
      <c r="J688" s="4"/>
      <c r="K688" s="1"/>
      <c r="L688" s="1"/>
      <c r="M688" s="1"/>
      <c r="N688" s="1"/>
      <c r="O688" s="1"/>
      <c r="P688" s="1"/>
      <c r="Q688" s="1"/>
      <c r="R688" s="1"/>
      <c r="S688" s="1"/>
      <c r="T688" s="1"/>
      <c r="U688" s="1"/>
      <c r="V688" s="1"/>
      <c r="W688" s="1"/>
      <c r="X688" s="1"/>
      <c r="Y688" s="1"/>
      <c r="Z688" s="1"/>
    </row>
    <row r="689" spans="1:26" ht="15.75" customHeight="1">
      <c r="A689" s="4"/>
      <c r="B689" s="4"/>
      <c r="C689" s="115"/>
      <c r="D689" s="4"/>
      <c r="E689" s="4"/>
      <c r="F689" s="4"/>
      <c r="G689" s="4"/>
      <c r="H689" s="4"/>
      <c r="I689" s="4"/>
      <c r="J689" s="4"/>
      <c r="K689" s="1"/>
      <c r="L689" s="1"/>
      <c r="M689" s="1"/>
      <c r="N689" s="1"/>
      <c r="O689" s="1"/>
      <c r="P689" s="1"/>
      <c r="Q689" s="1"/>
      <c r="R689" s="1"/>
      <c r="S689" s="1"/>
      <c r="T689" s="1"/>
      <c r="U689" s="1"/>
      <c r="V689" s="1"/>
      <c r="W689" s="1"/>
      <c r="X689" s="1"/>
      <c r="Y689" s="1"/>
      <c r="Z689" s="1"/>
    </row>
    <row r="690" spans="1:26" ht="15.75" customHeight="1">
      <c r="A690" s="4"/>
      <c r="B690" s="4"/>
      <c r="C690" s="115"/>
      <c r="D690" s="4"/>
      <c r="E690" s="4"/>
      <c r="F690" s="4"/>
      <c r="G690" s="4"/>
      <c r="H690" s="4"/>
      <c r="I690" s="4"/>
      <c r="J690" s="4"/>
      <c r="K690" s="1"/>
      <c r="L690" s="1"/>
      <c r="M690" s="1"/>
      <c r="N690" s="1"/>
      <c r="O690" s="1"/>
      <c r="P690" s="1"/>
      <c r="Q690" s="1"/>
      <c r="R690" s="1"/>
      <c r="S690" s="1"/>
      <c r="T690" s="1"/>
      <c r="U690" s="1"/>
      <c r="V690" s="1"/>
      <c r="W690" s="1"/>
      <c r="X690" s="1"/>
      <c r="Y690" s="1"/>
      <c r="Z690" s="1"/>
    </row>
    <row r="691" spans="1:26" ht="15.75" customHeight="1">
      <c r="A691" s="4"/>
      <c r="B691" s="4"/>
      <c r="C691" s="115"/>
      <c r="D691" s="4"/>
      <c r="E691" s="4"/>
      <c r="F691" s="4"/>
      <c r="G691" s="4"/>
      <c r="H691" s="4"/>
      <c r="I691" s="4"/>
      <c r="J691" s="4"/>
      <c r="K691" s="1"/>
      <c r="L691" s="1"/>
      <c r="M691" s="1"/>
      <c r="N691" s="1"/>
      <c r="O691" s="1"/>
      <c r="P691" s="1"/>
      <c r="Q691" s="1"/>
      <c r="R691" s="1"/>
      <c r="S691" s="1"/>
      <c r="T691" s="1"/>
      <c r="U691" s="1"/>
      <c r="V691" s="1"/>
      <c r="W691" s="1"/>
      <c r="X691" s="1"/>
      <c r="Y691" s="1"/>
      <c r="Z691" s="1"/>
    </row>
    <row r="692" spans="1:26" ht="15.75" customHeight="1">
      <c r="A692" s="4"/>
      <c r="B692" s="4"/>
      <c r="C692" s="115"/>
      <c r="D692" s="4"/>
      <c r="E692" s="4"/>
      <c r="F692" s="4"/>
      <c r="G692" s="4"/>
      <c r="H692" s="4"/>
      <c r="I692" s="4"/>
      <c r="J692" s="4"/>
      <c r="K692" s="1"/>
      <c r="L692" s="1"/>
      <c r="M692" s="1"/>
      <c r="N692" s="1"/>
      <c r="O692" s="1"/>
      <c r="P692" s="1"/>
      <c r="Q692" s="1"/>
      <c r="R692" s="1"/>
      <c r="S692" s="1"/>
      <c r="T692" s="1"/>
      <c r="U692" s="1"/>
      <c r="V692" s="1"/>
      <c r="W692" s="1"/>
      <c r="X692" s="1"/>
      <c r="Y692" s="1"/>
      <c r="Z692" s="1"/>
    </row>
    <row r="693" spans="1:26" ht="15.75" customHeight="1">
      <c r="A693" s="4"/>
      <c r="B693" s="4"/>
      <c r="C693" s="115"/>
      <c r="D693" s="4"/>
      <c r="E693" s="4"/>
      <c r="F693" s="4"/>
      <c r="G693" s="4"/>
      <c r="H693" s="4"/>
      <c r="I693" s="4"/>
      <c r="J693" s="4"/>
      <c r="K693" s="1"/>
      <c r="L693" s="1"/>
      <c r="M693" s="1"/>
      <c r="N693" s="1"/>
      <c r="O693" s="1"/>
      <c r="P693" s="1"/>
      <c r="Q693" s="1"/>
      <c r="R693" s="1"/>
      <c r="S693" s="1"/>
      <c r="T693" s="1"/>
      <c r="U693" s="1"/>
      <c r="V693" s="1"/>
      <c r="W693" s="1"/>
      <c r="X693" s="1"/>
      <c r="Y693" s="1"/>
      <c r="Z693" s="1"/>
    </row>
    <row r="694" spans="1:26" ht="15.75" customHeight="1">
      <c r="A694" s="4"/>
      <c r="B694" s="4"/>
      <c r="C694" s="115"/>
      <c r="D694" s="4"/>
      <c r="E694" s="4"/>
      <c r="F694" s="4"/>
      <c r="G694" s="4"/>
      <c r="H694" s="4"/>
      <c r="I694" s="4"/>
      <c r="J694" s="4"/>
      <c r="K694" s="1"/>
      <c r="L694" s="1"/>
      <c r="M694" s="1"/>
      <c r="N694" s="1"/>
      <c r="O694" s="1"/>
      <c r="P694" s="1"/>
      <c r="Q694" s="1"/>
      <c r="R694" s="1"/>
      <c r="S694" s="1"/>
      <c r="T694" s="1"/>
      <c r="U694" s="1"/>
      <c r="V694" s="1"/>
      <c r="W694" s="1"/>
      <c r="X694" s="1"/>
      <c r="Y694" s="1"/>
      <c r="Z694" s="1"/>
    </row>
    <row r="695" spans="1:26" ht="15.75" customHeight="1">
      <c r="A695" s="4"/>
      <c r="B695" s="4"/>
      <c r="C695" s="115"/>
      <c r="D695" s="4"/>
      <c r="E695" s="4"/>
      <c r="F695" s="4"/>
      <c r="G695" s="4"/>
      <c r="H695" s="4"/>
      <c r="I695" s="4"/>
      <c r="J695" s="4"/>
      <c r="K695" s="1"/>
      <c r="L695" s="1"/>
      <c r="M695" s="1"/>
      <c r="N695" s="1"/>
      <c r="O695" s="1"/>
      <c r="P695" s="1"/>
      <c r="Q695" s="1"/>
      <c r="R695" s="1"/>
      <c r="S695" s="1"/>
      <c r="T695" s="1"/>
      <c r="U695" s="1"/>
      <c r="V695" s="1"/>
      <c r="W695" s="1"/>
      <c r="X695" s="1"/>
      <c r="Y695" s="1"/>
      <c r="Z695" s="1"/>
    </row>
    <row r="696" spans="1:26" ht="15.75" customHeight="1">
      <c r="A696" s="4"/>
      <c r="B696" s="4"/>
      <c r="C696" s="115"/>
      <c r="D696" s="4"/>
      <c r="E696" s="4"/>
      <c r="F696" s="4"/>
      <c r="G696" s="4"/>
      <c r="H696" s="4"/>
      <c r="I696" s="4"/>
      <c r="J696" s="4"/>
      <c r="K696" s="1"/>
      <c r="L696" s="1"/>
      <c r="M696" s="1"/>
      <c r="N696" s="1"/>
      <c r="O696" s="1"/>
      <c r="P696" s="1"/>
      <c r="Q696" s="1"/>
      <c r="R696" s="1"/>
      <c r="S696" s="1"/>
      <c r="T696" s="1"/>
      <c r="U696" s="1"/>
      <c r="V696" s="1"/>
      <c r="W696" s="1"/>
      <c r="X696" s="1"/>
      <c r="Y696" s="1"/>
      <c r="Z696" s="1"/>
    </row>
    <row r="697" spans="1:26" ht="15.75" customHeight="1">
      <c r="A697" s="4"/>
      <c r="B697" s="4"/>
      <c r="C697" s="115"/>
      <c r="D697" s="4"/>
      <c r="E697" s="4"/>
      <c r="F697" s="4"/>
      <c r="G697" s="4"/>
      <c r="H697" s="4"/>
      <c r="I697" s="4"/>
      <c r="J697" s="4"/>
      <c r="K697" s="1"/>
      <c r="L697" s="1"/>
      <c r="M697" s="1"/>
      <c r="N697" s="1"/>
      <c r="O697" s="1"/>
      <c r="P697" s="1"/>
      <c r="Q697" s="1"/>
      <c r="R697" s="1"/>
      <c r="S697" s="1"/>
      <c r="T697" s="1"/>
      <c r="U697" s="1"/>
      <c r="V697" s="1"/>
      <c r="W697" s="1"/>
      <c r="X697" s="1"/>
      <c r="Y697" s="1"/>
      <c r="Z697" s="1"/>
    </row>
    <row r="698" spans="1:26" ht="15.75" customHeight="1">
      <c r="A698" s="4"/>
      <c r="B698" s="4"/>
      <c r="C698" s="115"/>
      <c r="D698" s="4"/>
      <c r="E698" s="4"/>
      <c r="F698" s="4"/>
      <c r="G698" s="4"/>
      <c r="H698" s="4"/>
      <c r="I698" s="4"/>
      <c r="J698" s="4"/>
      <c r="K698" s="1"/>
      <c r="L698" s="1"/>
      <c r="M698" s="1"/>
      <c r="N698" s="1"/>
      <c r="O698" s="1"/>
      <c r="P698" s="1"/>
      <c r="Q698" s="1"/>
      <c r="R698" s="1"/>
      <c r="S698" s="1"/>
      <c r="T698" s="1"/>
      <c r="U698" s="1"/>
      <c r="V698" s="1"/>
      <c r="W698" s="1"/>
      <c r="X698" s="1"/>
      <c r="Y698" s="1"/>
      <c r="Z698" s="1"/>
    </row>
    <row r="699" spans="1:26" ht="15.75" customHeight="1">
      <c r="A699" s="4"/>
      <c r="B699" s="4"/>
      <c r="C699" s="115"/>
      <c r="D699" s="4"/>
      <c r="E699" s="4"/>
      <c r="F699" s="4"/>
      <c r="G699" s="4"/>
      <c r="H699" s="4"/>
      <c r="I699" s="4"/>
      <c r="J699" s="4"/>
      <c r="K699" s="1"/>
      <c r="L699" s="1"/>
      <c r="M699" s="1"/>
      <c r="N699" s="1"/>
      <c r="O699" s="1"/>
      <c r="P699" s="1"/>
      <c r="Q699" s="1"/>
      <c r="R699" s="1"/>
      <c r="S699" s="1"/>
      <c r="T699" s="1"/>
      <c r="U699" s="1"/>
      <c r="V699" s="1"/>
      <c r="W699" s="1"/>
      <c r="X699" s="1"/>
      <c r="Y699" s="1"/>
      <c r="Z699" s="1"/>
    </row>
    <row r="700" spans="1:26" ht="15.75" customHeight="1">
      <c r="A700" s="4"/>
      <c r="B700" s="4"/>
      <c r="C700" s="115"/>
      <c r="D700" s="4"/>
      <c r="E700" s="4"/>
      <c r="F700" s="4"/>
      <c r="G700" s="4"/>
      <c r="H700" s="4"/>
      <c r="I700" s="4"/>
      <c r="J700" s="4"/>
      <c r="K700" s="1"/>
      <c r="L700" s="1"/>
      <c r="M700" s="1"/>
      <c r="N700" s="1"/>
      <c r="O700" s="1"/>
      <c r="P700" s="1"/>
      <c r="Q700" s="1"/>
      <c r="R700" s="1"/>
      <c r="S700" s="1"/>
      <c r="T700" s="1"/>
      <c r="U700" s="1"/>
      <c r="V700" s="1"/>
      <c r="W700" s="1"/>
      <c r="X700" s="1"/>
      <c r="Y700" s="1"/>
      <c r="Z700" s="1"/>
    </row>
    <row r="701" spans="1:26" ht="15.75" customHeight="1">
      <c r="A701" s="4"/>
      <c r="B701" s="4"/>
      <c r="C701" s="115"/>
      <c r="D701" s="4"/>
      <c r="E701" s="4"/>
      <c r="F701" s="4"/>
      <c r="G701" s="4"/>
      <c r="H701" s="4"/>
      <c r="I701" s="4"/>
      <c r="J701" s="4"/>
      <c r="K701" s="1"/>
      <c r="L701" s="1"/>
      <c r="M701" s="1"/>
      <c r="N701" s="1"/>
      <c r="O701" s="1"/>
      <c r="P701" s="1"/>
      <c r="Q701" s="1"/>
      <c r="R701" s="1"/>
      <c r="S701" s="1"/>
      <c r="T701" s="1"/>
      <c r="U701" s="1"/>
      <c r="V701" s="1"/>
      <c r="W701" s="1"/>
      <c r="X701" s="1"/>
      <c r="Y701" s="1"/>
      <c r="Z701" s="1"/>
    </row>
    <row r="702" spans="1:26" ht="15.75" customHeight="1">
      <c r="A702" s="4"/>
      <c r="B702" s="4"/>
      <c r="C702" s="115"/>
      <c r="D702" s="4"/>
      <c r="E702" s="4"/>
      <c r="F702" s="4"/>
      <c r="G702" s="4"/>
      <c r="H702" s="4"/>
      <c r="I702" s="4"/>
      <c r="J702" s="4"/>
      <c r="K702" s="1"/>
      <c r="L702" s="1"/>
      <c r="M702" s="1"/>
      <c r="N702" s="1"/>
      <c r="O702" s="1"/>
      <c r="P702" s="1"/>
      <c r="Q702" s="1"/>
      <c r="R702" s="1"/>
      <c r="S702" s="1"/>
      <c r="T702" s="1"/>
      <c r="U702" s="1"/>
      <c r="V702" s="1"/>
      <c r="W702" s="1"/>
      <c r="X702" s="1"/>
      <c r="Y702" s="1"/>
      <c r="Z702" s="1"/>
    </row>
    <row r="703" spans="1:26" ht="15.75" customHeight="1">
      <c r="A703" s="4"/>
      <c r="B703" s="4"/>
      <c r="C703" s="115"/>
      <c r="D703" s="4"/>
      <c r="E703" s="4"/>
      <c r="F703" s="4"/>
      <c r="G703" s="4"/>
      <c r="H703" s="4"/>
      <c r="I703" s="4"/>
      <c r="J703" s="4"/>
      <c r="K703" s="1"/>
      <c r="L703" s="1"/>
      <c r="M703" s="1"/>
      <c r="N703" s="1"/>
      <c r="O703" s="1"/>
      <c r="P703" s="1"/>
      <c r="Q703" s="1"/>
      <c r="R703" s="1"/>
      <c r="S703" s="1"/>
      <c r="T703" s="1"/>
      <c r="U703" s="1"/>
      <c r="V703" s="1"/>
      <c r="W703" s="1"/>
      <c r="X703" s="1"/>
      <c r="Y703" s="1"/>
      <c r="Z703" s="1"/>
    </row>
    <row r="704" spans="1:26" ht="15.75" customHeight="1">
      <c r="A704" s="4"/>
      <c r="B704" s="4"/>
      <c r="C704" s="115"/>
      <c r="D704" s="4"/>
      <c r="E704" s="4"/>
      <c r="F704" s="4"/>
      <c r="G704" s="4"/>
      <c r="H704" s="4"/>
      <c r="I704" s="4"/>
      <c r="J704" s="4"/>
      <c r="K704" s="1"/>
      <c r="L704" s="1"/>
      <c r="M704" s="1"/>
      <c r="N704" s="1"/>
      <c r="O704" s="1"/>
      <c r="P704" s="1"/>
      <c r="Q704" s="1"/>
      <c r="R704" s="1"/>
      <c r="S704" s="1"/>
      <c r="T704" s="1"/>
      <c r="U704" s="1"/>
      <c r="V704" s="1"/>
      <c r="W704" s="1"/>
      <c r="X704" s="1"/>
      <c r="Y704" s="1"/>
      <c r="Z704" s="1"/>
    </row>
    <row r="705" spans="1:26" ht="15.75" customHeight="1">
      <c r="A705" s="4"/>
      <c r="B705" s="4"/>
      <c r="C705" s="115"/>
      <c r="D705" s="4"/>
      <c r="E705" s="4"/>
      <c r="F705" s="4"/>
      <c r="G705" s="4"/>
      <c r="H705" s="4"/>
      <c r="I705" s="4"/>
      <c r="J705" s="4"/>
      <c r="K705" s="1"/>
      <c r="L705" s="1"/>
      <c r="M705" s="1"/>
      <c r="N705" s="1"/>
      <c r="O705" s="1"/>
      <c r="P705" s="1"/>
      <c r="Q705" s="1"/>
      <c r="R705" s="1"/>
      <c r="S705" s="1"/>
      <c r="T705" s="1"/>
      <c r="U705" s="1"/>
      <c r="V705" s="1"/>
      <c r="W705" s="1"/>
      <c r="X705" s="1"/>
      <c r="Y705" s="1"/>
      <c r="Z705" s="1"/>
    </row>
    <row r="706" spans="1:26" ht="15.75" customHeight="1">
      <c r="A706" s="4"/>
      <c r="B706" s="4"/>
      <c r="C706" s="115"/>
      <c r="D706" s="4"/>
      <c r="E706" s="4"/>
      <c r="F706" s="4"/>
      <c r="G706" s="4"/>
      <c r="H706" s="4"/>
      <c r="I706" s="4"/>
      <c r="J706" s="4"/>
      <c r="K706" s="1"/>
      <c r="L706" s="1"/>
      <c r="M706" s="1"/>
      <c r="N706" s="1"/>
      <c r="O706" s="1"/>
      <c r="P706" s="1"/>
      <c r="Q706" s="1"/>
      <c r="R706" s="1"/>
      <c r="S706" s="1"/>
      <c r="T706" s="1"/>
      <c r="U706" s="1"/>
      <c r="V706" s="1"/>
      <c r="W706" s="1"/>
      <c r="X706" s="1"/>
      <c r="Y706" s="1"/>
      <c r="Z706" s="1"/>
    </row>
    <row r="707" spans="1:26" ht="15.75" customHeight="1">
      <c r="A707" s="4"/>
      <c r="B707" s="4"/>
      <c r="C707" s="115"/>
      <c r="D707" s="4"/>
      <c r="E707" s="4"/>
      <c r="F707" s="4"/>
      <c r="G707" s="4"/>
      <c r="H707" s="4"/>
      <c r="I707" s="4"/>
      <c r="J707" s="4"/>
      <c r="K707" s="1"/>
      <c r="L707" s="1"/>
      <c r="M707" s="1"/>
      <c r="N707" s="1"/>
      <c r="O707" s="1"/>
      <c r="P707" s="1"/>
      <c r="Q707" s="1"/>
      <c r="R707" s="1"/>
      <c r="S707" s="1"/>
      <c r="T707" s="1"/>
      <c r="U707" s="1"/>
      <c r="V707" s="1"/>
      <c r="W707" s="1"/>
      <c r="X707" s="1"/>
      <c r="Y707" s="1"/>
      <c r="Z707" s="1"/>
    </row>
    <row r="708" spans="1:26" ht="15.75" customHeight="1">
      <c r="A708" s="4"/>
      <c r="B708" s="4"/>
      <c r="C708" s="115"/>
      <c r="D708" s="4"/>
      <c r="E708" s="4"/>
      <c r="F708" s="4"/>
      <c r="G708" s="4"/>
      <c r="H708" s="4"/>
      <c r="I708" s="4"/>
      <c r="J708" s="4"/>
      <c r="K708" s="1"/>
      <c r="L708" s="1"/>
      <c r="M708" s="1"/>
      <c r="N708" s="1"/>
      <c r="O708" s="1"/>
      <c r="P708" s="1"/>
      <c r="Q708" s="1"/>
      <c r="R708" s="1"/>
      <c r="S708" s="1"/>
      <c r="T708" s="1"/>
      <c r="U708" s="1"/>
      <c r="V708" s="1"/>
      <c r="W708" s="1"/>
      <c r="X708" s="1"/>
      <c r="Y708" s="1"/>
      <c r="Z708" s="1"/>
    </row>
    <row r="709" spans="1:26" ht="15.75" customHeight="1">
      <c r="A709" s="4"/>
      <c r="B709" s="4"/>
      <c r="C709" s="115"/>
      <c r="D709" s="4"/>
      <c r="E709" s="4"/>
      <c r="F709" s="4"/>
      <c r="G709" s="4"/>
      <c r="H709" s="4"/>
      <c r="I709" s="4"/>
      <c r="J709" s="4"/>
      <c r="K709" s="1"/>
      <c r="L709" s="1"/>
      <c r="M709" s="1"/>
      <c r="N709" s="1"/>
      <c r="O709" s="1"/>
      <c r="P709" s="1"/>
      <c r="Q709" s="1"/>
      <c r="R709" s="1"/>
      <c r="S709" s="1"/>
      <c r="T709" s="1"/>
      <c r="U709" s="1"/>
      <c r="V709" s="1"/>
      <c r="W709" s="1"/>
      <c r="X709" s="1"/>
      <c r="Y709" s="1"/>
      <c r="Z709" s="1"/>
    </row>
    <row r="710" spans="1:26" ht="15.75" customHeight="1">
      <c r="A710" s="4"/>
      <c r="B710" s="4"/>
      <c r="C710" s="115"/>
      <c r="D710" s="4"/>
      <c r="E710" s="4"/>
      <c r="F710" s="4"/>
      <c r="G710" s="4"/>
      <c r="H710" s="4"/>
      <c r="I710" s="4"/>
      <c r="J710" s="4"/>
      <c r="K710" s="1"/>
      <c r="L710" s="1"/>
      <c r="M710" s="1"/>
      <c r="N710" s="1"/>
      <c r="O710" s="1"/>
      <c r="P710" s="1"/>
      <c r="Q710" s="1"/>
      <c r="R710" s="1"/>
      <c r="S710" s="1"/>
      <c r="T710" s="1"/>
      <c r="U710" s="1"/>
      <c r="V710" s="1"/>
      <c r="W710" s="1"/>
      <c r="X710" s="1"/>
      <c r="Y710" s="1"/>
      <c r="Z710" s="1"/>
    </row>
    <row r="711" spans="1:26" ht="15.75" customHeight="1">
      <c r="A711" s="4"/>
      <c r="B711" s="4"/>
      <c r="C711" s="115"/>
      <c r="D711" s="4"/>
      <c r="E711" s="4"/>
      <c r="F711" s="4"/>
      <c r="G711" s="4"/>
      <c r="H711" s="4"/>
      <c r="I711" s="4"/>
      <c r="J711" s="4"/>
      <c r="K711" s="1"/>
      <c r="L711" s="1"/>
      <c r="M711" s="1"/>
      <c r="N711" s="1"/>
      <c r="O711" s="1"/>
      <c r="P711" s="1"/>
      <c r="Q711" s="1"/>
      <c r="R711" s="1"/>
      <c r="S711" s="1"/>
      <c r="T711" s="1"/>
      <c r="U711" s="1"/>
      <c r="V711" s="1"/>
      <c r="W711" s="1"/>
      <c r="X711" s="1"/>
      <c r="Y711" s="1"/>
      <c r="Z711" s="1"/>
    </row>
    <row r="712" spans="1:26" ht="15.75" customHeight="1">
      <c r="A712" s="4"/>
      <c r="B712" s="4"/>
      <c r="C712" s="115"/>
      <c r="D712" s="4"/>
      <c r="E712" s="4"/>
      <c r="F712" s="4"/>
      <c r="G712" s="4"/>
      <c r="H712" s="4"/>
      <c r="I712" s="4"/>
      <c r="J712" s="4"/>
      <c r="K712" s="1"/>
      <c r="L712" s="1"/>
      <c r="M712" s="1"/>
      <c r="N712" s="1"/>
      <c r="O712" s="1"/>
      <c r="P712" s="1"/>
      <c r="Q712" s="1"/>
      <c r="R712" s="1"/>
      <c r="S712" s="1"/>
      <c r="T712" s="1"/>
      <c r="U712" s="1"/>
      <c r="V712" s="1"/>
      <c r="W712" s="1"/>
      <c r="X712" s="1"/>
      <c r="Y712" s="1"/>
      <c r="Z712" s="1"/>
    </row>
    <row r="713" spans="1:26" ht="15.75" customHeight="1">
      <c r="A713" s="4"/>
      <c r="B713" s="4"/>
      <c r="C713" s="115"/>
      <c r="D713" s="4"/>
      <c r="E713" s="4"/>
      <c r="F713" s="4"/>
      <c r="G713" s="4"/>
      <c r="H713" s="4"/>
      <c r="I713" s="4"/>
      <c r="J713" s="4"/>
      <c r="K713" s="1"/>
      <c r="L713" s="1"/>
      <c r="M713" s="1"/>
      <c r="N713" s="1"/>
      <c r="O713" s="1"/>
      <c r="P713" s="1"/>
      <c r="Q713" s="1"/>
      <c r="R713" s="1"/>
      <c r="S713" s="1"/>
      <c r="T713" s="1"/>
      <c r="U713" s="1"/>
      <c r="V713" s="1"/>
      <c r="W713" s="1"/>
      <c r="X713" s="1"/>
      <c r="Y713" s="1"/>
      <c r="Z713" s="1"/>
    </row>
    <row r="714" spans="1:26" ht="15.75" customHeight="1">
      <c r="A714" s="4"/>
      <c r="B714" s="4"/>
      <c r="C714" s="115"/>
      <c r="D714" s="4"/>
      <c r="E714" s="4"/>
      <c r="F714" s="4"/>
      <c r="G714" s="4"/>
      <c r="H714" s="4"/>
      <c r="I714" s="4"/>
      <c r="J714" s="4"/>
      <c r="K714" s="1"/>
      <c r="L714" s="1"/>
      <c r="M714" s="1"/>
      <c r="N714" s="1"/>
      <c r="O714" s="1"/>
      <c r="P714" s="1"/>
      <c r="Q714" s="1"/>
      <c r="R714" s="1"/>
      <c r="S714" s="1"/>
      <c r="T714" s="1"/>
      <c r="U714" s="1"/>
      <c r="V714" s="1"/>
      <c r="W714" s="1"/>
      <c r="X714" s="1"/>
      <c r="Y714" s="1"/>
      <c r="Z714" s="1"/>
    </row>
    <row r="715" spans="1:26" ht="15.75" customHeight="1">
      <c r="A715" s="4"/>
      <c r="B715" s="4"/>
      <c r="C715" s="115"/>
      <c r="D715" s="4"/>
      <c r="E715" s="4"/>
      <c r="F715" s="4"/>
      <c r="G715" s="4"/>
      <c r="H715" s="4"/>
      <c r="I715" s="4"/>
      <c r="J715" s="4"/>
      <c r="K715" s="1"/>
      <c r="L715" s="1"/>
      <c r="M715" s="1"/>
      <c r="N715" s="1"/>
      <c r="O715" s="1"/>
      <c r="P715" s="1"/>
      <c r="Q715" s="1"/>
      <c r="R715" s="1"/>
      <c r="S715" s="1"/>
      <c r="T715" s="1"/>
      <c r="U715" s="1"/>
      <c r="V715" s="1"/>
      <c r="W715" s="1"/>
      <c r="X715" s="1"/>
      <c r="Y715" s="1"/>
      <c r="Z715" s="1"/>
    </row>
    <row r="716" spans="1:26" ht="15.75" customHeight="1">
      <c r="A716" s="4"/>
      <c r="B716" s="4"/>
      <c r="C716" s="115"/>
      <c r="D716" s="4"/>
      <c r="E716" s="4"/>
      <c r="F716" s="4"/>
      <c r="G716" s="4"/>
      <c r="H716" s="4"/>
      <c r="I716" s="4"/>
      <c r="J716" s="4"/>
      <c r="K716" s="1"/>
      <c r="L716" s="1"/>
      <c r="M716" s="1"/>
      <c r="N716" s="1"/>
      <c r="O716" s="1"/>
      <c r="P716" s="1"/>
      <c r="Q716" s="1"/>
      <c r="R716" s="1"/>
      <c r="S716" s="1"/>
      <c r="T716" s="1"/>
      <c r="U716" s="1"/>
      <c r="V716" s="1"/>
      <c r="W716" s="1"/>
      <c r="X716" s="1"/>
      <c r="Y716" s="1"/>
      <c r="Z716" s="1"/>
    </row>
    <row r="717" spans="1:26" ht="15.75" customHeight="1">
      <c r="A717" s="4"/>
      <c r="B717" s="4"/>
      <c r="C717" s="115"/>
      <c r="D717" s="4"/>
      <c r="E717" s="4"/>
      <c r="F717" s="4"/>
      <c r="G717" s="4"/>
      <c r="H717" s="4"/>
      <c r="I717" s="4"/>
      <c r="J717" s="4"/>
      <c r="K717" s="1"/>
      <c r="L717" s="1"/>
      <c r="M717" s="1"/>
      <c r="N717" s="1"/>
      <c r="O717" s="1"/>
      <c r="P717" s="1"/>
      <c r="Q717" s="1"/>
      <c r="R717" s="1"/>
      <c r="S717" s="1"/>
      <c r="T717" s="1"/>
      <c r="U717" s="1"/>
      <c r="V717" s="1"/>
      <c r="W717" s="1"/>
      <c r="X717" s="1"/>
      <c r="Y717" s="1"/>
      <c r="Z717" s="1"/>
    </row>
    <row r="718" spans="1:26" ht="15.75" customHeight="1">
      <c r="A718" s="4"/>
      <c r="B718" s="4"/>
      <c r="C718" s="115"/>
      <c r="D718" s="4"/>
      <c r="E718" s="4"/>
      <c r="F718" s="4"/>
      <c r="G718" s="4"/>
      <c r="H718" s="4"/>
      <c r="I718" s="4"/>
      <c r="J718" s="4"/>
      <c r="K718" s="1"/>
      <c r="L718" s="1"/>
      <c r="M718" s="1"/>
      <c r="N718" s="1"/>
      <c r="O718" s="1"/>
      <c r="P718" s="1"/>
      <c r="Q718" s="1"/>
      <c r="R718" s="1"/>
      <c r="S718" s="1"/>
      <c r="T718" s="1"/>
      <c r="U718" s="1"/>
      <c r="V718" s="1"/>
      <c r="W718" s="1"/>
      <c r="X718" s="1"/>
      <c r="Y718" s="1"/>
      <c r="Z718" s="1"/>
    </row>
    <row r="719" spans="1:26" ht="15.75" customHeight="1">
      <c r="A719" s="4"/>
      <c r="B719" s="4"/>
      <c r="C719" s="115"/>
      <c r="D719" s="4"/>
      <c r="E719" s="4"/>
      <c r="F719" s="4"/>
      <c r="G719" s="4"/>
      <c r="H719" s="4"/>
      <c r="I719" s="4"/>
      <c r="J719" s="4"/>
      <c r="K719" s="1"/>
      <c r="L719" s="1"/>
      <c r="M719" s="1"/>
      <c r="N719" s="1"/>
      <c r="O719" s="1"/>
      <c r="P719" s="1"/>
      <c r="Q719" s="1"/>
      <c r="R719" s="1"/>
      <c r="S719" s="1"/>
      <c r="T719" s="1"/>
      <c r="U719" s="1"/>
      <c r="V719" s="1"/>
      <c r="W719" s="1"/>
      <c r="X719" s="1"/>
      <c r="Y719" s="1"/>
      <c r="Z719" s="1"/>
    </row>
    <row r="720" spans="1:26" ht="15.75" customHeight="1">
      <c r="A720" s="4"/>
      <c r="B720" s="4"/>
      <c r="C720" s="115"/>
      <c r="D720" s="4"/>
      <c r="E720" s="4"/>
      <c r="F720" s="4"/>
      <c r="G720" s="4"/>
      <c r="H720" s="4"/>
      <c r="I720" s="4"/>
      <c r="J720" s="4"/>
      <c r="K720" s="1"/>
      <c r="L720" s="1"/>
      <c r="M720" s="1"/>
      <c r="N720" s="1"/>
      <c r="O720" s="1"/>
      <c r="P720" s="1"/>
      <c r="Q720" s="1"/>
      <c r="R720" s="1"/>
      <c r="S720" s="1"/>
      <c r="T720" s="1"/>
      <c r="U720" s="1"/>
      <c r="V720" s="1"/>
      <c r="W720" s="1"/>
      <c r="X720" s="1"/>
      <c r="Y720" s="1"/>
      <c r="Z720" s="1"/>
    </row>
    <row r="721" spans="1:26" ht="15.75" customHeight="1">
      <c r="A721" s="4"/>
      <c r="B721" s="4"/>
      <c r="C721" s="115"/>
      <c r="D721" s="4"/>
      <c r="E721" s="4"/>
      <c r="F721" s="4"/>
      <c r="G721" s="4"/>
      <c r="H721" s="4"/>
      <c r="I721" s="4"/>
      <c r="J721" s="4"/>
      <c r="K721" s="1"/>
      <c r="L721" s="1"/>
      <c r="M721" s="1"/>
      <c r="N721" s="1"/>
      <c r="O721" s="1"/>
      <c r="P721" s="1"/>
      <c r="Q721" s="1"/>
      <c r="R721" s="1"/>
      <c r="S721" s="1"/>
      <c r="T721" s="1"/>
      <c r="U721" s="1"/>
      <c r="V721" s="1"/>
      <c r="W721" s="1"/>
      <c r="X721" s="1"/>
      <c r="Y721" s="1"/>
      <c r="Z721" s="1"/>
    </row>
    <row r="722" spans="1:26" ht="15.75" customHeight="1">
      <c r="A722" s="4"/>
      <c r="B722" s="4"/>
      <c r="C722" s="115"/>
      <c r="D722" s="4"/>
      <c r="E722" s="4"/>
      <c r="F722" s="4"/>
      <c r="G722" s="4"/>
      <c r="H722" s="4"/>
      <c r="I722" s="4"/>
      <c r="J722" s="4"/>
      <c r="K722" s="1"/>
      <c r="L722" s="1"/>
      <c r="M722" s="1"/>
      <c r="N722" s="1"/>
      <c r="O722" s="1"/>
      <c r="P722" s="1"/>
      <c r="Q722" s="1"/>
      <c r="R722" s="1"/>
      <c r="S722" s="1"/>
      <c r="T722" s="1"/>
      <c r="U722" s="1"/>
      <c r="V722" s="1"/>
      <c r="W722" s="1"/>
      <c r="X722" s="1"/>
      <c r="Y722" s="1"/>
      <c r="Z722" s="1"/>
    </row>
    <row r="723" spans="1:26" ht="15.75" customHeight="1">
      <c r="A723" s="4"/>
      <c r="B723" s="4"/>
      <c r="C723" s="115"/>
      <c r="D723" s="4"/>
      <c r="E723" s="4"/>
      <c r="F723" s="4"/>
      <c r="G723" s="4"/>
      <c r="H723" s="4"/>
      <c r="I723" s="4"/>
      <c r="J723" s="4"/>
      <c r="K723" s="1"/>
      <c r="L723" s="1"/>
      <c r="M723" s="1"/>
      <c r="N723" s="1"/>
      <c r="O723" s="1"/>
      <c r="P723" s="1"/>
      <c r="Q723" s="1"/>
      <c r="R723" s="1"/>
      <c r="S723" s="1"/>
      <c r="T723" s="1"/>
      <c r="U723" s="1"/>
      <c r="V723" s="1"/>
      <c r="W723" s="1"/>
      <c r="X723" s="1"/>
      <c r="Y723" s="1"/>
      <c r="Z723" s="1"/>
    </row>
    <row r="724" spans="1:26" ht="15.75" customHeight="1">
      <c r="A724" s="4"/>
      <c r="B724" s="4"/>
      <c r="C724" s="115"/>
      <c r="D724" s="4"/>
      <c r="E724" s="4"/>
      <c r="F724" s="4"/>
      <c r="G724" s="4"/>
      <c r="H724" s="4"/>
      <c r="I724" s="4"/>
      <c r="J724" s="4"/>
      <c r="K724" s="1"/>
      <c r="L724" s="1"/>
      <c r="M724" s="1"/>
      <c r="N724" s="1"/>
      <c r="O724" s="1"/>
      <c r="P724" s="1"/>
      <c r="Q724" s="1"/>
      <c r="R724" s="1"/>
      <c r="S724" s="1"/>
      <c r="T724" s="1"/>
      <c r="U724" s="1"/>
      <c r="V724" s="1"/>
      <c r="W724" s="1"/>
      <c r="X724" s="1"/>
      <c r="Y724" s="1"/>
      <c r="Z724" s="1"/>
    </row>
    <row r="725" spans="1:26" ht="15.75" customHeight="1">
      <c r="A725" s="4"/>
      <c r="B725" s="4"/>
      <c r="C725" s="115"/>
      <c r="D725" s="4"/>
      <c r="E725" s="4"/>
      <c r="F725" s="4"/>
      <c r="G725" s="4"/>
      <c r="H725" s="4"/>
      <c r="I725" s="4"/>
      <c r="J725" s="4"/>
      <c r="K725" s="1"/>
      <c r="L725" s="1"/>
      <c r="M725" s="1"/>
      <c r="N725" s="1"/>
      <c r="O725" s="1"/>
      <c r="P725" s="1"/>
      <c r="Q725" s="1"/>
      <c r="R725" s="1"/>
      <c r="S725" s="1"/>
      <c r="T725" s="1"/>
      <c r="U725" s="1"/>
      <c r="V725" s="1"/>
      <c r="W725" s="1"/>
      <c r="X725" s="1"/>
      <c r="Y725" s="1"/>
      <c r="Z725" s="1"/>
    </row>
    <row r="726" spans="1:26" ht="15.75" customHeight="1">
      <c r="A726" s="4"/>
      <c r="B726" s="4"/>
      <c r="C726" s="115"/>
      <c r="D726" s="4"/>
      <c r="E726" s="4"/>
      <c r="F726" s="4"/>
      <c r="G726" s="4"/>
      <c r="H726" s="4"/>
      <c r="I726" s="4"/>
      <c r="J726" s="4"/>
      <c r="K726" s="1"/>
      <c r="L726" s="1"/>
      <c r="M726" s="1"/>
      <c r="N726" s="1"/>
      <c r="O726" s="1"/>
      <c r="P726" s="1"/>
      <c r="Q726" s="1"/>
      <c r="R726" s="1"/>
      <c r="S726" s="1"/>
      <c r="T726" s="1"/>
      <c r="U726" s="1"/>
      <c r="V726" s="1"/>
      <c r="W726" s="1"/>
      <c r="X726" s="1"/>
      <c r="Y726" s="1"/>
      <c r="Z726" s="1"/>
    </row>
    <row r="727" spans="1:26" ht="15.75" customHeight="1">
      <c r="A727" s="4"/>
      <c r="B727" s="4"/>
      <c r="C727" s="115"/>
      <c r="D727" s="4"/>
      <c r="E727" s="4"/>
      <c r="F727" s="4"/>
      <c r="G727" s="4"/>
      <c r="H727" s="4"/>
      <c r="I727" s="4"/>
      <c r="J727" s="4"/>
      <c r="K727" s="1"/>
      <c r="L727" s="1"/>
      <c r="M727" s="1"/>
      <c r="N727" s="1"/>
      <c r="O727" s="1"/>
      <c r="P727" s="1"/>
      <c r="Q727" s="1"/>
      <c r="R727" s="1"/>
      <c r="S727" s="1"/>
      <c r="T727" s="1"/>
      <c r="U727" s="1"/>
      <c r="V727" s="1"/>
      <c r="W727" s="1"/>
      <c r="X727" s="1"/>
      <c r="Y727" s="1"/>
      <c r="Z727" s="1"/>
    </row>
    <row r="728" spans="1:26" ht="15.75" customHeight="1">
      <c r="A728" s="4"/>
      <c r="B728" s="4"/>
      <c r="C728" s="115"/>
      <c r="D728" s="4"/>
      <c r="E728" s="4"/>
      <c r="F728" s="4"/>
      <c r="G728" s="4"/>
      <c r="H728" s="4"/>
      <c r="I728" s="4"/>
      <c r="J728" s="4"/>
      <c r="K728" s="1"/>
      <c r="L728" s="1"/>
      <c r="M728" s="1"/>
      <c r="N728" s="1"/>
      <c r="O728" s="1"/>
      <c r="P728" s="1"/>
      <c r="Q728" s="1"/>
      <c r="R728" s="1"/>
      <c r="S728" s="1"/>
      <c r="T728" s="1"/>
      <c r="U728" s="1"/>
      <c r="V728" s="1"/>
      <c r="W728" s="1"/>
      <c r="X728" s="1"/>
      <c r="Y728" s="1"/>
      <c r="Z728" s="1"/>
    </row>
    <row r="729" spans="1:26" ht="15.75" customHeight="1">
      <c r="A729" s="4"/>
      <c r="B729" s="4"/>
      <c r="C729" s="115"/>
      <c r="D729" s="4"/>
      <c r="E729" s="4"/>
      <c r="F729" s="4"/>
      <c r="G729" s="4"/>
      <c r="H729" s="4"/>
      <c r="I729" s="4"/>
      <c r="J729" s="4"/>
      <c r="K729" s="1"/>
      <c r="L729" s="1"/>
      <c r="M729" s="1"/>
      <c r="N729" s="1"/>
      <c r="O729" s="1"/>
      <c r="P729" s="1"/>
      <c r="Q729" s="1"/>
      <c r="R729" s="1"/>
      <c r="S729" s="1"/>
      <c r="T729" s="1"/>
      <c r="U729" s="1"/>
      <c r="V729" s="1"/>
      <c r="W729" s="1"/>
      <c r="X729" s="1"/>
      <c r="Y729" s="1"/>
      <c r="Z729" s="1"/>
    </row>
    <row r="730" spans="1:26" ht="15.75" customHeight="1">
      <c r="A730" s="4"/>
      <c r="B730" s="4"/>
      <c r="C730" s="115"/>
      <c r="D730" s="4"/>
      <c r="E730" s="4"/>
      <c r="F730" s="4"/>
      <c r="G730" s="4"/>
      <c r="H730" s="4"/>
      <c r="I730" s="4"/>
      <c r="J730" s="4"/>
      <c r="K730" s="1"/>
      <c r="L730" s="1"/>
      <c r="M730" s="1"/>
      <c r="N730" s="1"/>
      <c r="O730" s="1"/>
      <c r="P730" s="1"/>
      <c r="Q730" s="1"/>
      <c r="R730" s="1"/>
      <c r="S730" s="1"/>
      <c r="T730" s="1"/>
      <c r="U730" s="1"/>
      <c r="V730" s="1"/>
      <c r="W730" s="1"/>
      <c r="X730" s="1"/>
      <c r="Y730" s="1"/>
      <c r="Z730" s="1"/>
    </row>
    <row r="731" spans="1:26" ht="15.75" customHeight="1">
      <c r="A731" s="4"/>
      <c r="B731" s="4"/>
      <c r="C731" s="115"/>
      <c r="D731" s="4"/>
      <c r="E731" s="4"/>
      <c r="F731" s="4"/>
      <c r="G731" s="4"/>
      <c r="H731" s="4"/>
      <c r="I731" s="4"/>
      <c r="J731" s="4"/>
      <c r="K731" s="1"/>
      <c r="L731" s="1"/>
      <c r="M731" s="1"/>
      <c r="N731" s="1"/>
      <c r="O731" s="1"/>
      <c r="P731" s="1"/>
      <c r="Q731" s="1"/>
      <c r="R731" s="1"/>
      <c r="S731" s="1"/>
      <c r="T731" s="1"/>
      <c r="U731" s="1"/>
      <c r="V731" s="1"/>
      <c r="W731" s="1"/>
      <c r="X731" s="1"/>
      <c r="Y731" s="1"/>
      <c r="Z731" s="1"/>
    </row>
    <row r="732" spans="1:26" ht="15.75" customHeight="1">
      <c r="A732" s="4"/>
      <c r="B732" s="4"/>
      <c r="C732" s="115"/>
      <c r="D732" s="4"/>
      <c r="E732" s="4"/>
      <c r="F732" s="4"/>
      <c r="G732" s="4"/>
      <c r="H732" s="4"/>
      <c r="I732" s="4"/>
      <c r="J732" s="4"/>
      <c r="K732" s="1"/>
      <c r="L732" s="1"/>
      <c r="M732" s="1"/>
      <c r="N732" s="1"/>
      <c r="O732" s="1"/>
      <c r="P732" s="1"/>
      <c r="Q732" s="1"/>
      <c r="R732" s="1"/>
      <c r="S732" s="1"/>
      <c r="T732" s="1"/>
      <c r="U732" s="1"/>
      <c r="V732" s="1"/>
      <c r="W732" s="1"/>
      <c r="X732" s="1"/>
      <c r="Y732" s="1"/>
      <c r="Z732" s="1"/>
    </row>
    <row r="733" spans="1:26" ht="15.75" customHeight="1">
      <c r="A733" s="4"/>
      <c r="B733" s="4"/>
      <c r="C733" s="115"/>
      <c r="D733" s="4"/>
      <c r="E733" s="4"/>
      <c r="F733" s="4"/>
      <c r="G733" s="4"/>
      <c r="H733" s="4"/>
      <c r="I733" s="4"/>
      <c r="J733" s="4"/>
      <c r="K733" s="1"/>
      <c r="L733" s="1"/>
      <c r="M733" s="1"/>
      <c r="N733" s="1"/>
      <c r="O733" s="1"/>
      <c r="P733" s="1"/>
      <c r="Q733" s="1"/>
      <c r="R733" s="1"/>
      <c r="S733" s="1"/>
      <c r="T733" s="1"/>
      <c r="U733" s="1"/>
      <c r="V733" s="1"/>
      <c r="W733" s="1"/>
      <c r="X733" s="1"/>
      <c r="Y733" s="1"/>
      <c r="Z733" s="1"/>
    </row>
    <row r="734" spans="1:26" ht="15.75" customHeight="1">
      <c r="A734" s="4"/>
      <c r="B734" s="4"/>
      <c r="C734" s="115"/>
      <c r="D734" s="4"/>
      <c r="E734" s="4"/>
      <c r="F734" s="4"/>
      <c r="G734" s="4"/>
      <c r="H734" s="4"/>
      <c r="I734" s="4"/>
      <c r="J734" s="4"/>
      <c r="K734" s="1"/>
      <c r="L734" s="1"/>
      <c r="M734" s="1"/>
      <c r="N734" s="1"/>
      <c r="O734" s="1"/>
      <c r="P734" s="1"/>
      <c r="Q734" s="1"/>
      <c r="R734" s="1"/>
      <c r="S734" s="1"/>
      <c r="T734" s="1"/>
      <c r="U734" s="1"/>
      <c r="V734" s="1"/>
      <c r="W734" s="1"/>
      <c r="X734" s="1"/>
      <c r="Y734" s="1"/>
      <c r="Z734" s="1"/>
    </row>
    <row r="735" spans="1:26" ht="15.75" customHeight="1">
      <c r="A735" s="4"/>
      <c r="B735" s="4"/>
      <c r="C735" s="115"/>
      <c r="D735" s="4"/>
      <c r="E735" s="4"/>
      <c r="F735" s="4"/>
      <c r="G735" s="4"/>
      <c r="H735" s="4"/>
      <c r="I735" s="4"/>
      <c r="J735" s="4"/>
      <c r="K735" s="1"/>
      <c r="L735" s="1"/>
      <c r="M735" s="1"/>
      <c r="N735" s="1"/>
      <c r="O735" s="1"/>
      <c r="P735" s="1"/>
      <c r="Q735" s="1"/>
      <c r="R735" s="1"/>
      <c r="S735" s="1"/>
      <c r="T735" s="1"/>
      <c r="U735" s="1"/>
      <c r="V735" s="1"/>
      <c r="W735" s="1"/>
      <c r="X735" s="1"/>
      <c r="Y735" s="1"/>
      <c r="Z735" s="1"/>
    </row>
    <row r="736" spans="1:26" ht="15.75" customHeight="1">
      <c r="A736" s="4"/>
      <c r="B736" s="4"/>
      <c r="C736" s="115"/>
      <c r="D736" s="4"/>
      <c r="E736" s="4"/>
      <c r="F736" s="4"/>
      <c r="G736" s="4"/>
      <c r="H736" s="4"/>
      <c r="I736" s="4"/>
      <c r="J736" s="4"/>
      <c r="K736" s="1"/>
      <c r="L736" s="1"/>
      <c r="M736" s="1"/>
      <c r="N736" s="1"/>
      <c r="O736" s="1"/>
      <c r="P736" s="1"/>
      <c r="Q736" s="1"/>
      <c r="R736" s="1"/>
      <c r="S736" s="1"/>
      <c r="T736" s="1"/>
      <c r="U736" s="1"/>
      <c r="V736" s="1"/>
      <c r="W736" s="1"/>
      <c r="X736" s="1"/>
      <c r="Y736" s="1"/>
      <c r="Z736" s="1"/>
    </row>
    <row r="737" spans="1:26" ht="15.75" customHeight="1">
      <c r="A737" s="4"/>
      <c r="B737" s="4"/>
      <c r="C737" s="115"/>
      <c r="D737" s="4"/>
      <c r="E737" s="4"/>
      <c r="F737" s="4"/>
      <c r="G737" s="4"/>
      <c r="H737" s="4"/>
      <c r="I737" s="4"/>
      <c r="J737" s="4"/>
      <c r="K737" s="1"/>
      <c r="L737" s="1"/>
      <c r="M737" s="1"/>
      <c r="N737" s="1"/>
      <c r="O737" s="1"/>
      <c r="P737" s="1"/>
      <c r="Q737" s="1"/>
      <c r="R737" s="1"/>
      <c r="S737" s="1"/>
      <c r="T737" s="1"/>
      <c r="U737" s="1"/>
      <c r="V737" s="1"/>
      <c r="W737" s="1"/>
      <c r="X737" s="1"/>
      <c r="Y737" s="1"/>
      <c r="Z737" s="1"/>
    </row>
    <row r="738" spans="1:26" ht="15.75" customHeight="1">
      <c r="A738" s="4"/>
      <c r="B738" s="4"/>
      <c r="C738" s="115"/>
      <c r="D738" s="4"/>
      <c r="E738" s="4"/>
      <c r="F738" s="4"/>
      <c r="G738" s="4"/>
      <c r="H738" s="4"/>
      <c r="I738" s="4"/>
      <c r="J738" s="4"/>
      <c r="K738" s="1"/>
      <c r="L738" s="1"/>
      <c r="M738" s="1"/>
      <c r="N738" s="1"/>
      <c r="O738" s="1"/>
      <c r="P738" s="1"/>
      <c r="Q738" s="1"/>
      <c r="R738" s="1"/>
      <c r="S738" s="1"/>
      <c r="T738" s="1"/>
      <c r="U738" s="1"/>
      <c r="V738" s="1"/>
      <c r="W738" s="1"/>
      <c r="X738" s="1"/>
      <c r="Y738" s="1"/>
      <c r="Z738" s="1"/>
    </row>
    <row r="739" spans="1:26" ht="15.75" customHeight="1">
      <c r="A739" s="4"/>
      <c r="B739" s="4"/>
      <c r="C739" s="115"/>
      <c r="D739" s="4"/>
      <c r="E739" s="4"/>
      <c r="F739" s="4"/>
      <c r="G739" s="4"/>
      <c r="H739" s="4"/>
      <c r="I739" s="4"/>
      <c r="J739" s="4"/>
      <c r="K739" s="1"/>
      <c r="L739" s="1"/>
      <c r="M739" s="1"/>
      <c r="N739" s="1"/>
      <c r="O739" s="1"/>
      <c r="P739" s="1"/>
      <c r="Q739" s="1"/>
      <c r="R739" s="1"/>
      <c r="S739" s="1"/>
      <c r="T739" s="1"/>
      <c r="U739" s="1"/>
      <c r="V739" s="1"/>
      <c r="W739" s="1"/>
      <c r="X739" s="1"/>
      <c r="Y739" s="1"/>
      <c r="Z739" s="1"/>
    </row>
    <row r="740" spans="1:26" ht="15.75" customHeight="1">
      <c r="A740" s="4"/>
      <c r="B740" s="4"/>
      <c r="C740" s="115"/>
      <c r="D740" s="4"/>
      <c r="E740" s="4"/>
      <c r="F740" s="4"/>
      <c r="G740" s="4"/>
      <c r="H740" s="4"/>
      <c r="I740" s="4"/>
      <c r="J740" s="4"/>
      <c r="K740" s="1"/>
      <c r="L740" s="1"/>
      <c r="M740" s="1"/>
      <c r="N740" s="1"/>
      <c r="O740" s="1"/>
      <c r="P740" s="1"/>
      <c r="Q740" s="1"/>
      <c r="R740" s="1"/>
      <c r="S740" s="1"/>
      <c r="T740" s="1"/>
      <c r="U740" s="1"/>
      <c r="V740" s="1"/>
      <c r="W740" s="1"/>
      <c r="X740" s="1"/>
      <c r="Y740" s="1"/>
      <c r="Z740" s="1"/>
    </row>
    <row r="741" spans="1:26" ht="15.75" customHeight="1">
      <c r="A741" s="4"/>
      <c r="B741" s="4"/>
      <c r="C741" s="115"/>
      <c r="D741" s="4"/>
      <c r="E741" s="4"/>
      <c r="F741" s="4"/>
      <c r="G741" s="4"/>
      <c r="H741" s="4"/>
      <c r="I741" s="4"/>
      <c r="J741" s="4"/>
      <c r="K741" s="1"/>
      <c r="L741" s="1"/>
      <c r="M741" s="1"/>
      <c r="N741" s="1"/>
      <c r="O741" s="1"/>
      <c r="P741" s="1"/>
      <c r="Q741" s="1"/>
      <c r="R741" s="1"/>
      <c r="S741" s="1"/>
      <c r="T741" s="1"/>
      <c r="U741" s="1"/>
      <c r="V741" s="1"/>
      <c r="W741" s="1"/>
      <c r="X741" s="1"/>
      <c r="Y741" s="1"/>
      <c r="Z741" s="1"/>
    </row>
    <row r="742" spans="1:26" ht="15.75" customHeight="1">
      <c r="A742" s="4"/>
      <c r="B742" s="4"/>
      <c r="C742" s="115"/>
      <c r="D742" s="4"/>
      <c r="E742" s="4"/>
      <c r="F742" s="4"/>
      <c r="G742" s="4"/>
      <c r="H742" s="4"/>
      <c r="I742" s="4"/>
      <c r="J742" s="4"/>
      <c r="K742" s="1"/>
      <c r="L742" s="1"/>
      <c r="M742" s="1"/>
      <c r="N742" s="1"/>
      <c r="O742" s="1"/>
      <c r="P742" s="1"/>
      <c r="Q742" s="1"/>
      <c r="R742" s="1"/>
      <c r="S742" s="1"/>
      <c r="T742" s="1"/>
      <c r="U742" s="1"/>
      <c r="V742" s="1"/>
      <c r="W742" s="1"/>
      <c r="X742" s="1"/>
      <c r="Y742" s="1"/>
      <c r="Z742" s="1"/>
    </row>
    <row r="743" spans="1:26" ht="15.75" customHeight="1">
      <c r="A743" s="4"/>
      <c r="B743" s="4"/>
      <c r="C743" s="115"/>
      <c r="D743" s="4"/>
      <c r="E743" s="4"/>
      <c r="F743" s="4"/>
      <c r="G743" s="4"/>
      <c r="H743" s="4"/>
      <c r="I743" s="4"/>
      <c r="J743" s="4"/>
      <c r="K743" s="1"/>
      <c r="L743" s="1"/>
      <c r="M743" s="1"/>
      <c r="N743" s="1"/>
      <c r="O743" s="1"/>
      <c r="P743" s="1"/>
      <c r="Q743" s="1"/>
      <c r="R743" s="1"/>
      <c r="S743" s="1"/>
      <c r="T743" s="1"/>
      <c r="U743" s="1"/>
      <c r="V743" s="1"/>
      <c r="W743" s="1"/>
      <c r="X743" s="1"/>
      <c r="Y743" s="1"/>
      <c r="Z743" s="1"/>
    </row>
    <row r="744" spans="1:26" ht="15.75" customHeight="1">
      <c r="A744" s="4"/>
      <c r="B744" s="4"/>
      <c r="C744" s="115"/>
      <c r="D744" s="4"/>
      <c r="E744" s="4"/>
      <c r="F744" s="4"/>
      <c r="G744" s="4"/>
      <c r="H744" s="4"/>
      <c r="I744" s="4"/>
      <c r="J744" s="4"/>
      <c r="K744" s="1"/>
      <c r="L744" s="1"/>
      <c r="M744" s="1"/>
      <c r="N744" s="1"/>
      <c r="O744" s="1"/>
      <c r="P744" s="1"/>
      <c r="Q744" s="1"/>
      <c r="R744" s="1"/>
      <c r="S744" s="1"/>
      <c r="T744" s="1"/>
      <c r="U744" s="1"/>
      <c r="V744" s="1"/>
      <c r="W744" s="1"/>
      <c r="X744" s="1"/>
      <c r="Y744" s="1"/>
      <c r="Z744" s="1"/>
    </row>
    <row r="745" spans="1:26" ht="15.75" customHeight="1">
      <c r="A745" s="4"/>
      <c r="B745" s="4"/>
      <c r="C745" s="115"/>
      <c r="D745" s="4"/>
      <c r="E745" s="4"/>
      <c r="F745" s="4"/>
      <c r="G745" s="4"/>
      <c r="H745" s="4"/>
      <c r="I745" s="4"/>
      <c r="J745" s="4"/>
      <c r="K745" s="1"/>
      <c r="L745" s="1"/>
      <c r="M745" s="1"/>
      <c r="N745" s="1"/>
      <c r="O745" s="1"/>
      <c r="P745" s="1"/>
      <c r="Q745" s="1"/>
      <c r="R745" s="1"/>
      <c r="S745" s="1"/>
      <c r="T745" s="1"/>
      <c r="U745" s="1"/>
      <c r="V745" s="1"/>
      <c r="W745" s="1"/>
      <c r="X745" s="1"/>
      <c r="Y745" s="1"/>
      <c r="Z745" s="1"/>
    </row>
    <row r="746" spans="1:26" ht="15.75" customHeight="1">
      <c r="A746" s="4"/>
      <c r="B746" s="4"/>
      <c r="C746" s="115"/>
      <c r="D746" s="4"/>
      <c r="E746" s="4"/>
      <c r="F746" s="4"/>
      <c r="G746" s="4"/>
      <c r="H746" s="4"/>
      <c r="I746" s="4"/>
      <c r="J746" s="4"/>
      <c r="K746" s="1"/>
      <c r="L746" s="1"/>
      <c r="M746" s="1"/>
      <c r="N746" s="1"/>
      <c r="O746" s="1"/>
      <c r="P746" s="1"/>
      <c r="Q746" s="1"/>
      <c r="R746" s="1"/>
      <c r="S746" s="1"/>
      <c r="T746" s="1"/>
      <c r="U746" s="1"/>
      <c r="V746" s="1"/>
      <c r="W746" s="1"/>
      <c r="X746" s="1"/>
      <c r="Y746" s="1"/>
      <c r="Z746" s="1"/>
    </row>
    <row r="747" spans="1:26" ht="15.75" customHeight="1">
      <c r="A747" s="4"/>
      <c r="B747" s="4"/>
      <c r="C747" s="115"/>
      <c r="D747" s="4"/>
      <c r="E747" s="4"/>
      <c r="F747" s="4"/>
      <c r="G747" s="4"/>
      <c r="H747" s="4"/>
      <c r="I747" s="4"/>
      <c r="J747" s="4"/>
      <c r="K747" s="1"/>
      <c r="L747" s="1"/>
      <c r="M747" s="1"/>
      <c r="N747" s="1"/>
      <c r="O747" s="1"/>
      <c r="P747" s="1"/>
      <c r="Q747" s="1"/>
      <c r="R747" s="1"/>
      <c r="S747" s="1"/>
      <c r="T747" s="1"/>
      <c r="U747" s="1"/>
      <c r="V747" s="1"/>
      <c r="W747" s="1"/>
      <c r="X747" s="1"/>
      <c r="Y747" s="1"/>
      <c r="Z747" s="1"/>
    </row>
    <row r="748" spans="1:26" ht="15.75" customHeight="1">
      <c r="A748" s="4"/>
      <c r="B748" s="4"/>
      <c r="C748" s="115"/>
      <c r="D748" s="4"/>
      <c r="E748" s="4"/>
      <c r="F748" s="4"/>
      <c r="G748" s="4"/>
      <c r="H748" s="4"/>
      <c r="I748" s="4"/>
      <c r="J748" s="4"/>
      <c r="K748" s="1"/>
      <c r="L748" s="1"/>
      <c r="M748" s="1"/>
      <c r="N748" s="1"/>
      <c r="O748" s="1"/>
      <c r="P748" s="1"/>
      <c r="Q748" s="1"/>
      <c r="R748" s="1"/>
      <c r="S748" s="1"/>
      <c r="T748" s="1"/>
      <c r="U748" s="1"/>
      <c r="V748" s="1"/>
      <c r="W748" s="1"/>
      <c r="X748" s="1"/>
      <c r="Y748" s="1"/>
      <c r="Z748" s="1"/>
    </row>
    <row r="749" spans="1:26" ht="15.75" customHeight="1">
      <c r="A749" s="4"/>
      <c r="B749" s="4"/>
      <c r="C749" s="115"/>
      <c r="D749" s="4"/>
      <c r="E749" s="4"/>
      <c r="F749" s="4"/>
      <c r="G749" s="4"/>
      <c r="H749" s="4"/>
      <c r="I749" s="4"/>
      <c r="J749" s="4"/>
      <c r="K749" s="1"/>
      <c r="L749" s="1"/>
      <c r="M749" s="1"/>
      <c r="N749" s="1"/>
      <c r="O749" s="1"/>
      <c r="P749" s="1"/>
      <c r="Q749" s="1"/>
      <c r="R749" s="1"/>
      <c r="S749" s="1"/>
      <c r="T749" s="1"/>
      <c r="U749" s="1"/>
      <c r="V749" s="1"/>
      <c r="W749" s="1"/>
      <c r="X749" s="1"/>
      <c r="Y749" s="1"/>
      <c r="Z749" s="1"/>
    </row>
    <row r="750" spans="1:26" ht="15.75" customHeight="1">
      <c r="A750" s="4"/>
      <c r="B750" s="4"/>
      <c r="C750" s="115"/>
      <c r="D750" s="4"/>
      <c r="E750" s="4"/>
      <c r="F750" s="4"/>
      <c r="G750" s="4"/>
      <c r="H750" s="4"/>
      <c r="I750" s="4"/>
      <c r="J750" s="4"/>
      <c r="K750" s="1"/>
      <c r="L750" s="1"/>
      <c r="M750" s="1"/>
      <c r="N750" s="1"/>
      <c r="O750" s="1"/>
      <c r="P750" s="1"/>
      <c r="Q750" s="1"/>
      <c r="R750" s="1"/>
      <c r="S750" s="1"/>
      <c r="T750" s="1"/>
      <c r="U750" s="1"/>
      <c r="V750" s="1"/>
      <c r="W750" s="1"/>
      <c r="X750" s="1"/>
      <c r="Y750" s="1"/>
      <c r="Z750" s="1"/>
    </row>
    <row r="751" spans="1:26" ht="15.75" customHeight="1">
      <c r="A751" s="4"/>
      <c r="B751" s="4"/>
      <c r="C751" s="115"/>
      <c r="D751" s="4"/>
      <c r="E751" s="4"/>
      <c r="F751" s="4"/>
      <c r="G751" s="4"/>
      <c r="H751" s="4"/>
      <c r="I751" s="4"/>
      <c r="J751" s="4"/>
      <c r="K751" s="1"/>
      <c r="L751" s="1"/>
      <c r="M751" s="1"/>
      <c r="N751" s="1"/>
      <c r="O751" s="1"/>
      <c r="P751" s="1"/>
      <c r="Q751" s="1"/>
      <c r="R751" s="1"/>
      <c r="S751" s="1"/>
      <c r="T751" s="1"/>
      <c r="U751" s="1"/>
      <c r="V751" s="1"/>
      <c r="W751" s="1"/>
      <c r="X751" s="1"/>
      <c r="Y751" s="1"/>
      <c r="Z751" s="1"/>
    </row>
    <row r="752" spans="1:26" ht="15.75" customHeight="1">
      <c r="A752" s="4"/>
      <c r="B752" s="4"/>
      <c r="C752" s="115"/>
      <c r="D752" s="4"/>
      <c r="E752" s="4"/>
      <c r="F752" s="4"/>
      <c r="G752" s="4"/>
      <c r="H752" s="4"/>
      <c r="I752" s="4"/>
      <c r="J752" s="4"/>
      <c r="K752" s="1"/>
      <c r="L752" s="1"/>
      <c r="M752" s="1"/>
      <c r="N752" s="1"/>
      <c r="O752" s="1"/>
      <c r="P752" s="1"/>
      <c r="Q752" s="1"/>
      <c r="R752" s="1"/>
      <c r="S752" s="1"/>
      <c r="T752" s="1"/>
      <c r="U752" s="1"/>
      <c r="V752" s="1"/>
      <c r="W752" s="1"/>
      <c r="X752" s="1"/>
      <c r="Y752" s="1"/>
      <c r="Z752" s="1"/>
    </row>
    <row r="753" spans="1:26" ht="15.75" customHeight="1">
      <c r="A753" s="4"/>
      <c r="B753" s="4"/>
      <c r="C753" s="115"/>
      <c r="D753" s="4"/>
      <c r="E753" s="4"/>
      <c r="F753" s="4"/>
      <c r="G753" s="4"/>
      <c r="H753" s="4"/>
      <c r="I753" s="4"/>
      <c r="J753" s="4"/>
      <c r="K753" s="1"/>
      <c r="L753" s="1"/>
      <c r="M753" s="1"/>
      <c r="N753" s="1"/>
      <c r="O753" s="1"/>
      <c r="P753" s="1"/>
      <c r="Q753" s="1"/>
      <c r="R753" s="1"/>
      <c r="S753" s="1"/>
      <c r="T753" s="1"/>
      <c r="U753" s="1"/>
      <c r="V753" s="1"/>
      <c r="W753" s="1"/>
      <c r="X753" s="1"/>
      <c r="Y753" s="1"/>
      <c r="Z753" s="1"/>
    </row>
    <row r="754" spans="1:26" ht="15.75" customHeight="1">
      <c r="A754" s="4"/>
      <c r="B754" s="4"/>
      <c r="C754" s="115"/>
      <c r="D754" s="4"/>
      <c r="E754" s="4"/>
      <c r="F754" s="4"/>
      <c r="G754" s="4"/>
      <c r="H754" s="4"/>
      <c r="I754" s="4"/>
      <c r="J754" s="4"/>
      <c r="K754" s="1"/>
      <c r="L754" s="1"/>
      <c r="M754" s="1"/>
      <c r="N754" s="1"/>
      <c r="O754" s="1"/>
      <c r="P754" s="1"/>
      <c r="Q754" s="1"/>
      <c r="R754" s="1"/>
      <c r="S754" s="1"/>
      <c r="T754" s="1"/>
      <c r="U754" s="1"/>
      <c r="V754" s="1"/>
      <c r="W754" s="1"/>
      <c r="X754" s="1"/>
      <c r="Y754" s="1"/>
      <c r="Z754" s="1"/>
    </row>
    <row r="755" spans="1:26" ht="15.75" customHeight="1">
      <c r="A755" s="4"/>
      <c r="B755" s="4"/>
      <c r="C755" s="115"/>
      <c r="D755" s="4"/>
      <c r="E755" s="4"/>
      <c r="F755" s="4"/>
      <c r="G755" s="4"/>
      <c r="H755" s="4"/>
      <c r="I755" s="4"/>
      <c r="J755" s="4"/>
      <c r="K755" s="1"/>
      <c r="L755" s="1"/>
      <c r="M755" s="1"/>
      <c r="N755" s="1"/>
      <c r="O755" s="1"/>
      <c r="P755" s="1"/>
      <c r="Q755" s="1"/>
      <c r="R755" s="1"/>
      <c r="S755" s="1"/>
      <c r="T755" s="1"/>
      <c r="U755" s="1"/>
      <c r="V755" s="1"/>
      <c r="W755" s="1"/>
      <c r="X755" s="1"/>
      <c r="Y755" s="1"/>
      <c r="Z755" s="1"/>
    </row>
    <row r="756" spans="1:26" ht="15.75" customHeight="1">
      <c r="A756" s="4"/>
      <c r="B756" s="4"/>
      <c r="C756" s="115"/>
      <c r="D756" s="4"/>
      <c r="E756" s="4"/>
      <c r="F756" s="4"/>
      <c r="G756" s="4"/>
      <c r="H756" s="4"/>
      <c r="I756" s="4"/>
      <c r="J756" s="4"/>
      <c r="K756" s="1"/>
      <c r="L756" s="1"/>
      <c r="M756" s="1"/>
      <c r="N756" s="1"/>
      <c r="O756" s="1"/>
      <c r="P756" s="1"/>
      <c r="Q756" s="1"/>
      <c r="R756" s="1"/>
      <c r="S756" s="1"/>
      <c r="T756" s="1"/>
      <c r="U756" s="1"/>
      <c r="V756" s="1"/>
      <c r="W756" s="1"/>
      <c r="X756" s="1"/>
      <c r="Y756" s="1"/>
      <c r="Z756" s="1"/>
    </row>
    <row r="757" spans="1:26" ht="15.75" customHeight="1">
      <c r="A757" s="4"/>
      <c r="B757" s="4"/>
      <c r="C757" s="115"/>
      <c r="D757" s="4"/>
      <c r="E757" s="4"/>
      <c r="F757" s="4"/>
      <c r="G757" s="4"/>
      <c r="H757" s="4"/>
      <c r="I757" s="4"/>
      <c r="J757" s="4"/>
      <c r="K757" s="1"/>
      <c r="L757" s="1"/>
      <c r="M757" s="1"/>
      <c r="N757" s="1"/>
      <c r="O757" s="1"/>
      <c r="P757" s="1"/>
      <c r="Q757" s="1"/>
      <c r="R757" s="1"/>
      <c r="S757" s="1"/>
      <c r="T757" s="1"/>
      <c r="U757" s="1"/>
      <c r="V757" s="1"/>
      <c r="W757" s="1"/>
      <c r="X757" s="1"/>
      <c r="Y757" s="1"/>
      <c r="Z757" s="1"/>
    </row>
    <row r="758" spans="1:26" ht="15.75" customHeight="1">
      <c r="A758" s="4"/>
      <c r="B758" s="4"/>
      <c r="C758" s="115"/>
      <c r="D758" s="4"/>
      <c r="E758" s="4"/>
      <c r="F758" s="4"/>
      <c r="G758" s="4"/>
      <c r="H758" s="4"/>
      <c r="I758" s="4"/>
      <c r="J758" s="4"/>
      <c r="K758" s="1"/>
      <c r="L758" s="1"/>
      <c r="M758" s="1"/>
      <c r="N758" s="1"/>
      <c r="O758" s="1"/>
      <c r="P758" s="1"/>
      <c r="Q758" s="1"/>
      <c r="R758" s="1"/>
      <c r="S758" s="1"/>
      <c r="T758" s="1"/>
      <c r="U758" s="1"/>
      <c r="V758" s="1"/>
      <c r="W758" s="1"/>
      <c r="X758" s="1"/>
      <c r="Y758" s="1"/>
      <c r="Z758" s="1"/>
    </row>
    <row r="759" spans="1:26" ht="15.75" customHeight="1">
      <c r="A759" s="4"/>
      <c r="B759" s="4"/>
      <c r="C759" s="115"/>
      <c r="D759" s="4"/>
      <c r="E759" s="4"/>
      <c r="F759" s="4"/>
      <c r="G759" s="4"/>
      <c r="H759" s="4"/>
      <c r="I759" s="4"/>
      <c r="J759" s="4"/>
      <c r="K759" s="1"/>
      <c r="L759" s="1"/>
      <c r="M759" s="1"/>
      <c r="N759" s="1"/>
      <c r="O759" s="1"/>
      <c r="P759" s="1"/>
      <c r="Q759" s="1"/>
      <c r="R759" s="1"/>
      <c r="S759" s="1"/>
      <c r="T759" s="1"/>
      <c r="U759" s="1"/>
      <c r="V759" s="1"/>
      <c r="W759" s="1"/>
      <c r="X759" s="1"/>
      <c r="Y759" s="1"/>
      <c r="Z759" s="1"/>
    </row>
    <row r="760" spans="1:26" ht="15.75" customHeight="1">
      <c r="A760" s="4"/>
      <c r="B760" s="4"/>
      <c r="C760" s="115"/>
      <c r="D760" s="4"/>
      <c r="E760" s="4"/>
      <c r="F760" s="4"/>
      <c r="G760" s="4"/>
      <c r="H760" s="4"/>
      <c r="I760" s="4"/>
      <c r="J760" s="4"/>
      <c r="K760" s="1"/>
      <c r="L760" s="1"/>
      <c r="M760" s="1"/>
      <c r="N760" s="1"/>
      <c r="O760" s="1"/>
      <c r="P760" s="1"/>
      <c r="Q760" s="1"/>
      <c r="R760" s="1"/>
      <c r="S760" s="1"/>
      <c r="T760" s="1"/>
      <c r="U760" s="1"/>
      <c r="V760" s="1"/>
      <c r="W760" s="1"/>
      <c r="X760" s="1"/>
      <c r="Y760" s="1"/>
      <c r="Z760" s="1"/>
    </row>
    <row r="761" spans="1:26" ht="15.75" customHeight="1">
      <c r="A761" s="4"/>
      <c r="B761" s="4"/>
      <c r="C761" s="115"/>
      <c r="D761" s="4"/>
      <c r="E761" s="4"/>
      <c r="F761" s="4"/>
      <c r="G761" s="4"/>
      <c r="H761" s="4"/>
      <c r="I761" s="4"/>
      <c r="J761" s="4"/>
      <c r="K761" s="1"/>
      <c r="L761" s="1"/>
      <c r="M761" s="1"/>
      <c r="N761" s="1"/>
      <c r="O761" s="1"/>
      <c r="P761" s="1"/>
      <c r="Q761" s="1"/>
      <c r="R761" s="1"/>
      <c r="S761" s="1"/>
      <c r="T761" s="1"/>
      <c r="U761" s="1"/>
      <c r="V761" s="1"/>
      <c r="W761" s="1"/>
      <c r="X761" s="1"/>
      <c r="Y761" s="1"/>
      <c r="Z761" s="1"/>
    </row>
    <row r="762" spans="1:26" ht="15.75" customHeight="1">
      <c r="A762" s="4"/>
      <c r="B762" s="4"/>
      <c r="C762" s="115"/>
      <c r="D762" s="4"/>
      <c r="E762" s="4"/>
      <c r="F762" s="4"/>
      <c r="G762" s="4"/>
      <c r="H762" s="4"/>
      <c r="I762" s="4"/>
      <c r="J762" s="4"/>
      <c r="K762" s="1"/>
      <c r="L762" s="1"/>
      <c r="M762" s="1"/>
      <c r="N762" s="1"/>
      <c r="O762" s="1"/>
      <c r="P762" s="1"/>
      <c r="Q762" s="1"/>
      <c r="R762" s="1"/>
      <c r="S762" s="1"/>
      <c r="T762" s="1"/>
      <c r="U762" s="1"/>
      <c r="V762" s="1"/>
      <c r="W762" s="1"/>
      <c r="X762" s="1"/>
      <c r="Y762" s="1"/>
      <c r="Z762" s="1"/>
    </row>
    <row r="763" spans="1:26" ht="15.75" customHeight="1">
      <c r="A763" s="4"/>
      <c r="B763" s="4"/>
      <c r="C763" s="115"/>
      <c r="D763" s="4"/>
      <c r="E763" s="4"/>
      <c r="F763" s="4"/>
      <c r="G763" s="4"/>
      <c r="H763" s="4"/>
      <c r="I763" s="4"/>
      <c r="J763" s="4"/>
      <c r="K763" s="1"/>
      <c r="L763" s="1"/>
      <c r="M763" s="1"/>
      <c r="N763" s="1"/>
      <c r="O763" s="1"/>
      <c r="P763" s="1"/>
      <c r="Q763" s="1"/>
      <c r="R763" s="1"/>
      <c r="S763" s="1"/>
      <c r="T763" s="1"/>
      <c r="U763" s="1"/>
      <c r="V763" s="1"/>
      <c r="W763" s="1"/>
      <c r="X763" s="1"/>
      <c r="Y763" s="1"/>
      <c r="Z763" s="1"/>
    </row>
    <row r="764" spans="1:26" ht="15.75" customHeight="1">
      <c r="A764" s="4"/>
      <c r="B764" s="4"/>
      <c r="C764" s="115"/>
      <c r="D764" s="4"/>
      <c r="E764" s="4"/>
      <c r="F764" s="4"/>
      <c r="G764" s="4"/>
      <c r="H764" s="4"/>
      <c r="I764" s="4"/>
      <c r="J764" s="4"/>
      <c r="K764" s="1"/>
      <c r="L764" s="1"/>
      <c r="M764" s="1"/>
      <c r="N764" s="1"/>
      <c r="O764" s="1"/>
      <c r="P764" s="1"/>
      <c r="Q764" s="1"/>
      <c r="R764" s="1"/>
      <c r="S764" s="1"/>
      <c r="T764" s="1"/>
      <c r="U764" s="1"/>
      <c r="V764" s="1"/>
      <c r="W764" s="1"/>
      <c r="X764" s="1"/>
      <c r="Y764" s="1"/>
      <c r="Z764" s="1"/>
    </row>
    <row r="765" spans="1:26" ht="15.75" customHeight="1">
      <c r="A765" s="4"/>
      <c r="B765" s="4"/>
      <c r="C765" s="115"/>
      <c r="D765" s="4"/>
      <c r="E765" s="4"/>
      <c r="F765" s="4"/>
      <c r="G765" s="4"/>
      <c r="H765" s="4"/>
      <c r="I765" s="4"/>
      <c r="J765" s="4"/>
      <c r="K765" s="1"/>
      <c r="L765" s="1"/>
      <c r="M765" s="1"/>
      <c r="N765" s="1"/>
      <c r="O765" s="1"/>
      <c r="P765" s="1"/>
      <c r="Q765" s="1"/>
      <c r="R765" s="1"/>
      <c r="S765" s="1"/>
      <c r="T765" s="1"/>
      <c r="U765" s="1"/>
      <c r="V765" s="1"/>
      <c r="W765" s="1"/>
      <c r="X765" s="1"/>
      <c r="Y765" s="1"/>
      <c r="Z765" s="1"/>
    </row>
    <row r="766" spans="1:26" ht="15.75" customHeight="1">
      <c r="A766" s="4"/>
      <c r="B766" s="4"/>
      <c r="C766" s="115"/>
      <c r="D766" s="4"/>
      <c r="E766" s="4"/>
      <c r="F766" s="4"/>
      <c r="G766" s="4"/>
      <c r="H766" s="4"/>
      <c r="I766" s="4"/>
      <c r="J766" s="4"/>
      <c r="K766" s="1"/>
      <c r="L766" s="1"/>
      <c r="M766" s="1"/>
      <c r="N766" s="1"/>
      <c r="O766" s="1"/>
      <c r="P766" s="1"/>
      <c r="Q766" s="1"/>
      <c r="R766" s="1"/>
      <c r="S766" s="1"/>
      <c r="T766" s="1"/>
      <c r="U766" s="1"/>
      <c r="V766" s="1"/>
      <c r="W766" s="1"/>
      <c r="X766" s="1"/>
      <c r="Y766" s="1"/>
      <c r="Z766" s="1"/>
    </row>
    <row r="767" spans="1:26" ht="15.75" customHeight="1">
      <c r="A767" s="4"/>
      <c r="B767" s="4"/>
      <c r="C767" s="115"/>
      <c r="D767" s="4"/>
      <c r="E767" s="4"/>
      <c r="F767" s="4"/>
      <c r="G767" s="4"/>
      <c r="H767" s="4"/>
      <c r="I767" s="4"/>
      <c r="J767" s="4"/>
      <c r="K767" s="1"/>
      <c r="L767" s="1"/>
      <c r="M767" s="1"/>
      <c r="N767" s="1"/>
      <c r="O767" s="1"/>
      <c r="P767" s="1"/>
      <c r="Q767" s="1"/>
      <c r="R767" s="1"/>
      <c r="S767" s="1"/>
      <c r="T767" s="1"/>
      <c r="U767" s="1"/>
      <c r="V767" s="1"/>
      <c r="W767" s="1"/>
      <c r="X767" s="1"/>
      <c r="Y767" s="1"/>
      <c r="Z767" s="1"/>
    </row>
    <row r="768" spans="1:26" ht="15.75" customHeight="1">
      <c r="A768" s="4"/>
      <c r="B768" s="4"/>
      <c r="C768" s="115"/>
      <c r="D768" s="4"/>
      <c r="E768" s="4"/>
      <c r="F768" s="4"/>
      <c r="G768" s="4"/>
      <c r="H768" s="4"/>
      <c r="I768" s="4"/>
      <c r="J768" s="4"/>
      <c r="K768" s="1"/>
      <c r="L768" s="1"/>
      <c r="M768" s="1"/>
      <c r="N768" s="1"/>
      <c r="O768" s="1"/>
      <c r="P768" s="1"/>
      <c r="Q768" s="1"/>
      <c r="R768" s="1"/>
      <c r="S768" s="1"/>
      <c r="T768" s="1"/>
      <c r="U768" s="1"/>
      <c r="V768" s="1"/>
      <c r="W768" s="1"/>
      <c r="X768" s="1"/>
      <c r="Y768" s="1"/>
      <c r="Z768" s="1"/>
    </row>
    <row r="769" spans="1:26" ht="15.75" customHeight="1">
      <c r="A769" s="4"/>
      <c r="B769" s="4"/>
      <c r="C769" s="115"/>
      <c r="D769" s="4"/>
      <c r="E769" s="4"/>
      <c r="F769" s="4"/>
      <c r="G769" s="4"/>
      <c r="H769" s="4"/>
      <c r="I769" s="4"/>
      <c r="J769" s="4"/>
      <c r="K769" s="1"/>
      <c r="L769" s="1"/>
      <c r="M769" s="1"/>
      <c r="N769" s="1"/>
      <c r="O769" s="1"/>
      <c r="P769" s="1"/>
      <c r="Q769" s="1"/>
      <c r="R769" s="1"/>
      <c r="S769" s="1"/>
      <c r="T769" s="1"/>
      <c r="U769" s="1"/>
      <c r="V769" s="1"/>
      <c r="W769" s="1"/>
      <c r="X769" s="1"/>
      <c r="Y769" s="1"/>
      <c r="Z769" s="1"/>
    </row>
    <row r="770" spans="1:26" ht="15.75" customHeight="1">
      <c r="A770" s="4"/>
      <c r="B770" s="4"/>
      <c r="C770" s="115"/>
      <c r="D770" s="4"/>
      <c r="E770" s="4"/>
      <c r="F770" s="4"/>
      <c r="G770" s="4"/>
      <c r="H770" s="4"/>
      <c r="I770" s="4"/>
      <c r="J770" s="4"/>
      <c r="K770" s="1"/>
      <c r="L770" s="1"/>
      <c r="M770" s="1"/>
      <c r="N770" s="1"/>
      <c r="O770" s="1"/>
      <c r="P770" s="1"/>
      <c r="Q770" s="1"/>
      <c r="R770" s="1"/>
      <c r="S770" s="1"/>
      <c r="T770" s="1"/>
      <c r="U770" s="1"/>
      <c r="V770" s="1"/>
      <c r="W770" s="1"/>
      <c r="X770" s="1"/>
      <c r="Y770" s="1"/>
      <c r="Z770" s="1"/>
    </row>
    <row r="771" spans="1:26" ht="15.75" customHeight="1">
      <c r="A771" s="4"/>
      <c r="B771" s="4"/>
      <c r="C771" s="115"/>
      <c r="D771" s="4"/>
      <c r="E771" s="4"/>
      <c r="F771" s="4"/>
      <c r="G771" s="4"/>
      <c r="H771" s="4"/>
      <c r="I771" s="4"/>
      <c r="J771" s="4"/>
      <c r="K771" s="1"/>
      <c r="L771" s="1"/>
      <c r="M771" s="1"/>
      <c r="N771" s="1"/>
      <c r="O771" s="1"/>
      <c r="P771" s="1"/>
      <c r="Q771" s="1"/>
      <c r="R771" s="1"/>
      <c r="S771" s="1"/>
      <c r="T771" s="1"/>
      <c r="U771" s="1"/>
      <c r="V771" s="1"/>
      <c r="W771" s="1"/>
      <c r="X771" s="1"/>
      <c r="Y771" s="1"/>
      <c r="Z771" s="1"/>
    </row>
    <row r="772" spans="1:26" ht="15.75" customHeight="1">
      <c r="A772" s="4"/>
      <c r="B772" s="4"/>
      <c r="C772" s="115"/>
      <c r="D772" s="4"/>
      <c r="E772" s="4"/>
      <c r="F772" s="4"/>
      <c r="G772" s="4"/>
      <c r="H772" s="4"/>
      <c r="I772" s="4"/>
      <c r="J772" s="4"/>
      <c r="K772" s="1"/>
      <c r="L772" s="1"/>
      <c r="M772" s="1"/>
      <c r="N772" s="1"/>
      <c r="O772" s="1"/>
      <c r="P772" s="1"/>
      <c r="Q772" s="1"/>
      <c r="R772" s="1"/>
      <c r="S772" s="1"/>
      <c r="T772" s="1"/>
      <c r="U772" s="1"/>
      <c r="V772" s="1"/>
      <c r="W772" s="1"/>
      <c r="X772" s="1"/>
      <c r="Y772" s="1"/>
      <c r="Z772" s="1"/>
    </row>
    <row r="773" spans="1:26" ht="15.75" customHeight="1">
      <c r="A773" s="4"/>
      <c r="B773" s="4"/>
      <c r="C773" s="115"/>
      <c r="D773" s="4"/>
      <c r="E773" s="4"/>
      <c r="F773" s="4"/>
      <c r="G773" s="4"/>
      <c r="H773" s="4"/>
      <c r="I773" s="4"/>
      <c r="J773" s="4"/>
      <c r="K773" s="1"/>
      <c r="L773" s="1"/>
      <c r="M773" s="1"/>
      <c r="N773" s="1"/>
      <c r="O773" s="1"/>
      <c r="P773" s="1"/>
      <c r="Q773" s="1"/>
      <c r="R773" s="1"/>
      <c r="S773" s="1"/>
      <c r="T773" s="1"/>
      <c r="U773" s="1"/>
      <c r="V773" s="1"/>
      <c r="W773" s="1"/>
      <c r="X773" s="1"/>
      <c r="Y773" s="1"/>
      <c r="Z773" s="1"/>
    </row>
    <row r="774" spans="1:26" ht="15.75" customHeight="1">
      <c r="A774" s="4"/>
      <c r="B774" s="4"/>
      <c r="C774" s="115"/>
      <c r="D774" s="4"/>
      <c r="E774" s="4"/>
      <c r="F774" s="4"/>
      <c r="G774" s="4"/>
      <c r="H774" s="4"/>
      <c r="I774" s="4"/>
      <c r="J774" s="4"/>
      <c r="K774" s="1"/>
      <c r="L774" s="1"/>
      <c r="M774" s="1"/>
      <c r="N774" s="1"/>
      <c r="O774" s="1"/>
      <c r="P774" s="1"/>
      <c r="Q774" s="1"/>
      <c r="R774" s="1"/>
      <c r="S774" s="1"/>
      <c r="T774" s="1"/>
      <c r="U774" s="1"/>
      <c r="V774" s="1"/>
      <c r="W774" s="1"/>
      <c r="X774" s="1"/>
      <c r="Y774" s="1"/>
      <c r="Z774" s="1"/>
    </row>
    <row r="775" spans="1:26" ht="15.75" customHeight="1">
      <c r="A775" s="4"/>
      <c r="B775" s="4"/>
      <c r="C775" s="115"/>
      <c r="D775" s="4"/>
      <c r="E775" s="4"/>
      <c r="F775" s="4"/>
      <c r="G775" s="4"/>
      <c r="H775" s="4"/>
      <c r="I775" s="4"/>
      <c r="J775" s="4"/>
      <c r="K775" s="1"/>
      <c r="L775" s="1"/>
      <c r="M775" s="1"/>
      <c r="N775" s="1"/>
      <c r="O775" s="1"/>
      <c r="P775" s="1"/>
      <c r="Q775" s="1"/>
      <c r="R775" s="1"/>
      <c r="S775" s="1"/>
      <c r="T775" s="1"/>
      <c r="U775" s="1"/>
      <c r="V775" s="1"/>
      <c r="W775" s="1"/>
      <c r="X775" s="1"/>
      <c r="Y775" s="1"/>
      <c r="Z775" s="1"/>
    </row>
    <row r="776" spans="1:26" ht="15.75" customHeight="1">
      <c r="A776" s="4"/>
      <c r="B776" s="4"/>
      <c r="C776" s="115"/>
      <c r="D776" s="4"/>
      <c r="E776" s="4"/>
      <c r="F776" s="4"/>
      <c r="G776" s="4"/>
      <c r="H776" s="4"/>
      <c r="I776" s="4"/>
      <c r="J776" s="4"/>
      <c r="K776" s="1"/>
      <c r="L776" s="1"/>
      <c r="M776" s="1"/>
      <c r="N776" s="1"/>
      <c r="O776" s="1"/>
      <c r="P776" s="1"/>
      <c r="Q776" s="1"/>
      <c r="R776" s="1"/>
      <c r="S776" s="1"/>
      <c r="T776" s="1"/>
      <c r="U776" s="1"/>
      <c r="V776" s="1"/>
      <c r="W776" s="1"/>
      <c r="X776" s="1"/>
      <c r="Y776" s="1"/>
      <c r="Z776" s="1"/>
    </row>
    <row r="777" spans="1:26" ht="15.75" customHeight="1">
      <c r="A777" s="4"/>
      <c r="B777" s="4"/>
      <c r="C777" s="115"/>
      <c r="D777" s="4"/>
      <c r="E777" s="4"/>
      <c r="F777" s="4"/>
      <c r="G777" s="4"/>
      <c r="H777" s="4"/>
      <c r="I777" s="4"/>
      <c r="J777" s="4"/>
      <c r="K777" s="1"/>
      <c r="L777" s="1"/>
      <c r="M777" s="1"/>
      <c r="N777" s="1"/>
      <c r="O777" s="1"/>
      <c r="P777" s="1"/>
      <c r="Q777" s="1"/>
      <c r="R777" s="1"/>
      <c r="S777" s="1"/>
      <c r="T777" s="1"/>
      <c r="U777" s="1"/>
      <c r="V777" s="1"/>
      <c r="W777" s="1"/>
      <c r="X777" s="1"/>
      <c r="Y777" s="1"/>
      <c r="Z777" s="1"/>
    </row>
    <row r="778" spans="1:26" ht="15.75" customHeight="1">
      <c r="A778" s="4"/>
      <c r="B778" s="4"/>
      <c r="C778" s="115"/>
      <c r="D778" s="4"/>
      <c r="E778" s="4"/>
      <c r="F778" s="4"/>
      <c r="G778" s="4"/>
      <c r="H778" s="4"/>
      <c r="I778" s="4"/>
      <c r="J778" s="4"/>
      <c r="K778" s="1"/>
      <c r="L778" s="1"/>
      <c r="M778" s="1"/>
      <c r="N778" s="1"/>
      <c r="O778" s="1"/>
      <c r="P778" s="1"/>
      <c r="Q778" s="1"/>
      <c r="R778" s="1"/>
      <c r="S778" s="1"/>
      <c r="T778" s="1"/>
      <c r="U778" s="1"/>
      <c r="V778" s="1"/>
      <c r="W778" s="1"/>
      <c r="X778" s="1"/>
      <c r="Y778" s="1"/>
      <c r="Z778" s="1"/>
    </row>
    <row r="779" spans="1:26" ht="15.75" customHeight="1">
      <c r="A779" s="4"/>
      <c r="B779" s="4"/>
      <c r="C779" s="115"/>
      <c r="D779" s="4"/>
      <c r="E779" s="4"/>
      <c r="F779" s="4"/>
      <c r="G779" s="4"/>
      <c r="H779" s="4"/>
      <c r="I779" s="4"/>
      <c r="J779" s="4"/>
      <c r="K779" s="1"/>
      <c r="L779" s="1"/>
      <c r="M779" s="1"/>
      <c r="N779" s="1"/>
      <c r="O779" s="1"/>
      <c r="P779" s="1"/>
      <c r="Q779" s="1"/>
      <c r="R779" s="1"/>
      <c r="S779" s="1"/>
      <c r="T779" s="1"/>
      <c r="U779" s="1"/>
      <c r="V779" s="1"/>
      <c r="W779" s="1"/>
      <c r="X779" s="1"/>
      <c r="Y779" s="1"/>
      <c r="Z779" s="1"/>
    </row>
    <row r="780" spans="1:26" ht="15.75" customHeight="1">
      <c r="A780" s="4"/>
      <c r="B780" s="4"/>
      <c r="C780" s="115"/>
      <c r="D780" s="4"/>
      <c r="E780" s="4"/>
      <c r="F780" s="4"/>
      <c r="G780" s="4"/>
      <c r="H780" s="4"/>
      <c r="I780" s="4"/>
      <c r="J780" s="4"/>
      <c r="K780" s="1"/>
      <c r="L780" s="1"/>
      <c r="M780" s="1"/>
      <c r="N780" s="1"/>
      <c r="O780" s="1"/>
      <c r="P780" s="1"/>
      <c r="Q780" s="1"/>
      <c r="R780" s="1"/>
      <c r="S780" s="1"/>
      <c r="T780" s="1"/>
      <c r="U780" s="1"/>
      <c r="V780" s="1"/>
      <c r="W780" s="1"/>
      <c r="X780" s="1"/>
      <c r="Y780" s="1"/>
      <c r="Z780" s="1"/>
    </row>
    <row r="781" spans="1:26" ht="15.75" customHeight="1">
      <c r="A781" s="4"/>
      <c r="B781" s="4"/>
      <c r="C781" s="115"/>
      <c r="D781" s="4"/>
      <c r="E781" s="4"/>
      <c r="F781" s="4"/>
      <c r="G781" s="4"/>
      <c r="H781" s="4"/>
      <c r="I781" s="4"/>
      <c r="J781" s="4"/>
      <c r="K781" s="1"/>
      <c r="L781" s="1"/>
      <c r="M781" s="1"/>
      <c r="N781" s="1"/>
      <c r="O781" s="1"/>
      <c r="P781" s="1"/>
      <c r="Q781" s="1"/>
      <c r="R781" s="1"/>
      <c r="S781" s="1"/>
      <c r="T781" s="1"/>
      <c r="U781" s="1"/>
      <c r="V781" s="1"/>
      <c r="W781" s="1"/>
      <c r="X781" s="1"/>
      <c r="Y781" s="1"/>
      <c r="Z781" s="1"/>
    </row>
    <row r="782" spans="1:26" ht="15.75" customHeight="1">
      <c r="A782" s="4"/>
      <c r="B782" s="4"/>
      <c r="C782" s="115"/>
      <c r="D782" s="4"/>
      <c r="E782" s="4"/>
      <c r="F782" s="4"/>
      <c r="G782" s="4"/>
      <c r="H782" s="4"/>
      <c r="I782" s="4"/>
      <c r="J782" s="4"/>
      <c r="K782" s="1"/>
      <c r="L782" s="1"/>
      <c r="M782" s="1"/>
      <c r="N782" s="1"/>
      <c r="O782" s="1"/>
      <c r="P782" s="1"/>
      <c r="Q782" s="1"/>
      <c r="R782" s="1"/>
      <c r="S782" s="1"/>
      <c r="T782" s="1"/>
      <c r="U782" s="1"/>
      <c r="V782" s="1"/>
      <c r="W782" s="1"/>
      <c r="X782" s="1"/>
      <c r="Y782" s="1"/>
      <c r="Z782" s="1"/>
    </row>
    <row r="783" spans="1:26" ht="15.75" customHeight="1">
      <c r="A783" s="4"/>
      <c r="B783" s="4"/>
      <c r="C783" s="115"/>
      <c r="D783" s="4"/>
      <c r="E783" s="4"/>
      <c r="F783" s="4"/>
      <c r="G783" s="4"/>
      <c r="H783" s="4"/>
      <c r="I783" s="4"/>
      <c r="J783" s="4"/>
      <c r="K783" s="1"/>
      <c r="L783" s="1"/>
      <c r="M783" s="1"/>
      <c r="N783" s="1"/>
      <c r="O783" s="1"/>
      <c r="P783" s="1"/>
      <c r="Q783" s="1"/>
      <c r="R783" s="1"/>
      <c r="S783" s="1"/>
      <c r="T783" s="1"/>
      <c r="U783" s="1"/>
      <c r="V783" s="1"/>
      <c r="W783" s="1"/>
      <c r="X783" s="1"/>
      <c r="Y783" s="1"/>
      <c r="Z783" s="1"/>
    </row>
    <row r="784" spans="1:26" ht="15.75" customHeight="1">
      <c r="A784" s="4"/>
      <c r="B784" s="4"/>
      <c r="C784" s="115"/>
      <c r="D784" s="4"/>
      <c r="E784" s="4"/>
      <c r="F784" s="4"/>
      <c r="G784" s="4"/>
      <c r="H784" s="4"/>
      <c r="I784" s="4"/>
      <c r="J784" s="4"/>
      <c r="K784" s="1"/>
      <c r="L784" s="1"/>
      <c r="M784" s="1"/>
      <c r="N784" s="1"/>
      <c r="O784" s="1"/>
      <c r="P784" s="1"/>
      <c r="Q784" s="1"/>
      <c r="R784" s="1"/>
      <c r="S784" s="1"/>
      <c r="T784" s="1"/>
      <c r="U784" s="1"/>
      <c r="V784" s="1"/>
      <c r="W784" s="1"/>
      <c r="X784" s="1"/>
      <c r="Y784" s="1"/>
      <c r="Z784" s="1"/>
    </row>
    <row r="785" spans="1:26" ht="15.75" customHeight="1">
      <c r="A785" s="4"/>
      <c r="B785" s="4"/>
      <c r="C785" s="115"/>
      <c r="D785" s="4"/>
      <c r="E785" s="4"/>
      <c r="F785" s="4"/>
      <c r="G785" s="4"/>
      <c r="H785" s="4"/>
      <c r="I785" s="4"/>
      <c r="J785" s="4"/>
      <c r="K785" s="1"/>
      <c r="L785" s="1"/>
      <c r="M785" s="1"/>
      <c r="N785" s="1"/>
      <c r="O785" s="1"/>
      <c r="P785" s="1"/>
      <c r="Q785" s="1"/>
      <c r="R785" s="1"/>
      <c r="S785" s="1"/>
      <c r="T785" s="1"/>
      <c r="U785" s="1"/>
      <c r="V785" s="1"/>
      <c r="W785" s="1"/>
      <c r="X785" s="1"/>
      <c r="Y785" s="1"/>
      <c r="Z785" s="1"/>
    </row>
    <row r="786" spans="1:26" ht="15.75" customHeight="1">
      <c r="A786" s="4"/>
      <c r="B786" s="4"/>
      <c r="C786" s="115"/>
      <c r="D786" s="4"/>
      <c r="E786" s="4"/>
      <c r="F786" s="4"/>
      <c r="G786" s="4"/>
      <c r="H786" s="4"/>
      <c r="I786" s="4"/>
      <c r="J786" s="4"/>
      <c r="K786" s="1"/>
      <c r="L786" s="1"/>
      <c r="M786" s="1"/>
      <c r="N786" s="1"/>
      <c r="O786" s="1"/>
      <c r="P786" s="1"/>
      <c r="Q786" s="1"/>
      <c r="R786" s="1"/>
      <c r="S786" s="1"/>
      <c r="T786" s="1"/>
      <c r="U786" s="1"/>
      <c r="V786" s="1"/>
      <c r="W786" s="1"/>
      <c r="X786" s="1"/>
      <c r="Y786" s="1"/>
      <c r="Z786" s="1"/>
    </row>
    <row r="787" spans="1:26" ht="15.75" customHeight="1">
      <c r="A787" s="4"/>
      <c r="B787" s="4"/>
      <c r="C787" s="115"/>
      <c r="D787" s="4"/>
      <c r="E787" s="4"/>
      <c r="F787" s="4"/>
      <c r="G787" s="4"/>
      <c r="H787" s="4"/>
      <c r="I787" s="4"/>
      <c r="J787" s="4"/>
      <c r="K787" s="1"/>
      <c r="L787" s="1"/>
      <c r="M787" s="1"/>
      <c r="N787" s="1"/>
      <c r="O787" s="1"/>
      <c r="P787" s="1"/>
      <c r="Q787" s="1"/>
      <c r="R787" s="1"/>
      <c r="S787" s="1"/>
      <c r="T787" s="1"/>
      <c r="U787" s="1"/>
      <c r="V787" s="1"/>
      <c r="W787" s="1"/>
      <c r="X787" s="1"/>
      <c r="Y787" s="1"/>
      <c r="Z787" s="1"/>
    </row>
    <row r="788" spans="1:26" ht="15.75" customHeight="1">
      <c r="A788" s="4"/>
      <c r="B788" s="4"/>
      <c r="C788" s="115"/>
      <c r="D788" s="4"/>
      <c r="E788" s="4"/>
      <c r="F788" s="4"/>
      <c r="G788" s="4"/>
      <c r="H788" s="4"/>
      <c r="I788" s="4"/>
      <c r="J788" s="4"/>
      <c r="K788" s="1"/>
      <c r="L788" s="1"/>
      <c r="M788" s="1"/>
      <c r="N788" s="1"/>
      <c r="O788" s="1"/>
      <c r="P788" s="1"/>
      <c r="Q788" s="1"/>
      <c r="R788" s="1"/>
      <c r="S788" s="1"/>
      <c r="T788" s="1"/>
      <c r="U788" s="1"/>
      <c r="V788" s="1"/>
      <c r="W788" s="1"/>
      <c r="X788" s="1"/>
      <c r="Y788" s="1"/>
      <c r="Z788" s="1"/>
    </row>
    <row r="789" spans="1:26" ht="15.75" customHeight="1">
      <c r="A789" s="4"/>
      <c r="B789" s="4"/>
      <c r="C789" s="115"/>
      <c r="D789" s="4"/>
      <c r="E789" s="4"/>
      <c r="F789" s="4"/>
      <c r="G789" s="4"/>
      <c r="H789" s="4"/>
      <c r="I789" s="4"/>
      <c r="J789" s="4"/>
      <c r="K789" s="1"/>
      <c r="L789" s="1"/>
      <c r="M789" s="1"/>
      <c r="N789" s="1"/>
      <c r="O789" s="1"/>
      <c r="P789" s="1"/>
      <c r="Q789" s="1"/>
      <c r="R789" s="1"/>
      <c r="S789" s="1"/>
      <c r="T789" s="1"/>
      <c r="U789" s="1"/>
      <c r="V789" s="1"/>
      <c r="W789" s="1"/>
      <c r="X789" s="1"/>
      <c r="Y789" s="1"/>
      <c r="Z789" s="1"/>
    </row>
    <row r="790" spans="1:26" ht="15.75" customHeight="1">
      <c r="A790" s="4"/>
      <c r="B790" s="4"/>
      <c r="C790" s="115"/>
      <c r="D790" s="4"/>
      <c r="E790" s="4"/>
      <c r="F790" s="4"/>
      <c r="G790" s="4"/>
      <c r="H790" s="4"/>
      <c r="I790" s="4"/>
      <c r="J790" s="4"/>
      <c r="K790" s="1"/>
      <c r="L790" s="1"/>
      <c r="M790" s="1"/>
      <c r="N790" s="1"/>
      <c r="O790" s="1"/>
      <c r="P790" s="1"/>
      <c r="Q790" s="1"/>
      <c r="R790" s="1"/>
      <c r="S790" s="1"/>
      <c r="T790" s="1"/>
      <c r="U790" s="1"/>
      <c r="V790" s="1"/>
      <c r="W790" s="1"/>
      <c r="X790" s="1"/>
      <c r="Y790" s="1"/>
      <c r="Z790" s="1"/>
    </row>
    <row r="791" spans="1:26" ht="15.75" customHeight="1">
      <c r="A791" s="4"/>
      <c r="B791" s="4"/>
      <c r="C791" s="115"/>
      <c r="D791" s="4"/>
      <c r="E791" s="4"/>
      <c r="F791" s="4"/>
      <c r="G791" s="4"/>
      <c r="H791" s="4"/>
      <c r="I791" s="4"/>
      <c r="J791" s="4"/>
      <c r="K791" s="1"/>
      <c r="L791" s="1"/>
      <c r="M791" s="1"/>
      <c r="N791" s="1"/>
      <c r="O791" s="1"/>
      <c r="P791" s="1"/>
      <c r="Q791" s="1"/>
      <c r="R791" s="1"/>
      <c r="S791" s="1"/>
      <c r="T791" s="1"/>
      <c r="U791" s="1"/>
      <c r="V791" s="1"/>
      <c r="W791" s="1"/>
      <c r="X791" s="1"/>
      <c r="Y791" s="1"/>
      <c r="Z791" s="1"/>
    </row>
    <row r="792" spans="1:26" ht="15.75" customHeight="1">
      <c r="A792" s="4"/>
      <c r="B792" s="4"/>
      <c r="C792" s="115"/>
      <c r="D792" s="4"/>
      <c r="E792" s="4"/>
      <c r="F792" s="4"/>
      <c r="G792" s="4"/>
      <c r="H792" s="4"/>
      <c r="I792" s="4"/>
      <c r="J792" s="4"/>
      <c r="K792" s="1"/>
      <c r="L792" s="1"/>
      <c r="M792" s="1"/>
      <c r="N792" s="1"/>
      <c r="O792" s="1"/>
      <c r="P792" s="1"/>
      <c r="Q792" s="1"/>
      <c r="R792" s="1"/>
      <c r="S792" s="1"/>
      <c r="T792" s="1"/>
      <c r="U792" s="1"/>
      <c r="V792" s="1"/>
      <c r="W792" s="1"/>
      <c r="X792" s="1"/>
      <c r="Y792" s="1"/>
      <c r="Z792" s="1"/>
    </row>
    <row r="793" spans="1:26" ht="15.75" customHeight="1">
      <c r="A793" s="4"/>
      <c r="B793" s="4"/>
      <c r="C793" s="115"/>
      <c r="D793" s="4"/>
      <c r="E793" s="4"/>
      <c r="F793" s="4"/>
      <c r="G793" s="4"/>
      <c r="H793" s="4"/>
      <c r="I793" s="4"/>
      <c r="J793" s="4"/>
      <c r="K793" s="1"/>
      <c r="L793" s="1"/>
      <c r="M793" s="1"/>
      <c r="N793" s="1"/>
      <c r="O793" s="1"/>
      <c r="P793" s="1"/>
      <c r="Q793" s="1"/>
      <c r="R793" s="1"/>
      <c r="S793" s="1"/>
      <c r="T793" s="1"/>
      <c r="U793" s="1"/>
      <c r="V793" s="1"/>
      <c r="W793" s="1"/>
      <c r="X793" s="1"/>
      <c r="Y793" s="1"/>
      <c r="Z793" s="1"/>
    </row>
    <row r="794" spans="1:26" ht="15.75" customHeight="1">
      <c r="A794" s="4"/>
      <c r="B794" s="4"/>
      <c r="C794" s="115"/>
      <c r="D794" s="4"/>
      <c r="E794" s="4"/>
      <c r="F794" s="4"/>
      <c r="G794" s="4"/>
      <c r="H794" s="4"/>
      <c r="I794" s="4"/>
      <c r="J794" s="4"/>
      <c r="K794" s="1"/>
      <c r="L794" s="1"/>
      <c r="M794" s="1"/>
      <c r="N794" s="1"/>
      <c r="O794" s="1"/>
      <c r="P794" s="1"/>
      <c r="Q794" s="1"/>
      <c r="R794" s="1"/>
      <c r="S794" s="1"/>
      <c r="T794" s="1"/>
      <c r="U794" s="1"/>
      <c r="V794" s="1"/>
      <c r="W794" s="1"/>
      <c r="X794" s="1"/>
      <c r="Y794" s="1"/>
      <c r="Z794" s="1"/>
    </row>
    <row r="795" spans="1:26" ht="15.75" customHeight="1">
      <c r="A795" s="4"/>
      <c r="B795" s="4"/>
      <c r="C795" s="115"/>
      <c r="D795" s="4"/>
      <c r="E795" s="4"/>
      <c r="F795" s="4"/>
      <c r="G795" s="4"/>
      <c r="H795" s="4"/>
      <c r="I795" s="4"/>
      <c r="J795" s="4"/>
      <c r="K795" s="1"/>
      <c r="L795" s="1"/>
      <c r="M795" s="1"/>
      <c r="N795" s="1"/>
      <c r="O795" s="1"/>
      <c r="P795" s="1"/>
      <c r="Q795" s="1"/>
      <c r="R795" s="1"/>
      <c r="S795" s="1"/>
      <c r="T795" s="1"/>
      <c r="U795" s="1"/>
      <c r="V795" s="1"/>
      <c r="W795" s="1"/>
      <c r="X795" s="1"/>
      <c r="Y795" s="1"/>
      <c r="Z795" s="1"/>
    </row>
    <row r="796" spans="1:26" ht="15.75" customHeight="1">
      <c r="A796" s="4"/>
      <c r="B796" s="4"/>
      <c r="C796" s="115"/>
      <c r="D796" s="4"/>
      <c r="E796" s="4"/>
      <c r="F796" s="4"/>
      <c r="G796" s="4"/>
      <c r="H796" s="4"/>
      <c r="I796" s="4"/>
      <c r="J796" s="4"/>
      <c r="K796" s="1"/>
      <c r="L796" s="1"/>
      <c r="M796" s="1"/>
      <c r="N796" s="1"/>
      <c r="O796" s="1"/>
      <c r="P796" s="1"/>
      <c r="Q796" s="1"/>
      <c r="R796" s="1"/>
      <c r="S796" s="1"/>
      <c r="T796" s="1"/>
      <c r="U796" s="1"/>
      <c r="V796" s="1"/>
      <c r="W796" s="1"/>
      <c r="X796" s="1"/>
      <c r="Y796" s="1"/>
      <c r="Z796" s="1"/>
    </row>
    <row r="797" spans="1:26" ht="15.75" customHeight="1">
      <c r="A797" s="4"/>
      <c r="B797" s="4"/>
      <c r="C797" s="115"/>
      <c r="D797" s="4"/>
      <c r="E797" s="4"/>
      <c r="F797" s="4"/>
      <c r="G797" s="4"/>
      <c r="H797" s="4"/>
      <c r="I797" s="4"/>
      <c r="J797" s="4"/>
      <c r="K797" s="1"/>
      <c r="L797" s="1"/>
      <c r="M797" s="1"/>
      <c r="N797" s="1"/>
      <c r="O797" s="1"/>
      <c r="P797" s="1"/>
      <c r="Q797" s="1"/>
      <c r="R797" s="1"/>
      <c r="S797" s="1"/>
      <c r="T797" s="1"/>
      <c r="U797" s="1"/>
      <c r="V797" s="1"/>
      <c r="W797" s="1"/>
      <c r="X797" s="1"/>
      <c r="Y797" s="1"/>
      <c r="Z797" s="1"/>
    </row>
    <row r="798" spans="1:26" ht="15.75" customHeight="1">
      <c r="A798" s="4"/>
      <c r="B798" s="4"/>
      <c r="C798" s="115"/>
      <c r="D798" s="4"/>
      <c r="E798" s="4"/>
      <c r="F798" s="4"/>
      <c r="G798" s="4"/>
      <c r="H798" s="4"/>
      <c r="I798" s="4"/>
      <c r="J798" s="4"/>
      <c r="K798" s="1"/>
      <c r="L798" s="1"/>
      <c r="M798" s="1"/>
      <c r="N798" s="1"/>
      <c r="O798" s="1"/>
      <c r="P798" s="1"/>
      <c r="Q798" s="1"/>
      <c r="R798" s="1"/>
      <c r="S798" s="1"/>
      <c r="T798" s="1"/>
      <c r="U798" s="1"/>
      <c r="V798" s="1"/>
      <c r="W798" s="1"/>
      <c r="X798" s="1"/>
      <c r="Y798" s="1"/>
      <c r="Z798" s="1"/>
    </row>
    <row r="799" spans="1:26" ht="15.75" customHeight="1">
      <c r="A799" s="4"/>
      <c r="B799" s="4"/>
      <c r="C799" s="115"/>
      <c r="D799" s="4"/>
      <c r="E799" s="4"/>
      <c r="F799" s="4"/>
      <c r="G799" s="4"/>
      <c r="H799" s="4"/>
      <c r="I799" s="4"/>
      <c r="J799" s="4"/>
      <c r="K799" s="1"/>
      <c r="L799" s="1"/>
      <c r="M799" s="1"/>
      <c r="N799" s="1"/>
      <c r="O799" s="1"/>
      <c r="P799" s="1"/>
      <c r="Q799" s="1"/>
      <c r="R799" s="1"/>
      <c r="S799" s="1"/>
      <c r="T799" s="1"/>
      <c r="U799" s="1"/>
      <c r="V799" s="1"/>
      <c r="W799" s="1"/>
      <c r="X799" s="1"/>
      <c r="Y799" s="1"/>
      <c r="Z799" s="1"/>
    </row>
    <row r="800" spans="1:26" ht="15.75" customHeight="1">
      <c r="A800" s="4"/>
      <c r="B800" s="4"/>
      <c r="C800" s="115"/>
      <c r="D800" s="4"/>
      <c r="E800" s="4"/>
      <c r="F800" s="4"/>
      <c r="G800" s="4"/>
      <c r="H800" s="4"/>
      <c r="I800" s="4"/>
      <c r="J800" s="4"/>
      <c r="K800" s="1"/>
      <c r="L800" s="1"/>
      <c r="M800" s="1"/>
      <c r="N800" s="1"/>
      <c r="O800" s="1"/>
      <c r="P800" s="1"/>
      <c r="Q800" s="1"/>
      <c r="R800" s="1"/>
      <c r="S800" s="1"/>
      <c r="T800" s="1"/>
      <c r="U800" s="1"/>
      <c r="V800" s="1"/>
      <c r="W800" s="1"/>
      <c r="X800" s="1"/>
      <c r="Y800" s="1"/>
      <c r="Z800" s="1"/>
    </row>
    <row r="801" spans="1:26" ht="15.75" customHeight="1">
      <c r="A801" s="4"/>
      <c r="B801" s="4"/>
      <c r="C801" s="115"/>
      <c r="D801" s="4"/>
      <c r="E801" s="4"/>
      <c r="F801" s="4"/>
      <c r="G801" s="4"/>
      <c r="H801" s="4"/>
      <c r="I801" s="4"/>
      <c r="J801" s="4"/>
      <c r="K801" s="1"/>
      <c r="L801" s="1"/>
      <c r="M801" s="1"/>
      <c r="N801" s="1"/>
      <c r="O801" s="1"/>
      <c r="P801" s="1"/>
      <c r="Q801" s="1"/>
      <c r="R801" s="1"/>
      <c r="S801" s="1"/>
      <c r="T801" s="1"/>
      <c r="U801" s="1"/>
      <c r="V801" s="1"/>
      <c r="W801" s="1"/>
      <c r="X801" s="1"/>
      <c r="Y801" s="1"/>
      <c r="Z801" s="1"/>
    </row>
    <row r="802" spans="1:26" ht="15.75" customHeight="1">
      <c r="A802" s="4"/>
      <c r="B802" s="4"/>
      <c r="C802" s="115"/>
      <c r="D802" s="4"/>
      <c r="E802" s="4"/>
      <c r="F802" s="4"/>
      <c r="G802" s="4"/>
      <c r="H802" s="4"/>
      <c r="I802" s="4"/>
      <c r="J802" s="4"/>
      <c r="K802" s="1"/>
      <c r="L802" s="1"/>
      <c r="M802" s="1"/>
      <c r="N802" s="1"/>
      <c r="O802" s="1"/>
      <c r="P802" s="1"/>
      <c r="Q802" s="1"/>
      <c r="R802" s="1"/>
      <c r="S802" s="1"/>
      <c r="T802" s="1"/>
      <c r="U802" s="1"/>
      <c r="V802" s="1"/>
      <c r="W802" s="1"/>
      <c r="X802" s="1"/>
      <c r="Y802" s="1"/>
      <c r="Z802" s="1"/>
    </row>
    <row r="803" spans="1:26" ht="15.75" customHeight="1">
      <c r="A803" s="4"/>
      <c r="B803" s="4"/>
      <c r="C803" s="115"/>
      <c r="D803" s="4"/>
      <c r="E803" s="4"/>
      <c r="F803" s="4"/>
      <c r="G803" s="4"/>
      <c r="H803" s="4"/>
      <c r="I803" s="4"/>
      <c r="J803" s="4"/>
      <c r="K803" s="1"/>
      <c r="L803" s="1"/>
      <c r="M803" s="1"/>
      <c r="N803" s="1"/>
      <c r="O803" s="1"/>
      <c r="P803" s="1"/>
      <c r="Q803" s="1"/>
      <c r="R803" s="1"/>
      <c r="S803" s="1"/>
      <c r="T803" s="1"/>
      <c r="U803" s="1"/>
      <c r="V803" s="1"/>
      <c r="W803" s="1"/>
      <c r="X803" s="1"/>
      <c r="Y803" s="1"/>
      <c r="Z803" s="1"/>
    </row>
    <row r="804" spans="1:26" ht="15.75" customHeight="1">
      <c r="A804" s="4"/>
      <c r="B804" s="4"/>
      <c r="C804" s="115"/>
      <c r="D804" s="4"/>
      <c r="E804" s="4"/>
      <c r="F804" s="4"/>
      <c r="G804" s="4"/>
      <c r="H804" s="4"/>
      <c r="I804" s="4"/>
      <c r="J804" s="4"/>
      <c r="K804" s="1"/>
      <c r="L804" s="1"/>
      <c r="M804" s="1"/>
      <c r="N804" s="1"/>
      <c r="O804" s="1"/>
      <c r="P804" s="1"/>
      <c r="Q804" s="1"/>
      <c r="R804" s="1"/>
      <c r="S804" s="1"/>
      <c r="T804" s="1"/>
      <c r="U804" s="1"/>
      <c r="V804" s="1"/>
      <c r="W804" s="1"/>
      <c r="X804" s="1"/>
      <c r="Y804" s="1"/>
      <c r="Z804" s="1"/>
    </row>
    <row r="805" spans="1:26" ht="15.75" customHeight="1">
      <c r="A805" s="4"/>
      <c r="B805" s="4"/>
      <c r="C805" s="115"/>
      <c r="D805" s="4"/>
      <c r="E805" s="4"/>
      <c r="F805" s="4"/>
      <c r="G805" s="4"/>
      <c r="H805" s="4"/>
      <c r="I805" s="4"/>
      <c r="J805" s="4"/>
      <c r="K805" s="1"/>
      <c r="L805" s="1"/>
      <c r="M805" s="1"/>
      <c r="N805" s="1"/>
      <c r="O805" s="1"/>
      <c r="P805" s="1"/>
      <c r="Q805" s="1"/>
      <c r="R805" s="1"/>
      <c r="S805" s="1"/>
      <c r="T805" s="1"/>
      <c r="U805" s="1"/>
      <c r="V805" s="1"/>
      <c r="W805" s="1"/>
      <c r="X805" s="1"/>
      <c r="Y805" s="1"/>
      <c r="Z805" s="1"/>
    </row>
    <row r="806" spans="1:26" ht="15.75" customHeight="1">
      <c r="A806" s="4"/>
      <c r="B806" s="4"/>
      <c r="C806" s="115"/>
      <c r="D806" s="4"/>
      <c r="E806" s="4"/>
      <c r="F806" s="4"/>
      <c r="G806" s="4"/>
      <c r="H806" s="4"/>
      <c r="I806" s="4"/>
      <c r="J806" s="4"/>
      <c r="K806" s="1"/>
      <c r="L806" s="1"/>
      <c r="M806" s="1"/>
      <c r="N806" s="1"/>
      <c r="O806" s="1"/>
      <c r="P806" s="1"/>
      <c r="Q806" s="1"/>
      <c r="R806" s="1"/>
      <c r="S806" s="1"/>
      <c r="T806" s="1"/>
      <c r="U806" s="1"/>
      <c r="V806" s="1"/>
      <c r="W806" s="1"/>
      <c r="X806" s="1"/>
      <c r="Y806" s="1"/>
      <c r="Z806" s="1"/>
    </row>
    <row r="807" spans="1:26" ht="15.75" customHeight="1">
      <c r="A807" s="4"/>
      <c r="B807" s="4"/>
      <c r="C807" s="115"/>
      <c r="D807" s="4"/>
      <c r="E807" s="4"/>
      <c r="F807" s="4"/>
      <c r="G807" s="4"/>
      <c r="H807" s="4"/>
      <c r="I807" s="4"/>
      <c r="J807" s="4"/>
      <c r="K807" s="1"/>
      <c r="L807" s="1"/>
      <c r="M807" s="1"/>
      <c r="N807" s="1"/>
      <c r="O807" s="1"/>
      <c r="P807" s="1"/>
      <c r="Q807" s="1"/>
      <c r="R807" s="1"/>
      <c r="S807" s="1"/>
      <c r="T807" s="1"/>
      <c r="U807" s="1"/>
      <c r="V807" s="1"/>
      <c r="W807" s="1"/>
      <c r="X807" s="1"/>
      <c r="Y807" s="1"/>
      <c r="Z807" s="1"/>
    </row>
    <row r="808" spans="1:26" ht="15.75" customHeight="1">
      <c r="A808" s="4"/>
      <c r="B808" s="4"/>
      <c r="C808" s="115"/>
      <c r="D808" s="4"/>
      <c r="E808" s="4"/>
      <c r="F808" s="4"/>
      <c r="G808" s="4"/>
      <c r="H808" s="4"/>
      <c r="I808" s="4"/>
      <c r="J808" s="4"/>
      <c r="K808" s="1"/>
      <c r="L808" s="1"/>
      <c r="M808" s="1"/>
      <c r="N808" s="1"/>
      <c r="O808" s="1"/>
      <c r="P808" s="1"/>
      <c r="Q808" s="1"/>
      <c r="R808" s="1"/>
      <c r="S808" s="1"/>
      <c r="T808" s="1"/>
      <c r="U808" s="1"/>
      <c r="V808" s="1"/>
      <c r="W808" s="1"/>
      <c r="X808" s="1"/>
      <c r="Y808" s="1"/>
      <c r="Z808" s="1"/>
    </row>
    <row r="809" spans="1:26" ht="15.75" customHeight="1">
      <c r="A809" s="4"/>
      <c r="B809" s="4"/>
      <c r="C809" s="115"/>
      <c r="D809" s="4"/>
      <c r="E809" s="4"/>
      <c r="F809" s="4"/>
      <c r="G809" s="4"/>
      <c r="H809" s="4"/>
      <c r="I809" s="4"/>
      <c r="J809" s="4"/>
      <c r="K809" s="1"/>
      <c r="L809" s="1"/>
      <c r="M809" s="1"/>
      <c r="N809" s="1"/>
      <c r="O809" s="1"/>
      <c r="P809" s="1"/>
      <c r="Q809" s="1"/>
      <c r="R809" s="1"/>
      <c r="S809" s="1"/>
      <c r="T809" s="1"/>
      <c r="U809" s="1"/>
      <c r="V809" s="1"/>
      <c r="W809" s="1"/>
      <c r="X809" s="1"/>
      <c r="Y809" s="1"/>
      <c r="Z809" s="1"/>
    </row>
    <row r="810" spans="1:26" ht="15.75" customHeight="1">
      <c r="A810" s="4"/>
      <c r="B810" s="4"/>
      <c r="C810" s="115"/>
      <c r="D810" s="4"/>
      <c r="E810" s="4"/>
      <c r="F810" s="4"/>
      <c r="G810" s="4"/>
      <c r="H810" s="4"/>
      <c r="I810" s="4"/>
      <c r="J810" s="4"/>
      <c r="K810" s="1"/>
      <c r="L810" s="1"/>
      <c r="M810" s="1"/>
      <c r="N810" s="1"/>
      <c r="O810" s="1"/>
      <c r="P810" s="1"/>
      <c r="Q810" s="1"/>
      <c r="R810" s="1"/>
      <c r="S810" s="1"/>
      <c r="T810" s="1"/>
      <c r="U810" s="1"/>
      <c r="V810" s="1"/>
      <c r="W810" s="1"/>
      <c r="X810" s="1"/>
      <c r="Y810" s="1"/>
      <c r="Z810" s="1"/>
    </row>
    <row r="811" spans="1:26" ht="15.75" customHeight="1">
      <c r="A811" s="4"/>
      <c r="B811" s="4"/>
      <c r="C811" s="115"/>
      <c r="D811" s="4"/>
      <c r="E811" s="4"/>
      <c r="F811" s="4"/>
      <c r="G811" s="4"/>
      <c r="H811" s="4"/>
      <c r="I811" s="4"/>
      <c r="J811" s="4"/>
      <c r="K811" s="1"/>
      <c r="L811" s="1"/>
      <c r="M811" s="1"/>
      <c r="N811" s="1"/>
      <c r="O811" s="1"/>
      <c r="P811" s="1"/>
      <c r="Q811" s="1"/>
      <c r="R811" s="1"/>
      <c r="S811" s="1"/>
      <c r="T811" s="1"/>
      <c r="U811" s="1"/>
      <c r="V811" s="1"/>
      <c r="W811" s="1"/>
      <c r="X811" s="1"/>
      <c r="Y811" s="1"/>
      <c r="Z811" s="1"/>
    </row>
    <row r="812" spans="1:26" ht="15.75" customHeight="1">
      <c r="A812" s="4"/>
      <c r="B812" s="4"/>
      <c r="C812" s="115"/>
      <c r="D812" s="4"/>
      <c r="E812" s="4"/>
      <c r="F812" s="4"/>
      <c r="G812" s="4"/>
      <c r="H812" s="4"/>
      <c r="I812" s="4"/>
      <c r="J812" s="4"/>
      <c r="K812" s="1"/>
      <c r="L812" s="1"/>
      <c r="M812" s="1"/>
      <c r="N812" s="1"/>
      <c r="O812" s="1"/>
      <c r="P812" s="1"/>
      <c r="Q812" s="1"/>
      <c r="R812" s="1"/>
      <c r="S812" s="1"/>
      <c r="T812" s="1"/>
      <c r="U812" s="1"/>
      <c r="V812" s="1"/>
      <c r="W812" s="1"/>
      <c r="X812" s="1"/>
      <c r="Y812" s="1"/>
      <c r="Z812" s="1"/>
    </row>
    <row r="813" spans="1:26" ht="15.75" customHeight="1">
      <c r="A813" s="4"/>
      <c r="B813" s="4"/>
      <c r="C813" s="115"/>
      <c r="D813" s="4"/>
      <c r="E813" s="4"/>
      <c r="F813" s="4"/>
      <c r="G813" s="4"/>
      <c r="H813" s="4"/>
      <c r="I813" s="4"/>
      <c r="J813" s="4"/>
      <c r="K813" s="1"/>
      <c r="L813" s="1"/>
      <c r="M813" s="1"/>
      <c r="N813" s="1"/>
      <c r="O813" s="1"/>
      <c r="P813" s="1"/>
      <c r="Q813" s="1"/>
      <c r="R813" s="1"/>
      <c r="S813" s="1"/>
      <c r="T813" s="1"/>
      <c r="U813" s="1"/>
      <c r="V813" s="1"/>
      <c r="W813" s="1"/>
      <c r="X813" s="1"/>
      <c r="Y813" s="1"/>
      <c r="Z813" s="1"/>
    </row>
    <row r="814" spans="1:26" ht="15.75" customHeight="1">
      <c r="A814" s="4"/>
      <c r="B814" s="4"/>
      <c r="C814" s="115"/>
      <c r="D814" s="4"/>
      <c r="E814" s="4"/>
      <c r="F814" s="4"/>
      <c r="G814" s="4"/>
      <c r="H814" s="4"/>
      <c r="I814" s="4"/>
      <c r="J814" s="4"/>
      <c r="K814" s="1"/>
      <c r="L814" s="1"/>
      <c r="M814" s="1"/>
      <c r="N814" s="1"/>
      <c r="O814" s="1"/>
      <c r="P814" s="1"/>
      <c r="Q814" s="1"/>
      <c r="R814" s="1"/>
      <c r="S814" s="1"/>
      <c r="T814" s="1"/>
      <c r="U814" s="1"/>
      <c r="V814" s="1"/>
      <c r="W814" s="1"/>
      <c r="X814" s="1"/>
      <c r="Y814" s="1"/>
      <c r="Z814" s="1"/>
    </row>
    <row r="815" spans="1:26" ht="15.75" customHeight="1">
      <c r="A815" s="4"/>
      <c r="B815" s="4"/>
      <c r="C815" s="115"/>
      <c r="D815" s="4"/>
      <c r="E815" s="4"/>
      <c r="F815" s="4"/>
      <c r="G815" s="4"/>
      <c r="H815" s="4"/>
      <c r="I815" s="4"/>
      <c r="J815" s="4"/>
      <c r="K815" s="1"/>
      <c r="L815" s="1"/>
      <c r="M815" s="1"/>
      <c r="N815" s="1"/>
      <c r="O815" s="1"/>
      <c r="P815" s="1"/>
      <c r="Q815" s="1"/>
      <c r="R815" s="1"/>
      <c r="S815" s="1"/>
      <c r="T815" s="1"/>
      <c r="U815" s="1"/>
      <c r="V815" s="1"/>
      <c r="W815" s="1"/>
      <c r="X815" s="1"/>
      <c r="Y815" s="1"/>
      <c r="Z815" s="1"/>
    </row>
    <row r="816" spans="1:26" ht="15.75" customHeight="1">
      <c r="A816" s="4"/>
      <c r="B816" s="4"/>
      <c r="C816" s="115"/>
      <c r="D816" s="4"/>
      <c r="E816" s="4"/>
      <c r="F816" s="4"/>
      <c r="G816" s="4"/>
      <c r="H816" s="4"/>
      <c r="I816" s="4"/>
      <c r="J816" s="4"/>
      <c r="K816" s="1"/>
      <c r="L816" s="1"/>
      <c r="M816" s="1"/>
      <c r="N816" s="1"/>
      <c r="O816" s="1"/>
      <c r="P816" s="1"/>
      <c r="Q816" s="1"/>
      <c r="R816" s="1"/>
      <c r="S816" s="1"/>
      <c r="T816" s="1"/>
      <c r="U816" s="1"/>
      <c r="V816" s="1"/>
      <c r="W816" s="1"/>
      <c r="X816" s="1"/>
      <c r="Y816" s="1"/>
      <c r="Z816" s="1"/>
    </row>
    <row r="817" spans="1:26" ht="15.75" customHeight="1">
      <c r="A817" s="4"/>
      <c r="B817" s="4"/>
      <c r="C817" s="115"/>
      <c r="D817" s="4"/>
      <c r="E817" s="4"/>
      <c r="F817" s="4"/>
      <c r="G817" s="4"/>
      <c r="H817" s="4"/>
      <c r="I817" s="4"/>
      <c r="J817" s="4"/>
      <c r="K817" s="1"/>
      <c r="L817" s="1"/>
      <c r="M817" s="1"/>
      <c r="N817" s="1"/>
      <c r="O817" s="1"/>
      <c r="P817" s="1"/>
      <c r="Q817" s="1"/>
      <c r="R817" s="1"/>
      <c r="S817" s="1"/>
      <c r="T817" s="1"/>
      <c r="U817" s="1"/>
      <c r="V817" s="1"/>
      <c r="W817" s="1"/>
      <c r="X817" s="1"/>
      <c r="Y817" s="1"/>
      <c r="Z817" s="1"/>
    </row>
    <row r="818" spans="1:26" ht="15.75" customHeight="1">
      <c r="A818" s="4"/>
      <c r="B818" s="4"/>
      <c r="C818" s="115"/>
      <c r="D818" s="4"/>
      <c r="E818" s="4"/>
      <c r="F818" s="4"/>
      <c r="G818" s="4"/>
      <c r="H818" s="4"/>
      <c r="I818" s="4"/>
      <c r="J818" s="4"/>
      <c r="K818" s="1"/>
      <c r="L818" s="1"/>
      <c r="M818" s="1"/>
      <c r="N818" s="1"/>
      <c r="O818" s="1"/>
      <c r="P818" s="1"/>
      <c r="Q818" s="1"/>
      <c r="R818" s="1"/>
      <c r="S818" s="1"/>
      <c r="T818" s="1"/>
      <c r="U818" s="1"/>
      <c r="V818" s="1"/>
      <c r="W818" s="1"/>
      <c r="X818" s="1"/>
      <c r="Y818" s="1"/>
      <c r="Z818" s="1"/>
    </row>
    <row r="819" spans="1:26" ht="15.75" customHeight="1">
      <c r="A819" s="4"/>
      <c r="B819" s="4"/>
      <c r="C819" s="115"/>
      <c r="D819" s="4"/>
      <c r="E819" s="4"/>
      <c r="F819" s="4"/>
      <c r="G819" s="4"/>
      <c r="H819" s="4"/>
      <c r="I819" s="4"/>
      <c r="J819" s="4"/>
      <c r="K819" s="1"/>
      <c r="L819" s="1"/>
      <c r="M819" s="1"/>
      <c r="N819" s="1"/>
      <c r="O819" s="1"/>
      <c r="P819" s="1"/>
      <c r="Q819" s="1"/>
      <c r="R819" s="1"/>
      <c r="S819" s="1"/>
      <c r="T819" s="1"/>
      <c r="U819" s="1"/>
      <c r="V819" s="1"/>
      <c r="W819" s="1"/>
      <c r="X819" s="1"/>
      <c r="Y819" s="1"/>
      <c r="Z819" s="1"/>
    </row>
    <row r="820" spans="1:26" ht="15.75" customHeight="1">
      <c r="A820" s="4"/>
      <c r="B820" s="4"/>
      <c r="C820" s="115"/>
      <c r="D820" s="4"/>
      <c r="E820" s="4"/>
      <c r="F820" s="4"/>
      <c r="G820" s="4"/>
      <c r="H820" s="4"/>
      <c r="I820" s="4"/>
      <c r="J820" s="4"/>
      <c r="K820" s="1"/>
      <c r="L820" s="1"/>
      <c r="M820" s="1"/>
      <c r="N820" s="1"/>
      <c r="O820" s="1"/>
      <c r="P820" s="1"/>
      <c r="Q820" s="1"/>
      <c r="R820" s="1"/>
      <c r="S820" s="1"/>
      <c r="T820" s="1"/>
      <c r="U820" s="1"/>
      <c r="V820" s="1"/>
      <c r="W820" s="1"/>
      <c r="X820" s="1"/>
      <c r="Y820" s="1"/>
      <c r="Z820" s="1"/>
    </row>
    <row r="821" spans="1:26" ht="15.75" customHeight="1">
      <c r="A821" s="4"/>
      <c r="B821" s="4"/>
      <c r="C821" s="115"/>
      <c r="D821" s="4"/>
      <c r="E821" s="4"/>
      <c r="F821" s="4"/>
      <c r="G821" s="4"/>
      <c r="H821" s="4"/>
      <c r="I821" s="4"/>
      <c r="J821" s="4"/>
      <c r="K821" s="1"/>
      <c r="L821" s="1"/>
      <c r="M821" s="1"/>
      <c r="N821" s="1"/>
      <c r="O821" s="1"/>
      <c r="P821" s="1"/>
      <c r="Q821" s="1"/>
      <c r="R821" s="1"/>
      <c r="S821" s="1"/>
      <c r="T821" s="1"/>
      <c r="U821" s="1"/>
      <c r="V821" s="1"/>
      <c r="W821" s="1"/>
      <c r="X821" s="1"/>
      <c r="Y821" s="1"/>
      <c r="Z821" s="1"/>
    </row>
    <row r="822" spans="1:26" ht="15.75" customHeight="1">
      <c r="A822" s="4"/>
      <c r="B822" s="4"/>
      <c r="C822" s="115"/>
      <c r="D822" s="4"/>
      <c r="E822" s="4"/>
      <c r="F822" s="4"/>
      <c r="G822" s="4"/>
      <c r="H822" s="4"/>
      <c r="I822" s="4"/>
      <c r="J822" s="4"/>
      <c r="K822" s="1"/>
      <c r="L822" s="1"/>
      <c r="M822" s="1"/>
      <c r="N822" s="1"/>
      <c r="O822" s="1"/>
      <c r="P822" s="1"/>
      <c r="Q822" s="1"/>
      <c r="R822" s="1"/>
      <c r="S822" s="1"/>
      <c r="T822" s="1"/>
      <c r="U822" s="1"/>
      <c r="V822" s="1"/>
      <c r="W822" s="1"/>
      <c r="X822" s="1"/>
      <c r="Y822" s="1"/>
      <c r="Z822" s="1"/>
    </row>
    <row r="823" spans="1:26" ht="15.75" customHeight="1">
      <c r="A823" s="4"/>
      <c r="B823" s="4"/>
      <c r="C823" s="115"/>
      <c r="D823" s="4"/>
      <c r="E823" s="4"/>
      <c r="F823" s="4"/>
      <c r="G823" s="4"/>
      <c r="H823" s="4"/>
      <c r="I823" s="4"/>
      <c r="J823" s="4"/>
      <c r="K823" s="1"/>
      <c r="L823" s="1"/>
      <c r="M823" s="1"/>
      <c r="N823" s="1"/>
      <c r="O823" s="1"/>
      <c r="P823" s="1"/>
      <c r="Q823" s="1"/>
      <c r="R823" s="1"/>
      <c r="S823" s="1"/>
      <c r="T823" s="1"/>
      <c r="U823" s="1"/>
      <c r="V823" s="1"/>
      <c r="W823" s="1"/>
      <c r="X823" s="1"/>
      <c r="Y823" s="1"/>
      <c r="Z823" s="1"/>
    </row>
    <row r="824" spans="1:26" ht="15.75" customHeight="1">
      <c r="A824" s="4"/>
      <c r="B824" s="4"/>
      <c r="C824" s="115"/>
      <c r="D824" s="4"/>
      <c r="E824" s="4"/>
      <c r="F824" s="4"/>
      <c r="G824" s="4"/>
      <c r="H824" s="4"/>
      <c r="I824" s="4"/>
      <c r="J824" s="4"/>
      <c r="K824" s="1"/>
      <c r="L824" s="1"/>
      <c r="M824" s="1"/>
      <c r="N824" s="1"/>
      <c r="O824" s="1"/>
      <c r="P824" s="1"/>
      <c r="Q824" s="1"/>
      <c r="R824" s="1"/>
      <c r="S824" s="1"/>
      <c r="T824" s="1"/>
      <c r="U824" s="1"/>
      <c r="V824" s="1"/>
      <c r="W824" s="1"/>
      <c r="X824" s="1"/>
      <c r="Y824" s="1"/>
      <c r="Z824" s="1"/>
    </row>
    <row r="825" spans="1:26" ht="15.75" customHeight="1">
      <c r="A825" s="4"/>
      <c r="B825" s="4"/>
      <c r="C825" s="115"/>
      <c r="D825" s="4"/>
      <c r="E825" s="4"/>
      <c r="F825" s="4"/>
      <c r="G825" s="4"/>
      <c r="H825" s="4"/>
      <c r="I825" s="4"/>
      <c r="J825" s="4"/>
      <c r="K825" s="1"/>
      <c r="L825" s="1"/>
      <c r="M825" s="1"/>
      <c r="N825" s="1"/>
      <c r="O825" s="1"/>
      <c r="P825" s="1"/>
      <c r="Q825" s="1"/>
      <c r="R825" s="1"/>
      <c r="S825" s="1"/>
      <c r="T825" s="1"/>
      <c r="U825" s="1"/>
      <c r="V825" s="1"/>
      <c r="W825" s="1"/>
      <c r="X825" s="1"/>
      <c r="Y825" s="1"/>
      <c r="Z825" s="1"/>
    </row>
    <row r="826" spans="1:26" ht="15.75" customHeight="1">
      <c r="A826" s="4"/>
      <c r="B826" s="4"/>
      <c r="C826" s="115"/>
      <c r="D826" s="4"/>
      <c r="E826" s="4"/>
      <c r="F826" s="4"/>
      <c r="G826" s="4"/>
      <c r="H826" s="4"/>
      <c r="I826" s="4"/>
      <c r="J826" s="4"/>
      <c r="K826" s="1"/>
      <c r="L826" s="1"/>
      <c r="M826" s="1"/>
      <c r="N826" s="1"/>
      <c r="O826" s="1"/>
      <c r="P826" s="1"/>
      <c r="Q826" s="1"/>
      <c r="R826" s="1"/>
      <c r="S826" s="1"/>
      <c r="T826" s="1"/>
      <c r="U826" s="1"/>
      <c r="V826" s="1"/>
      <c r="W826" s="1"/>
      <c r="X826" s="1"/>
      <c r="Y826" s="1"/>
      <c r="Z826" s="1"/>
    </row>
    <row r="827" spans="1:26" ht="15.75" customHeight="1">
      <c r="A827" s="4"/>
      <c r="B827" s="4"/>
      <c r="C827" s="115"/>
      <c r="D827" s="4"/>
      <c r="E827" s="4"/>
      <c r="F827" s="4"/>
      <c r="G827" s="4"/>
      <c r="H827" s="4"/>
      <c r="I827" s="4"/>
      <c r="J827" s="4"/>
      <c r="K827" s="1"/>
      <c r="L827" s="1"/>
      <c r="M827" s="1"/>
      <c r="N827" s="1"/>
      <c r="O827" s="1"/>
      <c r="P827" s="1"/>
      <c r="Q827" s="1"/>
      <c r="R827" s="1"/>
      <c r="S827" s="1"/>
      <c r="T827" s="1"/>
      <c r="U827" s="1"/>
      <c r="V827" s="1"/>
      <c r="W827" s="1"/>
      <c r="X827" s="1"/>
      <c r="Y827" s="1"/>
      <c r="Z827" s="1"/>
    </row>
    <row r="828" spans="1:26" ht="15.75" customHeight="1">
      <c r="A828" s="4"/>
      <c r="B828" s="4"/>
      <c r="C828" s="115"/>
      <c r="D828" s="4"/>
      <c r="E828" s="4"/>
      <c r="F828" s="4"/>
      <c r="G828" s="4"/>
      <c r="H828" s="4"/>
      <c r="I828" s="4"/>
      <c r="J828" s="4"/>
      <c r="K828" s="1"/>
      <c r="L828" s="1"/>
      <c r="M828" s="1"/>
      <c r="N828" s="1"/>
      <c r="O828" s="1"/>
      <c r="P828" s="1"/>
      <c r="Q828" s="1"/>
      <c r="R828" s="1"/>
      <c r="S828" s="1"/>
      <c r="T828" s="1"/>
      <c r="U828" s="1"/>
      <c r="V828" s="1"/>
      <c r="W828" s="1"/>
      <c r="X828" s="1"/>
      <c r="Y828" s="1"/>
      <c r="Z828" s="1"/>
    </row>
    <row r="829" spans="1:26" ht="15.75" customHeight="1">
      <c r="A829" s="4"/>
      <c r="B829" s="4"/>
      <c r="C829" s="115"/>
      <c r="D829" s="4"/>
      <c r="E829" s="4"/>
      <c r="F829" s="4"/>
      <c r="G829" s="4"/>
      <c r="H829" s="4"/>
      <c r="I829" s="4"/>
      <c r="J829" s="4"/>
      <c r="K829" s="1"/>
      <c r="L829" s="1"/>
      <c r="M829" s="1"/>
      <c r="N829" s="1"/>
      <c r="O829" s="1"/>
      <c r="P829" s="1"/>
      <c r="Q829" s="1"/>
      <c r="R829" s="1"/>
      <c r="S829" s="1"/>
      <c r="T829" s="1"/>
      <c r="U829" s="1"/>
      <c r="V829" s="1"/>
      <c r="W829" s="1"/>
      <c r="X829" s="1"/>
      <c r="Y829" s="1"/>
      <c r="Z829" s="1"/>
    </row>
    <row r="830" spans="1:26" ht="15.75" customHeight="1">
      <c r="A830" s="4"/>
      <c r="B830" s="4"/>
      <c r="C830" s="115"/>
      <c r="D830" s="4"/>
      <c r="E830" s="4"/>
      <c r="F830" s="4"/>
      <c r="G830" s="4"/>
      <c r="H830" s="4"/>
      <c r="I830" s="4"/>
      <c r="J830" s="4"/>
      <c r="K830" s="1"/>
      <c r="L830" s="1"/>
      <c r="M830" s="1"/>
      <c r="N830" s="1"/>
      <c r="O830" s="1"/>
      <c r="P830" s="1"/>
      <c r="Q830" s="1"/>
      <c r="R830" s="1"/>
      <c r="S830" s="1"/>
      <c r="T830" s="1"/>
      <c r="U830" s="1"/>
      <c r="V830" s="1"/>
      <c r="W830" s="1"/>
      <c r="X830" s="1"/>
      <c r="Y830" s="1"/>
      <c r="Z830" s="1"/>
    </row>
    <row r="831" spans="1:26" ht="15.75" customHeight="1">
      <c r="A831" s="4"/>
      <c r="B831" s="4"/>
      <c r="C831" s="115"/>
      <c r="D831" s="4"/>
      <c r="E831" s="4"/>
      <c r="F831" s="4"/>
      <c r="G831" s="4"/>
      <c r="H831" s="4"/>
      <c r="I831" s="4"/>
      <c r="J831" s="4"/>
      <c r="K831" s="1"/>
      <c r="L831" s="1"/>
      <c r="M831" s="1"/>
      <c r="N831" s="1"/>
      <c r="O831" s="1"/>
      <c r="P831" s="1"/>
      <c r="Q831" s="1"/>
      <c r="R831" s="1"/>
      <c r="S831" s="1"/>
      <c r="T831" s="1"/>
      <c r="U831" s="1"/>
      <c r="V831" s="1"/>
      <c r="W831" s="1"/>
      <c r="X831" s="1"/>
      <c r="Y831" s="1"/>
      <c r="Z831" s="1"/>
    </row>
    <row r="832" spans="1:26" ht="15.75" customHeight="1">
      <c r="A832" s="4"/>
      <c r="B832" s="4"/>
      <c r="C832" s="115"/>
      <c r="D832" s="4"/>
      <c r="E832" s="4"/>
      <c r="F832" s="4"/>
      <c r="G832" s="4"/>
      <c r="H832" s="4"/>
      <c r="I832" s="4"/>
      <c r="J832" s="4"/>
      <c r="K832" s="1"/>
      <c r="L832" s="1"/>
      <c r="M832" s="1"/>
      <c r="N832" s="1"/>
      <c r="O832" s="1"/>
      <c r="P832" s="1"/>
      <c r="Q832" s="1"/>
      <c r="R832" s="1"/>
      <c r="S832" s="1"/>
      <c r="T832" s="1"/>
      <c r="U832" s="1"/>
      <c r="V832" s="1"/>
      <c r="W832" s="1"/>
      <c r="X832" s="1"/>
      <c r="Y832" s="1"/>
      <c r="Z832" s="1"/>
    </row>
    <row r="833" spans="1:26" ht="15.75" customHeight="1">
      <c r="A833" s="4"/>
      <c r="B833" s="4"/>
      <c r="C833" s="115"/>
      <c r="D833" s="4"/>
      <c r="E833" s="4"/>
      <c r="F833" s="4"/>
      <c r="G833" s="4"/>
      <c r="H833" s="4"/>
      <c r="I833" s="4"/>
      <c r="J833" s="4"/>
      <c r="K833" s="1"/>
      <c r="L833" s="1"/>
      <c r="M833" s="1"/>
      <c r="N833" s="1"/>
      <c r="O833" s="1"/>
      <c r="P833" s="1"/>
      <c r="Q833" s="1"/>
      <c r="R833" s="1"/>
      <c r="S833" s="1"/>
      <c r="T833" s="1"/>
      <c r="U833" s="1"/>
      <c r="V833" s="1"/>
      <c r="W833" s="1"/>
      <c r="X833" s="1"/>
      <c r="Y833" s="1"/>
      <c r="Z833" s="1"/>
    </row>
    <row r="834" spans="1:26" ht="15.75" customHeight="1">
      <c r="A834" s="4"/>
      <c r="B834" s="4"/>
      <c r="C834" s="115"/>
      <c r="D834" s="4"/>
      <c r="E834" s="4"/>
      <c r="F834" s="4"/>
      <c r="G834" s="4"/>
      <c r="H834" s="4"/>
      <c r="I834" s="4"/>
      <c r="J834" s="4"/>
      <c r="K834" s="1"/>
      <c r="L834" s="1"/>
      <c r="M834" s="1"/>
      <c r="N834" s="1"/>
      <c r="O834" s="1"/>
      <c r="P834" s="1"/>
      <c r="Q834" s="1"/>
      <c r="R834" s="1"/>
      <c r="S834" s="1"/>
      <c r="T834" s="1"/>
      <c r="U834" s="1"/>
      <c r="V834" s="1"/>
      <c r="W834" s="1"/>
      <c r="X834" s="1"/>
      <c r="Y834" s="1"/>
      <c r="Z834" s="1"/>
    </row>
    <row r="835" spans="1:26" ht="15.75" customHeight="1">
      <c r="A835" s="4"/>
      <c r="B835" s="4"/>
      <c r="C835" s="115"/>
      <c r="D835" s="4"/>
      <c r="E835" s="4"/>
      <c r="F835" s="4"/>
      <c r="G835" s="4"/>
      <c r="H835" s="4"/>
      <c r="I835" s="4"/>
      <c r="J835" s="4"/>
      <c r="K835" s="1"/>
      <c r="L835" s="1"/>
      <c r="M835" s="1"/>
      <c r="N835" s="1"/>
      <c r="O835" s="1"/>
      <c r="P835" s="1"/>
      <c r="Q835" s="1"/>
      <c r="R835" s="1"/>
      <c r="S835" s="1"/>
      <c r="T835" s="1"/>
      <c r="U835" s="1"/>
      <c r="V835" s="1"/>
      <c r="W835" s="1"/>
      <c r="X835" s="1"/>
      <c r="Y835" s="1"/>
      <c r="Z835" s="1"/>
    </row>
    <row r="836" spans="1:26" ht="15.75" customHeight="1">
      <c r="A836" s="4"/>
      <c r="B836" s="4"/>
      <c r="C836" s="115"/>
      <c r="D836" s="4"/>
      <c r="E836" s="4"/>
      <c r="F836" s="4"/>
      <c r="G836" s="4"/>
      <c r="H836" s="4"/>
      <c r="I836" s="4"/>
      <c r="J836" s="4"/>
      <c r="K836" s="1"/>
      <c r="L836" s="1"/>
      <c r="M836" s="1"/>
      <c r="N836" s="1"/>
      <c r="O836" s="1"/>
      <c r="P836" s="1"/>
      <c r="Q836" s="1"/>
      <c r="R836" s="1"/>
      <c r="S836" s="1"/>
      <c r="T836" s="1"/>
      <c r="U836" s="1"/>
      <c r="V836" s="1"/>
      <c r="W836" s="1"/>
      <c r="X836" s="1"/>
      <c r="Y836" s="1"/>
      <c r="Z836" s="1"/>
    </row>
    <row r="837" spans="1:26" ht="15.75" customHeight="1">
      <c r="A837" s="4"/>
      <c r="B837" s="4"/>
      <c r="C837" s="115"/>
      <c r="D837" s="4"/>
      <c r="E837" s="4"/>
      <c r="F837" s="4"/>
      <c r="G837" s="4"/>
      <c r="H837" s="4"/>
      <c r="I837" s="4"/>
      <c r="J837" s="4"/>
      <c r="K837" s="1"/>
      <c r="L837" s="1"/>
      <c r="M837" s="1"/>
      <c r="N837" s="1"/>
      <c r="O837" s="1"/>
      <c r="P837" s="1"/>
      <c r="Q837" s="1"/>
      <c r="R837" s="1"/>
      <c r="S837" s="1"/>
      <c r="T837" s="1"/>
      <c r="U837" s="1"/>
      <c r="V837" s="1"/>
      <c r="W837" s="1"/>
      <c r="X837" s="1"/>
      <c r="Y837" s="1"/>
      <c r="Z837" s="1"/>
    </row>
    <row r="838" spans="1:26" ht="15.75" customHeight="1">
      <c r="A838" s="4"/>
      <c r="B838" s="4"/>
      <c r="C838" s="115"/>
      <c r="D838" s="4"/>
      <c r="E838" s="4"/>
      <c r="F838" s="4"/>
      <c r="G838" s="4"/>
      <c r="H838" s="4"/>
      <c r="I838" s="4"/>
      <c r="J838" s="4"/>
      <c r="K838" s="1"/>
      <c r="L838" s="1"/>
      <c r="M838" s="1"/>
      <c r="N838" s="1"/>
      <c r="O838" s="1"/>
      <c r="P838" s="1"/>
      <c r="Q838" s="1"/>
      <c r="R838" s="1"/>
      <c r="S838" s="1"/>
      <c r="T838" s="1"/>
      <c r="U838" s="1"/>
      <c r="V838" s="1"/>
      <c r="W838" s="1"/>
      <c r="X838" s="1"/>
      <c r="Y838" s="1"/>
      <c r="Z838" s="1"/>
    </row>
    <row r="839" spans="1:26" ht="15.75" customHeight="1">
      <c r="A839" s="4"/>
      <c r="B839" s="4"/>
      <c r="C839" s="115"/>
      <c r="D839" s="4"/>
      <c r="E839" s="4"/>
      <c r="F839" s="4"/>
      <c r="G839" s="4"/>
      <c r="H839" s="4"/>
      <c r="I839" s="4"/>
      <c r="J839" s="4"/>
      <c r="K839" s="1"/>
      <c r="L839" s="1"/>
      <c r="M839" s="1"/>
      <c r="N839" s="1"/>
      <c r="O839" s="1"/>
      <c r="P839" s="1"/>
      <c r="Q839" s="1"/>
      <c r="R839" s="1"/>
      <c r="S839" s="1"/>
      <c r="T839" s="1"/>
      <c r="U839" s="1"/>
      <c r="V839" s="1"/>
      <c r="W839" s="1"/>
      <c r="X839" s="1"/>
      <c r="Y839" s="1"/>
      <c r="Z839" s="1"/>
    </row>
    <row r="840" spans="1:26" ht="15.75" customHeight="1">
      <c r="A840" s="4"/>
      <c r="B840" s="4"/>
      <c r="C840" s="115"/>
      <c r="D840" s="4"/>
      <c r="E840" s="4"/>
      <c r="F840" s="4"/>
      <c r="G840" s="4"/>
      <c r="H840" s="4"/>
      <c r="I840" s="4"/>
      <c r="J840" s="4"/>
      <c r="K840" s="1"/>
      <c r="L840" s="1"/>
      <c r="M840" s="1"/>
      <c r="N840" s="1"/>
      <c r="O840" s="1"/>
      <c r="P840" s="1"/>
      <c r="Q840" s="1"/>
      <c r="R840" s="1"/>
      <c r="S840" s="1"/>
      <c r="T840" s="1"/>
      <c r="U840" s="1"/>
      <c r="V840" s="1"/>
      <c r="W840" s="1"/>
      <c r="X840" s="1"/>
      <c r="Y840" s="1"/>
      <c r="Z840" s="1"/>
    </row>
    <row r="841" spans="1:26" ht="15.75" customHeight="1">
      <c r="A841" s="4"/>
      <c r="B841" s="4"/>
      <c r="C841" s="115"/>
      <c r="D841" s="4"/>
      <c r="E841" s="4"/>
      <c r="F841" s="4"/>
      <c r="G841" s="4"/>
      <c r="H841" s="4"/>
      <c r="I841" s="4"/>
      <c r="J841" s="4"/>
      <c r="K841" s="1"/>
      <c r="L841" s="1"/>
      <c r="M841" s="1"/>
      <c r="N841" s="1"/>
      <c r="O841" s="1"/>
      <c r="P841" s="1"/>
      <c r="Q841" s="1"/>
      <c r="R841" s="1"/>
      <c r="S841" s="1"/>
      <c r="T841" s="1"/>
      <c r="U841" s="1"/>
      <c r="V841" s="1"/>
      <c r="W841" s="1"/>
      <c r="X841" s="1"/>
      <c r="Y841" s="1"/>
      <c r="Z841" s="1"/>
    </row>
    <row r="842" spans="1:26" ht="15.75" customHeight="1">
      <c r="A842" s="4"/>
      <c r="B842" s="4"/>
      <c r="C842" s="115"/>
      <c r="D842" s="4"/>
      <c r="E842" s="4"/>
      <c r="F842" s="4"/>
      <c r="G842" s="4"/>
      <c r="H842" s="4"/>
      <c r="I842" s="4"/>
      <c r="J842" s="4"/>
      <c r="K842" s="1"/>
      <c r="L842" s="1"/>
      <c r="M842" s="1"/>
      <c r="N842" s="1"/>
      <c r="O842" s="1"/>
      <c r="P842" s="1"/>
      <c r="Q842" s="1"/>
      <c r="R842" s="1"/>
      <c r="S842" s="1"/>
      <c r="T842" s="1"/>
      <c r="U842" s="1"/>
      <c r="V842" s="1"/>
      <c r="W842" s="1"/>
      <c r="X842" s="1"/>
      <c r="Y842" s="1"/>
      <c r="Z842" s="1"/>
    </row>
    <row r="843" spans="1:26" ht="15.75" customHeight="1">
      <c r="A843" s="4"/>
      <c r="B843" s="4"/>
      <c r="C843" s="115"/>
      <c r="D843" s="4"/>
      <c r="E843" s="4"/>
      <c r="F843" s="4"/>
      <c r="G843" s="4"/>
      <c r="H843" s="4"/>
      <c r="I843" s="4"/>
      <c r="J843" s="4"/>
      <c r="K843" s="1"/>
      <c r="L843" s="1"/>
      <c r="M843" s="1"/>
      <c r="N843" s="1"/>
      <c r="O843" s="1"/>
      <c r="P843" s="1"/>
      <c r="Q843" s="1"/>
      <c r="R843" s="1"/>
      <c r="S843" s="1"/>
      <c r="T843" s="1"/>
      <c r="U843" s="1"/>
      <c r="V843" s="1"/>
      <c r="W843" s="1"/>
      <c r="X843" s="1"/>
      <c r="Y843" s="1"/>
      <c r="Z843" s="1"/>
    </row>
    <row r="844" spans="1:26" ht="15.75" customHeight="1">
      <c r="A844" s="4"/>
      <c r="B844" s="4"/>
      <c r="C844" s="115"/>
      <c r="D844" s="4"/>
      <c r="E844" s="4"/>
      <c r="F844" s="4"/>
      <c r="G844" s="4"/>
      <c r="H844" s="4"/>
      <c r="I844" s="4"/>
      <c r="J844" s="4"/>
      <c r="K844" s="1"/>
      <c r="L844" s="1"/>
      <c r="M844" s="1"/>
      <c r="N844" s="1"/>
      <c r="O844" s="1"/>
      <c r="P844" s="1"/>
      <c r="Q844" s="1"/>
      <c r="R844" s="1"/>
      <c r="S844" s="1"/>
      <c r="T844" s="1"/>
      <c r="U844" s="1"/>
      <c r="V844" s="1"/>
      <c r="W844" s="1"/>
      <c r="X844" s="1"/>
      <c r="Y844" s="1"/>
      <c r="Z844" s="1"/>
    </row>
    <row r="845" spans="1:26" ht="15.75" customHeight="1">
      <c r="A845" s="4"/>
      <c r="B845" s="4"/>
      <c r="C845" s="115"/>
      <c r="D845" s="4"/>
      <c r="E845" s="4"/>
      <c r="F845" s="4"/>
      <c r="G845" s="4"/>
      <c r="H845" s="4"/>
      <c r="I845" s="4"/>
      <c r="J845" s="4"/>
      <c r="K845" s="1"/>
      <c r="L845" s="1"/>
      <c r="M845" s="1"/>
      <c r="N845" s="1"/>
      <c r="O845" s="1"/>
      <c r="P845" s="1"/>
      <c r="Q845" s="1"/>
      <c r="R845" s="1"/>
      <c r="S845" s="1"/>
      <c r="T845" s="1"/>
      <c r="U845" s="1"/>
      <c r="V845" s="1"/>
      <c r="W845" s="1"/>
      <c r="X845" s="1"/>
      <c r="Y845" s="1"/>
      <c r="Z845" s="1"/>
    </row>
    <row r="846" spans="1:26" ht="15.75" customHeight="1">
      <c r="A846" s="4"/>
      <c r="B846" s="4"/>
      <c r="C846" s="115"/>
      <c r="D846" s="4"/>
      <c r="E846" s="4"/>
      <c r="F846" s="4"/>
      <c r="G846" s="4"/>
      <c r="H846" s="4"/>
      <c r="I846" s="4"/>
      <c r="J846" s="4"/>
      <c r="K846" s="1"/>
      <c r="L846" s="1"/>
      <c r="M846" s="1"/>
      <c r="N846" s="1"/>
      <c r="O846" s="1"/>
      <c r="P846" s="1"/>
      <c r="Q846" s="1"/>
      <c r="R846" s="1"/>
      <c r="S846" s="1"/>
      <c r="T846" s="1"/>
      <c r="U846" s="1"/>
      <c r="V846" s="1"/>
      <c r="W846" s="1"/>
      <c r="X846" s="1"/>
      <c r="Y846" s="1"/>
      <c r="Z846" s="1"/>
    </row>
    <row r="847" spans="1:26" ht="15.75" customHeight="1">
      <c r="A847" s="4"/>
      <c r="B847" s="4"/>
      <c r="C847" s="115"/>
      <c r="D847" s="4"/>
      <c r="E847" s="4"/>
      <c r="F847" s="4"/>
      <c r="G847" s="4"/>
      <c r="H847" s="4"/>
      <c r="I847" s="4"/>
      <c r="J847" s="4"/>
      <c r="K847" s="1"/>
      <c r="L847" s="1"/>
      <c r="M847" s="1"/>
      <c r="N847" s="1"/>
      <c r="O847" s="1"/>
      <c r="P847" s="1"/>
      <c r="Q847" s="1"/>
      <c r="R847" s="1"/>
      <c r="S847" s="1"/>
      <c r="T847" s="1"/>
      <c r="U847" s="1"/>
      <c r="V847" s="1"/>
      <c r="W847" s="1"/>
      <c r="X847" s="1"/>
      <c r="Y847" s="1"/>
      <c r="Z847" s="1"/>
    </row>
    <row r="848" spans="1:26" ht="15.75" customHeight="1">
      <c r="A848" s="4"/>
      <c r="B848" s="4"/>
      <c r="C848" s="115"/>
      <c r="D848" s="4"/>
      <c r="E848" s="4"/>
      <c r="F848" s="4"/>
      <c r="G848" s="4"/>
      <c r="H848" s="4"/>
      <c r="I848" s="4"/>
      <c r="J848" s="4"/>
      <c r="K848" s="1"/>
      <c r="L848" s="1"/>
      <c r="M848" s="1"/>
      <c r="N848" s="1"/>
      <c r="O848" s="1"/>
      <c r="P848" s="1"/>
      <c r="Q848" s="1"/>
      <c r="R848" s="1"/>
      <c r="S848" s="1"/>
      <c r="T848" s="1"/>
      <c r="U848" s="1"/>
      <c r="V848" s="1"/>
      <c r="W848" s="1"/>
      <c r="X848" s="1"/>
      <c r="Y848" s="1"/>
      <c r="Z848" s="1"/>
    </row>
    <row r="849" spans="1:26" ht="15.75" customHeight="1">
      <c r="A849" s="4"/>
      <c r="B849" s="4"/>
      <c r="C849" s="115"/>
      <c r="D849" s="4"/>
      <c r="E849" s="4"/>
      <c r="F849" s="4"/>
      <c r="G849" s="4"/>
      <c r="H849" s="4"/>
      <c r="I849" s="4"/>
      <c r="J849" s="4"/>
      <c r="K849" s="1"/>
      <c r="L849" s="1"/>
      <c r="M849" s="1"/>
      <c r="N849" s="1"/>
      <c r="O849" s="1"/>
      <c r="P849" s="1"/>
      <c r="Q849" s="1"/>
      <c r="R849" s="1"/>
      <c r="S849" s="1"/>
      <c r="T849" s="1"/>
      <c r="U849" s="1"/>
      <c r="V849" s="1"/>
      <c r="W849" s="1"/>
      <c r="X849" s="1"/>
      <c r="Y849" s="1"/>
      <c r="Z849" s="1"/>
    </row>
    <row r="850" spans="1:26" ht="15.75" customHeight="1">
      <c r="A850" s="4"/>
      <c r="B850" s="4"/>
      <c r="C850" s="115"/>
      <c r="D850" s="4"/>
      <c r="E850" s="4"/>
      <c r="F850" s="4"/>
      <c r="G850" s="4"/>
      <c r="H850" s="4"/>
      <c r="I850" s="4"/>
      <c r="J850" s="4"/>
      <c r="K850" s="1"/>
      <c r="L850" s="1"/>
      <c r="M850" s="1"/>
      <c r="N850" s="1"/>
      <c r="O850" s="1"/>
      <c r="P850" s="1"/>
      <c r="Q850" s="1"/>
      <c r="R850" s="1"/>
      <c r="S850" s="1"/>
      <c r="T850" s="1"/>
      <c r="U850" s="1"/>
      <c r="V850" s="1"/>
      <c r="W850" s="1"/>
      <c r="X850" s="1"/>
      <c r="Y850" s="1"/>
      <c r="Z850" s="1"/>
    </row>
    <row r="851" spans="1:26" ht="15.75" customHeight="1">
      <c r="A851" s="4"/>
      <c r="B851" s="4"/>
      <c r="C851" s="115"/>
      <c r="D851" s="4"/>
      <c r="E851" s="4"/>
      <c r="F851" s="4"/>
      <c r="G851" s="4"/>
      <c r="H851" s="4"/>
      <c r="I851" s="4"/>
      <c r="J851" s="4"/>
      <c r="K851" s="1"/>
      <c r="L851" s="1"/>
      <c r="M851" s="1"/>
      <c r="N851" s="1"/>
      <c r="O851" s="1"/>
      <c r="P851" s="1"/>
      <c r="Q851" s="1"/>
      <c r="R851" s="1"/>
      <c r="S851" s="1"/>
      <c r="T851" s="1"/>
      <c r="U851" s="1"/>
      <c r="V851" s="1"/>
      <c r="W851" s="1"/>
      <c r="X851" s="1"/>
      <c r="Y851" s="1"/>
      <c r="Z851" s="1"/>
    </row>
    <row r="852" spans="1:26" ht="15.75" customHeight="1">
      <c r="A852" s="4"/>
      <c r="B852" s="4"/>
      <c r="C852" s="115"/>
      <c r="D852" s="4"/>
      <c r="E852" s="4"/>
      <c r="F852" s="4"/>
      <c r="G852" s="4"/>
      <c r="H852" s="4"/>
      <c r="I852" s="4"/>
      <c r="J852" s="4"/>
      <c r="K852" s="1"/>
      <c r="L852" s="1"/>
      <c r="M852" s="1"/>
      <c r="N852" s="1"/>
      <c r="O852" s="1"/>
      <c r="P852" s="1"/>
      <c r="Q852" s="1"/>
      <c r="R852" s="1"/>
      <c r="S852" s="1"/>
      <c r="T852" s="1"/>
      <c r="U852" s="1"/>
      <c r="V852" s="1"/>
      <c r="W852" s="1"/>
      <c r="X852" s="1"/>
      <c r="Y852" s="1"/>
      <c r="Z852" s="1"/>
    </row>
    <row r="853" spans="1:26" ht="15.75" customHeight="1">
      <c r="A853" s="4"/>
      <c r="B853" s="4"/>
      <c r="C853" s="115"/>
      <c r="D853" s="4"/>
      <c r="E853" s="4"/>
      <c r="F853" s="4"/>
      <c r="G853" s="4"/>
      <c r="H853" s="4"/>
      <c r="I853" s="4"/>
      <c r="J853" s="4"/>
      <c r="K853" s="1"/>
      <c r="L853" s="1"/>
      <c r="M853" s="1"/>
      <c r="N853" s="1"/>
      <c r="O853" s="1"/>
      <c r="P853" s="1"/>
      <c r="Q853" s="1"/>
      <c r="R853" s="1"/>
      <c r="S853" s="1"/>
      <c r="T853" s="1"/>
      <c r="U853" s="1"/>
      <c r="V853" s="1"/>
      <c r="W853" s="1"/>
      <c r="X853" s="1"/>
      <c r="Y853" s="1"/>
      <c r="Z853" s="1"/>
    </row>
    <row r="854" spans="1:26" ht="15.75" customHeight="1">
      <c r="A854" s="4"/>
      <c r="B854" s="4"/>
      <c r="C854" s="115"/>
      <c r="D854" s="4"/>
      <c r="E854" s="4"/>
      <c r="F854" s="4"/>
      <c r="G854" s="4"/>
      <c r="H854" s="4"/>
      <c r="I854" s="4"/>
      <c r="J854" s="4"/>
      <c r="K854" s="1"/>
      <c r="L854" s="1"/>
      <c r="M854" s="1"/>
      <c r="N854" s="1"/>
      <c r="O854" s="1"/>
      <c r="P854" s="1"/>
      <c r="Q854" s="1"/>
      <c r="R854" s="1"/>
      <c r="S854" s="1"/>
      <c r="T854" s="1"/>
      <c r="U854" s="1"/>
      <c r="V854" s="1"/>
      <c r="W854" s="1"/>
      <c r="X854" s="1"/>
      <c r="Y854" s="1"/>
      <c r="Z854" s="1"/>
    </row>
    <row r="855" spans="1:26" ht="15.75" customHeight="1">
      <c r="A855" s="4"/>
      <c r="B855" s="4"/>
      <c r="C855" s="115"/>
      <c r="D855" s="4"/>
      <c r="E855" s="4"/>
      <c r="F855" s="4"/>
      <c r="G855" s="4"/>
      <c r="H855" s="4"/>
      <c r="I855" s="4"/>
      <c r="J855" s="4"/>
      <c r="K855" s="1"/>
      <c r="L855" s="1"/>
      <c r="M855" s="1"/>
      <c r="N855" s="1"/>
      <c r="O855" s="1"/>
      <c r="P855" s="1"/>
      <c r="Q855" s="1"/>
      <c r="R855" s="1"/>
      <c r="S855" s="1"/>
      <c r="T855" s="1"/>
      <c r="U855" s="1"/>
      <c r="V855" s="1"/>
      <c r="W855" s="1"/>
      <c r="X855" s="1"/>
      <c r="Y855" s="1"/>
      <c r="Z855" s="1"/>
    </row>
    <row r="856" spans="1:26" ht="15.75" customHeight="1">
      <c r="A856" s="4"/>
      <c r="B856" s="4"/>
      <c r="C856" s="115"/>
      <c r="D856" s="4"/>
      <c r="E856" s="4"/>
      <c r="F856" s="4"/>
      <c r="G856" s="4"/>
      <c r="H856" s="4"/>
      <c r="I856" s="4"/>
      <c r="J856" s="4"/>
      <c r="K856" s="1"/>
      <c r="L856" s="1"/>
      <c r="M856" s="1"/>
      <c r="N856" s="1"/>
      <c r="O856" s="1"/>
      <c r="P856" s="1"/>
      <c r="Q856" s="1"/>
      <c r="R856" s="1"/>
      <c r="S856" s="1"/>
      <c r="T856" s="1"/>
      <c r="U856" s="1"/>
      <c r="V856" s="1"/>
      <c r="W856" s="1"/>
      <c r="X856" s="1"/>
      <c r="Y856" s="1"/>
      <c r="Z856" s="1"/>
    </row>
    <row r="857" spans="1:26" ht="15.75" customHeight="1">
      <c r="A857" s="4"/>
      <c r="B857" s="4"/>
      <c r="C857" s="115"/>
      <c r="D857" s="4"/>
      <c r="E857" s="4"/>
      <c r="F857" s="4"/>
      <c r="G857" s="4"/>
      <c r="H857" s="4"/>
      <c r="I857" s="4"/>
      <c r="J857" s="4"/>
      <c r="K857" s="1"/>
      <c r="L857" s="1"/>
      <c r="M857" s="1"/>
      <c r="N857" s="1"/>
      <c r="O857" s="1"/>
      <c r="P857" s="1"/>
      <c r="Q857" s="1"/>
      <c r="R857" s="1"/>
      <c r="S857" s="1"/>
      <c r="T857" s="1"/>
      <c r="U857" s="1"/>
      <c r="V857" s="1"/>
      <c r="W857" s="1"/>
      <c r="X857" s="1"/>
      <c r="Y857" s="1"/>
      <c r="Z857" s="1"/>
    </row>
    <row r="858" spans="1:26" ht="15.75" customHeight="1">
      <c r="A858" s="4"/>
      <c r="B858" s="4"/>
      <c r="C858" s="115"/>
      <c r="D858" s="4"/>
      <c r="E858" s="4"/>
      <c r="F858" s="4"/>
      <c r="G858" s="4"/>
      <c r="H858" s="4"/>
      <c r="I858" s="4"/>
      <c r="J858" s="4"/>
      <c r="K858" s="1"/>
      <c r="L858" s="1"/>
      <c r="M858" s="1"/>
      <c r="N858" s="1"/>
      <c r="O858" s="1"/>
      <c r="P858" s="1"/>
      <c r="Q858" s="1"/>
      <c r="R858" s="1"/>
      <c r="S858" s="1"/>
      <c r="T858" s="1"/>
      <c r="U858" s="1"/>
      <c r="V858" s="1"/>
      <c r="W858" s="1"/>
      <c r="X858" s="1"/>
      <c r="Y858" s="1"/>
      <c r="Z858" s="1"/>
    </row>
    <row r="859" spans="1:26" ht="15.75" customHeight="1">
      <c r="A859" s="4"/>
      <c r="B859" s="4"/>
      <c r="C859" s="115"/>
      <c r="D859" s="4"/>
      <c r="E859" s="4"/>
      <c r="F859" s="4"/>
      <c r="G859" s="4"/>
      <c r="H859" s="4"/>
      <c r="I859" s="4"/>
      <c r="J859" s="4"/>
      <c r="K859" s="1"/>
      <c r="L859" s="1"/>
      <c r="M859" s="1"/>
      <c r="N859" s="1"/>
      <c r="O859" s="1"/>
      <c r="P859" s="1"/>
      <c r="Q859" s="1"/>
      <c r="R859" s="1"/>
      <c r="S859" s="1"/>
      <c r="T859" s="1"/>
      <c r="U859" s="1"/>
      <c r="V859" s="1"/>
      <c r="W859" s="1"/>
      <c r="X859" s="1"/>
      <c r="Y859" s="1"/>
      <c r="Z859" s="1"/>
    </row>
    <row r="860" spans="1:26" ht="15.75" customHeight="1">
      <c r="A860" s="4"/>
      <c r="B860" s="4"/>
      <c r="C860" s="115"/>
      <c r="D860" s="4"/>
      <c r="E860" s="4"/>
      <c r="F860" s="4"/>
      <c r="G860" s="4"/>
      <c r="H860" s="4"/>
      <c r="I860" s="4"/>
      <c r="J860" s="4"/>
      <c r="K860" s="1"/>
      <c r="L860" s="1"/>
      <c r="M860" s="1"/>
      <c r="N860" s="1"/>
      <c r="O860" s="1"/>
      <c r="P860" s="1"/>
      <c r="Q860" s="1"/>
      <c r="R860" s="1"/>
      <c r="S860" s="1"/>
      <c r="T860" s="1"/>
      <c r="U860" s="1"/>
      <c r="V860" s="1"/>
      <c r="W860" s="1"/>
      <c r="X860" s="1"/>
      <c r="Y860" s="1"/>
      <c r="Z860" s="1"/>
    </row>
    <row r="861" spans="1:26" ht="15.75" customHeight="1">
      <c r="A861" s="4"/>
      <c r="B861" s="4"/>
      <c r="C861" s="115"/>
      <c r="D861" s="4"/>
      <c r="E861" s="4"/>
      <c r="F861" s="4"/>
      <c r="G861" s="4"/>
      <c r="H861" s="4"/>
      <c r="I861" s="4"/>
      <c r="J861" s="4"/>
      <c r="K861" s="1"/>
      <c r="L861" s="1"/>
      <c r="M861" s="1"/>
      <c r="N861" s="1"/>
      <c r="O861" s="1"/>
      <c r="P861" s="1"/>
      <c r="Q861" s="1"/>
      <c r="R861" s="1"/>
      <c r="S861" s="1"/>
      <c r="T861" s="1"/>
      <c r="U861" s="1"/>
      <c r="V861" s="1"/>
      <c r="W861" s="1"/>
      <c r="X861" s="1"/>
      <c r="Y861" s="1"/>
      <c r="Z861" s="1"/>
    </row>
    <row r="862" spans="1:26" ht="15.75" customHeight="1">
      <c r="A862" s="4"/>
      <c r="B862" s="4"/>
      <c r="C862" s="115"/>
      <c r="D862" s="4"/>
      <c r="E862" s="4"/>
      <c r="F862" s="4"/>
      <c r="G862" s="4"/>
      <c r="H862" s="4"/>
      <c r="I862" s="4"/>
      <c r="J862" s="4"/>
      <c r="K862" s="1"/>
      <c r="L862" s="1"/>
      <c r="M862" s="1"/>
      <c r="N862" s="1"/>
      <c r="O862" s="1"/>
      <c r="P862" s="1"/>
      <c r="Q862" s="1"/>
      <c r="R862" s="1"/>
      <c r="S862" s="1"/>
      <c r="T862" s="1"/>
      <c r="U862" s="1"/>
      <c r="V862" s="1"/>
      <c r="W862" s="1"/>
      <c r="X862" s="1"/>
      <c r="Y862" s="1"/>
      <c r="Z862" s="1"/>
    </row>
    <row r="863" spans="1:26" ht="15.75" customHeight="1">
      <c r="A863" s="4"/>
      <c r="B863" s="4"/>
      <c r="C863" s="115"/>
      <c r="D863" s="4"/>
      <c r="E863" s="4"/>
      <c r="F863" s="4"/>
      <c r="G863" s="4"/>
      <c r="H863" s="4"/>
      <c r="I863" s="4"/>
      <c r="J863" s="4"/>
      <c r="K863" s="1"/>
      <c r="L863" s="1"/>
      <c r="M863" s="1"/>
      <c r="N863" s="1"/>
      <c r="O863" s="1"/>
      <c r="P863" s="1"/>
      <c r="Q863" s="1"/>
      <c r="R863" s="1"/>
      <c r="S863" s="1"/>
      <c r="T863" s="1"/>
      <c r="U863" s="1"/>
      <c r="V863" s="1"/>
      <c r="W863" s="1"/>
      <c r="X863" s="1"/>
      <c r="Y863" s="1"/>
      <c r="Z863" s="1"/>
    </row>
    <row r="864" spans="1:26" ht="15.75" customHeight="1">
      <c r="A864" s="4"/>
      <c r="B864" s="4"/>
      <c r="C864" s="115"/>
      <c r="D864" s="4"/>
      <c r="E864" s="4"/>
      <c r="F864" s="4"/>
      <c r="G864" s="4"/>
      <c r="H864" s="4"/>
      <c r="I864" s="4"/>
      <c r="J864" s="4"/>
      <c r="K864" s="1"/>
      <c r="L864" s="1"/>
      <c r="M864" s="1"/>
      <c r="N864" s="1"/>
      <c r="O864" s="1"/>
      <c r="P864" s="1"/>
      <c r="Q864" s="1"/>
      <c r="R864" s="1"/>
      <c r="S864" s="1"/>
      <c r="T864" s="1"/>
      <c r="U864" s="1"/>
      <c r="V864" s="1"/>
      <c r="W864" s="1"/>
      <c r="X864" s="1"/>
      <c r="Y864" s="1"/>
      <c r="Z864" s="1"/>
    </row>
    <row r="865" spans="1:26" ht="15.75" customHeight="1">
      <c r="A865" s="4"/>
      <c r="B865" s="4"/>
      <c r="C865" s="115"/>
      <c r="D865" s="4"/>
      <c r="E865" s="4"/>
      <c r="F865" s="4"/>
      <c r="G865" s="4"/>
      <c r="H865" s="4"/>
      <c r="I865" s="4"/>
      <c r="J865" s="4"/>
      <c r="K865" s="1"/>
      <c r="L865" s="1"/>
      <c r="M865" s="1"/>
      <c r="N865" s="1"/>
      <c r="O865" s="1"/>
      <c r="P865" s="1"/>
      <c r="Q865" s="1"/>
      <c r="R865" s="1"/>
      <c r="S865" s="1"/>
      <c r="T865" s="1"/>
      <c r="U865" s="1"/>
      <c r="V865" s="1"/>
      <c r="W865" s="1"/>
      <c r="X865" s="1"/>
      <c r="Y865" s="1"/>
      <c r="Z865" s="1"/>
    </row>
    <row r="866" spans="1:26" ht="15.75" customHeight="1">
      <c r="A866" s="4"/>
      <c r="B866" s="4"/>
      <c r="C866" s="115"/>
      <c r="D866" s="4"/>
      <c r="E866" s="4"/>
      <c r="F866" s="4"/>
      <c r="G866" s="4"/>
      <c r="H866" s="4"/>
      <c r="I866" s="4"/>
      <c r="J866" s="4"/>
      <c r="K866" s="1"/>
      <c r="L866" s="1"/>
      <c r="M866" s="1"/>
      <c r="N866" s="1"/>
      <c r="O866" s="1"/>
      <c r="P866" s="1"/>
      <c r="Q866" s="1"/>
      <c r="R866" s="1"/>
      <c r="S866" s="1"/>
      <c r="T866" s="1"/>
      <c r="U866" s="1"/>
      <c r="V866" s="1"/>
      <c r="W866" s="1"/>
      <c r="X866" s="1"/>
      <c r="Y866" s="1"/>
      <c r="Z866" s="1"/>
    </row>
    <row r="867" spans="1:26" ht="15.75" customHeight="1">
      <c r="A867" s="4"/>
      <c r="B867" s="4"/>
      <c r="C867" s="115"/>
      <c r="D867" s="4"/>
      <c r="E867" s="4"/>
      <c r="F867" s="4"/>
      <c r="G867" s="4"/>
      <c r="H867" s="4"/>
      <c r="I867" s="4"/>
      <c r="J867" s="4"/>
      <c r="K867" s="1"/>
      <c r="L867" s="1"/>
      <c r="M867" s="1"/>
      <c r="N867" s="1"/>
      <c r="O867" s="1"/>
      <c r="P867" s="1"/>
      <c r="Q867" s="1"/>
      <c r="R867" s="1"/>
      <c r="S867" s="1"/>
      <c r="T867" s="1"/>
      <c r="U867" s="1"/>
      <c r="V867" s="1"/>
      <c r="W867" s="1"/>
      <c r="X867" s="1"/>
      <c r="Y867" s="1"/>
      <c r="Z867" s="1"/>
    </row>
    <row r="868" spans="1:26" ht="15.75" customHeight="1">
      <c r="A868" s="4"/>
      <c r="B868" s="4"/>
      <c r="C868" s="115"/>
      <c r="D868" s="4"/>
      <c r="E868" s="4"/>
      <c r="F868" s="4"/>
      <c r="G868" s="4"/>
      <c r="H868" s="4"/>
      <c r="I868" s="4"/>
      <c r="J868" s="4"/>
      <c r="K868" s="1"/>
      <c r="L868" s="1"/>
      <c r="M868" s="1"/>
      <c r="N868" s="1"/>
      <c r="O868" s="1"/>
      <c r="P868" s="1"/>
      <c r="Q868" s="1"/>
      <c r="R868" s="1"/>
      <c r="S868" s="1"/>
      <c r="T868" s="1"/>
      <c r="U868" s="1"/>
      <c r="V868" s="1"/>
      <c r="W868" s="1"/>
      <c r="X868" s="1"/>
      <c r="Y868" s="1"/>
      <c r="Z868" s="1"/>
    </row>
    <row r="869" spans="1:26" ht="15.75" customHeight="1">
      <c r="A869" s="4"/>
      <c r="B869" s="4"/>
      <c r="C869" s="115"/>
      <c r="D869" s="4"/>
      <c r="E869" s="4"/>
      <c r="F869" s="4"/>
      <c r="G869" s="4"/>
      <c r="H869" s="4"/>
      <c r="I869" s="4"/>
      <c r="J869" s="4"/>
      <c r="K869" s="1"/>
      <c r="L869" s="1"/>
      <c r="M869" s="1"/>
      <c r="N869" s="1"/>
      <c r="O869" s="1"/>
      <c r="P869" s="1"/>
      <c r="Q869" s="1"/>
      <c r="R869" s="1"/>
      <c r="S869" s="1"/>
      <c r="T869" s="1"/>
      <c r="U869" s="1"/>
      <c r="V869" s="1"/>
      <c r="W869" s="1"/>
      <c r="X869" s="1"/>
      <c r="Y869" s="1"/>
      <c r="Z869" s="1"/>
    </row>
    <row r="870" spans="1:26" ht="15.75" customHeight="1">
      <c r="A870" s="4"/>
      <c r="B870" s="4"/>
      <c r="C870" s="115"/>
      <c r="D870" s="4"/>
      <c r="E870" s="4"/>
      <c r="F870" s="4"/>
      <c r="G870" s="4"/>
      <c r="H870" s="4"/>
      <c r="I870" s="4"/>
      <c r="J870" s="4"/>
      <c r="K870" s="1"/>
      <c r="L870" s="1"/>
      <c r="M870" s="1"/>
      <c r="N870" s="1"/>
      <c r="O870" s="1"/>
      <c r="P870" s="1"/>
      <c r="Q870" s="1"/>
      <c r="R870" s="1"/>
      <c r="S870" s="1"/>
      <c r="T870" s="1"/>
      <c r="U870" s="1"/>
      <c r="V870" s="1"/>
      <c r="W870" s="1"/>
      <c r="X870" s="1"/>
      <c r="Y870" s="1"/>
      <c r="Z870" s="1"/>
    </row>
    <row r="871" spans="1:26" ht="15.75" customHeight="1">
      <c r="A871" s="4"/>
      <c r="B871" s="4"/>
      <c r="C871" s="115"/>
      <c r="D871" s="4"/>
      <c r="E871" s="4"/>
      <c r="F871" s="4"/>
      <c r="G871" s="4"/>
      <c r="H871" s="4"/>
      <c r="I871" s="4"/>
      <c r="J871" s="4"/>
      <c r="K871" s="1"/>
      <c r="L871" s="1"/>
      <c r="M871" s="1"/>
      <c r="N871" s="1"/>
      <c r="O871" s="1"/>
      <c r="P871" s="1"/>
      <c r="Q871" s="1"/>
      <c r="R871" s="1"/>
      <c r="S871" s="1"/>
      <c r="T871" s="1"/>
      <c r="U871" s="1"/>
      <c r="V871" s="1"/>
      <c r="W871" s="1"/>
      <c r="X871" s="1"/>
      <c r="Y871" s="1"/>
      <c r="Z871" s="1"/>
    </row>
    <row r="872" spans="1:26" ht="15.75" customHeight="1">
      <c r="A872" s="4"/>
      <c r="B872" s="4"/>
      <c r="C872" s="115"/>
      <c r="D872" s="4"/>
      <c r="E872" s="4"/>
      <c r="F872" s="4"/>
      <c r="G872" s="4"/>
      <c r="H872" s="4"/>
      <c r="I872" s="4"/>
      <c r="J872" s="4"/>
      <c r="K872" s="1"/>
      <c r="L872" s="1"/>
      <c r="M872" s="1"/>
      <c r="N872" s="1"/>
      <c r="O872" s="1"/>
      <c r="P872" s="1"/>
      <c r="Q872" s="1"/>
      <c r="R872" s="1"/>
      <c r="S872" s="1"/>
      <c r="T872" s="1"/>
      <c r="U872" s="1"/>
      <c r="V872" s="1"/>
      <c r="W872" s="1"/>
      <c r="X872" s="1"/>
      <c r="Y872" s="1"/>
      <c r="Z872" s="1"/>
    </row>
    <row r="873" spans="1:26" ht="15.75" customHeight="1">
      <c r="A873" s="4"/>
      <c r="B873" s="4"/>
      <c r="C873" s="115"/>
      <c r="D873" s="4"/>
      <c r="E873" s="4"/>
      <c r="F873" s="4"/>
      <c r="G873" s="4"/>
      <c r="H873" s="4"/>
      <c r="I873" s="4"/>
      <c r="J873" s="4"/>
      <c r="K873" s="1"/>
      <c r="L873" s="1"/>
      <c r="M873" s="1"/>
      <c r="N873" s="1"/>
      <c r="O873" s="1"/>
      <c r="P873" s="1"/>
      <c r="Q873" s="1"/>
      <c r="R873" s="1"/>
      <c r="S873" s="1"/>
      <c r="T873" s="1"/>
      <c r="U873" s="1"/>
      <c r="V873" s="1"/>
      <c r="W873" s="1"/>
      <c r="X873" s="1"/>
      <c r="Y873" s="1"/>
      <c r="Z873" s="1"/>
    </row>
    <row r="874" spans="1:26" ht="15.75" customHeight="1">
      <c r="A874" s="4"/>
      <c r="B874" s="4"/>
      <c r="C874" s="115"/>
      <c r="D874" s="4"/>
      <c r="E874" s="4"/>
      <c r="F874" s="4"/>
      <c r="G874" s="4"/>
      <c r="H874" s="4"/>
      <c r="I874" s="4"/>
      <c r="J874" s="4"/>
      <c r="K874" s="1"/>
      <c r="L874" s="1"/>
      <c r="M874" s="1"/>
      <c r="N874" s="1"/>
      <c r="O874" s="1"/>
      <c r="P874" s="1"/>
      <c r="Q874" s="1"/>
      <c r="R874" s="1"/>
      <c r="S874" s="1"/>
      <c r="T874" s="1"/>
      <c r="U874" s="1"/>
      <c r="V874" s="1"/>
      <c r="W874" s="1"/>
      <c r="X874" s="1"/>
      <c r="Y874" s="1"/>
      <c r="Z874" s="1"/>
    </row>
    <row r="875" spans="1:26" ht="15.75" customHeight="1">
      <c r="A875" s="4"/>
      <c r="B875" s="4"/>
      <c r="C875" s="115"/>
      <c r="D875" s="4"/>
      <c r="E875" s="4"/>
      <c r="F875" s="4"/>
      <c r="G875" s="4"/>
      <c r="H875" s="4"/>
      <c r="I875" s="4"/>
      <c r="J875" s="4"/>
      <c r="K875" s="1"/>
      <c r="L875" s="1"/>
      <c r="M875" s="1"/>
      <c r="N875" s="1"/>
      <c r="O875" s="1"/>
      <c r="P875" s="1"/>
      <c r="Q875" s="1"/>
      <c r="R875" s="1"/>
      <c r="S875" s="1"/>
      <c r="T875" s="1"/>
      <c r="U875" s="1"/>
      <c r="V875" s="1"/>
      <c r="W875" s="1"/>
      <c r="X875" s="1"/>
      <c r="Y875" s="1"/>
      <c r="Z875" s="1"/>
    </row>
    <row r="876" spans="1:26" ht="15.75" customHeight="1">
      <c r="A876" s="4"/>
      <c r="B876" s="4"/>
      <c r="C876" s="115"/>
      <c r="D876" s="4"/>
      <c r="E876" s="4"/>
      <c r="F876" s="4"/>
      <c r="G876" s="4"/>
      <c r="H876" s="4"/>
      <c r="I876" s="4"/>
      <c r="J876" s="4"/>
      <c r="K876" s="1"/>
      <c r="L876" s="1"/>
      <c r="M876" s="1"/>
      <c r="N876" s="1"/>
      <c r="O876" s="1"/>
      <c r="P876" s="1"/>
      <c r="Q876" s="1"/>
      <c r="R876" s="1"/>
      <c r="S876" s="1"/>
      <c r="T876" s="1"/>
      <c r="U876" s="1"/>
      <c r="V876" s="1"/>
      <c r="W876" s="1"/>
      <c r="X876" s="1"/>
      <c r="Y876" s="1"/>
      <c r="Z876" s="1"/>
    </row>
    <row r="877" spans="1:26" ht="15.75" customHeight="1">
      <c r="A877" s="4"/>
      <c r="B877" s="4"/>
      <c r="C877" s="115"/>
      <c r="D877" s="4"/>
      <c r="E877" s="4"/>
      <c r="F877" s="4"/>
      <c r="G877" s="4"/>
      <c r="H877" s="4"/>
      <c r="I877" s="4"/>
      <c r="J877" s="4"/>
      <c r="K877" s="1"/>
      <c r="L877" s="1"/>
      <c r="M877" s="1"/>
      <c r="N877" s="1"/>
      <c r="O877" s="1"/>
      <c r="P877" s="1"/>
      <c r="Q877" s="1"/>
      <c r="R877" s="1"/>
      <c r="S877" s="1"/>
      <c r="T877" s="1"/>
      <c r="U877" s="1"/>
      <c r="V877" s="1"/>
      <c r="W877" s="1"/>
      <c r="X877" s="1"/>
      <c r="Y877" s="1"/>
      <c r="Z877" s="1"/>
    </row>
    <row r="878" spans="1:26" ht="15.75" customHeight="1">
      <c r="A878" s="4"/>
      <c r="B878" s="4"/>
      <c r="C878" s="115"/>
      <c r="D878" s="4"/>
      <c r="E878" s="4"/>
      <c r="F878" s="4"/>
      <c r="G878" s="4"/>
      <c r="H878" s="4"/>
      <c r="I878" s="4"/>
      <c r="J878" s="4"/>
      <c r="K878" s="1"/>
      <c r="L878" s="1"/>
      <c r="M878" s="1"/>
      <c r="N878" s="1"/>
      <c r="O878" s="1"/>
      <c r="P878" s="1"/>
      <c r="Q878" s="1"/>
      <c r="R878" s="1"/>
      <c r="S878" s="1"/>
      <c r="T878" s="1"/>
      <c r="U878" s="1"/>
      <c r="V878" s="1"/>
      <c r="W878" s="1"/>
      <c r="X878" s="1"/>
      <c r="Y878" s="1"/>
      <c r="Z878" s="1"/>
    </row>
    <row r="879" spans="1:26" ht="15.75" customHeight="1">
      <c r="A879" s="4"/>
      <c r="B879" s="4"/>
      <c r="C879" s="115"/>
      <c r="D879" s="4"/>
      <c r="E879" s="4"/>
      <c r="F879" s="4"/>
      <c r="G879" s="4"/>
      <c r="H879" s="4"/>
      <c r="I879" s="4"/>
      <c r="J879" s="4"/>
      <c r="K879" s="1"/>
      <c r="L879" s="1"/>
      <c r="M879" s="1"/>
      <c r="N879" s="1"/>
      <c r="O879" s="1"/>
      <c r="P879" s="1"/>
      <c r="Q879" s="1"/>
      <c r="R879" s="1"/>
      <c r="S879" s="1"/>
      <c r="T879" s="1"/>
      <c r="U879" s="1"/>
      <c r="V879" s="1"/>
      <c r="W879" s="1"/>
      <c r="X879" s="1"/>
      <c r="Y879" s="1"/>
      <c r="Z879" s="1"/>
    </row>
    <row r="880" spans="1:26" ht="15.75" customHeight="1">
      <c r="A880" s="4"/>
      <c r="B880" s="4"/>
      <c r="C880" s="115"/>
      <c r="D880" s="4"/>
      <c r="E880" s="4"/>
      <c r="F880" s="4"/>
      <c r="G880" s="4"/>
      <c r="H880" s="4"/>
      <c r="I880" s="4"/>
      <c r="J880" s="4"/>
      <c r="K880" s="1"/>
      <c r="L880" s="1"/>
      <c r="M880" s="1"/>
      <c r="N880" s="1"/>
      <c r="O880" s="1"/>
      <c r="P880" s="1"/>
      <c r="Q880" s="1"/>
      <c r="R880" s="1"/>
      <c r="S880" s="1"/>
      <c r="T880" s="1"/>
      <c r="U880" s="1"/>
      <c r="V880" s="1"/>
      <c r="W880" s="1"/>
      <c r="X880" s="1"/>
      <c r="Y880" s="1"/>
      <c r="Z880" s="1"/>
    </row>
    <row r="881" spans="1:26" ht="15.75" customHeight="1">
      <c r="A881" s="4"/>
      <c r="B881" s="4"/>
      <c r="C881" s="115"/>
      <c r="D881" s="4"/>
      <c r="E881" s="4"/>
      <c r="F881" s="4"/>
      <c r="G881" s="4"/>
      <c r="H881" s="4"/>
      <c r="I881" s="4"/>
      <c r="J881" s="4"/>
      <c r="K881" s="1"/>
      <c r="L881" s="1"/>
      <c r="M881" s="1"/>
      <c r="N881" s="1"/>
      <c r="O881" s="1"/>
      <c r="P881" s="1"/>
      <c r="Q881" s="1"/>
      <c r="R881" s="1"/>
      <c r="S881" s="1"/>
      <c r="T881" s="1"/>
      <c r="U881" s="1"/>
      <c r="V881" s="1"/>
      <c r="W881" s="1"/>
      <c r="X881" s="1"/>
      <c r="Y881" s="1"/>
      <c r="Z881" s="1"/>
    </row>
    <row r="882" spans="1:26" ht="15.75" customHeight="1">
      <c r="A882" s="4"/>
      <c r="B882" s="4"/>
      <c r="C882" s="115"/>
      <c r="D882" s="4"/>
      <c r="E882" s="4"/>
      <c r="F882" s="4"/>
      <c r="G882" s="4"/>
      <c r="H882" s="4"/>
      <c r="I882" s="4"/>
      <c r="J882" s="4"/>
      <c r="K882" s="1"/>
      <c r="L882" s="1"/>
      <c r="M882" s="1"/>
      <c r="N882" s="1"/>
      <c r="O882" s="1"/>
      <c r="P882" s="1"/>
      <c r="Q882" s="1"/>
      <c r="R882" s="1"/>
      <c r="S882" s="1"/>
      <c r="T882" s="1"/>
      <c r="U882" s="1"/>
      <c r="V882" s="1"/>
      <c r="W882" s="1"/>
      <c r="X882" s="1"/>
      <c r="Y882" s="1"/>
      <c r="Z882" s="1"/>
    </row>
    <row r="883" spans="1:26" ht="15.75" customHeight="1">
      <c r="A883" s="4"/>
      <c r="B883" s="4"/>
      <c r="C883" s="115"/>
      <c r="D883" s="4"/>
      <c r="E883" s="4"/>
      <c r="F883" s="4"/>
      <c r="G883" s="4"/>
      <c r="H883" s="4"/>
      <c r="I883" s="4"/>
      <c r="J883" s="4"/>
      <c r="K883" s="1"/>
      <c r="L883" s="1"/>
      <c r="M883" s="1"/>
      <c r="N883" s="1"/>
      <c r="O883" s="1"/>
      <c r="P883" s="1"/>
      <c r="Q883" s="1"/>
      <c r="R883" s="1"/>
      <c r="S883" s="1"/>
      <c r="T883" s="1"/>
      <c r="U883" s="1"/>
      <c r="V883" s="1"/>
      <c r="W883" s="1"/>
      <c r="X883" s="1"/>
      <c r="Y883" s="1"/>
      <c r="Z883" s="1"/>
    </row>
    <row r="884" spans="1:26" ht="15.75" customHeight="1">
      <c r="A884" s="4"/>
      <c r="B884" s="4"/>
      <c r="C884" s="115"/>
      <c r="D884" s="4"/>
      <c r="E884" s="4"/>
      <c r="F884" s="4"/>
      <c r="G884" s="4"/>
      <c r="H884" s="4"/>
      <c r="I884" s="4"/>
      <c r="J884" s="4"/>
      <c r="K884" s="1"/>
      <c r="L884" s="1"/>
      <c r="M884" s="1"/>
      <c r="N884" s="1"/>
      <c r="O884" s="1"/>
      <c r="P884" s="1"/>
      <c r="Q884" s="1"/>
      <c r="R884" s="1"/>
      <c r="S884" s="1"/>
      <c r="T884" s="1"/>
      <c r="U884" s="1"/>
      <c r="V884" s="1"/>
      <c r="W884" s="1"/>
      <c r="X884" s="1"/>
      <c r="Y884" s="1"/>
      <c r="Z884" s="1"/>
    </row>
    <row r="885" spans="1:26" ht="15.75" customHeight="1">
      <c r="A885" s="4"/>
      <c r="B885" s="4"/>
      <c r="C885" s="115"/>
      <c r="D885" s="4"/>
      <c r="E885" s="4"/>
      <c r="F885" s="4"/>
      <c r="G885" s="4"/>
      <c r="H885" s="4"/>
      <c r="I885" s="4"/>
      <c r="J885" s="4"/>
      <c r="K885" s="1"/>
      <c r="L885" s="1"/>
      <c r="M885" s="1"/>
      <c r="N885" s="1"/>
      <c r="O885" s="1"/>
      <c r="P885" s="1"/>
      <c r="Q885" s="1"/>
      <c r="R885" s="1"/>
      <c r="S885" s="1"/>
      <c r="T885" s="1"/>
      <c r="U885" s="1"/>
      <c r="V885" s="1"/>
      <c r="W885" s="1"/>
      <c r="X885" s="1"/>
      <c r="Y885" s="1"/>
      <c r="Z885" s="1"/>
    </row>
    <row r="886" spans="1:26" ht="15.75" customHeight="1">
      <c r="A886" s="4"/>
      <c r="B886" s="4"/>
      <c r="C886" s="115"/>
      <c r="D886" s="4"/>
      <c r="E886" s="4"/>
      <c r="F886" s="4"/>
      <c r="G886" s="4"/>
      <c r="H886" s="4"/>
      <c r="I886" s="4"/>
      <c r="J886" s="4"/>
      <c r="K886" s="1"/>
      <c r="L886" s="1"/>
      <c r="M886" s="1"/>
      <c r="N886" s="1"/>
      <c r="O886" s="1"/>
      <c r="P886" s="1"/>
      <c r="Q886" s="1"/>
      <c r="R886" s="1"/>
      <c r="S886" s="1"/>
      <c r="T886" s="1"/>
      <c r="U886" s="1"/>
      <c r="V886" s="1"/>
      <c r="W886" s="1"/>
      <c r="X886" s="1"/>
      <c r="Y886" s="1"/>
      <c r="Z886" s="1"/>
    </row>
    <row r="887" spans="1:26" ht="15.75" customHeight="1">
      <c r="A887" s="4"/>
      <c r="B887" s="4"/>
      <c r="C887" s="115"/>
      <c r="D887" s="4"/>
      <c r="E887" s="4"/>
      <c r="F887" s="4"/>
      <c r="G887" s="4"/>
      <c r="H887" s="4"/>
      <c r="I887" s="4"/>
      <c r="J887" s="4"/>
      <c r="K887" s="1"/>
      <c r="L887" s="1"/>
      <c r="M887" s="1"/>
      <c r="N887" s="1"/>
      <c r="O887" s="1"/>
      <c r="P887" s="1"/>
      <c r="Q887" s="1"/>
      <c r="R887" s="1"/>
      <c r="S887" s="1"/>
      <c r="T887" s="1"/>
      <c r="U887" s="1"/>
      <c r="V887" s="1"/>
      <c r="W887" s="1"/>
      <c r="X887" s="1"/>
      <c r="Y887" s="1"/>
      <c r="Z887" s="1"/>
    </row>
    <row r="888" spans="1:26" ht="15.75" customHeight="1">
      <c r="A888" s="4"/>
      <c r="B888" s="4"/>
      <c r="C888" s="115"/>
      <c r="D888" s="4"/>
      <c r="E888" s="4"/>
      <c r="F888" s="4"/>
      <c r="G888" s="4"/>
      <c r="H888" s="4"/>
      <c r="I888" s="4"/>
      <c r="J888" s="4"/>
      <c r="K888" s="1"/>
      <c r="L888" s="1"/>
      <c r="M888" s="1"/>
      <c r="N888" s="1"/>
      <c r="O888" s="1"/>
      <c r="P888" s="1"/>
      <c r="Q888" s="1"/>
      <c r="R888" s="1"/>
      <c r="S888" s="1"/>
      <c r="T888" s="1"/>
      <c r="U888" s="1"/>
      <c r="V888" s="1"/>
      <c r="W888" s="1"/>
      <c r="X888" s="1"/>
      <c r="Y888" s="1"/>
      <c r="Z888" s="1"/>
    </row>
    <row r="889" spans="1:26" ht="15.75" customHeight="1">
      <c r="A889" s="4"/>
      <c r="B889" s="4"/>
      <c r="C889" s="115"/>
      <c r="D889" s="4"/>
      <c r="E889" s="4"/>
      <c r="F889" s="4"/>
      <c r="G889" s="4"/>
      <c r="H889" s="4"/>
      <c r="I889" s="4"/>
      <c r="J889" s="4"/>
      <c r="K889" s="1"/>
      <c r="L889" s="1"/>
      <c r="M889" s="1"/>
      <c r="N889" s="1"/>
      <c r="O889" s="1"/>
      <c r="P889" s="1"/>
      <c r="Q889" s="1"/>
      <c r="R889" s="1"/>
      <c r="S889" s="1"/>
      <c r="T889" s="1"/>
      <c r="U889" s="1"/>
      <c r="V889" s="1"/>
      <c r="W889" s="1"/>
      <c r="X889" s="1"/>
      <c r="Y889" s="1"/>
      <c r="Z889" s="1"/>
    </row>
    <row r="890" spans="1:26" ht="15.75" customHeight="1">
      <c r="A890" s="4"/>
      <c r="B890" s="4"/>
      <c r="C890" s="115"/>
      <c r="D890" s="4"/>
      <c r="E890" s="4"/>
      <c r="F890" s="4"/>
      <c r="G890" s="4"/>
      <c r="H890" s="4"/>
      <c r="I890" s="4"/>
      <c r="J890" s="4"/>
      <c r="K890" s="1"/>
      <c r="L890" s="1"/>
      <c r="M890" s="1"/>
      <c r="N890" s="1"/>
      <c r="O890" s="1"/>
      <c r="P890" s="1"/>
      <c r="Q890" s="1"/>
      <c r="R890" s="1"/>
      <c r="S890" s="1"/>
      <c r="T890" s="1"/>
      <c r="U890" s="1"/>
      <c r="V890" s="1"/>
      <c r="W890" s="1"/>
      <c r="X890" s="1"/>
      <c r="Y890" s="1"/>
      <c r="Z890" s="1"/>
    </row>
    <row r="891" spans="1:26" ht="15.75" customHeight="1">
      <c r="A891" s="4"/>
      <c r="B891" s="4"/>
      <c r="C891" s="115"/>
      <c r="D891" s="4"/>
      <c r="E891" s="4"/>
      <c r="F891" s="4"/>
      <c r="G891" s="4"/>
      <c r="H891" s="4"/>
      <c r="I891" s="4"/>
      <c r="J891" s="4"/>
      <c r="K891" s="1"/>
      <c r="L891" s="1"/>
      <c r="M891" s="1"/>
      <c r="N891" s="1"/>
      <c r="O891" s="1"/>
      <c r="P891" s="1"/>
      <c r="Q891" s="1"/>
      <c r="R891" s="1"/>
      <c r="S891" s="1"/>
      <c r="T891" s="1"/>
      <c r="U891" s="1"/>
      <c r="V891" s="1"/>
      <c r="W891" s="1"/>
      <c r="X891" s="1"/>
      <c r="Y891" s="1"/>
      <c r="Z891" s="1"/>
    </row>
    <row r="892" spans="1:26" ht="15.75" customHeight="1">
      <c r="A892" s="4"/>
      <c r="B892" s="4"/>
      <c r="C892" s="115"/>
      <c r="D892" s="4"/>
      <c r="E892" s="4"/>
      <c r="F892" s="4"/>
      <c r="G892" s="4"/>
      <c r="H892" s="4"/>
      <c r="I892" s="4"/>
      <c r="J892" s="4"/>
      <c r="K892" s="1"/>
      <c r="L892" s="1"/>
      <c r="M892" s="1"/>
      <c r="N892" s="1"/>
      <c r="O892" s="1"/>
      <c r="P892" s="1"/>
      <c r="Q892" s="1"/>
      <c r="R892" s="1"/>
      <c r="S892" s="1"/>
      <c r="T892" s="1"/>
      <c r="U892" s="1"/>
      <c r="V892" s="1"/>
      <c r="W892" s="1"/>
      <c r="X892" s="1"/>
      <c r="Y892" s="1"/>
      <c r="Z892" s="1"/>
    </row>
    <row r="893" spans="1:26" ht="15.75" customHeight="1">
      <c r="A893" s="4"/>
      <c r="B893" s="4"/>
      <c r="C893" s="115"/>
      <c r="D893" s="4"/>
      <c r="E893" s="4"/>
      <c r="F893" s="4"/>
      <c r="G893" s="4"/>
      <c r="H893" s="4"/>
      <c r="I893" s="4"/>
      <c r="J893" s="4"/>
      <c r="K893" s="1"/>
      <c r="L893" s="1"/>
      <c r="M893" s="1"/>
      <c r="N893" s="1"/>
      <c r="O893" s="1"/>
      <c r="P893" s="1"/>
      <c r="Q893" s="1"/>
      <c r="R893" s="1"/>
      <c r="S893" s="1"/>
      <c r="T893" s="1"/>
      <c r="U893" s="1"/>
      <c r="V893" s="1"/>
      <c r="W893" s="1"/>
      <c r="X893" s="1"/>
      <c r="Y893" s="1"/>
      <c r="Z893" s="1"/>
    </row>
    <row r="894" spans="1:26" ht="15.75" customHeight="1">
      <c r="A894" s="4"/>
      <c r="B894" s="4"/>
      <c r="C894" s="115"/>
      <c r="D894" s="4"/>
      <c r="E894" s="4"/>
      <c r="F894" s="4"/>
      <c r="G894" s="4"/>
      <c r="H894" s="4"/>
      <c r="I894" s="4"/>
      <c r="J894" s="4"/>
      <c r="K894" s="1"/>
      <c r="L894" s="1"/>
      <c r="M894" s="1"/>
      <c r="N894" s="1"/>
      <c r="O894" s="1"/>
      <c r="P894" s="1"/>
      <c r="Q894" s="1"/>
      <c r="R894" s="1"/>
      <c r="S894" s="1"/>
      <c r="T894" s="1"/>
      <c r="U894" s="1"/>
      <c r="V894" s="1"/>
      <c r="W894" s="1"/>
      <c r="X894" s="1"/>
      <c r="Y894" s="1"/>
      <c r="Z894" s="1"/>
    </row>
    <row r="895" spans="1:26" ht="15.75" customHeight="1">
      <c r="A895" s="4"/>
      <c r="B895" s="4"/>
      <c r="C895" s="115"/>
      <c r="D895" s="4"/>
      <c r="E895" s="4"/>
      <c r="F895" s="4"/>
      <c r="G895" s="4"/>
      <c r="H895" s="4"/>
      <c r="I895" s="4"/>
      <c r="J895" s="4"/>
      <c r="K895" s="1"/>
      <c r="L895" s="1"/>
      <c r="M895" s="1"/>
      <c r="N895" s="1"/>
      <c r="O895" s="1"/>
      <c r="P895" s="1"/>
      <c r="Q895" s="1"/>
      <c r="R895" s="1"/>
      <c r="S895" s="1"/>
      <c r="T895" s="1"/>
      <c r="U895" s="1"/>
      <c r="V895" s="1"/>
      <c r="W895" s="1"/>
      <c r="X895" s="1"/>
      <c r="Y895" s="1"/>
      <c r="Z895" s="1"/>
    </row>
    <row r="896" spans="1:26" ht="15.75" customHeight="1">
      <c r="A896" s="4"/>
      <c r="B896" s="4"/>
      <c r="C896" s="115"/>
      <c r="D896" s="4"/>
      <c r="E896" s="4"/>
      <c r="F896" s="4"/>
      <c r="G896" s="4"/>
      <c r="H896" s="4"/>
      <c r="I896" s="4"/>
      <c r="J896" s="4"/>
      <c r="K896" s="1"/>
      <c r="L896" s="1"/>
      <c r="M896" s="1"/>
      <c r="N896" s="1"/>
      <c r="O896" s="1"/>
      <c r="P896" s="1"/>
      <c r="Q896" s="1"/>
      <c r="R896" s="1"/>
      <c r="S896" s="1"/>
      <c r="T896" s="1"/>
      <c r="U896" s="1"/>
      <c r="V896" s="1"/>
      <c r="W896" s="1"/>
      <c r="X896" s="1"/>
      <c r="Y896" s="1"/>
      <c r="Z896" s="1"/>
    </row>
    <row r="897" spans="1:26" ht="15.75" customHeight="1">
      <c r="A897" s="4"/>
      <c r="B897" s="4"/>
      <c r="C897" s="115"/>
      <c r="D897" s="4"/>
      <c r="E897" s="4"/>
      <c r="F897" s="4"/>
      <c r="G897" s="4"/>
      <c r="H897" s="4"/>
      <c r="I897" s="4"/>
      <c r="J897" s="4"/>
      <c r="K897" s="1"/>
      <c r="L897" s="1"/>
      <c r="M897" s="1"/>
      <c r="N897" s="1"/>
      <c r="O897" s="1"/>
      <c r="P897" s="1"/>
      <c r="Q897" s="1"/>
      <c r="R897" s="1"/>
      <c r="S897" s="1"/>
      <c r="T897" s="1"/>
      <c r="U897" s="1"/>
      <c r="V897" s="1"/>
      <c r="W897" s="1"/>
      <c r="X897" s="1"/>
      <c r="Y897" s="1"/>
      <c r="Z897" s="1"/>
    </row>
    <row r="898" spans="1:26" ht="15.75" customHeight="1">
      <c r="A898" s="4"/>
      <c r="B898" s="4"/>
      <c r="C898" s="115"/>
      <c r="D898" s="4"/>
      <c r="E898" s="4"/>
      <c r="F898" s="4"/>
      <c r="G898" s="4"/>
      <c r="H898" s="4"/>
      <c r="I898" s="4"/>
      <c r="J898" s="4"/>
      <c r="K898" s="1"/>
      <c r="L898" s="1"/>
      <c r="M898" s="1"/>
      <c r="N898" s="1"/>
      <c r="O898" s="1"/>
      <c r="P898" s="1"/>
      <c r="Q898" s="1"/>
      <c r="R898" s="1"/>
      <c r="S898" s="1"/>
      <c r="T898" s="1"/>
      <c r="U898" s="1"/>
      <c r="V898" s="1"/>
      <c r="W898" s="1"/>
      <c r="X898" s="1"/>
      <c r="Y898" s="1"/>
      <c r="Z898" s="1"/>
    </row>
    <row r="899" spans="1:26" ht="15.75" customHeight="1">
      <c r="A899" s="4"/>
      <c r="B899" s="4"/>
      <c r="C899" s="115"/>
      <c r="D899" s="4"/>
      <c r="E899" s="4"/>
      <c r="F899" s="4"/>
      <c r="G899" s="4"/>
      <c r="H899" s="4"/>
      <c r="I899" s="4"/>
      <c r="J899" s="4"/>
      <c r="K899" s="1"/>
      <c r="L899" s="1"/>
      <c r="M899" s="1"/>
      <c r="N899" s="1"/>
      <c r="O899" s="1"/>
      <c r="P899" s="1"/>
      <c r="Q899" s="1"/>
      <c r="R899" s="1"/>
      <c r="S899" s="1"/>
      <c r="T899" s="1"/>
      <c r="U899" s="1"/>
      <c r="V899" s="1"/>
      <c r="W899" s="1"/>
      <c r="X899" s="1"/>
      <c r="Y899" s="1"/>
      <c r="Z899" s="1"/>
    </row>
    <row r="900" spans="1:26" ht="15.75" customHeight="1">
      <c r="A900" s="4"/>
      <c r="B900" s="4"/>
      <c r="C900" s="115"/>
      <c r="D900" s="4"/>
      <c r="E900" s="4"/>
      <c r="F900" s="4"/>
      <c r="G900" s="4"/>
      <c r="H900" s="4"/>
      <c r="I900" s="4"/>
      <c r="J900" s="4"/>
      <c r="K900" s="1"/>
      <c r="L900" s="1"/>
      <c r="M900" s="1"/>
      <c r="N900" s="1"/>
      <c r="O900" s="1"/>
      <c r="P900" s="1"/>
      <c r="Q900" s="1"/>
      <c r="R900" s="1"/>
      <c r="S900" s="1"/>
      <c r="T900" s="1"/>
      <c r="U900" s="1"/>
      <c r="V900" s="1"/>
      <c r="W900" s="1"/>
      <c r="X900" s="1"/>
      <c r="Y900" s="1"/>
      <c r="Z900" s="1"/>
    </row>
    <row r="901" spans="1:26" ht="15.75" customHeight="1">
      <c r="A901" s="4"/>
      <c r="B901" s="4"/>
      <c r="C901" s="115"/>
      <c r="D901" s="4"/>
      <c r="E901" s="4"/>
      <c r="F901" s="4"/>
      <c r="G901" s="4"/>
      <c r="H901" s="4"/>
      <c r="I901" s="4"/>
      <c r="J901" s="4"/>
      <c r="K901" s="1"/>
      <c r="L901" s="1"/>
      <c r="M901" s="1"/>
      <c r="N901" s="1"/>
      <c r="O901" s="1"/>
      <c r="P901" s="1"/>
      <c r="Q901" s="1"/>
      <c r="R901" s="1"/>
      <c r="S901" s="1"/>
      <c r="T901" s="1"/>
      <c r="U901" s="1"/>
      <c r="V901" s="1"/>
      <c r="W901" s="1"/>
      <c r="X901" s="1"/>
      <c r="Y901" s="1"/>
      <c r="Z901" s="1"/>
    </row>
    <row r="902" spans="1:26" ht="15.75" customHeight="1">
      <c r="A902" s="4"/>
      <c r="B902" s="4"/>
      <c r="C902" s="115"/>
      <c r="D902" s="4"/>
      <c r="E902" s="4"/>
      <c r="F902" s="4"/>
      <c r="G902" s="4"/>
      <c r="H902" s="4"/>
      <c r="I902" s="4"/>
      <c r="J902" s="4"/>
      <c r="K902" s="1"/>
      <c r="L902" s="1"/>
      <c r="M902" s="1"/>
      <c r="N902" s="1"/>
      <c r="O902" s="1"/>
      <c r="P902" s="1"/>
      <c r="Q902" s="1"/>
      <c r="R902" s="1"/>
      <c r="S902" s="1"/>
      <c r="T902" s="1"/>
      <c r="U902" s="1"/>
      <c r="V902" s="1"/>
      <c r="W902" s="1"/>
      <c r="X902" s="1"/>
      <c r="Y902" s="1"/>
      <c r="Z902" s="1"/>
    </row>
    <row r="903" spans="1:26" ht="15.75" customHeight="1">
      <c r="A903" s="4"/>
      <c r="B903" s="4"/>
      <c r="C903" s="115"/>
      <c r="D903" s="4"/>
      <c r="E903" s="4"/>
      <c r="F903" s="4"/>
      <c r="G903" s="4"/>
      <c r="H903" s="4"/>
      <c r="I903" s="4"/>
      <c r="J903" s="4"/>
      <c r="K903" s="1"/>
      <c r="L903" s="1"/>
      <c r="M903" s="1"/>
      <c r="N903" s="1"/>
      <c r="O903" s="1"/>
      <c r="P903" s="1"/>
      <c r="Q903" s="1"/>
      <c r="R903" s="1"/>
      <c r="S903" s="1"/>
      <c r="T903" s="1"/>
      <c r="U903" s="1"/>
      <c r="V903" s="1"/>
      <c r="W903" s="1"/>
      <c r="X903" s="1"/>
      <c r="Y903" s="1"/>
      <c r="Z903" s="1"/>
    </row>
    <row r="904" spans="1:26" ht="15.75" customHeight="1">
      <c r="A904" s="4"/>
      <c r="B904" s="4"/>
      <c r="C904" s="115"/>
      <c r="D904" s="4"/>
      <c r="E904" s="4"/>
      <c r="F904" s="4"/>
      <c r="G904" s="4"/>
      <c r="H904" s="4"/>
      <c r="I904" s="4"/>
      <c r="J904" s="4"/>
      <c r="K904" s="1"/>
      <c r="L904" s="1"/>
      <c r="M904" s="1"/>
      <c r="N904" s="1"/>
      <c r="O904" s="1"/>
      <c r="P904" s="1"/>
      <c r="Q904" s="1"/>
      <c r="R904" s="1"/>
      <c r="S904" s="1"/>
      <c r="T904" s="1"/>
      <c r="U904" s="1"/>
      <c r="V904" s="1"/>
      <c r="W904" s="1"/>
      <c r="X904" s="1"/>
      <c r="Y904" s="1"/>
      <c r="Z904" s="1"/>
    </row>
    <row r="905" spans="1:26" ht="15.75" customHeight="1">
      <c r="A905" s="4"/>
      <c r="B905" s="4"/>
      <c r="C905" s="115"/>
      <c r="D905" s="4"/>
      <c r="E905" s="4"/>
      <c r="F905" s="4"/>
      <c r="G905" s="4"/>
      <c r="H905" s="4"/>
      <c r="I905" s="4"/>
      <c r="J905" s="4"/>
      <c r="K905" s="1"/>
      <c r="L905" s="1"/>
      <c r="M905" s="1"/>
      <c r="N905" s="1"/>
      <c r="O905" s="1"/>
      <c r="P905" s="1"/>
      <c r="Q905" s="1"/>
      <c r="R905" s="1"/>
      <c r="S905" s="1"/>
      <c r="T905" s="1"/>
      <c r="U905" s="1"/>
      <c r="V905" s="1"/>
      <c r="W905" s="1"/>
      <c r="X905" s="1"/>
      <c r="Y905" s="1"/>
      <c r="Z905" s="1"/>
    </row>
    <row r="906" spans="1:26" ht="15.75" customHeight="1">
      <c r="A906" s="4"/>
      <c r="B906" s="4"/>
      <c r="C906" s="115"/>
      <c r="D906" s="4"/>
      <c r="E906" s="4"/>
      <c r="F906" s="4"/>
      <c r="G906" s="4"/>
      <c r="H906" s="4"/>
      <c r="I906" s="4"/>
      <c r="J906" s="4"/>
      <c r="K906" s="1"/>
      <c r="L906" s="1"/>
      <c r="M906" s="1"/>
      <c r="N906" s="1"/>
      <c r="O906" s="1"/>
      <c r="P906" s="1"/>
      <c r="Q906" s="1"/>
      <c r="R906" s="1"/>
      <c r="S906" s="1"/>
      <c r="T906" s="1"/>
      <c r="U906" s="1"/>
      <c r="V906" s="1"/>
      <c r="W906" s="1"/>
      <c r="X906" s="1"/>
      <c r="Y906" s="1"/>
      <c r="Z906" s="1"/>
    </row>
    <row r="907" spans="1:26" ht="15.75" customHeight="1">
      <c r="A907" s="4"/>
      <c r="B907" s="4"/>
      <c r="C907" s="115"/>
      <c r="D907" s="4"/>
      <c r="E907" s="4"/>
      <c r="F907" s="4"/>
      <c r="G907" s="4"/>
      <c r="H907" s="4"/>
      <c r="I907" s="4"/>
      <c r="J907" s="4"/>
      <c r="K907" s="1"/>
      <c r="L907" s="1"/>
      <c r="M907" s="1"/>
      <c r="N907" s="1"/>
      <c r="O907" s="1"/>
      <c r="P907" s="1"/>
      <c r="Q907" s="1"/>
      <c r="R907" s="1"/>
      <c r="S907" s="1"/>
      <c r="T907" s="1"/>
      <c r="U907" s="1"/>
      <c r="V907" s="1"/>
      <c r="W907" s="1"/>
      <c r="X907" s="1"/>
      <c r="Y907" s="1"/>
      <c r="Z907" s="1"/>
    </row>
    <row r="908" spans="1:26" ht="15.75" customHeight="1">
      <c r="A908" s="4"/>
      <c r="B908" s="4"/>
      <c r="C908" s="115"/>
      <c r="D908" s="4"/>
      <c r="E908" s="4"/>
      <c r="F908" s="4"/>
      <c r="G908" s="4"/>
      <c r="H908" s="4"/>
      <c r="I908" s="4"/>
      <c r="J908" s="4"/>
      <c r="K908" s="1"/>
      <c r="L908" s="1"/>
      <c r="M908" s="1"/>
      <c r="N908" s="1"/>
      <c r="O908" s="1"/>
      <c r="P908" s="1"/>
      <c r="Q908" s="1"/>
      <c r="R908" s="1"/>
      <c r="S908" s="1"/>
      <c r="T908" s="1"/>
      <c r="U908" s="1"/>
      <c r="V908" s="1"/>
      <c r="W908" s="1"/>
      <c r="X908" s="1"/>
      <c r="Y908" s="1"/>
      <c r="Z908" s="1"/>
    </row>
    <row r="909" spans="1:26" ht="15.75" customHeight="1">
      <c r="A909" s="4"/>
      <c r="B909" s="4"/>
      <c r="C909" s="115"/>
      <c r="D909" s="4"/>
      <c r="E909" s="4"/>
      <c r="F909" s="4"/>
      <c r="G909" s="4"/>
      <c r="H909" s="4"/>
      <c r="I909" s="4"/>
      <c r="J909" s="4"/>
      <c r="K909" s="1"/>
      <c r="L909" s="1"/>
      <c r="M909" s="1"/>
      <c r="N909" s="1"/>
      <c r="O909" s="1"/>
      <c r="P909" s="1"/>
      <c r="Q909" s="1"/>
      <c r="R909" s="1"/>
      <c r="S909" s="1"/>
      <c r="T909" s="1"/>
      <c r="U909" s="1"/>
      <c r="V909" s="1"/>
      <c r="W909" s="1"/>
      <c r="X909" s="1"/>
      <c r="Y909" s="1"/>
      <c r="Z909" s="1"/>
    </row>
    <row r="910" spans="1:26" ht="15.75" customHeight="1">
      <c r="A910" s="4"/>
      <c r="B910" s="4"/>
      <c r="C910" s="115"/>
      <c r="D910" s="4"/>
      <c r="E910" s="4"/>
      <c r="F910" s="4"/>
      <c r="G910" s="4"/>
      <c r="H910" s="4"/>
      <c r="I910" s="4"/>
      <c r="J910" s="4"/>
      <c r="K910" s="1"/>
      <c r="L910" s="1"/>
      <c r="M910" s="1"/>
      <c r="N910" s="1"/>
      <c r="O910" s="1"/>
      <c r="P910" s="1"/>
      <c r="Q910" s="1"/>
      <c r="R910" s="1"/>
      <c r="S910" s="1"/>
      <c r="T910" s="1"/>
      <c r="U910" s="1"/>
      <c r="V910" s="1"/>
      <c r="W910" s="1"/>
      <c r="X910" s="1"/>
      <c r="Y910" s="1"/>
      <c r="Z910" s="1"/>
    </row>
    <row r="911" spans="1:26" ht="15.75" customHeight="1">
      <c r="A911" s="4"/>
      <c r="B911" s="4"/>
      <c r="C911" s="115"/>
      <c r="D911" s="4"/>
      <c r="E911" s="4"/>
      <c r="F911" s="4"/>
      <c r="G911" s="4"/>
      <c r="H911" s="4"/>
      <c r="I911" s="4"/>
      <c r="J911" s="4"/>
      <c r="K911" s="1"/>
      <c r="L911" s="1"/>
      <c r="M911" s="1"/>
      <c r="N911" s="1"/>
      <c r="O911" s="1"/>
      <c r="P911" s="1"/>
      <c r="Q911" s="1"/>
      <c r="R911" s="1"/>
      <c r="S911" s="1"/>
      <c r="T911" s="1"/>
      <c r="U911" s="1"/>
      <c r="V911" s="1"/>
      <c r="W911" s="1"/>
      <c r="X911" s="1"/>
      <c r="Y911" s="1"/>
      <c r="Z911" s="1"/>
    </row>
    <row r="912" spans="1:26" ht="15.75" customHeight="1">
      <c r="A912" s="4"/>
      <c r="B912" s="4"/>
      <c r="C912" s="115"/>
      <c r="D912" s="4"/>
      <c r="E912" s="4"/>
      <c r="F912" s="4"/>
      <c r="G912" s="4"/>
      <c r="H912" s="4"/>
      <c r="I912" s="4"/>
      <c r="J912" s="4"/>
      <c r="K912" s="1"/>
      <c r="L912" s="1"/>
      <c r="M912" s="1"/>
      <c r="N912" s="1"/>
      <c r="O912" s="1"/>
      <c r="P912" s="1"/>
      <c r="Q912" s="1"/>
      <c r="R912" s="1"/>
      <c r="S912" s="1"/>
      <c r="T912" s="1"/>
      <c r="U912" s="1"/>
      <c r="V912" s="1"/>
      <c r="W912" s="1"/>
      <c r="X912" s="1"/>
      <c r="Y912" s="1"/>
      <c r="Z912" s="1"/>
    </row>
    <row r="913" spans="1:26" ht="15.75" customHeight="1">
      <c r="A913" s="4"/>
      <c r="B913" s="4"/>
      <c r="C913" s="115"/>
      <c r="D913" s="4"/>
      <c r="E913" s="4"/>
      <c r="F913" s="4"/>
      <c r="G913" s="4"/>
      <c r="H913" s="4"/>
      <c r="I913" s="4"/>
      <c r="J913" s="4"/>
      <c r="K913" s="1"/>
      <c r="L913" s="1"/>
      <c r="M913" s="1"/>
      <c r="N913" s="1"/>
      <c r="O913" s="1"/>
      <c r="P913" s="1"/>
      <c r="Q913" s="1"/>
      <c r="R913" s="1"/>
      <c r="S913" s="1"/>
      <c r="T913" s="1"/>
      <c r="U913" s="1"/>
      <c r="V913" s="1"/>
      <c r="W913" s="1"/>
      <c r="X913" s="1"/>
      <c r="Y913" s="1"/>
      <c r="Z913" s="1"/>
    </row>
    <row r="914" spans="1:26" ht="15.75" customHeight="1">
      <c r="A914" s="4"/>
      <c r="B914" s="4"/>
      <c r="C914" s="115"/>
      <c r="D914" s="4"/>
      <c r="E914" s="4"/>
      <c r="F914" s="4"/>
      <c r="G914" s="4"/>
      <c r="H914" s="4"/>
      <c r="I914" s="4"/>
      <c r="J914" s="4"/>
      <c r="K914" s="1"/>
      <c r="L914" s="1"/>
      <c r="M914" s="1"/>
      <c r="N914" s="1"/>
      <c r="O914" s="1"/>
      <c r="P914" s="1"/>
      <c r="Q914" s="1"/>
      <c r="R914" s="1"/>
      <c r="S914" s="1"/>
      <c r="T914" s="1"/>
      <c r="U914" s="1"/>
      <c r="V914" s="1"/>
      <c r="W914" s="1"/>
      <c r="X914" s="1"/>
      <c r="Y914" s="1"/>
      <c r="Z914" s="1"/>
    </row>
    <row r="915" spans="1:26" ht="15.75" customHeight="1">
      <c r="A915" s="4"/>
      <c r="B915" s="4"/>
      <c r="C915" s="115"/>
      <c r="D915" s="4"/>
      <c r="E915" s="4"/>
      <c r="F915" s="4"/>
      <c r="G915" s="4"/>
      <c r="H915" s="4"/>
      <c r="I915" s="4"/>
      <c r="J915" s="4"/>
      <c r="K915" s="1"/>
      <c r="L915" s="1"/>
      <c r="M915" s="1"/>
      <c r="N915" s="1"/>
      <c r="O915" s="1"/>
      <c r="P915" s="1"/>
      <c r="Q915" s="1"/>
      <c r="R915" s="1"/>
      <c r="S915" s="1"/>
      <c r="T915" s="1"/>
      <c r="U915" s="1"/>
      <c r="V915" s="1"/>
      <c r="W915" s="1"/>
      <c r="X915" s="1"/>
      <c r="Y915" s="1"/>
      <c r="Z915" s="1"/>
    </row>
    <row r="916" spans="1:26" ht="15.75" customHeight="1">
      <c r="A916" s="4"/>
      <c r="B916" s="4"/>
      <c r="C916" s="115"/>
      <c r="D916" s="4"/>
      <c r="E916" s="4"/>
      <c r="F916" s="4"/>
      <c r="G916" s="4"/>
      <c r="H916" s="4"/>
      <c r="I916" s="4"/>
      <c r="J916" s="4"/>
      <c r="K916" s="1"/>
      <c r="L916" s="1"/>
      <c r="M916" s="1"/>
      <c r="N916" s="1"/>
      <c r="O916" s="1"/>
      <c r="P916" s="1"/>
      <c r="Q916" s="1"/>
      <c r="R916" s="1"/>
      <c r="S916" s="1"/>
      <c r="T916" s="1"/>
      <c r="U916" s="1"/>
      <c r="V916" s="1"/>
      <c r="W916" s="1"/>
      <c r="X916" s="1"/>
      <c r="Y916" s="1"/>
      <c r="Z916" s="1"/>
    </row>
    <row r="917" spans="1:26" ht="15.75" customHeight="1">
      <c r="A917" s="4"/>
      <c r="B917" s="4"/>
      <c r="C917" s="115"/>
      <c r="D917" s="4"/>
      <c r="E917" s="4"/>
      <c r="F917" s="4"/>
      <c r="G917" s="4"/>
      <c r="H917" s="4"/>
      <c r="I917" s="4"/>
      <c r="J917" s="4"/>
      <c r="K917" s="1"/>
      <c r="L917" s="1"/>
      <c r="M917" s="1"/>
      <c r="N917" s="1"/>
      <c r="O917" s="1"/>
      <c r="P917" s="1"/>
      <c r="Q917" s="1"/>
      <c r="R917" s="1"/>
      <c r="S917" s="1"/>
      <c r="T917" s="1"/>
      <c r="U917" s="1"/>
      <c r="V917" s="1"/>
      <c r="W917" s="1"/>
      <c r="X917" s="1"/>
      <c r="Y917" s="1"/>
      <c r="Z917" s="1"/>
    </row>
    <row r="918" spans="1:26" ht="15.75" customHeight="1">
      <c r="A918" s="4"/>
      <c r="B918" s="4"/>
      <c r="C918" s="115"/>
      <c r="D918" s="4"/>
      <c r="E918" s="4"/>
      <c r="F918" s="4"/>
      <c r="G918" s="4"/>
      <c r="H918" s="4"/>
      <c r="I918" s="4"/>
      <c r="J918" s="4"/>
      <c r="K918" s="1"/>
      <c r="L918" s="1"/>
      <c r="M918" s="1"/>
      <c r="N918" s="1"/>
      <c r="O918" s="1"/>
      <c r="P918" s="1"/>
      <c r="Q918" s="1"/>
      <c r="R918" s="1"/>
      <c r="S918" s="1"/>
      <c r="T918" s="1"/>
      <c r="U918" s="1"/>
      <c r="V918" s="1"/>
      <c r="W918" s="1"/>
      <c r="X918" s="1"/>
      <c r="Y918" s="1"/>
      <c r="Z918" s="1"/>
    </row>
    <row r="919" spans="1:26" ht="15.75" customHeight="1">
      <c r="A919" s="4"/>
      <c r="B919" s="4"/>
      <c r="C919" s="115"/>
      <c r="D919" s="4"/>
      <c r="E919" s="4"/>
      <c r="F919" s="4"/>
      <c r="G919" s="4"/>
      <c r="H919" s="4"/>
      <c r="I919" s="4"/>
      <c r="J919" s="4"/>
      <c r="K919" s="1"/>
      <c r="L919" s="1"/>
      <c r="M919" s="1"/>
      <c r="N919" s="1"/>
      <c r="O919" s="1"/>
      <c r="P919" s="1"/>
      <c r="Q919" s="1"/>
      <c r="R919" s="1"/>
      <c r="S919" s="1"/>
      <c r="T919" s="1"/>
      <c r="U919" s="1"/>
      <c r="V919" s="1"/>
      <c r="W919" s="1"/>
      <c r="X919" s="1"/>
      <c r="Y919" s="1"/>
      <c r="Z919" s="1"/>
    </row>
    <row r="920" spans="1:26" ht="15.75" customHeight="1">
      <c r="A920" s="4"/>
      <c r="B920" s="4"/>
      <c r="C920" s="115"/>
      <c r="D920" s="4"/>
      <c r="E920" s="4"/>
      <c r="F920" s="4"/>
      <c r="G920" s="4"/>
      <c r="H920" s="4"/>
      <c r="I920" s="4"/>
      <c r="J920" s="4"/>
      <c r="K920" s="1"/>
      <c r="L920" s="1"/>
      <c r="M920" s="1"/>
      <c r="N920" s="1"/>
      <c r="O920" s="1"/>
      <c r="P920" s="1"/>
      <c r="Q920" s="1"/>
      <c r="R920" s="1"/>
      <c r="S920" s="1"/>
      <c r="T920" s="1"/>
      <c r="U920" s="1"/>
      <c r="V920" s="1"/>
      <c r="W920" s="1"/>
      <c r="X920" s="1"/>
      <c r="Y920" s="1"/>
      <c r="Z920" s="1"/>
    </row>
    <row r="921" spans="1:26" ht="15.75" customHeight="1">
      <c r="A921" s="4"/>
      <c r="B921" s="4"/>
      <c r="C921" s="115"/>
      <c r="D921" s="4"/>
      <c r="E921" s="4"/>
      <c r="F921" s="4"/>
      <c r="G921" s="4"/>
      <c r="H921" s="4"/>
      <c r="I921" s="4"/>
      <c r="J921" s="4"/>
      <c r="K921" s="1"/>
      <c r="L921" s="1"/>
      <c r="M921" s="1"/>
      <c r="N921" s="1"/>
      <c r="O921" s="1"/>
      <c r="P921" s="1"/>
      <c r="Q921" s="1"/>
      <c r="R921" s="1"/>
      <c r="S921" s="1"/>
      <c r="T921" s="1"/>
      <c r="U921" s="1"/>
      <c r="V921" s="1"/>
      <c r="W921" s="1"/>
      <c r="X921" s="1"/>
      <c r="Y921" s="1"/>
      <c r="Z921" s="1"/>
    </row>
    <row r="922" spans="1:26" ht="15.75" customHeight="1">
      <c r="A922" s="4"/>
      <c r="B922" s="4"/>
      <c r="C922" s="115"/>
      <c r="D922" s="4"/>
      <c r="E922" s="4"/>
      <c r="F922" s="4"/>
      <c r="G922" s="4"/>
      <c r="H922" s="4"/>
      <c r="I922" s="4"/>
      <c r="J922" s="4"/>
      <c r="K922" s="1"/>
      <c r="L922" s="1"/>
      <c r="M922" s="1"/>
      <c r="N922" s="1"/>
      <c r="O922" s="1"/>
      <c r="P922" s="1"/>
      <c r="Q922" s="1"/>
      <c r="R922" s="1"/>
      <c r="S922" s="1"/>
      <c r="T922" s="1"/>
      <c r="U922" s="1"/>
      <c r="V922" s="1"/>
      <c r="W922" s="1"/>
      <c r="X922" s="1"/>
      <c r="Y922" s="1"/>
      <c r="Z922" s="1"/>
    </row>
    <row r="923" spans="1:26" ht="15.75" customHeight="1">
      <c r="A923" s="4"/>
      <c r="B923" s="4"/>
      <c r="C923" s="115"/>
      <c r="D923" s="4"/>
      <c r="E923" s="4"/>
      <c r="F923" s="4"/>
      <c r="G923" s="4"/>
      <c r="H923" s="4"/>
      <c r="I923" s="4"/>
      <c r="J923" s="4"/>
      <c r="K923" s="1"/>
      <c r="L923" s="1"/>
      <c r="M923" s="1"/>
      <c r="N923" s="1"/>
      <c r="O923" s="1"/>
      <c r="P923" s="1"/>
      <c r="Q923" s="1"/>
      <c r="R923" s="1"/>
      <c r="S923" s="1"/>
      <c r="T923" s="1"/>
      <c r="U923" s="1"/>
      <c r="V923" s="1"/>
      <c r="W923" s="1"/>
      <c r="X923" s="1"/>
      <c r="Y923" s="1"/>
      <c r="Z923" s="1"/>
    </row>
    <row r="924" spans="1:26" ht="15.75" customHeight="1">
      <c r="A924" s="4"/>
      <c r="B924" s="4"/>
      <c r="C924" s="115"/>
      <c r="D924" s="4"/>
      <c r="E924" s="4"/>
      <c r="F924" s="4"/>
      <c r="G924" s="4"/>
      <c r="H924" s="4"/>
      <c r="I924" s="4"/>
      <c r="J924" s="4"/>
      <c r="K924" s="1"/>
      <c r="L924" s="1"/>
      <c r="M924" s="1"/>
      <c r="N924" s="1"/>
      <c r="O924" s="1"/>
      <c r="P924" s="1"/>
      <c r="Q924" s="1"/>
      <c r="R924" s="1"/>
      <c r="S924" s="1"/>
      <c r="T924" s="1"/>
      <c r="U924" s="1"/>
      <c r="V924" s="1"/>
      <c r="W924" s="1"/>
      <c r="X924" s="1"/>
      <c r="Y924" s="1"/>
      <c r="Z924" s="1"/>
    </row>
    <row r="925" spans="1:26" ht="15.75" customHeight="1">
      <c r="A925" s="4"/>
      <c r="B925" s="4"/>
      <c r="C925" s="115"/>
      <c r="D925" s="4"/>
      <c r="E925" s="4"/>
      <c r="F925" s="4"/>
      <c r="G925" s="4"/>
      <c r="H925" s="4"/>
      <c r="I925" s="4"/>
      <c r="J925" s="4"/>
      <c r="K925" s="1"/>
      <c r="L925" s="1"/>
      <c r="M925" s="1"/>
      <c r="N925" s="1"/>
      <c r="O925" s="1"/>
      <c r="P925" s="1"/>
      <c r="Q925" s="1"/>
      <c r="R925" s="1"/>
      <c r="S925" s="1"/>
      <c r="T925" s="1"/>
      <c r="U925" s="1"/>
      <c r="V925" s="1"/>
      <c r="W925" s="1"/>
      <c r="X925" s="1"/>
      <c r="Y925" s="1"/>
      <c r="Z925" s="1"/>
    </row>
    <row r="926" spans="1:26" ht="15.75" customHeight="1">
      <c r="A926" s="4"/>
      <c r="B926" s="4"/>
      <c r="C926" s="115"/>
      <c r="D926" s="4"/>
      <c r="E926" s="4"/>
      <c r="F926" s="4"/>
      <c r="G926" s="4"/>
      <c r="H926" s="4"/>
      <c r="I926" s="4"/>
      <c r="J926" s="4"/>
      <c r="K926" s="1"/>
      <c r="L926" s="1"/>
      <c r="M926" s="1"/>
      <c r="N926" s="1"/>
      <c r="O926" s="1"/>
      <c r="P926" s="1"/>
      <c r="Q926" s="1"/>
      <c r="R926" s="1"/>
      <c r="S926" s="1"/>
      <c r="T926" s="1"/>
      <c r="U926" s="1"/>
      <c r="V926" s="1"/>
      <c r="W926" s="1"/>
      <c r="X926" s="1"/>
      <c r="Y926" s="1"/>
      <c r="Z926" s="1"/>
    </row>
    <row r="927" spans="1:26" ht="15.75" customHeight="1">
      <c r="A927" s="4"/>
      <c r="B927" s="4"/>
      <c r="C927" s="115"/>
      <c r="D927" s="4"/>
      <c r="E927" s="4"/>
      <c r="F927" s="4"/>
      <c r="G927" s="4"/>
      <c r="H927" s="4"/>
      <c r="I927" s="4"/>
      <c r="J927" s="4"/>
      <c r="K927" s="1"/>
      <c r="L927" s="1"/>
      <c r="M927" s="1"/>
      <c r="N927" s="1"/>
      <c r="O927" s="1"/>
      <c r="P927" s="1"/>
      <c r="Q927" s="1"/>
      <c r="R927" s="1"/>
      <c r="S927" s="1"/>
      <c r="T927" s="1"/>
      <c r="U927" s="1"/>
      <c r="V927" s="1"/>
      <c r="W927" s="1"/>
      <c r="X927" s="1"/>
      <c r="Y927" s="1"/>
      <c r="Z927" s="1"/>
    </row>
    <row r="928" spans="1:26" ht="15.75" customHeight="1">
      <c r="A928" s="4"/>
      <c r="B928" s="4"/>
      <c r="C928" s="115"/>
      <c r="D928" s="4"/>
      <c r="E928" s="4"/>
      <c r="F928" s="4"/>
      <c r="G928" s="4"/>
      <c r="H928" s="4"/>
      <c r="I928" s="4"/>
      <c r="J928" s="4"/>
      <c r="K928" s="1"/>
      <c r="L928" s="1"/>
      <c r="M928" s="1"/>
      <c r="N928" s="1"/>
      <c r="O928" s="1"/>
      <c r="P928" s="1"/>
      <c r="Q928" s="1"/>
      <c r="R928" s="1"/>
      <c r="S928" s="1"/>
      <c r="T928" s="1"/>
      <c r="U928" s="1"/>
      <c r="V928" s="1"/>
      <c r="W928" s="1"/>
      <c r="X928" s="1"/>
      <c r="Y928" s="1"/>
      <c r="Z928" s="1"/>
    </row>
    <row r="929" spans="1:26" ht="15.75" customHeight="1">
      <c r="A929" s="4"/>
      <c r="B929" s="4"/>
      <c r="C929" s="115"/>
      <c r="D929" s="4"/>
      <c r="E929" s="4"/>
      <c r="F929" s="4"/>
      <c r="G929" s="4"/>
      <c r="H929" s="4"/>
      <c r="I929" s="4"/>
      <c r="J929" s="4"/>
      <c r="K929" s="1"/>
      <c r="L929" s="1"/>
      <c r="M929" s="1"/>
      <c r="N929" s="1"/>
      <c r="O929" s="1"/>
      <c r="P929" s="1"/>
      <c r="Q929" s="1"/>
      <c r="R929" s="1"/>
      <c r="S929" s="1"/>
      <c r="T929" s="1"/>
      <c r="U929" s="1"/>
      <c r="V929" s="1"/>
      <c r="W929" s="1"/>
      <c r="X929" s="1"/>
      <c r="Y929" s="1"/>
      <c r="Z929" s="1"/>
    </row>
    <row r="930" spans="1:26" ht="15.75" customHeight="1">
      <c r="A930" s="4"/>
      <c r="B930" s="4"/>
      <c r="C930" s="115"/>
      <c r="D930" s="4"/>
      <c r="E930" s="4"/>
      <c r="F930" s="4"/>
      <c r="G930" s="4"/>
      <c r="H930" s="4"/>
      <c r="I930" s="4"/>
      <c r="J930" s="4"/>
      <c r="K930" s="1"/>
      <c r="L930" s="1"/>
      <c r="M930" s="1"/>
      <c r="N930" s="1"/>
      <c r="O930" s="1"/>
      <c r="P930" s="1"/>
      <c r="Q930" s="1"/>
      <c r="R930" s="1"/>
      <c r="S930" s="1"/>
      <c r="T930" s="1"/>
      <c r="U930" s="1"/>
      <c r="V930" s="1"/>
      <c r="W930" s="1"/>
      <c r="X930" s="1"/>
      <c r="Y930" s="1"/>
      <c r="Z930" s="1"/>
    </row>
    <row r="931" spans="1:26" ht="15.75" customHeight="1">
      <c r="A931" s="4"/>
      <c r="B931" s="4"/>
      <c r="C931" s="115"/>
      <c r="D931" s="4"/>
      <c r="E931" s="4"/>
      <c r="F931" s="4"/>
      <c r="G931" s="4"/>
      <c r="H931" s="4"/>
      <c r="I931" s="4"/>
      <c r="J931" s="4"/>
      <c r="K931" s="1"/>
      <c r="L931" s="1"/>
      <c r="M931" s="1"/>
      <c r="N931" s="1"/>
      <c r="O931" s="1"/>
      <c r="P931" s="1"/>
      <c r="Q931" s="1"/>
      <c r="R931" s="1"/>
      <c r="S931" s="1"/>
      <c r="T931" s="1"/>
      <c r="U931" s="1"/>
      <c r="V931" s="1"/>
      <c r="W931" s="1"/>
      <c r="X931" s="1"/>
      <c r="Y931" s="1"/>
      <c r="Z931" s="1"/>
    </row>
    <row r="932" spans="1:26" ht="15.75" customHeight="1">
      <c r="A932" s="4"/>
      <c r="B932" s="4"/>
      <c r="C932" s="115"/>
      <c r="D932" s="4"/>
      <c r="E932" s="4"/>
      <c r="F932" s="4"/>
      <c r="G932" s="4"/>
      <c r="H932" s="4"/>
      <c r="I932" s="4"/>
      <c r="J932" s="4"/>
      <c r="K932" s="1"/>
      <c r="L932" s="1"/>
      <c r="M932" s="1"/>
      <c r="N932" s="1"/>
      <c r="O932" s="1"/>
      <c r="P932" s="1"/>
      <c r="Q932" s="1"/>
      <c r="R932" s="1"/>
      <c r="S932" s="1"/>
      <c r="T932" s="1"/>
      <c r="U932" s="1"/>
      <c r="V932" s="1"/>
      <c r="W932" s="1"/>
      <c r="X932" s="1"/>
      <c r="Y932" s="1"/>
      <c r="Z932" s="1"/>
    </row>
    <row r="933" spans="1:26" ht="15.75" customHeight="1">
      <c r="A933" s="4"/>
      <c r="B933" s="4"/>
      <c r="C933" s="115"/>
      <c r="D933" s="4"/>
      <c r="E933" s="4"/>
      <c r="F933" s="4"/>
      <c r="G933" s="4"/>
      <c r="H933" s="4"/>
      <c r="I933" s="4"/>
      <c r="J933" s="4"/>
      <c r="K933" s="1"/>
      <c r="L933" s="1"/>
      <c r="M933" s="1"/>
      <c r="N933" s="1"/>
      <c r="O933" s="1"/>
      <c r="P933" s="1"/>
      <c r="Q933" s="1"/>
      <c r="R933" s="1"/>
      <c r="S933" s="1"/>
      <c r="T933" s="1"/>
      <c r="U933" s="1"/>
      <c r="V933" s="1"/>
      <c r="W933" s="1"/>
      <c r="X933" s="1"/>
      <c r="Y933" s="1"/>
      <c r="Z933" s="1"/>
    </row>
    <row r="934" spans="1:26" ht="15.75" customHeight="1">
      <c r="A934" s="4"/>
      <c r="B934" s="4"/>
      <c r="C934" s="115"/>
      <c r="D934" s="4"/>
      <c r="E934" s="4"/>
      <c r="F934" s="4"/>
      <c r="G934" s="4"/>
      <c r="H934" s="4"/>
      <c r="I934" s="4"/>
      <c r="J934" s="4"/>
      <c r="K934" s="1"/>
      <c r="L934" s="1"/>
      <c r="M934" s="1"/>
      <c r="N934" s="1"/>
      <c r="O934" s="1"/>
      <c r="P934" s="1"/>
      <c r="Q934" s="1"/>
      <c r="R934" s="1"/>
      <c r="S934" s="1"/>
      <c r="T934" s="1"/>
      <c r="U934" s="1"/>
      <c r="V934" s="1"/>
      <c r="W934" s="1"/>
      <c r="X934" s="1"/>
      <c r="Y934" s="1"/>
      <c r="Z934" s="1"/>
    </row>
    <row r="935" spans="1:26" ht="15.75" customHeight="1">
      <c r="A935" s="4"/>
      <c r="B935" s="4"/>
      <c r="C935" s="115"/>
      <c r="D935" s="4"/>
      <c r="E935" s="4"/>
      <c r="F935" s="4"/>
      <c r="G935" s="4"/>
      <c r="H935" s="4"/>
      <c r="I935" s="4"/>
      <c r="J935" s="4"/>
      <c r="K935" s="1"/>
      <c r="L935" s="1"/>
      <c r="M935" s="1"/>
      <c r="N935" s="1"/>
      <c r="O935" s="1"/>
      <c r="P935" s="1"/>
      <c r="Q935" s="1"/>
      <c r="R935" s="1"/>
      <c r="S935" s="1"/>
      <c r="T935" s="1"/>
      <c r="U935" s="1"/>
      <c r="V935" s="1"/>
      <c r="W935" s="1"/>
      <c r="X935" s="1"/>
      <c r="Y935" s="1"/>
      <c r="Z935" s="1"/>
    </row>
    <row r="936" spans="1:26" ht="15.75" customHeight="1">
      <c r="A936" s="4"/>
      <c r="B936" s="4"/>
      <c r="C936" s="115"/>
      <c r="D936" s="4"/>
      <c r="E936" s="4"/>
      <c r="F936" s="4"/>
      <c r="G936" s="4"/>
      <c r="H936" s="4"/>
      <c r="I936" s="4"/>
      <c r="J936" s="4"/>
      <c r="K936" s="1"/>
      <c r="L936" s="1"/>
      <c r="M936" s="1"/>
      <c r="N936" s="1"/>
      <c r="O936" s="1"/>
      <c r="P936" s="1"/>
      <c r="Q936" s="1"/>
      <c r="R936" s="1"/>
      <c r="S936" s="1"/>
      <c r="T936" s="1"/>
      <c r="U936" s="1"/>
      <c r="V936" s="1"/>
      <c r="W936" s="1"/>
      <c r="X936" s="1"/>
      <c r="Y936" s="1"/>
      <c r="Z936" s="1"/>
    </row>
    <row r="937" spans="1:26" ht="15.75" customHeight="1">
      <c r="A937" s="4"/>
      <c r="B937" s="4"/>
      <c r="C937" s="115"/>
      <c r="D937" s="4"/>
      <c r="E937" s="4"/>
      <c r="F937" s="4"/>
      <c r="G937" s="4"/>
      <c r="H937" s="4"/>
      <c r="I937" s="4"/>
      <c r="J937" s="4"/>
      <c r="K937" s="1"/>
      <c r="L937" s="1"/>
      <c r="M937" s="1"/>
      <c r="N937" s="1"/>
      <c r="O937" s="1"/>
      <c r="P937" s="1"/>
      <c r="Q937" s="1"/>
      <c r="R937" s="1"/>
      <c r="S937" s="1"/>
      <c r="T937" s="1"/>
      <c r="U937" s="1"/>
      <c r="V937" s="1"/>
      <c r="W937" s="1"/>
      <c r="X937" s="1"/>
      <c r="Y937" s="1"/>
      <c r="Z937" s="1"/>
    </row>
    <row r="938" spans="1:26" ht="15.75" customHeight="1">
      <c r="A938" s="4"/>
      <c r="B938" s="4"/>
      <c r="C938" s="115"/>
      <c r="D938" s="4"/>
      <c r="E938" s="4"/>
      <c r="F938" s="4"/>
      <c r="G938" s="4"/>
      <c r="H938" s="4"/>
      <c r="I938" s="4"/>
      <c r="J938" s="4"/>
      <c r="K938" s="1"/>
      <c r="L938" s="1"/>
      <c r="M938" s="1"/>
      <c r="N938" s="1"/>
      <c r="O938" s="1"/>
      <c r="P938" s="1"/>
      <c r="Q938" s="1"/>
      <c r="R938" s="1"/>
      <c r="S938" s="1"/>
      <c r="T938" s="1"/>
      <c r="U938" s="1"/>
      <c r="V938" s="1"/>
      <c r="W938" s="1"/>
      <c r="X938" s="1"/>
      <c r="Y938" s="1"/>
      <c r="Z938" s="1"/>
    </row>
    <row r="939" spans="1:26" ht="15.75" customHeight="1">
      <c r="A939" s="4"/>
      <c r="B939" s="4"/>
      <c r="C939" s="115"/>
      <c r="D939" s="4"/>
      <c r="E939" s="4"/>
      <c r="F939" s="4"/>
      <c r="G939" s="4"/>
      <c r="H939" s="4"/>
      <c r="I939" s="4"/>
      <c r="J939" s="4"/>
      <c r="K939" s="1"/>
      <c r="L939" s="1"/>
      <c r="M939" s="1"/>
      <c r="N939" s="1"/>
      <c r="O939" s="1"/>
      <c r="P939" s="1"/>
      <c r="Q939" s="1"/>
      <c r="R939" s="1"/>
      <c r="S939" s="1"/>
      <c r="T939" s="1"/>
      <c r="U939" s="1"/>
      <c r="V939" s="1"/>
      <c r="W939" s="1"/>
      <c r="X939" s="1"/>
      <c r="Y939" s="1"/>
      <c r="Z939" s="1"/>
    </row>
    <row r="940" spans="1:26" ht="15.75" customHeight="1">
      <c r="A940" s="4"/>
      <c r="B940" s="4"/>
      <c r="C940" s="115"/>
      <c r="D940" s="4"/>
      <c r="E940" s="4"/>
      <c r="F940" s="4"/>
      <c r="G940" s="4"/>
      <c r="H940" s="4"/>
      <c r="I940" s="4"/>
      <c r="J940" s="4"/>
      <c r="K940" s="1"/>
      <c r="L940" s="1"/>
      <c r="M940" s="1"/>
      <c r="N940" s="1"/>
      <c r="O940" s="1"/>
      <c r="P940" s="1"/>
      <c r="Q940" s="1"/>
      <c r="R940" s="1"/>
      <c r="S940" s="1"/>
      <c r="T940" s="1"/>
      <c r="U940" s="1"/>
      <c r="V940" s="1"/>
      <c r="W940" s="1"/>
      <c r="X940" s="1"/>
      <c r="Y940" s="1"/>
      <c r="Z940" s="1"/>
    </row>
    <row r="941" spans="1:26" ht="15.75" customHeight="1">
      <c r="A941" s="4"/>
      <c r="B941" s="4"/>
      <c r="C941" s="115"/>
      <c r="D941" s="4"/>
      <c r="E941" s="4"/>
      <c r="F941" s="4"/>
      <c r="G941" s="4"/>
      <c r="H941" s="4"/>
      <c r="I941" s="4"/>
      <c r="J941" s="4"/>
      <c r="K941" s="1"/>
      <c r="L941" s="1"/>
      <c r="M941" s="1"/>
      <c r="N941" s="1"/>
      <c r="O941" s="1"/>
      <c r="P941" s="1"/>
      <c r="Q941" s="1"/>
      <c r="R941" s="1"/>
      <c r="S941" s="1"/>
      <c r="T941" s="1"/>
      <c r="U941" s="1"/>
      <c r="V941" s="1"/>
      <c r="W941" s="1"/>
      <c r="X941" s="1"/>
      <c r="Y941" s="1"/>
      <c r="Z941" s="1"/>
    </row>
    <row r="942" spans="1:26" ht="15.75" customHeight="1">
      <c r="A942" s="4"/>
      <c r="B942" s="4"/>
      <c r="C942" s="115"/>
      <c r="D942" s="4"/>
      <c r="E942" s="4"/>
      <c r="F942" s="4"/>
      <c r="G942" s="4"/>
      <c r="H942" s="4"/>
      <c r="I942" s="4"/>
      <c r="J942" s="4"/>
      <c r="K942" s="1"/>
      <c r="L942" s="1"/>
      <c r="M942" s="1"/>
      <c r="N942" s="1"/>
      <c r="O942" s="1"/>
      <c r="P942" s="1"/>
      <c r="Q942" s="1"/>
      <c r="R942" s="1"/>
      <c r="S942" s="1"/>
      <c r="T942" s="1"/>
      <c r="U942" s="1"/>
      <c r="V942" s="1"/>
      <c r="W942" s="1"/>
      <c r="X942" s="1"/>
      <c r="Y942" s="1"/>
      <c r="Z942" s="1"/>
    </row>
    <row r="943" spans="1:26" ht="15.75" customHeight="1">
      <c r="A943" s="4"/>
      <c r="B943" s="4"/>
      <c r="C943" s="115"/>
      <c r="D943" s="4"/>
      <c r="E943" s="4"/>
      <c r="F943" s="4"/>
      <c r="G943" s="4"/>
      <c r="H943" s="4"/>
      <c r="I943" s="4"/>
      <c r="J943" s="4"/>
      <c r="K943" s="1"/>
      <c r="L943" s="1"/>
      <c r="M943" s="1"/>
      <c r="N943" s="1"/>
      <c r="O943" s="1"/>
      <c r="P943" s="1"/>
      <c r="Q943" s="1"/>
      <c r="R943" s="1"/>
      <c r="S943" s="1"/>
      <c r="T943" s="1"/>
      <c r="U943" s="1"/>
      <c r="V943" s="1"/>
      <c r="W943" s="1"/>
      <c r="X943" s="1"/>
      <c r="Y943" s="1"/>
      <c r="Z943" s="1"/>
    </row>
    <row r="944" spans="1:26" ht="15.75" customHeight="1">
      <c r="A944" s="4"/>
      <c r="B944" s="4"/>
      <c r="C944" s="115"/>
      <c r="D944" s="4"/>
      <c r="E944" s="4"/>
      <c r="F944" s="4"/>
      <c r="G944" s="4"/>
      <c r="H944" s="4"/>
      <c r="I944" s="4"/>
      <c r="J944" s="4"/>
      <c r="K944" s="1"/>
      <c r="L944" s="1"/>
      <c r="M944" s="1"/>
      <c r="N944" s="1"/>
      <c r="O944" s="1"/>
      <c r="P944" s="1"/>
      <c r="Q944" s="1"/>
      <c r="R944" s="1"/>
      <c r="S944" s="1"/>
      <c r="T944" s="1"/>
      <c r="U944" s="1"/>
      <c r="V944" s="1"/>
      <c r="W944" s="1"/>
      <c r="X944" s="1"/>
      <c r="Y944" s="1"/>
      <c r="Z944" s="1"/>
    </row>
    <row r="945" spans="1:26" ht="15.75" customHeight="1">
      <c r="A945" s="4"/>
      <c r="B945" s="4"/>
      <c r="C945" s="115"/>
      <c r="D945" s="4"/>
      <c r="E945" s="4"/>
      <c r="F945" s="4"/>
      <c r="G945" s="4"/>
      <c r="H945" s="4"/>
      <c r="I945" s="4"/>
      <c r="J945" s="4"/>
      <c r="K945" s="1"/>
      <c r="L945" s="1"/>
      <c r="M945" s="1"/>
      <c r="N945" s="1"/>
      <c r="O945" s="1"/>
      <c r="P945" s="1"/>
      <c r="Q945" s="1"/>
      <c r="R945" s="1"/>
      <c r="S945" s="1"/>
      <c r="T945" s="1"/>
      <c r="U945" s="1"/>
      <c r="V945" s="1"/>
      <c r="W945" s="1"/>
      <c r="X945" s="1"/>
      <c r="Y945" s="1"/>
      <c r="Z945" s="1"/>
    </row>
    <row r="946" spans="1:26" ht="15.75" customHeight="1">
      <c r="A946" s="4"/>
      <c r="B946" s="4"/>
      <c r="C946" s="115"/>
      <c r="D946" s="4"/>
      <c r="E946" s="4"/>
      <c r="F946" s="4"/>
      <c r="G946" s="4"/>
      <c r="H946" s="4"/>
      <c r="I946" s="4"/>
      <c r="J946" s="4"/>
      <c r="K946" s="1"/>
      <c r="L946" s="1"/>
      <c r="M946" s="1"/>
      <c r="N946" s="1"/>
      <c r="O946" s="1"/>
      <c r="P946" s="1"/>
      <c r="Q946" s="1"/>
      <c r="R946" s="1"/>
      <c r="S946" s="1"/>
      <c r="T946" s="1"/>
      <c r="U946" s="1"/>
      <c r="V946" s="1"/>
      <c r="W946" s="1"/>
      <c r="X946" s="1"/>
      <c r="Y946" s="1"/>
      <c r="Z946" s="1"/>
    </row>
    <row r="947" spans="1:26" ht="15.75" customHeight="1">
      <c r="A947" s="4"/>
      <c r="B947" s="4"/>
      <c r="C947" s="115"/>
      <c r="D947" s="4"/>
      <c r="E947" s="4"/>
      <c r="F947" s="4"/>
      <c r="G947" s="4"/>
      <c r="H947" s="4"/>
      <c r="I947" s="4"/>
      <c r="J947" s="4"/>
      <c r="K947" s="1"/>
      <c r="L947" s="1"/>
      <c r="M947" s="1"/>
      <c r="N947" s="1"/>
      <c r="O947" s="1"/>
      <c r="P947" s="1"/>
      <c r="Q947" s="1"/>
      <c r="R947" s="1"/>
      <c r="S947" s="1"/>
      <c r="T947" s="1"/>
      <c r="U947" s="1"/>
      <c r="V947" s="1"/>
      <c r="W947" s="1"/>
      <c r="X947" s="1"/>
      <c r="Y947" s="1"/>
      <c r="Z947" s="1"/>
    </row>
    <row r="948" spans="1:26" ht="15.75" customHeight="1">
      <c r="A948" s="4"/>
      <c r="B948" s="4"/>
      <c r="C948" s="115"/>
      <c r="D948" s="4"/>
      <c r="E948" s="4"/>
      <c r="F948" s="4"/>
      <c r="G948" s="4"/>
      <c r="H948" s="4"/>
      <c r="I948" s="4"/>
      <c r="J948" s="4"/>
      <c r="K948" s="1"/>
      <c r="L948" s="1"/>
      <c r="M948" s="1"/>
      <c r="N948" s="1"/>
      <c r="O948" s="1"/>
      <c r="P948" s="1"/>
      <c r="Q948" s="1"/>
      <c r="R948" s="1"/>
      <c r="S948" s="1"/>
      <c r="T948" s="1"/>
      <c r="U948" s="1"/>
      <c r="V948" s="1"/>
      <c r="W948" s="1"/>
      <c r="X948" s="1"/>
      <c r="Y948" s="1"/>
      <c r="Z948" s="1"/>
    </row>
    <row r="949" spans="1:26" ht="15.75" customHeight="1">
      <c r="A949" s="4"/>
      <c r="B949" s="4"/>
      <c r="C949" s="115"/>
      <c r="D949" s="4"/>
      <c r="E949" s="4"/>
      <c r="F949" s="4"/>
      <c r="G949" s="4"/>
      <c r="H949" s="4"/>
      <c r="I949" s="4"/>
      <c r="J949" s="4"/>
      <c r="K949" s="1"/>
      <c r="L949" s="1"/>
      <c r="M949" s="1"/>
      <c r="N949" s="1"/>
      <c r="O949" s="1"/>
      <c r="P949" s="1"/>
      <c r="Q949" s="1"/>
      <c r="R949" s="1"/>
      <c r="S949" s="1"/>
      <c r="T949" s="1"/>
      <c r="U949" s="1"/>
      <c r="V949" s="1"/>
      <c r="W949" s="1"/>
      <c r="X949" s="1"/>
      <c r="Y949" s="1"/>
      <c r="Z949" s="1"/>
    </row>
    <row r="950" spans="1:26" ht="15.75" customHeight="1">
      <c r="A950" s="4"/>
      <c r="B950" s="4"/>
      <c r="C950" s="115"/>
      <c r="D950" s="4"/>
      <c r="E950" s="4"/>
      <c r="F950" s="4"/>
      <c r="G950" s="4"/>
      <c r="H950" s="4"/>
      <c r="I950" s="4"/>
      <c r="J950" s="4"/>
      <c r="K950" s="1"/>
      <c r="L950" s="1"/>
      <c r="M950" s="1"/>
      <c r="N950" s="1"/>
      <c r="O950" s="1"/>
      <c r="P950" s="1"/>
      <c r="Q950" s="1"/>
      <c r="R950" s="1"/>
      <c r="S950" s="1"/>
      <c r="T950" s="1"/>
      <c r="U950" s="1"/>
      <c r="V950" s="1"/>
      <c r="W950" s="1"/>
      <c r="X950" s="1"/>
      <c r="Y950" s="1"/>
      <c r="Z950" s="1"/>
    </row>
    <row r="951" spans="1:26" ht="15.75" customHeight="1">
      <c r="A951" s="4"/>
      <c r="B951" s="4"/>
      <c r="C951" s="115"/>
      <c r="D951" s="4"/>
      <c r="E951" s="4"/>
      <c r="F951" s="4"/>
      <c r="G951" s="4"/>
      <c r="H951" s="4"/>
      <c r="I951" s="4"/>
      <c r="J951" s="4"/>
      <c r="K951" s="1"/>
      <c r="L951" s="1"/>
      <c r="M951" s="1"/>
      <c r="N951" s="1"/>
      <c r="O951" s="1"/>
      <c r="P951" s="1"/>
      <c r="Q951" s="1"/>
      <c r="R951" s="1"/>
      <c r="S951" s="1"/>
      <c r="T951" s="1"/>
      <c r="U951" s="1"/>
      <c r="V951" s="1"/>
      <c r="W951" s="1"/>
      <c r="X951" s="1"/>
      <c r="Y951" s="1"/>
      <c r="Z951" s="1"/>
    </row>
    <row r="952" spans="1:26" ht="15.75" customHeight="1">
      <c r="A952" s="4"/>
      <c r="B952" s="4"/>
      <c r="C952" s="115"/>
      <c r="D952" s="4"/>
      <c r="E952" s="4"/>
      <c r="F952" s="4"/>
      <c r="G952" s="4"/>
      <c r="H952" s="4"/>
      <c r="I952" s="4"/>
      <c r="J952" s="4"/>
      <c r="K952" s="1"/>
      <c r="L952" s="1"/>
      <c r="M952" s="1"/>
      <c r="N952" s="1"/>
      <c r="O952" s="1"/>
      <c r="P952" s="1"/>
      <c r="Q952" s="1"/>
      <c r="R952" s="1"/>
      <c r="S952" s="1"/>
      <c r="T952" s="1"/>
      <c r="U952" s="1"/>
      <c r="V952" s="1"/>
      <c r="W952" s="1"/>
      <c r="X952" s="1"/>
      <c r="Y952" s="1"/>
      <c r="Z952" s="1"/>
    </row>
    <row r="953" spans="1:26" ht="15.75" customHeight="1">
      <c r="A953" s="4"/>
      <c r="B953" s="4"/>
      <c r="C953" s="115"/>
      <c r="D953" s="4"/>
      <c r="E953" s="4"/>
      <c r="F953" s="4"/>
      <c r="G953" s="4"/>
      <c r="H953" s="4"/>
      <c r="I953" s="4"/>
      <c r="J953" s="4"/>
      <c r="K953" s="1"/>
      <c r="L953" s="1"/>
      <c r="M953" s="1"/>
      <c r="N953" s="1"/>
      <c r="O953" s="1"/>
      <c r="P953" s="1"/>
      <c r="Q953" s="1"/>
      <c r="R953" s="1"/>
      <c r="S953" s="1"/>
      <c r="T953" s="1"/>
      <c r="U953" s="1"/>
      <c r="V953" s="1"/>
      <c r="W953" s="1"/>
      <c r="X953" s="1"/>
      <c r="Y953" s="1"/>
      <c r="Z953" s="1"/>
    </row>
    <row r="954" spans="1:26" ht="15.75" customHeight="1">
      <c r="A954" s="4"/>
      <c r="B954" s="4"/>
      <c r="C954" s="115"/>
      <c r="D954" s="4"/>
      <c r="E954" s="4"/>
      <c r="F954" s="4"/>
      <c r="G954" s="4"/>
      <c r="H954" s="4"/>
      <c r="I954" s="4"/>
      <c r="J954" s="4"/>
      <c r="K954" s="1"/>
      <c r="L954" s="1"/>
      <c r="M954" s="1"/>
      <c r="N954" s="1"/>
      <c r="O954" s="1"/>
      <c r="P954" s="1"/>
      <c r="Q954" s="1"/>
      <c r="R954" s="1"/>
      <c r="S954" s="1"/>
      <c r="T954" s="1"/>
      <c r="U954" s="1"/>
      <c r="V954" s="1"/>
      <c r="W954" s="1"/>
      <c r="X954" s="1"/>
      <c r="Y954" s="1"/>
      <c r="Z954" s="1"/>
    </row>
    <row r="955" spans="1:26" ht="15.75" customHeight="1">
      <c r="A955" s="4"/>
      <c r="B955" s="4"/>
      <c r="C955" s="115"/>
      <c r="D955" s="4"/>
      <c r="E955" s="4"/>
      <c r="F955" s="4"/>
      <c r="G955" s="4"/>
      <c r="H955" s="4"/>
      <c r="I955" s="4"/>
      <c r="J955" s="4"/>
      <c r="K955" s="1"/>
      <c r="L955" s="1"/>
      <c r="M955" s="1"/>
      <c r="N955" s="1"/>
      <c r="O955" s="1"/>
      <c r="P955" s="1"/>
      <c r="Q955" s="1"/>
      <c r="R955" s="1"/>
      <c r="S955" s="1"/>
      <c r="T955" s="1"/>
      <c r="U955" s="1"/>
      <c r="V955" s="1"/>
      <c r="W955" s="1"/>
      <c r="X955" s="1"/>
      <c r="Y955" s="1"/>
      <c r="Z955" s="1"/>
    </row>
    <row r="956" spans="1:26" ht="15.75" customHeight="1">
      <c r="A956" s="4"/>
      <c r="B956" s="4"/>
      <c r="C956" s="115"/>
      <c r="D956" s="4"/>
      <c r="E956" s="4"/>
      <c r="F956" s="4"/>
      <c r="G956" s="4"/>
      <c r="H956" s="4"/>
      <c r="I956" s="4"/>
      <c r="J956" s="4"/>
      <c r="K956" s="1"/>
      <c r="L956" s="1"/>
      <c r="M956" s="1"/>
      <c r="N956" s="1"/>
      <c r="O956" s="1"/>
      <c r="P956" s="1"/>
      <c r="Q956" s="1"/>
      <c r="R956" s="1"/>
      <c r="S956" s="1"/>
      <c r="T956" s="1"/>
      <c r="U956" s="1"/>
      <c r="V956" s="1"/>
      <c r="W956" s="1"/>
      <c r="X956" s="1"/>
      <c r="Y956" s="1"/>
      <c r="Z956" s="1"/>
    </row>
    <row r="957" spans="1:26" ht="15.75" customHeight="1">
      <c r="A957" s="4"/>
      <c r="B957" s="4"/>
      <c r="C957" s="115"/>
      <c r="D957" s="4"/>
      <c r="E957" s="4"/>
      <c r="F957" s="4"/>
      <c r="G957" s="4"/>
      <c r="H957" s="4"/>
      <c r="I957" s="4"/>
      <c r="J957" s="4"/>
      <c r="K957" s="1"/>
      <c r="L957" s="1"/>
      <c r="M957" s="1"/>
      <c r="N957" s="1"/>
      <c r="O957" s="1"/>
      <c r="P957" s="1"/>
      <c r="Q957" s="1"/>
      <c r="R957" s="1"/>
      <c r="S957" s="1"/>
      <c r="T957" s="1"/>
      <c r="U957" s="1"/>
      <c r="V957" s="1"/>
      <c r="W957" s="1"/>
      <c r="X957" s="1"/>
      <c r="Y957" s="1"/>
      <c r="Z957" s="1"/>
    </row>
    <row r="958" spans="1:26" ht="15.75" customHeight="1">
      <c r="A958" s="4"/>
      <c r="B958" s="4"/>
      <c r="C958" s="115"/>
      <c r="D958" s="4"/>
      <c r="E958" s="4"/>
      <c r="F958" s="4"/>
      <c r="G958" s="4"/>
      <c r="H958" s="4"/>
      <c r="I958" s="4"/>
      <c r="J958" s="4"/>
      <c r="K958" s="1"/>
      <c r="L958" s="1"/>
      <c r="M958" s="1"/>
      <c r="N958" s="1"/>
      <c r="O958" s="1"/>
      <c r="P958" s="1"/>
      <c r="Q958" s="1"/>
      <c r="R958" s="1"/>
      <c r="S958" s="1"/>
      <c r="T958" s="1"/>
      <c r="U958" s="1"/>
      <c r="V958" s="1"/>
      <c r="W958" s="1"/>
      <c r="X958" s="1"/>
      <c r="Y958" s="1"/>
      <c r="Z958" s="1"/>
    </row>
    <row r="959" spans="1:26" ht="15.75" customHeight="1">
      <c r="A959" s="4"/>
      <c r="B959" s="4"/>
      <c r="C959" s="115"/>
      <c r="D959" s="4"/>
      <c r="E959" s="4"/>
      <c r="F959" s="4"/>
      <c r="G959" s="4"/>
      <c r="H959" s="4"/>
      <c r="I959" s="4"/>
      <c r="J959" s="4"/>
      <c r="K959" s="1"/>
      <c r="L959" s="1"/>
      <c r="M959" s="1"/>
      <c r="N959" s="1"/>
      <c r="O959" s="1"/>
      <c r="P959" s="1"/>
      <c r="Q959" s="1"/>
      <c r="R959" s="1"/>
      <c r="S959" s="1"/>
      <c r="T959" s="1"/>
      <c r="U959" s="1"/>
      <c r="V959" s="1"/>
      <c r="W959" s="1"/>
      <c r="X959" s="1"/>
      <c r="Y959" s="1"/>
      <c r="Z959" s="1"/>
    </row>
    <row r="960" spans="1:26" ht="15.75" customHeight="1">
      <c r="A960" s="4"/>
      <c r="B960" s="4"/>
      <c r="C960" s="115"/>
      <c r="D960" s="4"/>
      <c r="E960" s="4"/>
      <c r="F960" s="4"/>
      <c r="G960" s="4"/>
      <c r="H960" s="4"/>
      <c r="I960" s="4"/>
      <c r="J960" s="4"/>
      <c r="K960" s="1"/>
      <c r="L960" s="1"/>
      <c r="M960" s="1"/>
      <c r="N960" s="1"/>
      <c r="O960" s="1"/>
      <c r="P960" s="1"/>
      <c r="Q960" s="1"/>
      <c r="R960" s="1"/>
      <c r="S960" s="1"/>
      <c r="T960" s="1"/>
      <c r="U960" s="1"/>
      <c r="V960" s="1"/>
      <c r="W960" s="1"/>
      <c r="X960" s="1"/>
      <c r="Y960" s="1"/>
      <c r="Z960" s="1"/>
    </row>
    <row r="961" spans="1:26" ht="15.75" customHeight="1">
      <c r="A961" s="4"/>
      <c r="B961" s="4"/>
      <c r="C961" s="115"/>
      <c r="D961" s="4"/>
      <c r="E961" s="4"/>
      <c r="F961" s="4"/>
      <c r="G961" s="4"/>
      <c r="H961" s="4"/>
      <c r="I961" s="4"/>
      <c r="J961" s="4"/>
      <c r="K961" s="1"/>
      <c r="L961" s="1"/>
      <c r="M961" s="1"/>
      <c r="N961" s="1"/>
      <c r="O961" s="1"/>
      <c r="P961" s="1"/>
      <c r="Q961" s="1"/>
      <c r="R961" s="1"/>
      <c r="S961" s="1"/>
      <c r="T961" s="1"/>
      <c r="U961" s="1"/>
      <c r="V961" s="1"/>
      <c r="W961" s="1"/>
      <c r="X961" s="1"/>
      <c r="Y961" s="1"/>
      <c r="Z961" s="1"/>
    </row>
    <row r="962" spans="1:26" ht="15.75" customHeight="1">
      <c r="A962" s="4"/>
      <c r="B962" s="4"/>
      <c r="C962" s="115"/>
      <c r="D962" s="4"/>
      <c r="E962" s="4"/>
      <c r="F962" s="4"/>
      <c r="G962" s="4"/>
      <c r="H962" s="4"/>
      <c r="I962" s="4"/>
      <c r="J962" s="4"/>
      <c r="K962" s="1"/>
      <c r="L962" s="1"/>
      <c r="M962" s="1"/>
      <c r="N962" s="1"/>
      <c r="O962" s="1"/>
      <c r="P962" s="1"/>
      <c r="Q962" s="1"/>
      <c r="R962" s="1"/>
      <c r="S962" s="1"/>
      <c r="T962" s="1"/>
      <c r="U962" s="1"/>
      <c r="V962" s="1"/>
      <c r="W962" s="1"/>
      <c r="X962" s="1"/>
      <c r="Y962" s="1"/>
      <c r="Z962" s="1"/>
    </row>
    <row r="963" spans="1:26" ht="15.75" customHeight="1">
      <c r="A963" s="4"/>
      <c r="B963" s="4"/>
      <c r="C963" s="115"/>
      <c r="D963" s="4"/>
      <c r="E963" s="4"/>
      <c r="F963" s="4"/>
      <c r="G963" s="4"/>
      <c r="H963" s="4"/>
      <c r="I963" s="4"/>
      <c r="J963" s="4"/>
      <c r="K963" s="1"/>
      <c r="L963" s="1"/>
      <c r="M963" s="1"/>
      <c r="N963" s="1"/>
      <c r="O963" s="1"/>
      <c r="P963" s="1"/>
      <c r="Q963" s="1"/>
      <c r="R963" s="1"/>
      <c r="S963" s="1"/>
      <c r="T963" s="1"/>
      <c r="U963" s="1"/>
      <c r="V963" s="1"/>
      <c r="W963" s="1"/>
      <c r="X963" s="1"/>
      <c r="Y963" s="1"/>
      <c r="Z963" s="1"/>
    </row>
    <row r="964" spans="1:26" ht="15.75" customHeight="1">
      <c r="A964" s="4"/>
      <c r="B964" s="4"/>
      <c r="C964" s="115"/>
      <c r="D964" s="4"/>
      <c r="E964" s="4"/>
      <c r="F964" s="4"/>
      <c r="G964" s="4"/>
      <c r="H964" s="4"/>
      <c r="I964" s="4"/>
      <c r="J964" s="4"/>
      <c r="K964" s="1"/>
      <c r="L964" s="1"/>
      <c r="M964" s="1"/>
      <c r="N964" s="1"/>
      <c r="O964" s="1"/>
      <c r="P964" s="1"/>
      <c r="Q964" s="1"/>
      <c r="R964" s="1"/>
      <c r="S964" s="1"/>
      <c r="T964" s="1"/>
      <c r="U964" s="1"/>
      <c r="V964" s="1"/>
      <c r="W964" s="1"/>
      <c r="X964" s="1"/>
      <c r="Y964" s="1"/>
      <c r="Z964" s="1"/>
    </row>
    <row r="965" spans="1:26" ht="15.75" customHeight="1">
      <c r="A965" s="4"/>
      <c r="B965" s="4"/>
      <c r="C965" s="115"/>
      <c r="D965" s="4"/>
      <c r="E965" s="4"/>
      <c r="F965" s="4"/>
      <c r="G965" s="4"/>
      <c r="H965" s="4"/>
      <c r="I965" s="4"/>
      <c r="J965" s="4"/>
      <c r="K965" s="1"/>
      <c r="L965" s="1"/>
      <c r="M965" s="1"/>
      <c r="N965" s="1"/>
      <c r="O965" s="1"/>
      <c r="P965" s="1"/>
      <c r="Q965" s="1"/>
      <c r="R965" s="1"/>
      <c r="S965" s="1"/>
      <c r="T965" s="1"/>
      <c r="U965" s="1"/>
      <c r="V965" s="1"/>
      <c r="W965" s="1"/>
      <c r="X965" s="1"/>
      <c r="Y965" s="1"/>
      <c r="Z965" s="1"/>
    </row>
    <row r="966" spans="1:26" ht="15.75" customHeight="1">
      <c r="A966" s="4"/>
      <c r="B966" s="4"/>
      <c r="C966" s="115"/>
      <c r="D966" s="4"/>
      <c r="E966" s="4"/>
      <c r="F966" s="4"/>
      <c r="G966" s="4"/>
      <c r="H966" s="4"/>
      <c r="I966" s="4"/>
      <c r="J966" s="4"/>
      <c r="K966" s="1"/>
      <c r="L966" s="1"/>
      <c r="M966" s="1"/>
      <c r="N966" s="1"/>
      <c r="O966" s="1"/>
      <c r="P966" s="1"/>
      <c r="Q966" s="1"/>
      <c r="R966" s="1"/>
      <c r="S966" s="1"/>
      <c r="T966" s="1"/>
      <c r="U966" s="1"/>
      <c r="V966" s="1"/>
      <c r="W966" s="1"/>
      <c r="X966" s="1"/>
      <c r="Y966" s="1"/>
      <c r="Z966" s="1"/>
    </row>
    <row r="967" spans="1:26" ht="15.75" customHeight="1">
      <c r="A967" s="4"/>
      <c r="B967" s="4"/>
      <c r="C967" s="115"/>
      <c r="D967" s="4"/>
      <c r="E967" s="4"/>
      <c r="F967" s="4"/>
      <c r="G967" s="4"/>
      <c r="H967" s="4"/>
      <c r="I967" s="4"/>
      <c r="J967" s="4"/>
      <c r="K967" s="1"/>
      <c r="L967" s="1"/>
      <c r="M967" s="1"/>
      <c r="N967" s="1"/>
      <c r="O967" s="1"/>
      <c r="P967" s="1"/>
      <c r="Q967" s="1"/>
      <c r="R967" s="1"/>
      <c r="S967" s="1"/>
      <c r="T967" s="1"/>
      <c r="U967" s="1"/>
      <c r="V967" s="1"/>
      <c r="W967" s="1"/>
      <c r="X967" s="1"/>
      <c r="Y967" s="1"/>
      <c r="Z967" s="1"/>
    </row>
    <row r="968" spans="1:26" ht="15.75" customHeight="1">
      <c r="A968" s="4"/>
      <c r="B968" s="4"/>
      <c r="C968" s="115"/>
      <c r="D968" s="4"/>
      <c r="E968" s="4"/>
      <c r="F968" s="4"/>
      <c r="G968" s="4"/>
      <c r="H968" s="4"/>
      <c r="I968" s="4"/>
      <c r="J968" s="4"/>
      <c r="K968" s="1"/>
      <c r="L968" s="1"/>
      <c r="M968" s="1"/>
      <c r="N968" s="1"/>
      <c r="O968" s="1"/>
      <c r="P968" s="1"/>
      <c r="Q968" s="1"/>
      <c r="R968" s="1"/>
      <c r="S968" s="1"/>
      <c r="T968" s="1"/>
      <c r="U968" s="1"/>
      <c r="V968" s="1"/>
      <c r="W968" s="1"/>
      <c r="X968" s="1"/>
      <c r="Y968" s="1"/>
      <c r="Z968" s="1"/>
    </row>
    <row r="969" spans="1:26" ht="15.75" customHeight="1">
      <c r="A969" s="4"/>
      <c r="B969" s="4"/>
      <c r="C969" s="115"/>
      <c r="D969" s="4"/>
      <c r="E969" s="4"/>
      <c r="F969" s="4"/>
      <c r="G969" s="4"/>
      <c r="H969" s="4"/>
      <c r="I969" s="4"/>
      <c r="J969" s="4"/>
      <c r="K969" s="1"/>
      <c r="L969" s="1"/>
      <c r="M969" s="1"/>
      <c r="N969" s="1"/>
      <c r="O969" s="1"/>
      <c r="P969" s="1"/>
      <c r="Q969" s="1"/>
      <c r="R969" s="1"/>
      <c r="S969" s="1"/>
      <c r="T969" s="1"/>
      <c r="U969" s="1"/>
      <c r="V969" s="1"/>
      <c r="W969" s="1"/>
      <c r="X969" s="1"/>
      <c r="Y969" s="1"/>
      <c r="Z969" s="1"/>
    </row>
    <row r="970" spans="1:26" ht="15.75" customHeight="1">
      <c r="A970" s="4"/>
      <c r="B970" s="4"/>
      <c r="C970" s="115"/>
      <c r="D970" s="4"/>
      <c r="E970" s="4"/>
      <c r="F970" s="4"/>
      <c r="G970" s="4"/>
      <c r="H970" s="4"/>
      <c r="I970" s="4"/>
      <c r="J970" s="4"/>
      <c r="K970" s="1"/>
      <c r="L970" s="1"/>
      <c r="M970" s="1"/>
      <c r="N970" s="1"/>
      <c r="O970" s="1"/>
      <c r="P970" s="1"/>
      <c r="Q970" s="1"/>
      <c r="R970" s="1"/>
      <c r="S970" s="1"/>
      <c r="T970" s="1"/>
      <c r="U970" s="1"/>
      <c r="V970" s="1"/>
      <c r="W970" s="1"/>
      <c r="X970" s="1"/>
      <c r="Y970" s="1"/>
      <c r="Z970" s="1"/>
    </row>
    <row r="971" spans="1:26" ht="15.75" customHeight="1">
      <c r="A971" s="4"/>
      <c r="B971" s="4"/>
      <c r="C971" s="115"/>
      <c r="D971" s="4"/>
      <c r="E971" s="4"/>
      <c r="F971" s="4"/>
      <c r="G971" s="4"/>
      <c r="H971" s="4"/>
      <c r="I971" s="4"/>
      <c r="J971" s="4"/>
      <c r="K971" s="1"/>
      <c r="L971" s="1"/>
      <c r="M971" s="1"/>
      <c r="N971" s="1"/>
      <c r="O971" s="1"/>
      <c r="P971" s="1"/>
      <c r="Q971" s="1"/>
      <c r="R971" s="1"/>
      <c r="S971" s="1"/>
      <c r="T971" s="1"/>
      <c r="U971" s="1"/>
      <c r="V971" s="1"/>
      <c r="W971" s="1"/>
      <c r="X971" s="1"/>
      <c r="Y971" s="1"/>
      <c r="Z971" s="1"/>
    </row>
    <row r="972" spans="1:26" ht="15.75" customHeight="1">
      <c r="A972" s="4"/>
      <c r="B972" s="4"/>
      <c r="C972" s="115"/>
      <c r="D972" s="4"/>
      <c r="E972" s="4"/>
      <c r="F972" s="4"/>
      <c r="G972" s="4"/>
      <c r="H972" s="4"/>
      <c r="I972" s="4"/>
      <c r="J972" s="4"/>
      <c r="K972" s="1"/>
      <c r="L972" s="1"/>
      <c r="M972" s="1"/>
      <c r="N972" s="1"/>
      <c r="O972" s="1"/>
      <c r="P972" s="1"/>
      <c r="Q972" s="1"/>
      <c r="R972" s="1"/>
      <c r="S972" s="1"/>
      <c r="T972" s="1"/>
      <c r="U972" s="1"/>
      <c r="V972" s="1"/>
      <c r="W972" s="1"/>
      <c r="X972" s="1"/>
      <c r="Y972" s="1"/>
      <c r="Z972" s="1"/>
    </row>
    <row r="973" spans="1:26" ht="15.75" customHeight="1">
      <c r="A973" s="4"/>
      <c r="B973" s="4"/>
      <c r="C973" s="115"/>
      <c r="D973" s="4"/>
      <c r="E973" s="4"/>
      <c r="F973" s="4"/>
      <c r="G973" s="4"/>
      <c r="H973" s="4"/>
      <c r="I973" s="4"/>
      <c r="J973" s="4"/>
      <c r="K973" s="1"/>
      <c r="L973" s="1"/>
      <c r="M973" s="1"/>
      <c r="N973" s="1"/>
      <c r="O973" s="1"/>
      <c r="P973" s="1"/>
      <c r="Q973" s="1"/>
      <c r="R973" s="1"/>
      <c r="S973" s="1"/>
      <c r="T973" s="1"/>
      <c r="U973" s="1"/>
      <c r="V973" s="1"/>
      <c r="W973" s="1"/>
      <c r="X973" s="1"/>
      <c r="Y973" s="1"/>
      <c r="Z973" s="1"/>
    </row>
    <row r="974" spans="1:26" ht="15.75" customHeight="1">
      <c r="A974" s="4"/>
      <c r="B974" s="4"/>
      <c r="C974" s="115"/>
      <c r="D974" s="4"/>
      <c r="E974" s="4"/>
      <c r="F974" s="4"/>
      <c r="G974" s="4"/>
      <c r="H974" s="4"/>
      <c r="I974" s="4"/>
      <c r="J974" s="4"/>
      <c r="K974" s="1"/>
      <c r="L974" s="1"/>
      <c r="M974" s="1"/>
      <c r="N974" s="1"/>
      <c r="O974" s="1"/>
      <c r="P974" s="1"/>
      <c r="Q974" s="1"/>
      <c r="R974" s="1"/>
      <c r="S974" s="1"/>
      <c r="T974" s="1"/>
      <c r="U974" s="1"/>
      <c r="V974" s="1"/>
      <c r="W974" s="1"/>
      <c r="X974" s="1"/>
      <c r="Y974" s="1"/>
      <c r="Z974" s="1"/>
    </row>
    <row r="975" spans="1:26" ht="15.75" customHeight="1">
      <c r="A975" s="4"/>
      <c r="B975" s="4"/>
      <c r="C975" s="115"/>
      <c r="D975" s="4"/>
      <c r="E975" s="4"/>
      <c r="F975" s="4"/>
      <c r="G975" s="4"/>
      <c r="H975" s="4"/>
      <c r="I975" s="4"/>
      <c r="J975" s="4"/>
      <c r="K975" s="1"/>
      <c r="L975" s="1"/>
      <c r="M975" s="1"/>
      <c r="N975" s="1"/>
      <c r="O975" s="1"/>
      <c r="P975" s="1"/>
      <c r="Q975" s="1"/>
      <c r="R975" s="1"/>
      <c r="S975" s="1"/>
      <c r="T975" s="1"/>
      <c r="U975" s="1"/>
      <c r="V975" s="1"/>
      <c r="W975" s="1"/>
      <c r="X975" s="1"/>
      <c r="Y975" s="1"/>
      <c r="Z975" s="1"/>
    </row>
    <row r="976" spans="1:26" ht="15.75" customHeight="1">
      <c r="A976" s="4"/>
      <c r="B976" s="4"/>
      <c r="C976" s="115"/>
      <c r="D976" s="4"/>
      <c r="E976" s="4"/>
      <c r="F976" s="4"/>
      <c r="G976" s="4"/>
      <c r="H976" s="4"/>
      <c r="I976" s="4"/>
      <c r="J976" s="4"/>
      <c r="K976" s="1"/>
      <c r="L976" s="1"/>
      <c r="M976" s="1"/>
      <c r="N976" s="1"/>
      <c r="O976" s="1"/>
      <c r="P976" s="1"/>
      <c r="Q976" s="1"/>
      <c r="R976" s="1"/>
      <c r="S976" s="1"/>
      <c r="T976" s="1"/>
      <c r="U976" s="1"/>
      <c r="V976" s="1"/>
      <c r="W976" s="1"/>
      <c r="X976" s="1"/>
      <c r="Y976" s="1"/>
      <c r="Z976" s="1"/>
    </row>
    <row r="977" spans="1:26" ht="15.75" customHeight="1">
      <c r="A977" s="4"/>
      <c r="B977" s="4"/>
      <c r="C977" s="115"/>
      <c r="D977" s="4"/>
      <c r="E977" s="4"/>
      <c r="F977" s="4"/>
      <c r="G977" s="4"/>
      <c r="H977" s="4"/>
      <c r="I977" s="4"/>
      <c r="J977" s="4"/>
      <c r="K977" s="1"/>
      <c r="L977" s="1"/>
      <c r="M977" s="1"/>
      <c r="N977" s="1"/>
      <c r="O977" s="1"/>
      <c r="P977" s="1"/>
      <c r="Q977" s="1"/>
      <c r="R977" s="1"/>
      <c r="S977" s="1"/>
      <c r="T977" s="1"/>
      <c r="U977" s="1"/>
      <c r="V977" s="1"/>
      <c r="W977" s="1"/>
      <c r="X977" s="1"/>
      <c r="Y977" s="1"/>
      <c r="Z977" s="1"/>
    </row>
    <row r="978" spans="1:26" ht="15.75" customHeight="1">
      <c r="A978" s="4"/>
      <c r="B978" s="4"/>
      <c r="C978" s="115"/>
      <c r="D978" s="4"/>
      <c r="E978" s="4"/>
      <c r="F978" s="4"/>
      <c r="G978" s="4"/>
      <c r="H978" s="4"/>
      <c r="I978" s="4"/>
      <c r="J978" s="4"/>
      <c r="K978" s="1"/>
      <c r="L978" s="1"/>
      <c r="M978" s="1"/>
      <c r="N978" s="1"/>
      <c r="O978" s="1"/>
      <c r="P978" s="1"/>
      <c r="Q978" s="1"/>
      <c r="R978" s="1"/>
      <c r="S978" s="1"/>
      <c r="T978" s="1"/>
      <c r="U978" s="1"/>
      <c r="V978" s="1"/>
      <c r="W978" s="1"/>
      <c r="X978" s="1"/>
      <c r="Y978" s="1"/>
      <c r="Z978" s="1"/>
    </row>
    <row r="979" spans="1:26" ht="15.75" customHeight="1">
      <c r="A979" s="4"/>
      <c r="B979" s="4"/>
      <c r="C979" s="115"/>
      <c r="D979" s="4"/>
      <c r="E979" s="4"/>
      <c r="F979" s="4"/>
      <c r="G979" s="4"/>
      <c r="H979" s="4"/>
      <c r="I979" s="4"/>
      <c r="J979" s="4"/>
      <c r="K979" s="1"/>
      <c r="L979" s="1"/>
      <c r="M979" s="1"/>
      <c r="N979" s="1"/>
      <c r="O979" s="1"/>
      <c r="P979" s="1"/>
      <c r="Q979" s="1"/>
      <c r="R979" s="1"/>
      <c r="S979" s="1"/>
      <c r="T979" s="1"/>
      <c r="U979" s="1"/>
      <c r="V979" s="1"/>
      <c r="W979" s="1"/>
      <c r="X979" s="1"/>
      <c r="Y979" s="1"/>
      <c r="Z979" s="1"/>
    </row>
    <row r="980" spans="1:26" ht="15.75" customHeight="1">
      <c r="A980" s="4"/>
      <c r="B980" s="4"/>
      <c r="C980" s="115"/>
      <c r="D980" s="4"/>
      <c r="E980" s="4"/>
      <c r="F980" s="4"/>
      <c r="G980" s="4"/>
      <c r="H980" s="4"/>
      <c r="I980" s="4"/>
      <c r="J980" s="4"/>
      <c r="K980" s="1"/>
      <c r="L980" s="1"/>
      <c r="M980" s="1"/>
      <c r="N980" s="1"/>
      <c r="O980" s="1"/>
      <c r="P980" s="1"/>
      <c r="Q980" s="1"/>
      <c r="R980" s="1"/>
      <c r="S980" s="1"/>
      <c r="T980" s="1"/>
      <c r="U980" s="1"/>
      <c r="V980" s="1"/>
      <c r="W980" s="1"/>
      <c r="X980" s="1"/>
      <c r="Y980" s="1"/>
      <c r="Z980" s="1"/>
    </row>
    <row r="981" spans="1:26" ht="15.75" customHeight="1">
      <c r="A981" s="4"/>
      <c r="B981" s="4"/>
      <c r="C981" s="115"/>
      <c r="D981" s="4"/>
      <c r="E981" s="4"/>
      <c r="F981" s="4"/>
      <c r="G981" s="4"/>
      <c r="H981" s="4"/>
      <c r="I981" s="4"/>
      <c r="J981" s="4"/>
      <c r="K981" s="1"/>
      <c r="L981" s="1"/>
      <c r="M981" s="1"/>
      <c r="N981" s="1"/>
      <c r="O981" s="1"/>
      <c r="P981" s="1"/>
      <c r="Q981" s="1"/>
      <c r="R981" s="1"/>
      <c r="S981" s="1"/>
      <c r="T981" s="1"/>
      <c r="U981" s="1"/>
      <c r="V981" s="1"/>
      <c r="W981" s="1"/>
      <c r="X981" s="1"/>
      <c r="Y981" s="1"/>
      <c r="Z981" s="1"/>
    </row>
    <row r="982" spans="1:26" ht="15.75" customHeight="1">
      <c r="A982" s="4"/>
      <c r="B982" s="4"/>
      <c r="C982" s="115"/>
      <c r="D982" s="4"/>
      <c r="E982" s="4"/>
      <c r="F982" s="4"/>
      <c r="G982" s="4"/>
      <c r="H982" s="4"/>
      <c r="I982" s="4"/>
      <c r="J982" s="4"/>
      <c r="K982" s="1"/>
      <c r="L982" s="1"/>
      <c r="M982" s="1"/>
      <c r="N982" s="1"/>
      <c r="O982" s="1"/>
      <c r="P982" s="1"/>
      <c r="Q982" s="1"/>
      <c r="R982" s="1"/>
      <c r="S982" s="1"/>
      <c r="T982" s="1"/>
      <c r="U982" s="1"/>
      <c r="V982" s="1"/>
      <c r="W982" s="1"/>
      <c r="X982" s="1"/>
      <c r="Y982" s="1"/>
      <c r="Z982" s="1"/>
    </row>
    <row r="983" spans="1:26" ht="15.75" customHeight="1">
      <c r="A983" s="4"/>
      <c r="B983" s="4"/>
      <c r="C983" s="115"/>
      <c r="D983" s="4"/>
      <c r="E983" s="4"/>
      <c r="F983" s="4"/>
      <c r="G983" s="4"/>
      <c r="H983" s="4"/>
      <c r="I983" s="4"/>
      <c r="J983" s="4"/>
      <c r="K983" s="1"/>
      <c r="L983" s="1"/>
      <c r="M983" s="1"/>
      <c r="N983" s="1"/>
      <c r="O983" s="1"/>
      <c r="P983" s="1"/>
      <c r="Q983" s="1"/>
      <c r="R983" s="1"/>
      <c r="S983" s="1"/>
      <c r="T983" s="1"/>
      <c r="U983" s="1"/>
      <c r="V983" s="1"/>
      <c r="W983" s="1"/>
      <c r="X983" s="1"/>
      <c r="Y983" s="1"/>
      <c r="Z983" s="1"/>
    </row>
    <row r="984" spans="1:26" ht="15.75" customHeight="1">
      <c r="A984" s="4"/>
      <c r="B984" s="4"/>
      <c r="C984" s="115"/>
      <c r="D984" s="4"/>
      <c r="E984" s="4"/>
      <c r="F984" s="4"/>
      <c r="G984" s="4"/>
      <c r="H984" s="4"/>
      <c r="I984" s="4"/>
      <c r="J984" s="4"/>
      <c r="K984" s="1"/>
      <c r="L984" s="1"/>
      <c r="M984" s="1"/>
      <c r="N984" s="1"/>
      <c r="O984" s="1"/>
      <c r="P984" s="1"/>
      <c r="Q984" s="1"/>
      <c r="R984" s="1"/>
      <c r="S984" s="1"/>
      <c r="T984" s="1"/>
      <c r="U984" s="1"/>
      <c r="V984" s="1"/>
      <c r="W984" s="1"/>
      <c r="X984" s="1"/>
      <c r="Y984" s="1"/>
      <c r="Z984" s="1"/>
    </row>
    <row r="985" spans="1:26" ht="15.75" customHeight="1">
      <c r="A985" s="4"/>
      <c r="B985" s="4"/>
      <c r="C985" s="115"/>
      <c r="D985" s="4"/>
      <c r="E985" s="4"/>
      <c r="F985" s="4"/>
      <c r="G985" s="4"/>
      <c r="H985" s="4"/>
      <c r="I985" s="4"/>
      <c r="J985" s="4"/>
      <c r="K985" s="1"/>
      <c r="L985" s="1"/>
      <c r="M985" s="1"/>
      <c r="N985" s="1"/>
      <c r="O985" s="1"/>
      <c r="P985" s="1"/>
      <c r="Q985" s="1"/>
      <c r="R985" s="1"/>
      <c r="S985" s="1"/>
      <c r="T985" s="1"/>
      <c r="U985" s="1"/>
      <c r="V985" s="1"/>
      <c r="W985" s="1"/>
      <c r="X985" s="1"/>
      <c r="Y985" s="1"/>
      <c r="Z985" s="1"/>
    </row>
    <row r="986" spans="1:26" ht="15.75" customHeight="1">
      <c r="A986" s="4"/>
      <c r="B986" s="4"/>
      <c r="C986" s="115"/>
      <c r="D986" s="4"/>
      <c r="E986" s="4"/>
      <c r="F986" s="4"/>
      <c r="G986" s="4"/>
      <c r="H986" s="4"/>
      <c r="I986" s="4"/>
      <c r="J986" s="4"/>
      <c r="K986" s="1"/>
      <c r="L986" s="1"/>
      <c r="M986" s="1"/>
      <c r="N986" s="1"/>
      <c r="O986" s="1"/>
      <c r="P986" s="1"/>
      <c r="Q986" s="1"/>
      <c r="R986" s="1"/>
      <c r="S986" s="1"/>
      <c r="T986" s="1"/>
      <c r="U986" s="1"/>
      <c r="V986" s="1"/>
      <c r="W986" s="1"/>
      <c r="X986" s="1"/>
      <c r="Y986" s="1"/>
      <c r="Z986" s="1"/>
    </row>
    <row r="987" spans="1:26" ht="15.75" customHeight="1">
      <c r="A987" s="4"/>
      <c r="B987" s="4"/>
      <c r="C987" s="115"/>
      <c r="D987" s="4"/>
      <c r="E987" s="4"/>
      <c r="F987" s="4"/>
      <c r="G987" s="4"/>
      <c r="H987" s="4"/>
      <c r="I987" s="4"/>
      <c r="J987" s="4"/>
      <c r="K987" s="1"/>
      <c r="L987" s="1"/>
      <c r="M987" s="1"/>
      <c r="N987" s="1"/>
      <c r="O987" s="1"/>
      <c r="P987" s="1"/>
      <c r="Q987" s="1"/>
      <c r="R987" s="1"/>
      <c r="S987" s="1"/>
      <c r="T987" s="1"/>
      <c r="U987" s="1"/>
      <c r="V987" s="1"/>
      <c r="W987" s="1"/>
      <c r="X987" s="1"/>
      <c r="Y987" s="1"/>
      <c r="Z987" s="1"/>
    </row>
    <row r="988" spans="1:26" ht="15.75" customHeight="1">
      <c r="A988" s="4"/>
      <c r="B988" s="4"/>
      <c r="C988" s="115"/>
      <c r="D988" s="4"/>
      <c r="E988" s="4"/>
      <c r="F988" s="4"/>
      <c r="G988" s="4"/>
      <c r="H988" s="4"/>
      <c r="I988" s="4"/>
      <c r="J988" s="4"/>
      <c r="K988" s="1"/>
      <c r="L988" s="1"/>
      <c r="M988" s="1"/>
      <c r="N988" s="1"/>
      <c r="O988" s="1"/>
      <c r="P988" s="1"/>
      <c r="Q988" s="1"/>
      <c r="R988" s="1"/>
      <c r="S988" s="1"/>
      <c r="T988" s="1"/>
      <c r="U988" s="1"/>
      <c r="V988" s="1"/>
      <c r="W988" s="1"/>
      <c r="X988" s="1"/>
      <c r="Y988" s="1"/>
      <c r="Z988" s="1"/>
    </row>
    <row r="989" spans="1:26" ht="15.75" customHeight="1">
      <c r="A989" s="4"/>
      <c r="B989" s="4"/>
      <c r="C989" s="115"/>
      <c r="D989" s="4"/>
      <c r="E989" s="4"/>
      <c r="F989" s="4"/>
      <c r="G989" s="4"/>
      <c r="H989" s="4"/>
      <c r="I989" s="4"/>
      <c r="J989" s="4"/>
      <c r="K989" s="1"/>
      <c r="L989" s="1"/>
      <c r="M989" s="1"/>
      <c r="N989" s="1"/>
      <c r="O989" s="1"/>
      <c r="P989" s="1"/>
      <c r="Q989" s="1"/>
      <c r="R989" s="1"/>
      <c r="S989" s="1"/>
      <c r="T989" s="1"/>
      <c r="U989" s="1"/>
      <c r="V989" s="1"/>
      <c r="W989" s="1"/>
      <c r="X989" s="1"/>
      <c r="Y989" s="1"/>
      <c r="Z989" s="1"/>
    </row>
    <row r="990" spans="1:26" ht="15.75" customHeight="1">
      <c r="A990" s="4"/>
      <c r="B990" s="4"/>
      <c r="C990" s="115"/>
      <c r="D990" s="4"/>
      <c r="E990" s="4"/>
      <c r="F990" s="4"/>
      <c r="G990" s="4"/>
      <c r="H990" s="4"/>
      <c r="I990" s="4"/>
      <c r="J990" s="4"/>
      <c r="K990" s="1"/>
      <c r="L990" s="1"/>
      <c r="M990" s="1"/>
      <c r="N990" s="1"/>
      <c r="O990" s="1"/>
      <c r="P990" s="1"/>
      <c r="Q990" s="1"/>
      <c r="R990" s="1"/>
      <c r="S990" s="1"/>
      <c r="T990" s="1"/>
      <c r="U990" s="1"/>
      <c r="V990" s="1"/>
      <c r="W990" s="1"/>
      <c r="X990" s="1"/>
      <c r="Y990" s="1"/>
      <c r="Z990" s="1"/>
    </row>
    <row r="991" spans="1:26" ht="15.75" customHeight="1">
      <c r="A991" s="4"/>
      <c r="B991" s="4"/>
      <c r="C991" s="115"/>
      <c r="D991" s="4"/>
      <c r="E991" s="4"/>
      <c r="F991" s="4"/>
      <c r="G991" s="4"/>
      <c r="H991" s="4"/>
      <c r="I991" s="4"/>
      <c r="J991" s="4"/>
      <c r="K991" s="1"/>
      <c r="L991" s="1"/>
      <c r="M991" s="1"/>
      <c r="N991" s="1"/>
      <c r="O991" s="1"/>
      <c r="P991" s="1"/>
      <c r="Q991" s="1"/>
      <c r="R991" s="1"/>
      <c r="S991" s="1"/>
      <c r="T991" s="1"/>
      <c r="U991" s="1"/>
      <c r="V991" s="1"/>
      <c r="W991" s="1"/>
      <c r="X991" s="1"/>
      <c r="Y991" s="1"/>
      <c r="Z991" s="1"/>
    </row>
    <row r="992" spans="1:26" ht="15.75" customHeight="1">
      <c r="A992" s="4"/>
      <c r="B992" s="4"/>
      <c r="C992" s="115"/>
      <c r="D992" s="4"/>
      <c r="E992" s="4"/>
      <c r="F992" s="4"/>
      <c r="G992" s="4"/>
      <c r="H992" s="4"/>
      <c r="I992" s="4"/>
      <c r="J992" s="4"/>
      <c r="K992" s="1"/>
      <c r="L992" s="1"/>
      <c r="M992" s="1"/>
      <c r="N992" s="1"/>
      <c r="O992" s="1"/>
      <c r="P992" s="1"/>
      <c r="Q992" s="1"/>
      <c r="R992" s="1"/>
      <c r="S992" s="1"/>
      <c r="T992" s="1"/>
      <c r="U992" s="1"/>
      <c r="V992" s="1"/>
      <c r="W992" s="1"/>
      <c r="X992" s="1"/>
      <c r="Y992" s="1"/>
      <c r="Z992" s="1"/>
    </row>
    <row r="993" spans="1:26" ht="15.75" customHeight="1">
      <c r="A993" s="4"/>
      <c r="B993" s="4"/>
      <c r="C993" s="115"/>
      <c r="D993" s="4"/>
      <c r="E993" s="4"/>
      <c r="F993" s="4"/>
      <c r="G993" s="4"/>
      <c r="H993" s="4"/>
      <c r="I993" s="4"/>
      <c r="J993" s="4"/>
      <c r="K993" s="1"/>
      <c r="L993" s="1"/>
      <c r="M993" s="1"/>
      <c r="N993" s="1"/>
      <c r="O993" s="1"/>
      <c r="P993" s="1"/>
      <c r="Q993" s="1"/>
      <c r="R993" s="1"/>
      <c r="S993" s="1"/>
      <c r="T993" s="1"/>
      <c r="U993" s="1"/>
      <c r="V993" s="1"/>
      <c r="W993" s="1"/>
      <c r="X993" s="1"/>
      <c r="Y993" s="1"/>
      <c r="Z993" s="1"/>
    </row>
    <row r="994" spans="1:26" ht="15.75" customHeight="1">
      <c r="A994" s="4"/>
      <c r="B994" s="4"/>
      <c r="C994" s="115"/>
      <c r="D994" s="4"/>
      <c r="E994" s="4"/>
      <c r="F994" s="4"/>
      <c r="G994" s="4"/>
      <c r="H994" s="4"/>
      <c r="I994" s="4"/>
      <c r="J994" s="4"/>
      <c r="K994" s="1"/>
      <c r="L994" s="1"/>
      <c r="M994" s="1"/>
      <c r="N994" s="1"/>
      <c r="O994" s="1"/>
      <c r="P994" s="1"/>
      <c r="Q994" s="1"/>
      <c r="R994" s="1"/>
      <c r="S994" s="1"/>
      <c r="T994" s="1"/>
      <c r="U994" s="1"/>
      <c r="V994" s="1"/>
      <c r="W994" s="1"/>
      <c r="X994" s="1"/>
      <c r="Y994" s="1"/>
      <c r="Z994" s="1"/>
    </row>
    <row r="995" spans="1:26" ht="15.75" customHeight="1">
      <c r="A995" s="4"/>
      <c r="B995" s="4"/>
      <c r="C995" s="115"/>
      <c r="D995" s="4"/>
      <c r="E995" s="4"/>
      <c r="F995" s="4"/>
      <c r="G995" s="4"/>
      <c r="H995" s="4"/>
      <c r="I995" s="4"/>
      <c r="J995" s="4"/>
      <c r="K995" s="1"/>
      <c r="L995" s="1"/>
      <c r="M995" s="1"/>
      <c r="N995" s="1"/>
      <c r="O995" s="1"/>
      <c r="P995" s="1"/>
      <c r="Q995" s="1"/>
      <c r="R995" s="1"/>
      <c r="S995" s="1"/>
      <c r="T995" s="1"/>
      <c r="U995" s="1"/>
      <c r="V995" s="1"/>
      <c r="W995" s="1"/>
      <c r="X995" s="1"/>
      <c r="Y995" s="1"/>
      <c r="Z995" s="1"/>
    </row>
    <row r="996" spans="1:26" ht="15.75" customHeight="1">
      <c r="A996" s="4"/>
      <c r="B996" s="4"/>
      <c r="C996" s="115"/>
      <c r="D996" s="4"/>
      <c r="E996" s="4"/>
      <c r="F996" s="4"/>
      <c r="G996" s="4"/>
      <c r="H996" s="4"/>
      <c r="I996" s="4"/>
      <c r="J996" s="4"/>
      <c r="K996" s="1"/>
      <c r="L996" s="1"/>
      <c r="M996" s="1"/>
      <c r="N996" s="1"/>
      <c r="O996" s="1"/>
      <c r="P996" s="1"/>
      <c r="Q996" s="1"/>
      <c r="R996" s="1"/>
      <c r="S996" s="1"/>
      <c r="T996" s="1"/>
      <c r="U996" s="1"/>
      <c r="V996" s="1"/>
      <c r="W996" s="1"/>
      <c r="X996" s="1"/>
      <c r="Y996" s="1"/>
      <c r="Z996" s="1"/>
    </row>
    <row r="997" spans="1:26" ht="15.75" customHeight="1">
      <c r="A997" s="4"/>
      <c r="B997" s="4"/>
      <c r="C997" s="115"/>
      <c r="D997" s="4"/>
      <c r="E997" s="4"/>
      <c r="F997" s="4"/>
      <c r="G997" s="4"/>
      <c r="H997" s="4"/>
      <c r="I997" s="4"/>
      <c r="J997" s="4"/>
      <c r="K997" s="1"/>
      <c r="L997" s="1"/>
      <c r="M997" s="1"/>
      <c r="N997" s="1"/>
      <c r="O997" s="1"/>
      <c r="P997" s="1"/>
      <c r="Q997" s="1"/>
      <c r="R997" s="1"/>
      <c r="S997" s="1"/>
      <c r="T997" s="1"/>
      <c r="U997" s="1"/>
      <c r="V997" s="1"/>
      <c r="W997" s="1"/>
      <c r="X997" s="1"/>
      <c r="Y997" s="1"/>
      <c r="Z997" s="1"/>
    </row>
    <row r="998" spans="1:26" ht="15.75" customHeight="1">
      <c r="A998" s="4"/>
      <c r="B998" s="4"/>
      <c r="C998" s="115"/>
      <c r="D998" s="4"/>
      <c r="E998" s="4"/>
      <c r="F998" s="4"/>
      <c r="G998" s="4"/>
      <c r="H998" s="4"/>
      <c r="I998" s="4"/>
      <c r="J998" s="4"/>
      <c r="K998" s="1"/>
      <c r="L998" s="1"/>
      <c r="M998" s="1"/>
      <c r="N998" s="1"/>
      <c r="O998" s="1"/>
      <c r="P998" s="1"/>
      <c r="Q998" s="1"/>
      <c r="R998" s="1"/>
      <c r="S998" s="1"/>
      <c r="T998" s="1"/>
      <c r="U998" s="1"/>
      <c r="V998" s="1"/>
      <c r="W998" s="1"/>
      <c r="X998" s="1"/>
      <c r="Y998" s="1"/>
      <c r="Z998" s="1"/>
    </row>
    <row r="999" spans="1:26" ht="15.75" customHeight="1">
      <c r="A999" s="4"/>
      <c r="B999" s="4"/>
      <c r="C999" s="115"/>
      <c r="D999" s="4"/>
      <c r="E999" s="4"/>
      <c r="F999" s="4"/>
      <c r="G999" s="4"/>
      <c r="H999" s="4"/>
      <c r="I999" s="4"/>
      <c r="J999" s="4"/>
      <c r="K999" s="1"/>
      <c r="L999" s="1"/>
      <c r="M999" s="1"/>
      <c r="N999" s="1"/>
      <c r="O999" s="1"/>
      <c r="P999" s="1"/>
      <c r="Q999" s="1"/>
      <c r="R999" s="1"/>
      <c r="S999" s="1"/>
      <c r="T999" s="1"/>
      <c r="U999" s="1"/>
      <c r="V999" s="1"/>
      <c r="W999" s="1"/>
      <c r="X999" s="1"/>
      <c r="Y999" s="1"/>
      <c r="Z999" s="1"/>
    </row>
    <row r="1000" spans="1:26" ht="15.75" customHeight="1">
      <c r="A1000" s="4"/>
      <c r="B1000" s="4"/>
      <c r="C1000" s="115"/>
      <c r="D1000" s="4"/>
      <c r="E1000" s="4"/>
      <c r="F1000" s="4"/>
      <c r="G1000" s="4"/>
      <c r="H1000" s="4"/>
      <c r="I1000" s="4"/>
      <c r="J1000" s="4"/>
      <c r="K1000" s="1"/>
      <c r="L1000" s="1"/>
      <c r="M1000" s="1"/>
      <c r="N1000" s="1"/>
      <c r="O1000" s="1"/>
      <c r="P1000" s="1"/>
      <c r="Q1000" s="1"/>
      <c r="R1000" s="1"/>
      <c r="S1000" s="1"/>
      <c r="T1000" s="1"/>
      <c r="U1000" s="1"/>
      <c r="V1000" s="1"/>
      <c r="W1000" s="1"/>
      <c r="X1000" s="1"/>
      <c r="Y1000" s="1"/>
      <c r="Z1000" s="1"/>
    </row>
  </sheetData>
  <mergeCells count="13">
    <mergeCell ref="J4:J5"/>
    <mergeCell ref="A1:J1"/>
    <mergeCell ref="B2:J2"/>
    <mergeCell ref="A3:J3"/>
    <mergeCell ref="A4:A5"/>
    <mergeCell ref="B4:B5"/>
    <mergeCell ref="C4:C5"/>
    <mergeCell ref="D4:D5"/>
    <mergeCell ref="E4:E5"/>
    <mergeCell ref="F4:F5"/>
    <mergeCell ref="G4:G5"/>
    <mergeCell ref="H4:H5"/>
    <mergeCell ref="I4:I5"/>
  </mergeCells>
  <printOptions horizontalCentered="1"/>
  <pageMargins left="0.39370078740157499" right="0.196850393700787" top="0.196850393700787" bottom="0.196850393700787" header="0" footer="0"/>
  <pageSetup paperSize="9" orientation="landscape"/>
  <rowBreaks count="3" manualBreakCount="3">
    <brk id="49" man="1"/>
    <brk id="102" man="1"/>
    <brk id="20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workbookViewId="0">
      <pane ySplit="6" topLeftCell="A7" activePane="bottomLeft" state="frozen"/>
      <selection pane="bottomLeft" activeCell="Q33" sqref="Q33"/>
    </sheetView>
  </sheetViews>
  <sheetFormatPr defaultColWidth="14.44140625" defaultRowHeight="15" customHeight="1"/>
  <cols>
    <col min="1" max="1" width="11" customWidth="1"/>
    <col min="2" max="2" width="18.109375" customWidth="1"/>
    <col min="3" max="3" width="42.6640625" customWidth="1"/>
    <col min="4" max="4" width="9" customWidth="1"/>
    <col min="5" max="6" width="8.6640625" customWidth="1"/>
    <col min="7" max="7" width="8.109375" customWidth="1"/>
    <col min="8" max="9" width="7.5546875" customWidth="1"/>
    <col min="10" max="10" width="12" customWidth="1"/>
    <col min="11" max="11" width="9.5546875" customWidth="1"/>
    <col min="12" max="15" width="9.109375" customWidth="1"/>
    <col min="16" max="16" width="10.88671875" customWidth="1"/>
    <col min="17" max="19" width="9.109375" customWidth="1"/>
    <col min="20" max="20" width="10.88671875" customWidth="1"/>
    <col min="21" max="36" width="9.109375" customWidth="1"/>
  </cols>
  <sheetData>
    <row r="1" spans="1:36" ht="15" customHeight="1">
      <c r="A1" s="384" t="str">
        <f>'CO-PO Mapping'!A1:N1</f>
        <v xml:space="preserve">Robotics </v>
      </c>
      <c r="B1" s="356"/>
      <c r="C1" s="356"/>
      <c r="D1" s="356"/>
      <c r="E1" s="356"/>
      <c r="F1" s="356"/>
      <c r="G1" s="356"/>
      <c r="H1" s="356"/>
      <c r="I1" s="356"/>
      <c r="J1" s="356"/>
      <c r="K1" s="356"/>
      <c r="L1" s="9"/>
      <c r="M1" s="9"/>
      <c r="N1" s="9"/>
      <c r="O1" s="9"/>
      <c r="P1" s="9"/>
      <c r="Q1" s="9"/>
      <c r="R1" s="9"/>
      <c r="S1" s="9"/>
      <c r="T1" s="9"/>
      <c r="U1" s="9"/>
      <c r="V1" s="9"/>
      <c r="W1" s="9"/>
      <c r="X1" s="9"/>
      <c r="Y1" s="9"/>
      <c r="Z1" s="9"/>
      <c r="AA1" s="9"/>
      <c r="AB1" s="9"/>
      <c r="AC1" s="9"/>
      <c r="AD1" s="9"/>
      <c r="AE1" s="9"/>
      <c r="AF1" s="9"/>
      <c r="AG1" s="9"/>
      <c r="AH1" s="9"/>
      <c r="AI1" s="9"/>
      <c r="AJ1" s="9"/>
    </row>
    <row r="2" spans="1:36" ht="15" customHeight="1">
      <c r="A2" s="121">
        <f>'CO-PO Mapping'!A2</f>
        <v>3110002</v>
      </c>
      <c r="B2" s="383" t="str">
        <f>'CO-PO Mapping'!B2</f>
        <v>English</v>
      </c>
      <c r="C2" s="342"/>
      <c r="D2" s="342"/>
      <c r="E2" s="342"/>
      <c r="F2" s="342"/>
      <c r="G2" s="342"/>
      <c r="H2" s="342"/>
      <c r="I2" s="342"/>
      <c r="J2" s="340"/>
      <c r="K2" s="382" t="s">
        <v>100</v>
      </c>
      <c r="L2" s="9"/>
      <c r="M2" s="386" t="s">
        <v>101</v>
      </c>
      <c r="N2" s="342"/>
      <c r="O2" s="340"/>
      <c r="P2" s="9"/>
      <c r="Q2" s="9"/>
      <c r="R2" s="9"/>
      <c r="S2" s="9"/>
      <c r="T2" s="9"/>
      <c r="U2" s="9"/>
      <c r="V2" s="9"/>
      <c r="W2" s="9"/>
      <c r="X2" s="9"/>
      <c r="Y2" s="9"/>
      <c r="Z2" s="9"/>
      <c r="AA2" s="9"/>
      <c r="AB2" s="9"/>
      <c r="AC2" s="9"/>
      <c r="AD2" s="9"/>
      <c r="AE2" s="9"/>
      <c r="AF2" s="9"/>
      <c r="AG2" s="9"/>
      <c r="AH2" s="9"/>
      <c r="AI2" s="9"/>
      <c r="AJ2" s="9"/>
    </row>
    <row r="3" spans="1:36" ht="28.5" customHeight="1">
      <c r="A3" s="383" t="s">
        <v>102</v>
      </c>
      <c r="B3" s="342"/>
      <c r="C3" s="342"/>
      <c r="D3" s="342"/>
      <c r="E3" s="342"/>
      <c r="F3" s="342"/>
      <c r="G3" s="342"/>
      <c r="H3" s="342"/>
      <c r="I3" s="342"/>
      <c r="J3" s="340"/>
      <c r="K3" s="385"/>
      <c r="L3" s="9"/>
      <c r="M3" s="122" t="s">
        <v>100</v>
      </c>
      <c r="N3" s="123" t="s">
        <v>103</v>
      </c>
      <c r="O3" s="101" t="s">
        <v>104</v>
      </c>
      <c r="P3" s="9"/>
      <c r="Q3" s="9"/>
      <c r="R3" s="9"/>
      <c r="S3" s="9"/>
      <c r="T3" s="9"/>
      <c r="U3" s="9"/>
      <c r="V3" s="9"/>
      <c r="W3" s="9"/>
      <c r="X3" s="9"/>
      <c r="Y3" s="9"/>
      <c r="Z3" s="9"/>
      <c r="AA3" s="9"/>
      <c r="AB3" s="9"/>
      <c r="AC3" s="9"/>
      <c r="AD3" s="9"/>
      <c r="AE3" s="9"/>
      <c r="AF3" s="9"/>
      <c r="AG3" s="9"/>
      <c r="AH3" s="9"/>
      <c r="AI3" s="9"/>
      <c r="AJ3" s="9"/>
    </row>
    <row r="4" spans="1:36" ht="15" customHeight="1">
      <c r="A4" s="382" t="s">
        <v>40</v>
      </c>
      <c r="B4" s="382" t="s">
        <v>67</v>
      </c>
      <c r="C4" s="382" t="s">
        <v>81</v>
      </c>
      <c r="D4" s="382" t="s">
        <v>29</v>
      </c>
      <c r="E4" s="382" t="s">
        <v>30</v>
      </c>
      <c r="F4" s="382" t="s">
        <v>32</v>
      </c>
      <c r="G4" s="382" t="s">
        <v>35</v>
      </c>
      <c r="H4" s="382" t="s">
        <v>36</v>
      </c>
      <c r="I4" s="382" t="s">
        <v>37</v>
      </c>
      <c r="J4" s="382" t="s">
        <v>105</v>
      </c>
      <c r="K4" s="385"/>
      <c r="L4" s="9"/>
      <c r="M4" s="124"/>
      <c r="N4" s="123">
        <v>100</v>
      </c>
      <c r="O4" s="7">
        <v>70</v>
      </c>
      <c r="P4" s="9"/>
      <c r="Q4" s="9"/>
      <c r="R4" s="9"/>
      <c r="S4" s="9"/>
      <c r="T4" s="9"/>
      <c r="U4" s="9"/>
      <c r="V4" s="9"/>
      <c r="W4" s="9"/>
      <c r="X4" s="9"/>
      <c r="Y4" s="9"/>
      <c r="Z4" s="9"/>
      <c r="AA4" s="9"/>
      <c r="AB4" s="9"/>
      <c r="AC4" s="9"/>
      <c r="AD4" s="9"/>
      <c r="AE4" s="9"/>
      <c r="AF4" s="9"/>
      <c r="AG4" s="9"/>
      <c r="AH4" s="9"/>
      <c r="AI4" s="9"/>
      <c r="AJ4" s="9"/>
    </row>
    <row r="5" spans="1:36" ht="15" customHeight="1">
      <c r="A5" s="346"/>
      <c r="B5" s="346"/>
      <c r="C5" s="346"/>
      <c r="D5" s="346"/>
      <c r="E5" s="346"/>
      <c r="F5" s="346"/>
      <c r="G5" s="346"/>
      <c r="H5" s="346"/>
      <c r="I5" s="346"/>
      <c r="J5" s="346"/>
      <c r="K5" s="385"/>
      <c r="L5" s="9"/>
      <c r="M5" s="124" t="s">
        <v>106</v>
      </c>
      <c r="N5" s="125">
        <v>92.5</v>
      </c>
      <c r="O5" s="126">
        <f t="shared" ref="O5:O12" si="0">N5%*$O$4</f>
        <v>64.75</v>
      </c>
      <c r="P5" s="9"/>
      <c r="Q5" s="9"/>
      <c r="R5" s="9"/>
      <c r="S5" s="9"/>
      <c r="T5" s="9"/>
      <c r="U5" s="9"/>
      <c r="V5" s="9"/>
      <c r="W5" s="9"/>
      <c r="X5" s="9"/>
      <c r="Y5" s="9"/>
      <c r="Z5" s="9"/>
      <c r="AA5" s="9"/>
      <c r="AB5" s="9"/>
      <c r="AC5" s="9"/>
      <c r="AD5" s="9"/>
      <c r="AE5" s="9"/>
      <c r="AF5" s="9"/>
      <c r="AG5" s="9"/>
      <c r="AH5" s="9"/>
      <c r="AI5" s="9"/>
      <c r="AJ5" s="9"/>
    </row>
    <row r="6" spans="1:36" ht="15" customHeight="1">
      <c r="A6" s="15"/>
      <c r="B6" s="15"/>
      <c r="C6" s="78" t="s">
        <v>84</v>
      </c>
      <c r="D6" s="127" t="str">
        <f>IF('CO-PO Mapping'!E17="","",IF(P19=0,"",P19))</f>
        <v/>
      </c>
      <c r="E6" s="127" t="str">
        <f>IF('CO-PO Mapping'!E17="","",IF(P20=0,"",P20))</f>
        <v/>
      </c>
      <c r="F6" s="127" t="str">
        <f>IF('CO-PO Mapping'!E17="","",IF(P21=0,"",P21))</f>
        <v/>
      </c>
      <c r="G6" s="127" t="str">
        <f>IF('CO-PO Mapping'!E17="","",IF(P22=0,"",P22))</f>
        <v/>
      </c>
      <c r="H6" s="127" t="str">
        <f>IF('CO-PO Mapping'!E17="","",IF(P23=0,"",P23))</f>
        <v/>
      </c>
      <c r="I6" s="127" t="str">
        <f>IF('CO-PO Mapping'!E17="","",IF(P24=0,"",P24))</f>
        <v/>
      </c>
      <c r="J6" s="79">
        <f>SUM(D6:H6)</f>
        <v>0</v>
      </c>
      <c r="K6" s="346"/>
      <c r="L6" s="9"/>
      <c r="M6" s="124" t="s">
        <v>107</v>
      </c>
      <c r="N6" s="125">
        <v>80</v>
      </c>
      <c r="O6" s="126">
        <f t="shared" si="0"/>
        <v>56</v>
      </c>
      <c r="P6" s="9"/>
      <c r="Q6" s="9"/>
      <c r="R6" s="9"/>
      <c r="S6" s="9"/>
      <c r="T6" s="9"/>
      <c r="U6" s="9"/>
      <c r="V6" s="9"/>
      <c r="W6" s="9"/>
      <c r="X6" s="9"/>
      <c r="Y6" s="9"/>
      <c r="Z6" s="9"/>
      <c r="AA6" s="9"/>
      <c r="AB6" s="9"/>
      <c r="AC6" s="9"/>
      <c r="AD6" s="9"/>
      <c r="AE6" s="9"/>
      <c r="AF6" s="9"/>
      <c r="AG6" s="9"/>
      <c r="AH6" s="9"/>
      <c r="AI6" s="9"/>
      <c r="AJ6" s="9"/>
    </row>
    <row r="7" spans="1:36" ht="15" customHeight="1">
      <c r="A7" s="62">
        <f>'Students Details'!A7</f>
        <v>1</v>
      </c>
      <c r="B7" s="128" t="str">
        <f>IF('Students Details'!B7="","",'Students Details'!B7)</f>
        <v/>
      </c>
      <c r="C7" s="129" t="str">
        <f>IF('Students Details'!C7="","",'Students Details'!C7)</f>
        <v/>
      </c>
      <c r="D7" s="130" t="str">
        <f t="shared" ref="D7:D206" si="1">IF(K7="","",$O$19%*J7)</f>
        <v/>
      </c>
      <c r="E7" s="131" t="str">
        <f t="shared" ref="E7:E206" si="2">IF(K7="","",$O$20%*J7)</f>
        <v/>
      </c>
      <c r="F7" s="131" t="str">
        <f t="shared" ref="F7:F206" si="3">IF(K7="","",$O$21%*J7)</f>
        <v/>
      </c>
      <c r="G7" s="131" t="str">
        <f t="shared" ref="G7:G206" si="4">IF($N$22="","",IF(K7="","",$O$22%*J7))</f>
        <v/>
      </c>
      <c r="H7" s="131" t="str">
        <f t="shared" ref="H7:H206" si="5">IF($N$23="","",IF(K7="","",$O$23%*J7))</f>
        <v/>
      </c>
      <c r="I7" s="131" t="str">
        <f t="shared" ref="I7:I206" si="6">IF($N$24="","",IF(K7="","",$O$24%*J7))</f>
        <v/>
      </c>
      <c r="J7" s="132" t="str">
        <f t="shared" ref="J7:J206" si="7">IF(K7="","",LOOKUP(K7,$M$5:$M$12,$O$5:$O$12))</f>
        <v/>
      </c>
      <c r="K7" s="40"/>
      <c r="L7" s="9"/>
      <c r="M7" s="124" t="s">
        <v>108</v>
      </c>
      <c r="N7" s="125">
        <v>70</v>
      </c>
      <c r="O7" s="126">
        <f t="shared" si="0"/>
        <v>49</v>
      </c>
      <c r="P7" s="9"/>
      <c r="Q7" s="9"/>
      <c r="R7" s="9"/>
      <c r="S7" s="9"/>
      <c r="T7" s="9"/>
      <c r="U7" s="9"/>
      <c r="V7" s="9"/>
      <c r="W7" s="9"/>
      <c r="X7" s="9"/>
      <c r="Y7" s="9"/>
      <c r="Z7" s="9"/>
      <c r="AA7" s="9"/>
      <c r="AB7" s="9"/>
      <c r="AC7" s="9"/>
      <c r="AD7" s="9"/>
      <c r="AE7" s="9"/>
      <c r="AF7" s="9"/>
      <c r="AG7" s="9"/>
      <c r="AH7" s="9"/>
      <c r="AI7" s="9"/>
      <c r="AJ7" s="9"/>
    </row>
    <row r="8" spans="1:36" ht="15" customHeight="1">
      <c r="A8" s="62">
        <f>'Students Details'!A8</f>
        <v>2</v>
      </c>
      <c r="B8" s="128" t="str">
        <f>IF('Students Details'!B8="","",'Students Details'!B8)</f>
        <v/>
      </c>
      <c r="C8" s="129" t="str">
        <f>IF('Students Details'!C8="","",'Students Details'!C8)</f>
        <v/>
      </c>
      <c r="D8" s="130" t="str">
        <f t="shared" si="1"/>
        <v/>
      </c>
      <c r="E8" s="131" t="str">
        <f t="shared" si="2"/>
        <v/>
      </c>
      <c r="F8" s="131" t="str">
        <f t="shared" si="3"/>
        <v/>
      </c>
      <c r="G8" s="131" t="str">
        <f t="shared" si="4"/>
        <v/>
      </c>
      <c r="H8" s="131" t="str">
        <f t="shared" si="5"/>
        <v/>
      </c>
      <c r="I8" s="131" t="str">
        <f t="shared" si="6"/>
        <v/>
      </c>
      <c r="J8" s="132" t="str">
        <f t="shared" si="7"/>
        <v/>
      </c>
      <c r="K8" s="40"/>
      <c r="L8" s="133"/>
      <c r="M8" s="124" t="s">
        <v>109</v>
      </c>
      <c r="N8" s="125">
        <v>60</v>
      </c>
      <c r="O8" s="126">
        <f t="shared" si="0"/>
        <v>42</v>
      </c>
      <c r="P8" s="9"/>
      <c r="Q8" s="9"/>
      <c r="R8" s="9"/>
      <c r="S8" s="9"/>
      <c r="T8" s="9"/>
      <c r="U8" s="9"/>
      <c r="V8" s="9"/>
      <c r="W8" s="9"/>
      <c r="X8" s="9"/>
      <c r="Y8" s="9"/>
      <c r="Z8" s="9"/>
      <c r="AA8" s="9"/>
      <c r="AB8" s="9"/>
      <c r="AC8" s="9"/>
      <c r="AD8" s="9"/>
      <c r="AE8" s="9"/>
      <c r="AF8" s="9"/>
      <c r="AG8" s="9"/>
      <c r="AH8" s="9"/>
      <c r="AI8" s="9"/>
      <c r="AJ8" s="9"/>
    </row>
    <row r="9" spans="1:36" ht="15" customHeight="1">
      <c r="A9" s="62">
        <f>'Students Details'!A9</f>
        <v>3</v>
      </c>
      <c r="B9" s="128" t="str">
        <f>IF('Students Details'!B9="","",'Students Details'!B9)</f>
        <v/>
      </c>
      <c r="C9" s="129" t="str">
        <f>IF('Students Details'!C9="","",'Students Details'!C9)</f>
        <v/>
      </c>
      <c r="D9" s="130" t="str">
        <f t="shared" si="1"/>
        <v/>
      </c>
      <c r="E9" s="131" t="str">
        <f t="shared" si="2"/>
        <v/>
      </c>
      <c r="F9" s="131" t="str">
        <f t="shared" si="3"/>
        <v/>
      </c>
      <c r="G9" s="131" t="str">
        <f t="shared" si="4"/>
        <v/>
      </c>
      <c r="H9" s="131" t="str">
        <f t="shared" si="5"/>
        <v/>
      </c>
      <c r="I9" s="131" t="str">
        <f t="shared" si="6"/>
        <v/>
      </c>
      <c r="J9" s="132" t="str">
        <f t="shared" si="7"/>
        <v/>
      </c>
      <c r="K9" s="40"/>
      <c r="L9" s="133"/>
      <c r="M9" s="124" t="s">
        <v>110</v>
      </c>
      <c r="N9" s="125">
        <v>50</v>
      </c>
      <c r="O9" s="126">
        <f t="shared" si="0"/>
        <v>35</v>
      </c>
      <c r="P9" s="9"/>
      <c r="Q9" s="9"/>
      <c r="R9" s="9"/>
      <c r="S9" s="9"/>
      <c r="T9" s="9"/>
      <c r="U9" s="9"/>
      <c r="V9" s="9"/>
      <c r="W9" s="9"/>
      <c r="X9" s="9"/>
      <c r="Y9" s="9"/>
      <c r="Z9" s="9"/>
      <c r="AA9" s="9"/>
      <c r="AB9" s="9"/>
      <c r="AC9" s="9"/>
      <c r="AD9" s="9"/>
      <c r="AE9" s="9"/>
      <c r="AF9" s="9"/>
      <c r="AG9" s="9"/>
      <c r="AH9" s="9"/>
      <c r="AI9" s="9"/>
      <c r="AJ9" s="9"/>
    </row>
    <row r="10" spans="1:36" ht="15" customHeight="1">
      <c r="A10" s="62">
        <f>'Students Details'!A10</f>
        <v>4</v>
      </c>
      <c r="B10" s="128" t="str">
        <f>IF('Students Details'!B10="","",'Students Details'!B10)</f>
        <v/>
      </c>
      <c r="C10" s="129" t="str">
        <f>IF('Students Details'!C10="","",'Students Details'!C10)</f>
        <v/>
      </c>
      <c r="D10" s="130" t="str">
        <f t="shared" si="1"/>
        <v/>
      </c>
      <c r="E10" s="131" t="str">
        <f t="shared" si="2"/>
        <v/>
      </c>
      <c r="F10" s="131" t="str">
        <f t="shared" si="3"/>
        <v/>
      </c>
      <c r="G10" s="131" t="str">
        <f t="shared" si="4"/>
        <v/>
      </c>
      <c r="H10" s="131" t="str">
        <f t="shared" si="5"/>
        <v/>
      </c>
      <c r="I10" s="131" t="str">
        <f t="shared" si="6"/>
        <v/>
      </c>
      <c r="J10" s="132" t="str">
        <f t="shared" si="7"/>
        <v/>
      </c>
      <c r="K10" s="40"/>
      <c r="L10" s="133"/>
      <c r="M10" s="124" t="s">
        <v>111</v>
      </c>
      <c r="N10" s="125">
        <v>42</v>
      </c>
      <c r="O10" s="126">
        <f t="shared" si="0"/>
        <v>29.4</v>
      </c>
      <c r="P10" s="9"/>
      <c r="Q10" s="9"/>
      <c r="R10" s="9"/>
      <c r="S10" s="9"/>
      <c r="T10" s="9"/>
      <c r="U10" s="9"/>
      <c r="V10" s="9"/>
      <c r="W10" s="9"/>
      <c r="X10" s="9"/>
      <c r="Y10" s="9"/>
      <c r="Z10" s="9"/>
      <c r="AA10" s="9"/>
      <c r="AB10" s="9"/>
      <c r="AC10" s="9"/>
      <c r="AD10" s="9"/>
      <c r="AE10" s="9"/>
      <c r="AF10" s="9"/>
      <c r="AG10" s="9"/>
      <c r="AH10" s="9"/>
      <c r="AI10" s="9"/>
      <c r="AJ10" s="9"/>
    </row>
    <row r="11" spans="1:36" ht="15" customHeight="1">
      <c r="A11" s="62">
        <f>'Students Details'!A11</f>
        <v>5</v>
      </c>
      <c r="B11" s="128" t="str">
        <f>IF('Students Details'!B11="","",'Students Details'!B11)</f>
        <v/>
      </c>
      <c r="C11" s="129" t="str">
        <f>IF('Students Details'!C11="","",'Students Details'!C11)</f>
        <v/>
      </c>
      <c r="D11" s="130" t="str">
        <f t="shared" si="1"/>
        <v/>
      </c>
      <c r="E11" s="131" t="str">
        <f t="shared" si="2"/>
        <v/>
      </c>
      <c r="F11" s="131" t="str">
        <f t="shared" si="3"/>
        <v/>
      </c>
      <c r="G11" s="131" t="str">
        <f t="shared" si="4"/>
        <v/>
      </c>
      <c r="H11" s="131" t="str">
        <f t="shared" si="5"/>
        <v/>
      </c>
      <c r="I11" s="131" t="str">
        <f t="shared" si="6"/>
        <v/>
      </c>
      <c r="J11" s="132" t="str">
        <f t="shared" si="7"/>
        <v/>
      </c>
      <c r="K11" s="40"/>
      <c r="L11" s="133"/>
      <c r="M11" s="124" t="s">
        <v>112</v>
      </c>
      <c r="N11" s="125">
        <v>40</v>
      </c>
      <c r="O11" s="126">
        <f t="shared" si="0"/>
        <v>28</v>
      </c>
      <c r="P11" s="9"/>
      <c r="Q11" s="9"/>
      <c r="R11" s="9"/>
      <c r="S11" s="9"/>
      <c r="T11" s="9"/>
      <c r="U11" s="9"/>
      <c r="V11" s="9"/>
      <c r="W11" s="9"/>
      <c r="X11" s="9"/>
      <c r="Y11" s="9"/>
      <c r="Z11" s="9"/>
      <c r="AA11" s="9"/>
      <c r="AB11" s="9"/>
      <c r="AC11" s="9"/>
      <c r="AD11" s="9"/>
      <c r="AE11" s="9"/>
      <c r="AF11" s="9"/>
      <c r="AG11" s="9"/>
      <c r="AH11" s="9"/>
      <c r="AI11" s="9"/>
      <c r="AJ11" s="9"/>
    </row>
    <row r="12" spans="1:36" ht="15" customHeight="1">
      <c r="A12" s="62">
        <f>'Students Details'!A12</f>
        <v>6</v>
      </c>
      <c r="B12" s="128" t="str">
        <f>IF('Students Details'!B12="","",'Students Details'!B12)</f>
        <v/>
      </c>
      <c r="C12" s="129" t="str">
        <f>IF('Students Details'!C12="","",'Students Details'!C12)</f>
        <v/>
      </c>
      <c r="D12" s="130" t="str">
        <f t="shared" si="1"/>
        <v/>
      </c>
      <c r="E12" s="131" t="str">
        <f t="shared" si="2"/>
        <v/>
      </c>
      <c r="F12" s="131" t="str">
        <f t="shared" si="3"/>
        <v/>
      </c>
      <c r="G12" s="131" t="str">
        <f t="shared" si="4"/>
        <v/>
      </c>
      <c r="H12" s="131" t="str">
        <f t="shared" si="5"/>
        <v/>
      </c>
      <c r="I12" s="131" t="str">
        <f t="shared" si="6"/>
        <v/>
      </c>
      <c r="J12" s="132" t="str">
        <f t="shared" si="7"/>
        <v/>
      </c>
      <c r="K12" s="40"/>
      <c r="L12" s="133"/>
      <c r="M12" s="124" t="s">
        <v>113</v>
      </c>
      <c r="N12" s="125">
        <v>32</v>
      </c>
      <c r="O12" s="126">
        <f t="shared" si="0"/>
        <v>22.400000000000002</v>
      </c>
      <c r="P12" s="9"/>
      <c r="Q12" s="9"/>
      <c r="R12" s="9"/>
      <c r="S12" s="9"/>
      <c r="T12" s="9"/>
      <c r="U12" s="9"/>
      <c r="V12" s="9"/>
      <c r="W12" s="9"/>
      <c r="X12" s="9"/>
      <c r="Y12" s="9"/>
      <c r="Z12" s="9"/>
      <c r="AA12" s="9"/>
      <c r="AB12" s="9"/>
      <c r="AC12" s="9"/>
      <c r="AD12" s="9"/>
      <c r="AE12" s="9"/>
      <c r="AF12" s="9"/>
      <c r="AG12" s="9"/>
      <c r="AH12" s="9"/>
      <c r="AI12" s="9"/>
      <c r="AJ12" s="9"/>
    </row>
    <row r="13" spans="1:36" ht="15" customHeight="1">
      <c r="A13" s="62">
        <f>'Students Details'!A13</f>
        <v>7</v>
      </c>
      <c r="B13" s="128" t="str">
        <f>IF('Students Details'!B13="","",'Students Details'!B13)</f>
        <v/>
      </c>
      <c r="C13" s="129" t="str">
        <f>IF('Students Details'!C13="","",'Students Details'!C13)</f>
        <v/>
      </c>
      <c r="D13" s="130" t="str">
        <f t="shared" si="1"/>
        <v/>
      </c>
      <c r="E13" s="131" t="str">
        <f t="shared" si="2"/>
        <v/>
      </c>
      <c r="F13" s="131" t="str">
        <f t="shared" si="3"/>
        <v/>
      </c>
      <c r="G13" s="131" t="str">
        <f t="shared" si="4"/>
        <v/>
      </c>
      <c r="H13" s="131" t="str">
        <f t="shared" si="5"/>
        <v/>
      </c>
      <c r="I13" s="131" t="str">
        <f t="shared" si="6"/>
        <v/>
      </c>
      <c r="J13" s="132" t="str">
        <f t="shared" si="7"/>
        <v/>
      </c>
      <c r="K13" s="40"/>
      <c r="L13" s="133"/>
      <c r="M13" s="9"/>
      <c r="N13" s="9"/>
      <c r="O13" s="9"/>
      <c r="P13" s="9"/>
      <c r="Q13" s="9"/>
      <c r="R13" s="9"/>
      <c r="S13" s="9"/>
      <c r="T13" s="9"/>
      <c r="U13" s="9"/>
      <c r="V13" s="9"/>
      <c r="W13" s="9"/>
      <c r="X13" s="9"/>
      <c r="Y13" s="9"/>
      <c r="Z13" s="9"/>
      <c r="AA13" s="9"/>
      <c r="AB13" s="9"/>
      <c r="AC13" s="9"/>
      <c r="AD13" s="9"/>
      <c r="AE13" s="9"/>
      <c r="AF13" s="9"/>
      <c r="AG13" s="9"/>
      <c r="AH13" s="9"/>
      <c r="AI13" s="9"/>
      <c r="AJ13" s="9"/>
    </row>
    <row r="14" spans="1:36" ht="15" customHeight="1">
      <c r="A14" s="62">
        <f>'Students Details'!A14</f>
        <v>8</v>
      </c>
      <c r="B14" s="128" t="str">
        <f>IF('Students Details'!B14="","",'Students Details'!B14)</f>
        <v/>
      </c>
      <c r="C14" s="129" t="str">
        <f>IF('Students Details'!C14="","",'Students Details'!C14)</f>
        <v/>
      </c>
      <c r="D14" s="130" t="str">
        <f t="shared" si="1"/>
        <v/>
      </c>
      <c r="E14" s="131" t="str">
        <f t="shared" si="2"/>
        <v/>
      </c>
      <c r="F14" s="131" t="str">
        <f t="shared" si="3"/>
        <v/>
      </c>
      <c r="G14" s="131" t="str">
        <f t="shared" si="4"/>
        <v/>
      </c>
      <c r="H14" s="131" t="str">
        <f t="shared" si="5"/>
        <v/>
      </c>
      <c r="I14" s="131" t="str">
        <f t="shared" si="6"/>
        <v/>
      </c>
      <c r="J14" s="132" t="str">
        <f t="shared" si="7"/>
        <v/>
      </c>
      <c r="K14" s="40"/>
      <c r="L14" s="133"/>
      <c r="M14" s="9"/>
      <c r="N14" s="9"/>
      <c r="O14" s="9"/>
      <c r="P14" s="9"/>
      <c r="Q14" s="9"/>
      <c r="R14" s="9"/>
      <c r="S14" s="9"/>
      <c r="T14" s="9"/>
      <c r="U14" s="9"/>
      <c r="V14" s="9"/>
      <c r="W14" s="9"/>
      <c r="X14" s="9"/>
      <c r="Y14" s="9"/>
      <c r="Z14" s="9"/>
      <c r="AA14" s="9"/>
      <c r="AB14" s="9"/>
      <c r="AC14" s="9"/>
      <c r="AD14" s="9"/>
      <c r="AE14" s="9"/>
      <c r="AF14" s="9"/>
      <c r="AG14" s="9"/>
      <c r="AH14" s="9"/>
      <c r="AI14" s="9"/>
      <c r="AJ14" s="9"/>
    </row>
    <row r="15" spans="1:36" ht="15" customHeight="1">
      <c r="A15" s="62">
        <f>'Students Details'!A15</f>
        <v>9</v>
      </c>
      <c r="B15" s="128" t="str">
        <f>IF('Students Details'!B15="","",'Students Details'!B15)</f>
        <v/>
      </c>
      <c r="C15" s="129" t="str">
        <f>IF('Students Details'!C15="","",'Students Details'!C15)</f>
        <v/>
      </c>
      <c r="D15" s="130" t="str">
        <f t="shared" si="1"/>
        <v/>
      </c>
      <c r="E15" s="131" t="str">
        <f t="shared" si="2"/>
        <v/>
      </c>
      <c r="F15" s="131" t="str">
        <f t="shared" si="3"/>
        <v/>
      </c>
      <c r="G15" s="131" t="str">
        <f t="shared" si="4"/>
        <v/>
      </c>
      <c r="H15" s="131" t="str">
        <f t="shared" si="5"/>
        <v/>
      </c>
      <c r="I15" s="131" t="str">
        <f t="shared" si="6"/>
        <v/>
      </c>
      <c r="J15" s="132" t="str">
        <f t="shared" si="7"/>
        <v/>
      </c>
      <c r="K15" s="40"/>
      <c r="L15" s="133"/>
      <c r="M15" s="9"/>
      <c r="N15" s="9"/>
      <c r="O15" s="9"/>
      <c r="P15" s="9"/>
      <c r="Q15" s="9"/>
      <c r="R15" s="9"/>
      <c r="S15" s="9"/>
      <c r="T15" s="9"/>
      <c r="U15" s="9"/>
      <c r="V15" s="9"/>
      <c r="W15" s="9"/>
      <c r="X15" s="9"/>
      <c r="Y15" s="9"/>
      <c r="Z15" s="9"/>
      <c r="AA15" s="9"/>
      <c r="AB15" s="9"/>
      <c r="AC15" s="9"/>
      <c r="AD15" s="9"/>
      <c r="AE15" s="9"/>
      <c r="AF15" s="9"/>
      <c r="AG15" s="9"/>
      <c r="AH15" s="9"/>
      <c r="AI15" s="9"/>
      <c r="AJ15" s="9"/>
    </row>
    <row r="16" spans="1:36" ht="15" customHeight="1">
      <c r="A16" s="62">
        <f>'Students Details'!A16</f>
        <v>10</v>
      </c>
      <c r="B16" s="128" t="str">
        <f>IF('Students Details'!B16="","",'Students Details'!B16)</f>
        <v/>
      </c>
      <c r="C16" s="129" t="str">
        <f>IF('Students Details'!C16="","",'Students Details'!C16)</f>
        <v/>
      </c>
      <c r="D16" s="130" t="str">
        <f t="shared" si="1"/>
        <v/>
      </c>
      <c r="E16" s="131" t="str">
        <f t="shared" si="2"/>
        <v/>
      </c>
      <c r="F16" s="131" t="str">
        <f t="shared" si="3"/>
        <v/>
      </c>
      <c r="G16" s="131" t="str">
        <f t="shared" si="4"/>
        <v/>
      </c>
      <c r="H16" s="131" t="str">
        <f t="shared" si="5"/>
        <v/>
      </c>
      <c r="I16" s="131" t="str">
        <f t="shared" si="6"/>
        <v/>
      </c>
      <c r="J16" s="132" t="str">
        <f t="shared" si="7"/>
        <v/>
      </c>
      <c r="K16" s="40"/>
      <c r="L16" s="133"/>
      <c r="M16" s="134" t="s">
        <v>114</v>
      </c>
      <c r="N16" s="134"/>
      <c r="O16" s="134"/>
      <c r="P16" s="134"/>
      <c r="Q16" s="9"/>
      <c r="R16" s="9"/>
      <c r="S16" s="9"/>
      <c r="T16" s="9"/>
      <c r="U16" s="9"/>
      <c r="V16" s="9"/>
      <c r="W16" s="9"/>
      <c r="X16" s="9"/>
      <c r="Y16" s="9"/>
      <c r="Z16" s="9"/>
      <c r="AA16" s="9"/>
      <c r="AB16" s="9"/>
      <c r="AC16" s="9"/>
      <c r="AD16" s="9"/>
      <c r="AE16" s="9"/>
      <c r="AF16" s="9"/>
      <c r="AG16" s="9"/>
      <c r="AH16" s="9"/>
      <c r="AI16" s="9"/>
      <c r="AJ16" s="9"/>
    </row>
    <row r="17" spans="1:36" ht="15" customHeight="1">
      <c r="A17" s="62">
        <f>'Students Details'!A17</f>
        <v>11</v>
      </c>
      <c r="B17" s="128" t="str">
        <f>IF('Students Details'!B17="","",'Students Details'!B17)</f>
        <v/>
      </c>
      <c r="C17" s="129" t="str">
        <f>IF('Students Details'!C17="","",'Students Details'!C17)</f>
        <v/>
      </c>
      <c r="D17" s="130" t="str">
        <f t="shared" si="1"/>
        <v/>
      </c>
      <c r="E17" s="131" t="str">
        <f t="shared" si="2"/>
        <v/>
      </c>
      <c r="F17" s="131" t="str">
        <f t="shared" si="3"/>
        <v/>
      </c>
      <c r="G17" s="131" t="str">
        <f t="shared" si="4"/>
        <v/>
      </c>
      <c r="H17" s="131" t="str">
        <f t="shared" si="5"/>
        <v/>
      </c>
      <c r="I17" s="131" t="str">
        <f t="shared" si="6"/>
        <v/>
      </c>
      <c r="J17" s="132" t="str">
        <f t="shared" si="7"/>
        <v/>
      </c>
      <c r="K17" s="40"/>
      <c r="L17" s="133"/>
      <c r="M17" s="134"/>
      <c r="N17" s="134"/>
      <c r="O17" s="134"/>
      <c r="P17" s="134"/>
      <c r="Q17" s="9"/>
      <c r="R17" s="9"/>
      <c r="S17" s="9"/>
      <c r="T17" s="9"/>
      <c r="U17" s="9"/>
      <c r="V17" s="9"/>
      <c r="W17" s="9"/>
      <c r="X17" s="9"/>
      <c r="Y17" s="9"/>
      <c r="Z17" s="9"/>
      <c r="AA17" s="9"/>
      <c r="AB17" s="9"/>
      <c r="AC17" s="9"/>
      <c r="AD17" s="9"/>
      <c r="AE17" s="9"/>
      <c r="AF17" s="9"/>
      <c r="AG17" s="9"/>
      <c r="AH17" s="9"/>
      <c r="AI17" s="9"/>
      <c r="AJ17" s="9"/>
    </row>
    <row r="18" spans="1:36" ht="15" customHeight="1">
      <c r="A18" s="62">
        <f>'Students Details'!A18</f>
        <v>12</v>
      </c>
      <c r="B18" s="128" t="str">
        <f>IF('Students Details'!B18="","",'Students Details'!B18)</f>
        <v/>
      </c>
      <c r="C18" s="129" t="str">
        <f>IF('Students Details'!C18="","",'Students Details'!C18)</f>
        <v/>
      </c>
      <c r="D18" s="130" t="str">
        <f t="shared" si="1"/>
        <v/>
      </c>
      <c r="E18" s="131" t="str">
        <f t="shared" si="2"/>
        <v/>
      </c>
      <c r="F18" s="131" t="str">
        <f t="shared" si="3"/>
        <v/>
      </c>
      <c r="G18" s="131" t="str">
        <f t="shared" si="4"/>
        <v/>
      </c>
      <c r="H18" s="131" t="str">
        <f t="shared" si="5"/>
        <v/>
      </c>
      <c r="I18" s="131" t="str">
        <f t="shared" si="6"/>
        <v/>
      </c>
      <c r="J18" s="132" t="str">
        <f t="shared" si="7"/>
        <v/>
      </c>
      <c r="K18" s="40"/>
      <c r="L18" s="133"/>
      <c r="M18" s="134"/>
      <c r="N18" s="62" t="s">
        <v>84</v>
      </c>
      <c r="O18" s="62" t="s">
        <v>103</v>
      </c>
      <c r="P18" s="62" t="s">
        <v>84</v>
      </c>
      <c r="Q18" s="9"/>
      <c r="R18" s="9"/>
      <c r="S18" s="9"/>
      <c r="T18" s="9"/>
      <c r="U18" s="9"/>
      <c r="V18" s="9"/>
      <c r="W18" s="9"/>
      <c r="X18" s="9"/>
      <c r="Y18" s="9"/>
      <c r="Z18" s="9"/>
      <c r="AA18" s="9"/>
      <c r="AB18" s="9"/>
      <c r="AC18" s="9"/>
      <c r="AD18" s="9"/>
      <c r="AE18" s="9"/>
      <c r="AF18" s="9"/>
      <c r="AG18" s="9"/>
      <c r="AH18" s="9"/>
      <c r="AI18" s="9"/>
      <c r="AJ18" s="9"/>
    </row>
    <row r="19" spans="1:36" ht="15" customHeight="1">
      <c r="A19" s="62">
        <f>'Students Details'!A19</f>
        <v>13</v>
      </c>
      <c r="B19" s="128" t="str">
        <f>IF('Students Details'!B19="","",'Students Details'!B19)</f>
        <v/>
      </c>
      <c r="C19" s="129" t="str">
        <f>IF('Students Details'!C19="","",'Students Details'!C19)</f>
        <v/>
      </c>
      <c r="D19" s="130" t="str">
        <f t="shared" si="1"/>
        <v/>
      </c>
      <c r="E19" s="131" t="str">
        <f t="shared" si="2"/>
        <v/>
      </c>
      <c r="F19" s="131" t="str">
        <f t="shared" si="3"/>
        <v/>
      </c>
      <c r="G19" s="131" t="str">
        <f t="shared" si="4"/>
        <v/>
      </c>
      <c r="H19" s="131" t="str">
        <f t="shared" si="5"/>
        <v/>
      </c>
      <c r="I19" s="131" t="str">
        <f t="shared" si="6"/>
        <v/>
      </c>
      <c r="J19" s="132" t="str">
        <f t="shared" si="7"/>
        <v/>
      </c>
      <c r="K19" s="40"/>
      <c r="L19" s="133"/>
      <c r="M19" s="134" t="s">
        <v>29</v>
      </c>
      <c r="N19" s="135">
        <v>10</v>
      </c>
      <c r="O19" s="132">
        <f t="shared" ref="O19:O21" si="8">IFERROR(N19/$N$25%,"")</f>
        <v>8.4033613445378155</v>
      </c>
      <c r="P19" s="132">
        <f>IFERROR(O19%*O4,"")</f>
        <v>5.882352941176471</v>
      </c>
      <c r="Q19" s="9"/>
      <c r="R19" s="9"/>
      <c r="S19" s="9"/>
      <c r="T19" s="9"/>
      <c r="U19" s="9"/>
      <c r="V19" s="9"/>
      <c r="W19" s="9"/>
      <c r="X19" s="9"/>
      <c r="Y19" s="9"/>
      <c r="Z19" s="9"/>
      <c r="AA19" s="9"/>
      <c r="AB19" s="9"/>
      <c r="AC19" s="9"/>
      <c r="AD19" s="9"/>
      <c r="AE19" s="9"/>
      <c r="AF19" s="9"/>
      <c r="AG19" s="9"/>
      <c r="AH19" s="9"/>
      <c r="AI19" s="9"/>
      <c r="AJ19" s="9"/>
    </row>
    <row r="20" spans="1:36" ht="15" customHeight="1">
      <c r="A20" s="62">
        <f>'Students Details'!A20</f>
        <v>14</v>
      </c>
      <c r="B20" s="128" t="str">
        <f>IF('Students Details'!B20="","",'Students Details'!B20)</f>
        <v/>
      </c>
      <c r="C20" s="129" t="str">
        <f>IF('Students Details'!C20="","",'Students Details'!C20)</f>
        <v/>
      </c>
      <c r="D20" s="130" t="str">
        <f t="shared" si="1"/>
        <v/>
      </c>
      <c r="E20" s="131" t="str">
        <f t="shared" si="2"/>
        <v/>
      </c>
      <c r="F20" s="131" t="str">
        <f t="shared" si="3"/>
        <v/>
      </c>
      <c r="G20" s="131" t="str">
        <f t="shared" si="4"/>
        <v/>
      </c>
      <c r="H20" s="131" t="str">
        <f t="shared" si="5"/>
        <v/>
      </c>
      <c r="I20" s="131" t="str">
        <f t="shared" si="6"/>
        <v/>
      </c>
      <c r="J20" s="132" t="str">
        <f t="shared" si="7"/>
        <v/>
      </c>
      <c r="K20" s="40"/>
      <c r="L20" s="133"/>
      <c r="M20" s="134" t="s">
        <v>30</v>
      </c>
      <c r="N20" s="135">
        <v>14</v>
      </c>
      <c r="O20" s="132">
        <f t="shared" si="8"/>
        <v>11.764705882352942</v>
      </c>
      <c r="P20" s="132">
        <f>IFERROR(O20%*O4,"")</f>
        <v>8.2352941176470598</v>
      </c>
      <c r="Q20" s="9"/>
      <c r="R20" s="9"/>
      <c r="S20" s="9"/>
      <c r="T20" s="9"/>
      <c r="U20" s="9"/>
      <c r="V20" s="9"/>
      <c r="W20" s="9"/>
      <c r="X20" s="9"/>
      <c r="Y20" s="9"/>
      <c r="Z20" s="9"/>
      <c r="AA20" s="9"/>
      <c r="AB20" s="9"/>
      <c r="AC20" s="9"/>
      <c r="AD20" s="9"/>
      <c r="AE20" s="9"/>
      <c r="AF20" s="9"/>
      <c r="AG20" s="9"/>
      <c r="AH20" s="9"/>
      <c r="AI20" s="9"/>
      <c r="AJ20" s="9"/>
    </row>
    <row r="21" spans="1:36" ht="15" customHeight="1">
      <c r="A21" s="62">
        <f>'Students Details'!A21</f>
        <v>15</v>
      </c>
      <c r="B21" s="128" t="str">
        <f>IF('Students Details'!B21="","",'Students Details'!B21)</f>
        <v/>
      </c>
      <c r="C21" s="129" t="str">
        <f>IF('Students Details'!C21="","",'Students Details'!C21)</f>
        <v/>
      </c>
      <c r="D21" s="130" t="str">
        <f t="shared" si="1"/>
        <v/>
      </c>
      <c r="E21" s="131" t="str">
        <f t="shared" si="2"/>
        <v/>
      </c>
      <c r="F21" s="131" t="str">
        <f t="shared" si="3"/>
        <v/>
      </c>
      <c r="G21" s="131" t="str">
        <f t="shared" si="4"/>
        <v/>
      </c>
      <c r="H21" s="131" t="str">
        <f t="shared" si="5"/>
        <v/>
      </c>
      <c r="I21" s="131" t="str">
        <f t="shared" si="6"/>
        <v/>
      </c>
      <c r="J21" s="132" t="str">
        <f t="shared" si="7"/>
        <v/>
      </c>
      <c r="K21" s="40"/>
      <c r="L21" s="133"/>
      <c r="M21" s="134" t="s">
        <v>32</v>
      </c>
      <c r="N21" s="135">
        <v>32</v>
      </c>
      <c r="O21" s="132">
        <f t="shared" si="8"/>
        <v>26.890756302521009</v>
      </c>
      <c r="P21" s="132">
        <f>IFERROR(O21%*O4,"")</f>
        <v>18.823529411764707</v>
      </c>
      <c r="Q21" s="9"/>
      <c r="R21" s="9"/>
      <c r="S21" s="9"/>
      <c r="T21" s="9"/>
      <c r="U21" s="9"/>
      <c r="V21" s="9"/>
      <c r="W21" s="9"/>
      <c r="X21" s="9"/>
      <c r="Y21" s="9"/>
      <c r="Z21" s="9"/>
      <c r="AA21" s="9"/>
      <c r="AB21" s="9"/>
      <c r="AC21" s="9"/>
      <c r="AD21" s="9"/>
      <c r="AE21" s="9"/>
      <c r="AF21" s="9"/>
      <c r="AG21" s="9"/>
      <c r="AH21" s="9"/>
      <c r="AI21" s="9"/>
      <c r="AJ21" s="9"/>
    </row>
    <row r="22" spans="1:36" ht="15" customHeight="1">
      <c r="A22" s="62">
        <f>'Students Details'!A22</f>
        <v>16</v>
      </c>
      <c r="B22" s="128" t="str">
        <f>IF('Students Details'!B22="","",'Students Details'!B22)</f>
        <v/>
      </c>
      <c r="C22" s="129" t="str">
        <f>IF('Students Details'!C22="","",'Students Details'!C22)</f>
        <v/>
      </c>
      <c r="D22" s="130" t="str">
        <f t="shared" si="1"/>
        <v/>
      </c>
      <c r="E22" s="131" t="str">
        <f t="shared" si="2"/>
        <v/>
      </c>
      <c r="F22" s="131" t="str">
        <f t="shared" si="3"/>
        <v/>
      </c>
      <c r="G22" s="131" t="str">
        <f t="shared" si="4"/>
        <v/>
      </c>
      <c r="H22" s="131" t="str">
        <f t="shared" si="5"/>
        <v/>
      </c>
      <c r="I22" s="131" t="str">
        <f t="shared" si="6"/>
        <v/>
      </c>
      <c r="J22" s="132" t="str">
        <f t="shared" si="7"/>
        <v/>
      </c>
      <c r="K22" s="40"/>
      <c r="L22" s="133"/>
      <c r="M22" s="134" t="s">
        <v>35</v>
      </c>
      <c r="N22" s="135">
        <v>32</v>
      </c>
      <c r="O22" s="132">
        <f>IF('CO-PO Mapping'!A10="",0,IFERROR(N22/$N$25%,""))</f>
        <v>26.890756302521009</v>
      </c>
      <c r="P22" s="132">
        <f>IFERROR(O22%*O4,"")</f>
        <v>18.823529411764707</v>
      </c>
      <c r="Q22" s="9"/>
      <c r="R22" s="9"/>
      <c r="S22" s="9"/>
      <c r="T22" s="9"/>
      <c r="U22" s="9"/>
      <c r="V22" s="9"/>
      <c r="W22" s="9"/>
      <c r="X22" s="9"/>
      <c r="Y22" s="9"/>
      <c r="Z22" s="9"/>
      <c r="AA22" s="9"/>
      <c r="AB22" s="9"/>
      <c r="AC22" s="9"/>
      <c r="AD22" s="9"/>
      <c r="AE22" s="9"/>
      <c r="AF22" s="9"/>
      <c r="AG22" s="9"/>
      <c r="AH22" s="9"/>
      <c r="AI22" s="9"/>
      <c r="AJ22" s="9"/>
    </row>
    <row r="23" spans="1:36" ht="15" customHeight="1">
      <c r="A23" s="62">
        <f>'Students Details'!A23</f>
        <v>17</v>
      </c>
      <c r="B23" s="128" t="str">
        <f>IF('Students Details'!B23="","",'Students Details'!B23)</f>
        <v/>
      </c>
      <c r="C23" s="129" t="str">
        <f>IF('Students Details'!C23="","",'Students Details'!C23)</f>
        <v/>
      </c>
      <c r="D23" s="130" t="str">
        <f t="shared" si="1"/>
        <v/>
      </c>
      <c r="E23" s="131" t="str">
        <f t="shared" si="2"/>
        <v/>
      </c>
      <c r="F23" s="131" t="str">
        <f t="shared" si="3"/>
        <v/>
      </c>
      <c r="G23" s="131" t="str">
        <f t="shared" si="4"/>
        <v/>
      </c>
      <c r="H23" s="131" t="str">
        <f t="shared" si="5"/>
        <v/>
      </c>
      <c r="I23" s="131" t="str">
        <f t="shared" si="6"/>
        <v/>
      </c>
      <c r="J23" s="132" t="str">
        <f t="shared" si="7"/>
        <v/>
      </c>
      <c r="K23" s="40"/>
      <c r="L23" s="133"/>
      <c r="M23" s="134" t="s">
        <v>36</v>
      </c>
      <c r="N23" s="135">
        <v>31</v>
      </c>
      <c r="O23" s="132">
        <f>IF('CO-PO Mapping'!A11="","",IFERROR(N23/$N$25%,""))</f>
        <v>26.050420168067227</v>
      </c>
      <c r="P23" s="132">
        <f>IFERROR(O23%*O4,"")</f>
        <v>18.235294117647062</v>
      </c>
      <c r="Q23" s="9"/>
      <c r="R23" s="9"/>
      <c r="S23" s="9"/>
      <c r="T23" s="9"/>
      <c r="U23" s="9"/>
      <c r="V23" s="9"/>
      <c r="W23" s="9"/>
      <c r="X23" s="9"/>
      <c r="Y23" s="9"/>
      <c r="Z23" s="9"/>
      <c r="AA23" s="9"/>
      <c r="AB23" s="9"/>
      <c r="AC23" s="9"/>
      <c r="AD23" s="9"/>
      <c r="AE23" s="9"/>
      <c r="AF23" s="9"/>
      <c r="AG23" s="9"/>
      <c r="AH23" s="9"/>
      <c r="AI23" s="9"/>
      <c r="AJ23" s="9"/>
    </row>
    <row r="24" spans="1:36" ht="15" customHeight="1">
      <c r="A24" s="62">
        <f>'Students Details'!A24</f>
        <v>18</v>
      </c>
      <c r="B24" s="128" t="str">
        <f>IF('Students Details'!B24="","",'Students Details'!B24)</f>
        <v/>
      </c>
      <c r="C24" s="129" t="str">
        <f>IF('Students Details'!C24="","",'Students Details'!C24)</f>
        <v/>
      </c>
      <c r="D24" s="130" t="str">
        <f t="shared" si="1"/>
        <v/>
      </c>
      <c r="E24" s="131" t="str">
        <f t="shared" si="2"/>
        <v/>
      </c>
      <c r="F24" s="131" t="str">
        <f t="shared" si="3"/>
        <v/>
      </c>
      <c r="G24" s="131" t="str">
        <f t="shared" si="4"/>
        <v/>
      </c>
      <c r="H24" s="131" t="str">
        <f t="shared" si="5"/>
        <v/>
      </c>
      <c r="I24" s="131" t="str">
        <f t="shared" si="6"/>
        <v/>
      </c>
      <c r="J24" s="132" t="str">
        <f t="shared" si="7"/>
        <v/>
      </c>
      <c r="K24" s="40"/>
      <c r="L24" s="133"/>
      <c r="M24" s="134" t="s">
        <v>37</v>
      </c>
      <c r="N24" s="135"/>
      <c r="O24" s="132" t="str">
        <f>IF('CO-PO Mapping'!A12="","",IFERROR(N24/$N$25%,""))</f>
        <v/>
      </c>
      <c r="P24" s="132" t="str">
        <f>IFERROR(O24%*O4,"")</f>
        <v/>
      </c>
      <c r="Q24" s="9"/>
      <c r="R24" s="9"/>
      <c r="S24" s="9"/>
      <c r="T24" s="9"/>
      <c r="U24" s="9"/>
      <c r="V24" s="9"/>
      <c r="W24" s="9"/>
      <c r="X24" s="9"/>
      <c r="Y24" s="9"/>
      <c r="Z24" s="9"/>
      <c r="AA24" s="9"/>
      <c r="AB24" s="9"/>
      <c r="AC24" s="9"/>
      <c r="AD24" s="9"/>
      <c r="AE24" s="9"/>
      <c r="AF24" s="9"/>
      <c r="AG24" s="9"/>
      <c r="AH24" s="9"/>
      <c r="AI24" s="9"/>
      <c r="AJ24" s="9"/>
    </row>
    <row r="25" spans="1:36" ht="15" customHeight="1">
      <c r="A25" s="62">
        <f>'Students Details'!A25</f>
        <v>19</v>
      </c>
      <c r="B25" s="128" t="str">
        <f>IF('Students Details'!B25="","",'Students Details'!B25)</f>
        <v/>
      </c>
      <c r="C25" s="129" t="str">
        <f>IF('Students Details'!C25="","",'Students Details'!C25)</f>
        <v/>
      </c>
      <c r="D25" s="130" t="str">
        <f t="shared" si="1"/>
        <v/>
      </c>
      <c r="E25" s="131" t="str">
        <f t="shared" si="2"/>
        <v/>
      </c>
      <c r="F25" s="131" t="str">
        <f t="shared" si="3"/>
        <v/>
      </c>
      <c r="G25" s="131" t="str">
        <f t="shared" si="4"/>
        <v/>
      </c>
      <c r="H25" s="131" t="str">
        <f t="shared" si="5"/>
        <v/>
      </c>
      <c r="I25" s="131" t="str">
        <f t="shared" si="6"/>
        <v/>
      </c>
      <c r="J25" s="132" t="str">
        <f t="shared" si="7"/>
        <v/>
      </c>
      <c r="K25" s="40"/>
      <c r="L25" s="133"/>
      <c r="M25" s="134" t="s">
        <v>73</v>
      </c>
      <c r="N25" s="62">
        <f t="shared" ref="N25:P25" si="9">SUM(N19:N24)</f>
        <v>119</v>
      </c>
      <c r="O25" s="91">
        <f t="shared" si="9"/>
        <v>100</v>
      </c>
      <c r="P25" s="91">
        <f t="shared" si="9"/>
        <v>70</v>
      </c>
      <c r="Q25" s="9"/>
      <c r="R25" s="9"/>
      <c r="S25" s="9"/>
      <c r="T25" s="9"/>
      <c r="U25" s="9"/>
      <c r="V25" s="9"/>
      <c r="W25" s="9"/>
      <c r="X25" s="9"/>
      <c r="Y25" s="9"/>
      <c r="Z25" s="9"/>
      <c r="AA25" s="9"/>
      <c r="AB25" s="9"/>
      <c r="AC25" s="9"/>
      <c r="AD25" s="9"/>
      <c r="AE25" s="9"/>
      <c r="AF25" s="9"/>
      <c r="AG25" s="9"/>
      <c r="AH25" s="9"/>
      <c r="AI25" s="9"/>
      <c r="AJ25" s="9"/>
    </row>
    <row r="26" spans="1:36" ht="15" customHeight="1">
      <c r="A26" s="62">
        <f>'Students Details'!A26</f>
        <v>20</v>
      </c>
      <c r="B26" s="128" t="str">
        <f>IF('Students Details'!B26="","",'Students Details'!B26)</f>
        <v/>
      </c>
      <c r="C26" s="129" t="str">
        <f>IF('Students Details'!C26="","",'Students Details'!C26)</f>
        <v/>
      </c>
      <c r="D26" s="130" t="str">
        <f t="shared" si="1"/>
        <v/>
      </c>
      <c r="E26" s="131" t="str">
        <f t="shared" si="2"/>
        <v/>
      </c>
      <c r="F26" s="131" t="str">
        <f t="shared" si="3"/>
        <v/>
      </c>
      <c r="G26" s="131" t="str">
        <f t="shared" si="4"/>
        <v/>
      </c>
      <c r="H26" s="131" t="str">
        <f t="shared" si="5"/>
        <v/>
      </c>
      <c r="I26" s="131" t="str">
        <f t="shared" si="6"/>
        <v/>
      </c>
      <c r="J26" s="132" t="str">
        <f t="shared" si="7"/>
        <v/>
      </c>
      <c r="K26" s="40"/>
      <c r="L26" s="133"/>
      <c r="M26" s="9"/>
      <c r="N26" s="9"/>
      <c r="O26" s="9"/>
      <c r="P26" s="9"/>
      <c r="Q26" s="9"/>
      <c r="R26" s="9"/>
      <c r="S26" s="9"/>
      <c r="T26" s="9"/>
      <c r="U26" s="9"/>
      <c r="V26" s="9"/>
      <c r="W26" s="9"/>
      <c r="X26" s="9"/>
      <c r="Y26" s="9"/>
      <c r="Z26" s="9"/>
      <c r="AA26" s="9"/>
      <c r="AB26" s="9"/>
      <c r="AC26" s="9"/>
      <c r="AD26" s="9"/>
      <c r="AE26" s="9"/>
      <c r="AF26" s="9"/>
      <c r="AG26" s="9"/>
      <c r="AH26" s="9"/>
      <c r="AI26" s="9"/>
      <c r="AJ26" s="9"/>
    </row>
    <row r="27" spans="1:36" ht="15" customHeight="1">
      <c r="A27" s="62">
        <f>'Students Details'!A27</f>
        <v>21</v>
      </c>
      <c r="B27" s="128" t="str">
        <f>IF('Students Details'!B27="","",'Students Details'!B27)</f>
        <v/>
      </c>
      <c r="C27" s="129" t="str">
        <f>IF('Students Details'!C27="","",'Students Details'!C27)</f>
        <v/>
      </c>
      <c r="D27" s="130" t="str">
        <f t="shared" si="1"/>
        <v/>
      </c>
      <c r="E27" s="131" t="str">
        <f t="shared" si="2"/>
        <v/>
      </c>
      <c r="F27" s="131" t="str">
        <f t="shared" si="3"/>
        <v/>
      </c>
      <c r="G27" s="131" t="str">
        <f t="shared" si="4"/>
        <v/>
      </c>
      <c r="H27" s="131" t="str">
        <f t="shared" si="5"/>
        <v/>
      </c>
      <c r="I27" s="131" t="str">
        <f t="shared" si="6"/>
        <v/>
      </c>
      <c r="J27" s="132" t="str">
        <f t="shared" si="7"/>
        <v/>
      </c>
      <c r="K27" s="40"/>
      <c r="L27" s="133"/>
      <c r="M27" s="9"/>
      <c r="N27" s="9"/>
      <c r="O27" s="9"/>
      <c r="P27" s="9"/>
      <c r="Q27" s="9"/>
      <c r="R27" s="9"/>
      <c r="S27" s="9"/>
      <c r="T27" s="9"/>
      <c r="U27" s="9"/>
      <c r="V27" s="9"/>
      <c r="W27" s="9"/>
      <c r="X27" s="9"/>
      <c r="Y27" s="9"/>
      <c r="Z27" s="9"/>
      <c r="AA27" s="9"/>
      <c r="AB27" s="9"/>
      <c r="AC27" s="9"/>
      <c r="AD27" s="9"/>
      <c r="AE27" s="9"/>
      <c r="AF27" s="9"/>
      <c r="AG27" s="9"/>
      <c r="AH27" s="9"/>
      <c r="AI27" s="9"/>
      <c r="AJ27" s="9"/>
    </row>
    <row r="28" spans="1:36" ht="15" customHeight="1">
      <c r="A28" s="62">
        <f>'Students Details'!A28</f>
        <v>22</v>
      </c>
      <c r="B28" s="128" t="str">
        <f>IF('Students Details'!B28="","",'Students Details'!B28)</f>
        <v/>
      </c>
      <c r="C28" s="129" t="str">
        <f>IF('Students Details'!C28="","",'Students Details'!C28)</f>
        <v/>
      </c>
      <c r="D28" s="130" t="str">
        <f t="shared" si="1"/>
        <v/>
      </c>
      <c r="E28" s="131" t="str">
        <f t="shared" si="2"/>
        <v/>
      </c>
      <c r="F28" s="131" t="str">
        <f t="shared" si="3"/>
        <v/>
      </c>
      <c r="G28" s="131" t="str">
        <f t="shared" si="4"/>
        <v/>
      </c>
      <c r="H28" s="131" t="str">
        <f t="shared" si="5"/>
        <v/>
      </c>
      <c r="I28" s="131" t="str">
        <f t="shared" si="6"/>
        <v/>
      </c>
      <c r="J28" s="132" t="str">
        <f t="shared" si="7"/>
        <v/>
      </c>
      <c r="K28" s="40"/>
      <c r="L28" s="133"/>
      <c r="M28" s="9"/>
      <c r="N28" s="9"/>
      <c r="O28" s="9"/>
      <c r="P28" s="9"/>
      <c r="Q28" s="9"/>
      <c r="R28" s="9"/>
      <c r="S28" s="9"/>
      <c r="T28" s="9"/>
      <c r="U28" s="9"/>
      <c r="V28" s="9"/>
      <c r="W28" s="9"/>
      <c r="X28" s="9"/>
      <c r="Y28" s="9"/>
      <c r="Z28" s="9"/>
      <c r="AA28" s="9"/>
      <c r="AB28" s="9"/>
      <c r="AC28" s="9"/>
      <c r="AD28" s="9"/>
      <c r="AE28" s="9"/>
      <c r="AF28" s="9"/>
      <c r="AG28" s="9"/>
      <c r="AH28" s="9"/>
      <c r="AI28" s="9"/>
      <c r="AJ28" s="9"/>
    </row>
    <row r="29" spans="1:36" ht="15" customHeight="1">
      <c r="A29" s="62">
        <f>'Students Details'!A29</f>
        <v>23</v>
      </c>
      <c r="B29" s="128" t="str">
        <f>IF('Students Details'!B29="","",'Students Details'!B29)</f>
        <v/>
      </c>
      <c r="C29" s="129" t="str">
        <f>IF('Students Details'!C29="","",'Students Details'!C29)</f>
        <v/>
      </c>
      <c r="D29" s="130" t="str">
        <f t="shared" si="1"/>
        <v/>
      </c>
      <c r="E29" s="131" t="str">
        <f t="shared" si="2"/>
        <v/>
      </c>
      <c r="F29" s="131" t="str">
        <f t="shared" si="3"/>
        <v/>
      </c>
      <c r="G29" s="131" t="str">
        <f t="shared" si="4"/>
        <v/>
      </c>
      <c r="H29" s="131" t="str">
        <f t="shared" si="5"/>
        <v/>
      </c>
      <c r="I29" s="131" t="str">
        <f t="shared" si="6"/>
        <v/>
      </c>
      <c r="J29" s="132" t="str">
        <f t="shared" si="7"/>
        <v/>
      </c>
      <c r="K29" s="40"/>
      <c r="L29" s="133"/>
      <c r="M29" s="9"/>
      <c r="N29" s="9"/>
      <c r="O29" s="9"/>
      <c r="P29" s="9"/>
      <c r="Q29" s="9"/>
      <c r="R29" s="9"/>
      <c r="S29" s="9"/>
      <c r="T29" s="9"/>
      <c r="U29" s="9"/>
      <c r="V29" s="9"/>
      <c r="W29" s="9"/>
      <c r="X29" s="9"/>
      <c r="Y29" s="9"/>
      <c r="Z29" s="9"/>
      <c r="AA29" s="9"/>
      <c r="AB29" s="9"/>
      <c r="AC29" s="9"/>
      <c r="AD29" s="9"/>
      <c r="AE29" s="9"/>
      <c r="AF29" s="9"/>
      <c r="AG29" s="9"/>
      <c r="AH29" s="9"/>
      <c r="AI29" s="9"/>
      <c r="AJ29" s="9"/>
    </row>
    <row r="30" spans="1:36" ht="15" customHeight="1">
      <c r="A30" s="62">
        <f>'Students Details'!A30</f>
        <v>24</v>
      </c>
      <c r="B30" s="128" t="str">
        <f>IF('Students Details'!B30="","",'Students Details'!B30)</f>
        <v/>
      </c>
      <c r="C30" s="129" t="str">
        <f>IF('Students Details'!C30="","",'Students Details'!C30)</f>
        <v/>
      </c>
      <c r="D30" s="130" t="str">
        <f t="shared" si="1"/>
        <v/>
      </c>
      <c r="E30" s="131" t="str">
        <f t="shared" si="2"/>
        <v/>
      </c>
      <c r="F30" s="131" t="str">
        <f t="shared" si="3"/>
        <v/>
      </c>
      <c r="G30" s="131" t="str">
        <f t="shared" si="4"/>
        <v/>
      </c>
      <c r="H30" s="131" t="str">
        <f t="shared" si="5"/>
        <v/>
      </c>
      <c r="I30" s="131" t="str">
        <f t="shared" si="6"/>
        <v/>
      </c>
      <c r="J30" s="132" t="str">
        <f t="shared" si="7"/>
        <v/>
      </c>
      <c r="K30" s="40"/>
      <c r="L30" s="133"/>
      <c r="M30" s="9"/>
      <c r="N30" s="9"/>
      <c r="O30" s="9"/>
      <c r="P30" s="9"/>
      <c r="Q30" s="9"/>
      <c r="R30" s="9"/>
      <c r="S30" s="9"/>
      <c r="T30" s="9"/>
      <c r="U30" s="9"/>
      <c r="V30" s="9"/>
      <c r="W30" s="9"/>
      <c r="X30" s="9"/>
      <c r="Y30" s="9"/>
      <c r="Z30" s="9"/>
      <c r="AA30" s="9"/>
      <c r="AB30" s="9"/>
      <c r="AC30" s="9"/>
      <c r="AD30" s="9"/>
      <c r="AE30" s="9"/>
      <c r="AF30" s="9"/>
      <c r="AG30" s="9"/>
      <c r="AH30" s="9"/>
      <c r="AI30" s="9"/>
      <c r="AJ30" s="9"/>
    </row>
    <row r="31" spans="1:36" ht="15" customHeight="1">
      <c r="A31" s="62">
        <f>'Students Details'!A31</f>
        <v>25</v>
      </c>
      <c r="B31" s="128" t="str">
        <f>IF('Students Details'!B31="","",'Students Details'!B31)</f>
        <v/>
      </c>
      <c r="C31" s="129" t="str">
        <f>IF('Students Details'!C31="","",'Students Details'!C31)</f>
        <v/>
      </c>
      <c r="D31" s="130" t="str">
        <f t="shared" si="1"/>
        <v/>
      </c>
      <c r="E31" s="131" t="str">
        <f t="shared" si="2"/>
        <v/>
      </c>
      <c r="F31" s="131" t="str">
        <f t="shared" si="3"/>
        <v/>
      </c>
      <c r="G31" s="131" t="str">
        <f t="shared" si="4"/>
        <v/>
      </c>
      <c r="H31" s="131" t="str">
        <f t="shared" si="5"/>
        <v/>
      </c>
      <c r="I31" s="131" t="str">
        <f t="shared" si="6"/>
        <v/>
      </c>
      <c r="J31" s="132" t="str">
        <f t="shared" si="7"/>
        <v/>
      </c>
      <c r="K31" s="40"/>
      <c r="L31" s="133"/>
      <c r="M31" s="9"/>
      <c r="N31" s="9"/>
      <c r="O31" s="9"/>
      <c r="P31" s="9"/>
      <c r="Q31" s="9"/>
      <c r="R31" s="9"/>
      <c r="S31" s="9"/>
      <c r="T31" s="9"/>
      <c r="U31" s="9"/>
      <c r="V31" s="9"/>
      <c r="W31" s="9"/>
      <c r="X31" s="9"/>
      <c r="Y31" s="9"/>
      <c r="Z31" s="9"/>
      <c r="AA31" s="9"/>
      <c r="AB31" s="9"/>
      <c r="AC31" s="9"/>
      <c r="AD31" s="9"/>
      <c r="AE31" s="9"/>
      <c r="AF31" s="9"/>
      <c r="AG31" s="9"/>
      <c r="AH31" s="9"/>
      <c r="AI31" s="9"/>
      <c r="AJ31" s="9"/>
    </row>
    <row r="32" spans="1:36" ht="15" customHeight="1">
      <c r="A32" s="62">
        <f>'Students Details'!A32</f>
        <v>26</v>
      </c>
      <c r="B32" s="128" t="str">
        <f>IF('Students Details'!B32="","",'Students Details'!B32)</f>
        <v/>
      </c>
      <c r="C32" s="129" t="str">
        <f>IF('Students Details'!C32="","",'Students Details'!C32)</f>
        <v/>
      </c>
      <c r="D32" s="130" t="str">
        <f t="shared" si="1"/>
        <v/>
      </c>
      <c r="E32" s="131" t="str">
        <f t="shared" si="2"/>
        <v/>
      </c>
      <c r="F32" s="131" t="str">
        <f t="shared" si="3"/>
        <v/>
      </c>
      <c r="G32" s="131" t="str">
        <f t="shared" si="4"/>
        <v/>
      </c>
      <c r="H32" s="131" t="str">
        <f t="shared" si="5"/>
        <v/>
      </c>
      <c r="I32" s="131" t="str">
        <f t="shared" si="6"/>
        <v/>
      </c>
      <c r="J32" s="132" t="str">
        <f t="shared" si="7"/>
        <v/>
      </c>
      <c r="K32" s="40"/>
      <c r="L32" s="133"/>
      <c r="M32" s="9"/>
      <c r="N32" s="9"/>
      <c r="O32" s="9"/>
      <c r="P32" s="9"/>
      <c r="Q32" s="9"/>
      <c r="R32" s="9"/>
      <c r="S32" s="9"/>
      <c r="T32" s="9"/>
      <c r="U32" s="9"/>
      <c r="V32" s="9"/>
      <c r="W32" s="9"/>
      <c r="X32" s="9"/>
      <c r="Y32" s="9"/>
      <c r="Z32" s="9"/>
      <c r="AA32" s="9"/>
      <c r="AB32" s="9"/>
      <c r="AC32" s="9"/>
      <c r="AD32" s="9"/>
      <c r="AE32" s="9"/>
      <c r="AF32" s="9"/>
      <c r="AG32" s="9"/>
      <c r="AH32" s="9"/>
      <c r="AI32" s="9"/>
      <c r="AJ32" s="9"/>
    </row>
    <row r="33" spans="1:36" ht="15" customHeight="1">
      <c r="A33" s="62">
        <f>'Students Details'!A33</f>
        <v>27</v>
      </c>
      <c r="B33" s="128" t="str">
        <f>IF('Students Details'!B33="","",'Students Details'!B33)</f>
        <v/>
      </c>
      <c r="C33" s="129" t="str">
        <f>IF('Students Details'!C33="","",'Students Details'!C33)</f>
        <v/>
      </c>
      <c r="D33" s="130" t="str">
        <f t="shared" si="1"/>
        <v/>
      </c>
      <c r="E33" s="131" t="str">
        <f t="shared" si="2"/>
        <v/>
      </c>
      <c r="F33" s="131" t="str">
        <f t="shared" si="3"/>
        <v/>
      </c>
      <c r="G33" s="131" t="str">
        <f t="shared" si="4"/>
        <v/>
      </c>
      <c r="H33" s="131" t="str">
        <f t="shared" si="5"/>
        <v/>
      </c>
      <c r="I33" s="131" t="str">
        <f t="shared" si="6"/>
        <v/>
      </c>
      <c r="J33" s="132" t="str">
        <f t="shared" si="7"/>
        <v/>
      </c>
      <c r="K33" s="40"/>
      <c r="L33" s="133"/>
      <c r="M33" s="9"/>
      <c r="N33" s="9"/>
      <c r="O33" s="9"/>
      <c r="P33" s="9"/>
      <c r="Q33" s="9"/>
      <c r="R33" s="9"/>
      <c r="S33" s="9"/>
      <c r="T33" s="9"/>
      <c r="U33" s="9"/>
      <c r="V33" s="9"/>
      <c r="W33" s="9"/>
      <c r="X33" s="9"/>
      <c r="Y33" s="9"/>
      <c r="Z33" s="9"/>
      <c r="AA33" s="9"/>
      <c r="AB33" s="9"/>
      <c r="AC33" s="9"/>
      <c r="AD33" s="9"/>
      <c r="AE33" s="9"/>
      <c r="AF33" s="9"/>
      <c r="AG33" s="9"/>
      <c r="AH33" s="9"/>
      <c r="AI33" s="9"/>
      <c r="AJ33" s="9"/>
    </row>
    <row r="34" spans="1:36" ht="15" customHeight="1">
      <c r="A34" s="62">
        <f>'Students Details'!A34</f>
        <v>28</v>
      </c>
      <c r="B34" s="128" t="str">
        <f>IF('Students Details'!B34="","",'Students Details'!B34)</f>
        <v/>
      </c>
      <c r="C34" s="129" t="str">
        <f>IF('Students Details'!C34="","",'Students Details'!C34)</f>
        <v/>
      </c>
      <c r="D34" s="130" t="str">
        <f t="shared" si="1"/>
        <v/>
      </c>
      <c r="E34" s="131" t="str">
        <f t="shared" si="2"/>
        <v/>
      </c>
      <c r="F34" s="131" t="str">
        <f t="shared" si="3"/>
        <v/>
      </c>
      <c r="G34" s="131" t="str">
        <f t="shared" si="4"/>
        <v/>
      </c>
      <c r="H34" s="131" t="str">
        <f t="shared" si="5"/>
        <v/>
      </c>
      <c r="I34" s="131" t="str">
        <f t="shared" si="6"/>
        <v/>
      </c>
      <c r="J34" s="132" t="str">
        <f t="shared" si="7"/>
        <v/>
      </c>
      <c r="K34" s="40"/>
      <c r="L34" s="133"/>
      <c r="M34" s="9"/>
      <c r="N34" s="9"/>
      <c r="O34" s="9"/>
      <c r="P34" s="9"/>
      <c r="Q34" s="9"/>
      <c r="R34" s="9"/>
      <c r="S34" s="9"/>
      <c r="T34" s="9"/>
      <c r="U34" s="9"/>
      <c r="V34" s="9"/>
      <c r="W34" s="9"/>
      <c r="X34" s="9"/>
      <c r="Y34" s="9"/>
      <c r="Z34" s="9"/>
      <c r="AA34" s="9"/>
      <c r="AB34" s="9"/>
      <c r="AC34" s="9"/>
      <c r="AD34" s="9"/>
      <c r="AE34" s="9"/>
      <c r="AF34" s="9"/>
      <c r="AG34" s="9"/>
      <c r="AH34" s="9"/>
      <c r="AI34" s="9"/>
      <c r="AJ34" s="9"/>
    </row>
    <row r="35" spans="1:36" ht="15" customHeight="1">
      <c r="A35" s="62">
        <f>'Students Details'!A35</f>
        <v>29</v>
      </c>
      <c r="B35" s="128" t="str">
        <f>IF('Students Details'!B35="","",'Students Details'!B35)</f>
        <v/>
      </c>
      <c r="C35" s="129" t="str">
        <f>IF('Students Details'!C35="","",'Students Details'!C35)</f>
        <v/>
      </c>
      <c r="D35" s="130" t="str">
        <f t="shared" si="1"/>
        <v/>
      </c>
      <c r="E35" s="131" t="str">
        <f t="shared" si="2"/>
        <v/>
      </c>
      <c r="F35" s="131" t="str">
        <f t="shared" si="3"/>
        <v/>
      </c>
      <c r="G35" s="131" t="str">
        <f t="shared" si="4"/>
        <v/>
      </c>
      <c r="H35" s="131" t="str">
        <f t="shared" si="5"/>
        <v/>
      </c>
      <c r="I35" s="131" t="str">
        <f t="shared" si="6"/>
        <v/>
      </c>
      <c r="J35" s="132" t="str">
        <f t="shared" si="7"/>
        <v/>
      </c>
      <c r="K35" s="40"/>
      <c r="L35" s="133"/>
      <c r="M35" s="9"/>
      <c r="N35" s="9"/>
      <c r="O35" s="9"/>
      <c r="P35" s="9"/>
      <c r="Q35" s="9"/>
      <c r="R35" s="9"/>
      <c r="S35" s="9"/>
      <c r="T35" s="9"/>
      <c r="U35" s="9"/>
      <c r="V35" s="9"/>
      <c r="W35" s="9"/>
      <c r="X35" s="9"/>
      <c r="Y35" s="9"/>
      <c r="Z35" s="9"/>
      <c r="AA35" s="9"/>
      <c r="AB35" s="9"/>
      <c r="AC35" s="9"/>
      <c r="AD35" s="9"/>
      <c r="AE35" s="9"/>
      <c r="AF35" s="9"/>
      <c r="AG35" s="9"/>
      <c r="AH35" s="9"/>
      <c r="AI35" s="9"/>
      <c r="AJ35" s="9"/>
    </row>
    <row r="36" spans="1:36" ht="15" customHeight="1">
      <c r="A36" s="62">
        <f>'Students Details'!A36</f>
        <v>30</v>
      </c>
      <c r="B36" s="128" t="str">
        <f>IF('Students Details'!B36="","",'Students Details'!B36)</f>
        <v/>
      </c>
      <c r="C36" s="129" t="str">
        <f>IF('Students Details'!C36="","",'Students Details'!C36)</f>
        <v/>
      </c>
      <c r="D36" s="130" t="str">
        <f t="shared" si="1"/>
        <v/>
      </c>
      <c r="E36" s="131" t="str">
        <f t="shared" si="2"/>
        <v/>
      </c>
      <c r="F36" s="131" t="str">
        <f t="shared" si="3"/>
        <v/>
      </c>
      <c r="G36" s="131" t="str">
        <f t="shared" si="4"/>
        <v/>
      </c>
      <c r="H36" s="131" t="str">
        <f t="shared" si="5"/>
        <v/>
      </c>
      <c r="I36" s="131" t="str">
        <f t="shared" si="6"/>
        <v/>
      </c>
      <c r="J36" s="132" t="str">
        <f t="shared" si="7"/>
        <v/>
      </c>
      <c r="K36" s="40"/>
      <c r="L36" s="133"/>
      <c r="M36" s="9"/>
      <c r="N36" s="9"/>
      <c r="O36" s="9"/>
      <c r="P36" s="9"/>
      <c r="Q36" s="9"/>
      <c r="R36" s="9"/>
      <c r="S36" s="9"/>
      <c r="T36" s="9"/>
      <c r="U36" s="9"/>
      <c r="V36" s="9"/>
      <c r="W36" s="9"/>
      <c r="X36" s="9"/>
      <c r="Y36" s="9"/>
      <c r="Z36" s="9"/>
      <c r="AA36" s="9"/>
      <c r="AB36" s="9"/>
      <c r="AC36" s="9"/>
      <c r="AD36" s="9"/>
      <c r="AE36" s="9"/>
      <c r="AF36" s="9"/>
      <c r="AG36" s="9"/>
      <c r="AH36" s="9"/>
      <c r="AI36" s="9"/>
      <c r="AJ36" s="9"/>
    </row>
    <row r="37" spans="1:36" ht="15" customHeight="1">
      <c r="A37" s="62">
        <f>'Students Details'!A37</f>
        <v>31</v>
      </c>
      <c r="B37" s="128" t="str">
        <f>IF('Students Details'!B37="","",'Students Details'!B37)</f>
        <v/>
      </c>
      <c r="C37" s="129" t="str">
        <f>IF('Students Details'!C37="","",'Students Details'!C37)</f>
        <v/>
      </c>
      <c r="D37" s="130" t="str">
        <f t="shared" si="1"/>
        <v/>
      </c>
      <c r="E37" s="131" t="str">
        <f t="shared" si="2"/>
        <v/>
      </c>
      <c r="F37" s="131" t="str">
        <f t="shared" si="3"/>
        <v/>
      </c>
      <c r="G37" s="131" t="str">
        <f t="shared" si="4"/>
        <v/>
      </c>
      <c r="H37" s="131" t="str">
        <f t="shared" si="5"/>
        <v/>
      </c>
      <c r="I37" s="131" t="str">
        <f t="shared" si="6"/>
        <v/>
      </c>
      <c r="J37" s="132" t="str">
        <f t="shared" si="7"/>
        <v/>
      </c>
      <c r="K37" s="40"/>
      <c r="L37" s="133"/>
      <c r="M37" s="9"/>
      <c r="N37" s="9"/>
      <c r="O37" s="9"/>
      <c r="P37" s="9"/>
      <c r="Q37" s="9"/>
      <c r="R37" s="9"/>
      <c r="S37" s="9"/>
      <c r="T37" s="9"/>
      <c r="U37" s="9"/>
      <c r="V37" s="9"/>
      <c r="W37" s="9"/>
      <c r="X37" s="9"/>
      <c r="Y37" s="9"/>
      <c r="Z37" s="9"/>
      <c r="AA37" s="9"/>
      <c r="AB37" s="9"/>
      <c r="AC37" s="9"/>
      <c r="AD37" s="9"/>
      <c r="AE37" s="9"/>
      <c r="AF37" s="9"/>
      <c r="AG37" s="9"/>
      <c r="AH37" s="9"/>
      <c r="AI37" s="9"/>
      <c r="AJ37" s="9"/>
    </row>
    <row r="38" spans="1:36" ht="15" customHeight="1">
      <c r="A38" s="62">
        <f>'Students Details'!A38</f>
        <v>32</v>
      </c>
      <c r="B38" s="128" t="str">
        <f>IF('Students Details'!B38="","",'Students Details'!B38)</f>
        <v/>
      </c>
      <c r="C38" s="129" t="str">
        <f>IF('Students Details'!C38="","",'Students Details'!C38)</f>
        <v/>
      </c>
      <c r="D38" s="130" t="str">
        <f t="shared" si="1"/>
        <v/>
      </c>
      <c r="E38" s="131" t="str">
        <f t="shared" si="2"/>
        <v/>
      </c>
      <c r="F38" s="131" t="str">
        <f t="shared" si="3"/>
        <v/>
      </c>
      <c r="G38" s="131" t="str">
        <f t="shared" si="4"/>
        <v/>
      </c>
      <c r="H38" s="131" t="str">
        <f t="shared" si="5"/>
        <v/>
      </c>
      <c r="I38" s="131" t="str">
        <f t="shared" si="6"/>
        <v/>
      </c>
      <c r="J38" s="132" t="str">
        <f t="shared" si="7"/>
        <v/>
      </c>
      <c r="K38" s="40"/>
      <c r="L38" s="133"/>
      <c r="M38" s="9"/>
      <c r="N38" s="9"/>
      <c r="O38" s="9"/>
      <c r="P38" s="9"/>
      <c r="Q38" s="9"/>
      <c r="R38" s="9"/>
      <c r="S38" s="9"/>
      <c r="T38" s="9"/>
      <c r="U38" s="9"/>
      <c r="V38" s="9"/>
      <c r="W38" s="9"/>
      <c r="X38" s="9"/>
      <c r="Y38" s="9"/>
      <c r="Z38" s="9"/>
      <c r="AA38" s="9"/>
      <c r="AB38" s="9"/>
      <c r="AC38" s="9"/>
      <c r="AD38" s="9"/>
      <c r="AE38" s="9"/>
      <c r="AF38" s="9"/>
      <c r="AG38" s="9"/>
      <c r="AH38" s="9"/>
      <c r="AI38" s="9"/>
      <c r="AJ38" s="9"/>
    </row>
    <row r="39" spans="1:36" ht="15" customHeight="1">
      <c r="A39" s="62">
        <f>'Students Details'!A39</f>
        <v>33</v>
      </c>
      <c r="B39" s="128" t="str">
        <f>IF('Students Details'!B39="","",'Students Details'!B39)</f>
        <v/>
      </c>
      <c r="C39" s="129" t="str">
        <f>IF('Students Details'!C39="","",'Students Details'!C39)</f>
        <v/>
      </c>
      <c r="D39" s="130" t="str">
        <f t="shared" si="1"/>
        <v/>
      </c>
      <c r="E39" s="131" t="str">
        <f t="shared" si="2"/>
        <v/>
      </c>
      <c r="F39" s="131" t="str">
        <f t="shared" si="3"/>
        <v/>
      </c>
      <c r="G39" s="131" t="str">
        <f t="shared" si="4"/>
        <v/>
      </c>
      <c r="H39" s="131" t="str">
        <f t="shared" si="5"/>
        <v/>
      </c>
      <c r="I39" s="131" t="str">
        <f t="shared" si="6"/>
        <v/>
      </c>
      <c r="J39" s="132" t="str">
        <f t="shared" si="7"/>
        <v/>
      </c>
      <c r="K39" s="40"/>
      <c r="L39" s="133"/>
      <c r="M39" s="9"/>
      <c r="N39" s="9"/>
      <c r="O39" s="9"/>
      <c r="P39" s="9"/>
      <c r="Q39" s="9"/>
      <c r="R39" s="9"/>
      <c r="S39" s="9"/>
      <c r="T39" s="9"/>
      <c r="U39" s="9"/>
      <c r="V39" s="9"/>
      <c r="W39" s="9"/>
      <c r="X39" s="9"/>
      <c r="Y39" s="9"/>
      <c r="Z39" s="9"/>
      <c r="AA39" s="9"/>
      <c r="AB39" s="9"/>
      <c r="AC39" s="9"/>
      <c r="AD39" s="9"/>
      <c r="AE39" s="9"/>
      <c r="AF39" s="9"/>
      <c r="AG39" s="9"/>
      <c r="AH39" s="9"/>
      <c r="AI39" s="9"/>
      <c r="AJ39" s="9"/>
    </row>
    <row r="40" spans="1:36" ht="15" customHeight="1">
      <c r="A40" s="62">
        <f>'Students Details'!A40</f>
        <v>34</v>
      </c>
      <c r="B40" s="128" t="str">
        <f>IF('Students Details'!B40="","",'Students Details'!B40)</f>
        <v/>
      </c>
      <c r="C40" s="129" t="str">
        <f>IF('Students Details'!C40="","",'Students Details'!C40)</f>
        <v/>
      </c>
      <c r="D40" s="130" t="str">
        <f t="shared" si="1"/>
        <v/>
      </c>
      <c r="E40" s="131" t="str">
        <f t="shared" si="2"/>
        <v/>
      </c>
      <c r="F40" s="131" t="str">
        <f t="shared" si="3"/>
        <v/>
      </c>
      <c r="G40" s="131" t="str">
        <f t="shared" si="4"/>
        <v/>
      </c>
      <c r="H40" s="131" t="str">
        <f t="shared" si="5"/>
        <v/>
      </c>
      <c r="I40" s="131" t="str">
        <f t="shared" si="6"/>
        <v/>
      </c>
      <c r="J40" s="132" t="str">
        <f t="shared" si="7"/>
        <v/>
      </c>
      <c r="K40" s="40"/>
      <c r="L40" s="133"/>
      <c r="M40" s="9"/>
      <c r="N40" s="9"/>
      <c r="O40" s="9"/>
      <c r="P40" s="9"/>
      <c r="Q40" s="9"/>
      <c r="R40" s="9"/>
      <c r="S40" s="9"/>
      <c r="T40" s="9"/>
      <c r="U40" s="9"/>
      <c r="V40" s="9"/>
      <c r="W40" s="9"/>
      <c r="X40" s="9"/>
      <c r="Y40" s="9"/>
      <c r="Z40" s="9"/>
      <c r="AA40" s="9"/>
      <c r="AB40" s="9"/>
      <c r="AC40" s="9"/>
      <c r="AD40" s="9"/>
      <c r="AE40" s="9"/>
      <c r="AF40" s="9"/>
      <c r="AG40" s="9"/>
      <c r="AH40" s="9"/>
      <c r="AI40" s="9"/>
      <c r="AJ40" s="9"/>
    </row>
    <row r="41" spans="1:36" ht="15" customHeight="1">
      <c r="A41" s="62">
        <f>'Students Details'!A41</f>
        <v>35</v>
      </c>
      <c r="B41" s="128" t="str">
        <f>IF('Students Details'!B41="","",'Students Details'!B41)</f>
        <v/>
      </c>
      <c r="C41" s="129" t="str">
        <f>IF('Students Details'!C41="","",'Students Details'!C41)</f>
        <v/>
      </c>
      <c r="D41" s="130" t="str">
        <f t="shared" si="1"/>
        <v/>
      </c>
      <c r="E41" s="131" t="str">
        <f t="shared" si="2"/>
        <v/>
      </c>
      <c r="F41" s="131" t="str">
        <f t="shared" si="3"/>
        <v/>
      </c>
      <c r="G41" s="131" t="str">
        <f t="shared" si="4"/>
        <v/>
      </c>
      <c r="H41" s="131" t="str">
        <f t="shared" si="5"/>
        <v/>
      </c>
      <c r="I41" s="131" t="str">
        <f t="shared" si="6"/>
        <v/>
      </c>
      <c r="J41" s="132" t="str">
        <f t="shared" si="7"/>
        <v/>
      </c>
      <c r="K41" s="40"/>
      <c r="L41" s="133"/>
      <c r="M41" s="9"/>
      <c r="N41" s="9"/>
      <c r="O41" s="9"/>
      <c r="P41" s="9"/>
      <c r="Q41" s="9"/>
      <c r="R41" s="9"/>
      <c r="S41" s="9"/>
      <c r="T41" s="9"/>
      <c r="U41" s="9"/>
      <c r="V41" s="9"/>
      <c r="W41" s="9"/>
      <c r="X41" s="9"/>
      <c r="Y41" s="9"/>
      <c r="Z41" s="9"/>
      <c r="AA41" s="9"/>
      <c r="AB41" s="9"/>
      <c r="AC41" s="9"/>
      <c r="AD41" s="9"/>
      <c r="AE41" s="9"/>
      <c r="AF41" s="9"/>
      <c r="AG41" s="9"/>
      <c r="AH41" s="9"/>
      <c r="AI41" s="9"/>
      <c r="AJ41" s="9"/>
    </row>
    <row r="42" spans="1:36" ht="15" customHeight="1">
      <c r="A42" s="62">
        <f>'Students Details'!A42</f>
        <v>36</v>
      </c>
      <c r="B42" s="128" t="str">
        <f>IF('Students Details'!B42="","",'Students Details'!B42)</f>
        <v/>
      </c>
      <c r="C42" s="129" t="str">
        <f>IF('Students Details'!C42="","",'Students Details'!C42)</f>
        <v/>
      </c>
      <c r="D42" s="130" t="str">
        <f t="shared" si="1"/>
        <v/>
      </c>
      <c r="E42" s="131" t="str">
        <f t="shared" si="2"/>
        <v/>
      </c>
      <c r="F42" s="131" t="str">
        <f t="shared" si="3"/>
        <v/>
      </c>
      <c r="G42" s="131" t="str">
        <f t="shared" si="4"/>
        <v/>
      </c>
      <c r="H42" s="131" t="str">
        <f t="shared" si="5"/>
        <v/>
      </c>
      <c r="I42" s="131" t="str">
        <f t="shared" si="6"/>
        <v/>
      </c>
      <c r="J42" s="132" t="str">
        <f t="shared" si="7"/>
        <v/>
      </c>
      <c r="K42" s="40"/>
      <c r="L42" s="133"/>
      <c r="M42" s="9"/>
      <c r="N42" s="9"/>
      <c r="O42" s="9"/>
      <c r="P42" s="9"/>
      <c r="Q42" s="9"/>
      <c r="R42" s="9"/>
      <c r="S42" s="9"/>
      <c r="T42" s="9"/>
      <c r="U42" s="9"/>
      <c r="V42" s="9"/>
      <c r="W42" s="9"/>
      <c r="X42" s="9"/>
      <c r="Y42" s="9"/>
      <c r="Z42" s="9"/>
      <c r="AA42" s="9"/>
      <c r="AB42" s="9"/>
      <c r="AC42" s="9"/>
      <c r="AD42" s="9"/>
      <c r="AE42" s="9"/>
      <c r="AF42" s="9"/>
      <c r="AG42" s="9"/>
      <c r="AH42" s="9"/>
      <c r="AI42" s="9"/>
      <c r="AJ42" s="9"/>
    </row>
    <row r="43" spans="1:36" ht="15" customHeight="1">
      <c r="A43" s="62">
        <f>'Students Details'!A43</f>
        <v>37</v>
      </c>
      <c r="B43" s="128" t="str">
        <f>IF('Students Details'!B43="","",'Students Details'!B43)</f>
        <v/>
      </c>
      <c r="C43" s="129" t="str">
        <f>IF('Students Details'!C43="","",'Students Details'!C43)</f>
        <v/>
      </c>
      <c r="D43" s="130" t="str">
        <f t="shared" si="1"/>
        <v/>
      </c>
      <c r="E43" s="131" t="str">
        <f t="shared" si="2"/>
        <v/>
      </c>
      <c r="F43" s="131" t="str">
        <f t="shared" si="3"/>
        <v/>
      </c>
      <c r="G43" s="131" t="str">
        <f t="shared" si="4"/>
        <v/>
      </c>
      <c r="H43" s="131" t="str">
        <f t="shared" si="5"/>
        <v/>
      </c>
      <c r="I43" s="131" t="str">
        <f t="shared" si="6"/>
        <v/>
      </c>
      <c r="J43" s="132" t="str">
        <f t="shared" si="7"/>
        <v/>
      </c>
      <c r="K43" s="40"/>
      <c r="L43" s="133"/>
      <c r="M43" s="9"/>
      <c r="N43" s="9"/>
      <c r="O43" s="9"/>
      <c r="P43" s="9"/>
      <c r="Q43" s="9"/>
      <c r="R43" s="9"/>
      <c r="S43" s="9"/>
      <c r="T43" s="9"/>
      <c r="U43" s="9"/>
      <c r="V43" s="9"/>
      <c r="W43" s="9"/>
      <c r="X43" s="9"/>
      <c r="Y43" s="9"/>
      <c r="Z43" s="9"/>
      <c r="AA43" s="9"/>
      <c r="AB43" s="9"/>
      <c r="AC43" s="9"/>
      <c r="AD43" s="9"/>
      <c r="AE43" s="9"/>
      <c r="AF43" s="9"/>
      <c r="AG43" s="9"/>
      <c r="AH43" s="9"/>
      <c r="AI43" s="9"/>
      <c r="AJ43" s="9"/>
    </row>
    <row r="44" spans="1:36" ht="15" customHeight="1">
      <c r="A44" s="62">
        <f>'Students Details'!A44</f>
        <v>38</v>
      </c>
      <c r="B44" s="128" t="str">
        <f>IF('Students Details'!B44="","",'Students Details'!B44)</f>
        <v/>
      </c>
      <c r="C44" s="129" t="str">
        <f>IF('Students Details'!C44="","",'Students Details'!C44)</f>
        <v/>
      </c>
      <c r="D44" s="130" t="str">
        <f t="shared" si="1"/>
        <v/>
      </c>
      <c r="E44" s="131" t="str">
        <f t="shared" si="2"/>
        <v/>
      </c>
      <c r="F44" s="131" t="str">
        <f t="shared" si="3"/>
        <v/>
      </c>
      <c r="G44" s="131" t="str">
        <f t="shared" si="4"/>
        <v/>
      </c>
      <c r="H44" s="131" t="str">
        <f t="shared" si="5"/>
        <v/>
      </c>
      <c r="I44" s="131" t="str">
        <f t="shared" si="6"/>
        <v/>
      </c>
      <c r="J44" s="132" t="str">
        <f t="shared" si="7"/>
        <v/>
      </c>
      <c r="K44" s="40"/>
      <c r="L44" s="133"/>
      <c r="M44" s="9"/>
      <c r="N44" s="9"/>
      <c r="O44" s="9"/>
      <c r="P44" s="9"/>
      <c r="Q44" s="9"/>
      <c r="R44" s="9"/>
      <c r="S44" s="9"/>
      <c r="T44" s="9"/>
      <c r="U44" s="9"/>
      <c r="V44" s="9"/>
      <c r="W44" s="9"/>
      <c r="X44" s="9"/>
      <c r="Y44" s="9"/>
      <c r="Z44" s="9"/>
      <c r="AA44" s="9"/>
      <c r="AB44" s="9"/>
      <c r="AC44" s="9"/>
      <c r="AD44" s="9"/>
      <c r="AE44" s="9"/>
      <c r="AF44" s="9"/>
      <c r="AG44" s="9"/>
      <c r="AH44" s="9"/>
      <c r="AI44" s="9"/>
      <c r="AJ44" s="9"/>
    </row>
    <row r="45" spans="1:36" ht="15" customHeight="1">
      <c r="A45" s="62">
        <f>'Students Details'!A45</f>
        <v>39</v>
      </c>
      <c r="B45" s="128" t="str">
        <f>IF('Students Details'!B45="","",'Students Details'!B45)</f>
        <v/>
      </c>
      <c r="C45" s="129" t="str">
        <f>IF('Students Details'!C45="","",'Students Details'!C45)</f>
        <v/>
      </c>
      <c r="D45" s="130" t="str">
        <f t="shared" si="1"/>
        <v/>
      </c>
      <c r="E45" s="131" t="str">
        <f t="shared" si="2"/>
        <v/>
      </c>
      <c r="F45" s="131" t="str">
        <f t="shared" si="3"/>
        <v/>
      </c>
      <c r="G45" s="131" t="str">
        <f t="shared" si="4"/>
        <v/>
      </c>
      <c r="H45" s="131" t="str">
        <f t="shared" si="5"/>
        <v/>
      </c>
      <c r="I45" s="131" t="str">
        <f t="shared" si="6"/>
        <v/>
      </c>
      <c r="J45" s="132" t="str">
        <f t="shared" si="7"/>
        <v/>
      </c>
      <c r="K45" s="40"/>
      <c r="L45" s="133"/>
      <c r="M45" s="9"/>
      <c r="N45" s="9"/>
      <c r="O45" s="9"/>
      <c r="P45" s="9"/>
      <c r="Q45" s="9"/>
      <c r="R45" s="9"/>
      <c r="S45" s="9"/>
      <c r="T45" s="9"/>
      <c r="U45" s="9"/>
      <c r="V45" s="9"/>
      <c r="W45" s="9"/>
      <c r="X45" s="9"/>
      <c r="Y45" s="9"/>
      <c r="Z45" s="9"/>
      <c r="AA45" s="9"/>
      <c r="AB45" s="9"/>
      <c r="AC45" s="9"/>
      <c r="AD45" s="9"/>
      <c r="AE45" s="9"/>
      <c r="AF45" s="9"/>
      <c r="AG45" s="9"/>
      <c r="AH45" s="9"/>
      <c r="AI45" s="9"/>
      <c r="AJ45" s="9"/>
    </row>
    <row r="46" spans="1:36" ht="15" customHeight="1">
      <c r="A46" s="62">
        <f>'Students Details'!A46</f>
        <v>40</v>
      </c>
      <c r="B46" s="128" t="str">
        <f>IF('Students Details'!B46="","",'Students Details'!B46)</f>
        <v/>
      </c>
      <c r="C46" s="129" t="str">
        <f>IF('Students Details'!C46="","",'Students Details'!C46)</f>
        <v/>
      </c>
      <c r="D46" s="130" t="str">
        <f t="shared" si="1"/>
        <v/>
      </c>
      <c r="E46" s="131" t="str">
        <f t="shared" si="2"/>
        <v/>
      </c>
      <c r="F46" s="131" t="str">
        <f t="shared" si="3"/>
        <v/>
      </c>
      <c r="G46" s="131" t="str">
        <f t="shared" si="4"/>
        <v/>
      </c>
      <c r="H46" s="131" t="str">
        <f t="shared" si="5"/>
        <v/>
      </c>
      <c r="I46" s="131" t="str">
        <f t="shared" si="6"/>
        <v/>
      </c>
      <c r="J46" s="132" t="str">
        <f t="shared" si="7"/>
        <v/>
      </c>
      <c r="K46" s="40"/>
      <c r="L46" s="133"/>
      <c r="M46" s="9"/>
      <c r="N46" s="9"/>
      <c r="O46" s="9"/>
      <c r="P46" s="9"/>
      <c r="Q46" s="9"/>
      <c r="R46" s="9"/>
      <c r="S46" s="9"/>
      <c r="T46" s="9"/>
      <c r="U46" s="9"/>
      <c r="V46" s="9"/>
      <c r="W46" s="9"/>
      <c r="X46" s="9"/>
      <c r="Y46" s="9"/>
      <c r="Z46" s="9"/>
      <c r="AA46" s="9"/>
      <c r="AB46" s="9"/>
      <c r="AC46" s="9"/>
      <c r="AD46" s="9"/>
      <c r="AE46" s="9"/>
      <c r="AF46" s="9"/>
      <c r="AG46" s="9"/>
      <c r="AH46" s="9"/>
      <c r="AI46" s="9"/>
      <c r="AJ46" s="9"/>
    </row>
    <row r="47" spans="1:36" ht="15" customHeight="1">
      <c r="A47" s="62">
        <f>'Students Details'!A47</f>
        <v>41</v>
      </c>
      <c r="B47" s="128" t="str">
        <f>IF('Students Details'!B47="","",'Students Details'!B47)</f>
        <v/>
      </c>
      <c r="C47" s="129" t="str">
        <f>IF('Students Details'!C47="","",'Students Details'!C47)</f>
        <v/>
      </c>
      <c r="D47" s="130" t="str">
        <f t="shared" si="1"/>
        <v/>
      </c>
      <c r="E47" s="131" t="str">
        <f t="shared" si="2"/>
        <v/>
      </c>
      <c r="F47" s="131" t="str">
        <f t="shared" si="3"/>
        <v/>
      </c>
      <c r="G47" s="131" t="str">
        <f t="shared" si="4"/>
        <v/>
      </c>
      <c r="H47" s="131" t="str">
        <f t="shared" si="5"/>
        <v/>
      </c>
      <c r="I47" s="131" t="str">
        <f t="shared" si="6"/>
        <v/>
      </c>
      <c r="J47" s="132" t="str">
        <f t="shared" si="7"/>
        <v/>
      </c>
      <c r="K47" s="40"/>
      <c r="L47" s="133"/>
      <c r="M47" s="9"/>
      <c r="N47" s="9"/>
      <c r="O47" s="9"/>
      <c r="P47" s="9"/>
      <c r="Q47" s="9"/>
      <c r="R47" s="9"/>
      <c r="S47" s="9"/>
      <c r="T47" s="9"/>
      <c r="U47" s="9"/>
      <c r="V47" s="9"/>
      <c r="W47" s="9"/>
      <c r="X47" s="9"/>
      <c r="Y47" s="9"/>
      <c r="Z47" s="9"/>
      <c r="AA47" s="9"/>
      <c r="AB47" s="9"/>
      <c r="AC47" s="9"/>
      <c r="AD47" s="9"/>
      <c r="AE47" s="9"/>
      <c r="AF47" s="9"/>
      <c r="AG47" s="9"/>
      <c r="AH47" s="9"/>
      <c r="AI47" s="9"/>
      <c r="AJ47" s="9"/>
    </row>
    <row r="48" spans="1:36" ht="15" customHeight="1">
      <c r="A48" s="62">
        <f>'Students Details'!A48</f>
        <v>42</v>
      </c>
      <c r="B48" s="128" t="str">
        <f>IF('Students Details'!B48="","",'Students Details'!B48)</f>
        <v/>
      </c>
      <c r="C48" s="129" t="str">
        <f>IF('Students Details'!C48="","",'Students Details'!C48)</f>
        <v/>
      </c>
      <c r="D48" s="130" t="str">
        <f t="shared" si="1"/>
        <v/>
      </c>
      <c r="E48" s="131" t="str">
        <f t="shared" si="2"/>
        <v/>
      </c>
      <c r="F48" s="131" t="str">
        <f t="shared" si="3"/>
        <v/>
      </c>
      <c r="G48" s="131" t="str">
        <f t="shared" si="4"/>
        <v/>
      </c>
      <c r="H48" s="131" t="str">
        <f t="shared" si="5"/>
        <v/>
      </c>
      <c r="I48" s="131" t="str">
        <f t="shared" si="6"/>
        <v/>
      </c>
      <c r="J48" s="132" t="str">
        <f t="shared" si="7"/>
        <v/>
      </c>
      <c r="K48" s="40"/>
      <c r="L48" s="133"/>
      <c r="M48" s="9"/>
      <c r="N48" s="9"/>
      <c r="O48" s="9"/>
      <c r="P48" s="9"/>
      <c r="Q48" s="9"/>
      <c r="R48" s="9"/>
      <c r="S48" s="9"/>
      <c r="T48" s="9"/>
      <c r="U48" s="9"/>
      <c r="V48" s="9"/>
      <c r="W48" s="9"/>
      <c r="X48" s="9"/>
      <c r="Y48" s="9"/>
      <c r="Z48" s="9"/>
      <c r="AA48" s="9"/>
      <c r="AB48" s="9"/>
      <c r="AC48" s="9"/>
      <c r="AD48" s="9"/>
      <c r="AE48" s="9"/>
      <c r="AF48" s="9"/>
      <c r="AG48" s="9"/>
      <c r="AH48" s="9"/>
      <c r="AI48" s="9"/>
      <c r="AJ48" s="9"/>
    </row>
    <row r="49" spans="1:36" ht="15" customHeight="1">
      <c r="A49" s="62">
        <f>'Students Details'!A49</f>
        <v>43</v>
      </c>
      <c r="B49" s="128" t="str">
        <f>IF('Students Details'!B49="","",'Students Details'!B49)</f>
        <v/>
      </c>
      <c r="C49" s="129" t="str">
        <f>IF('Students Details'!C49="","",'Students Details'!C49)</f>
        <v/>
      </c>
      <c r="D49" s="130" t="str">
        <f t="shared" si="1"/>
        <v/>
      </c>
      <c r="E49" s="131" t="str">
        <f t="shared" si="2"/>
        <v/>
      </c>
      <c r="F49" s="131" t="str">
        <f t="shared" si="3"/>
        <v/>
      </c>
      <c r="G49" s="131" t="str">
        <f t="shared" si="4"/>
        <v/>
      </c>
      <c r="H49" s="131" t="str">
        <f t="shared" si="5"/>
        <v/>
      </c>
      <c r="I49" s="131" t="str">
        <f t="shared" si="6"/>
        <v/>
      </c>
      <c r="J49" s="132" t="str">
        <f t="shared" si="7"/>
        <v/>
      </c>
      <c r="K49" s="40"/>
      <c r="L49" s="133"/>
      <c r="M49" s="9"/>
      <c r="N49" s="9"/>
      <c r="O49" s="9"/>
      <c r="P49" s="9"/>
      <c r="Q49" s="9"/>
      <c r="R49" s="9"/>
      <c r="S49" s="9"/>
      <c r="T49" s="9"/>
      <c r="U49" s="9"/>
      <c r="V49" s="9"/>
      <c r="W49" s="9"/>
      <c r="X49" s="9"/>
      <c r="Y49" s="9"/>
      <c r="Z49" s="9"/>
      <c r="AA49" s="9"/>
      <c r="AB49" s="9"/>
      <c r="AC49" s="9"/>
      <c r="AD49" s="9"/>
      <c r="AE49" s="9"/>
      <c r="AF49" s="9"/>
      <c r="AG49" s="9"/>
      <c r="AH49" s="9"/>
      <c r="AI49" s="9"/>
      <c r="AJ49" s="9"/>
    </row>
    <row r="50" spans="1:36" ht="15" customHeight="1">
      <c r="A50" s="62">
        <f>'Students Details'!A50</f>
        <v>44</v>
      </c>
      <c r="B50" s="128" t="str">
        <f>IF('Students Details'!B50="","",'Students Details'!B50)</f>
        <v/>
      </c>
      <c r="C50" s="129" t="str">
        <f>IF('Students Details'!C50="","",'Students Details'!C50)</f>
        <v/>
      </c>
      <c r="D50" s="130" t="str">
        <f t="shared" si="1"/>
        <v/>
      </c>
      <c r="E50" s="131" t="str">
        <f t="shared" si="2"/>
        <v/>
      </c>
      <c r="F50" s="131" t="str">
        <f t="shared" si="3"/>
        <v/>
      </c>
      <c r="G50" s="131" t="str">
        <f t="shared" si="4"/>
        <v/>
      </c>
      <c r="H50" s="131" t="str">
        <f t="shared" si="5"/>
        <v/>
      </c>
      <c r="I50" s="131" t="str">
        <f t="shared" si="6"/>
        <v/>
      </c>
      <c r="J50" s="132" t="str">
        <f t="shared" si="7"/>
        <v/>
      </c>
      <c r="K50" s="40"/>
      <c r="L50" s="133"/>
      <c r="M50" s="9"/>
      <c r="N50" s="9"/>
      <c r="O50" s="9"/>
      <c r="P50" s="9"/>
      <c r="Q50" s="9"/>
      <c r="R50" s="9"/>
      <c r="S50" s="9"/>
      <c r="T50" s="9"/>
      <c r="U50" s="9"/>
      <c r="V50" s="9"/>
      <c r="W50" s="9"/>
      <c r="X50" s="9"/>
      <c r="Y50" s="9"/>
      <c r="Z50" s="9"/>
      <c r="AA50" s="9"/>
      <c r="AB50" s="9"/>
      <c r="AC50" s="9"/>
      <c r="AD50" s="9"/>
      <c r="AE50" s="9"/>
      <c r="AF50" s="9"/>
      <c r="AG50" s="9"/>
      <c r="AH50" s="9"/>
      <c r="AI50" s="9"/>
      <c r="AJ50" s="9"/>
    </row>
    <row r="51" spans="1:36" ht="15" customHeight="1">
      <c r="A51" s="62">
        <f>'Students Details'!A51</f>
        <v>45</v>
      </c>
      <c r="B51" s="128" t="str">
        <f>IF('Students Details'!B51="","",'Students Details'!B51)</f>
        <v/>
      </c>
      <c r="C51" s="129" t="str">
        <f>IF('Students Details'!C51="","",'Students Details'!C51)</f>
        <v/>
      </c>
      <c r="D51" s="130" t="str">
        <f t="shared" si="1"/>
        <v/>
      </c>
      <c r="E51" s="131" t="str">
        <f t="shared" si="2"/>
        <v/>
      </c>
      <c r="F51" s="131" t="str">
        <f t="shared" si="3"/>
        <v/>
      </c>
      <c r="G51" s="131" t="str">
        <f t="shared" si="4"/>
        <v/>
      </c>
      <c r="H51" s="131" t="str">
        <f t="shared" si="5"/>
        <v/>
      </c>
      <c r="I51" s="131" t="str">
        <f t="shared" si="6"/>
        <v/>
      </c>
      <c r="J51" s="132" t="str">
        <f t="shared" si="7"/>
        <v/>
      </c>
      <c r="K51" s="40"/>
      <c r="L51" s="133"/>
      <c r="M51" s="9"/>
      <c r="N51" s="9"/>
      <c r="O51" s="9"/>
      <c r="P51" s="9"/>
      <c r="Q51" s="9"/>
      <c r="R51" s="9"/>
      <c r="S51" s="9"/>
      <c r="T51" s="9"/>
      <c r="U51" s="9"/>
      <c r="V51" s="9"/>
      <c r="W51" s="9"/>
      <c r="X51" s="9"/>
      <c r="Y51" s="9"/>
      <c r="Z51" s="9"/>
      <c r="AA51" s="9"/>
      <c r="AB51" s="9"/>
      <c r="AC51" s="9"/>
      <c r="AD51" s="9"/>
      <c r="AE51" s="9"/>
      <c r="AF51" s="9"/>
      <c r="AG51" s="9"/>
      <c r="AH51" s="9"/>
      <c r="AI51" s="9"/>
      <c r="AJ51" s="9"/>
    </row>
    <row r="52" spans="1:36" ht="15" customHeight="1">
      <c r="A52" s="62">
        <f>'Students Details'!A52</f>
        <v>46</v>
      </c>
      <c r="B52" s="128" t="str">
        <f>IF('Students Details'!B52="","",'Students Details'!B52)</f>
        <v/>
      </c>
      <c r="C52" s="129" t="str">
        <f>IF('Students Details'!C52="","",'Students Details'!C52)</f>
        <v/>
      </c>
      <c r="D52" s="130" t="str">
        <f t="shared" si="1"/>
        <v/>
      </c>
      <c r="E52" s="131" t="str">
        <f t="shared" si="2"/>
        <v/>
      </c>
      <c r="F52" s="131" t="str">
        <f t="shared" si="3"/>
        <v/>
      </c>
      <c r="G52" s="131" t="str">
        <f t="shared" si="4"/>
        <v/>
      </c>
      <c r="H52" s="131" t="str">
        <f t="shared" si="5"/>
        <v/>
      </c>
      <c r="I52" s="131" t="str">
        <f t="shared" si="6"/>
        <v/>
      </c>
      <c r="J52" s="132" t="str">
        <f t="shared" si="7"/>
        <v/>
      </c>
      <c r="K52" s="40"/>
      <c r="L52" s="133"/>
      <c r="M52" s="9"/>
      <c r="N52" s="9"/>
      <c r="O52" s="9"/>
      <c r="P52" s="9"/>
      <c r="Q52" s="9"/>
      <c r="R52" s="9"/>
      <c r="S52" s="9"/>
      <c r="T52" s="9"/>
      <c r="U52" s="9"/>
      <c r="V52" s="9"/>
      <c r="W52" s="9"/>
      <c r="X52" s="9"/>
      <c r="Y52" s="9"/>
      <c r="Z52" s="9"/>
      <c r="AA52" s="9"/>
      <c r="AB52" s="9"/>
      <c r="AC52" s="9"/>
      <c r="AD52" s="9"/>
      <c r="AE52" s="9"/>
      <c r="AF52" s="9"/>
      <c r="AG52" s="9"/>
      <c r="AH52" s="9"/>
      <c r="AI52" s="9"/>
      <c r="AJ52" s="9"/>
    </row>
    <row r="53" spans="1:36" ht="15" customHeight="1">
      <c r="A53" s="62">
        <f>'Students Details'!A53</f>
        <v>47</v>
      </c>
      <c r="B53" s="128" t="str">
        <f>IF('Students Details'!B53="","",'Students Details'!B53)</f>
        <v/>
      </c>
      <c r="C53" s="129" t="str">
        <f>IF('Students Details'!C53="","",'Students Details'!C53)</f>
        <v/>
      </c>
      <c r="D53" s="130" t="str">
        <f t="shared" si="1"/>
        <v/>
      </c>
      <c r="E53" s="131" t="str">
        <f t="shared" si="2"/>
        <v/>
      </c>
      <c r="F53" s="131" t="str">
        <f t="shared" si="3"/>
        <v/>
      </c>
      <c r="G53" s="131" t="str">
        <f t="shared" si="4"/>
        <v/>
      </c>
      <c r="H53" s="131" t="str">
        <f t="shared" si="5"/>
        <v/>
      </c>
      <c r="I53" s="131" t="str">
        <f t="shared" si="6"/>
        <v/>
      </c>
      <c r="J53" s="132" t="str">
        <f t="shared" si="7"/>
        <v/>
      </c>
      <c r="K53" s="40"/>
      <c r="L53" s="133"/>
      <c r="M53" s="9"/>
      <c r="N53" s="9"/>
      <c r="O53" s="9"/>
      <c r="P53" s="9"/>
      <c r="Q53" s="9"/>
      <c r="R53" s="9"/>
      <c r="S53" s="9"/>
      <c r="T53" s="9"/>
      <c r="U53" s="9"/>
      <c r="V53" s="9"/>
      <c r="W53" s="9"/>
      <c r="X53" s="9"/>
      <c r="Y53" s="9"/>
      <c r="Z53" s="9"/>
      <c r="AA53" s="9"/>
      <c r="AB53" s="9"/>
      <c r="AC53" s="9"/>
      <c r="AD53" s="9"/>
      <c r="AE53" s="9"/>
      <c r="AF53" s="9"/>
      <c r="AG53" s="9"/>
      <c r="AH53" s="9"/>
      <c r="AI53" s="9"/>
      <c r="AJ53" s="9"/>
    </row>
    <row r="54" spans="1:36" ht="15" customHeight="1">
      <c r="A54" s="62">
        <f>'Students Details'!A54</f>
        <v>48</v>
      </c>
      <c r="B54" s="128" t="str">
        <f>IF('Students Details'!B54="","",'Students Details'!B54)</f>
        <v/>
      </c>
      <c r="C54" s="129" t="str">
        <f>IF('Students Details'!C54="","",'Students Details'!C54)</f>
        <v/>
      </c>
      <c r="D54" s="130" t="str">
        <f t="shared" si="1"/>
        <v/>
      </c>
      <c r="E54" s="131" t="str">
        <f t="shared" si="2"/>
        <v/>
      </c>
      <c r="F54" s="131" t="str">
        <f t="shared" si="3"/>
        <v/>
      </c>
      <c r="G54" s="131" t="str">
        <f t="shared" si="4"/>
        <v/>
      </c>
      <c r="H54" s="131" t="str">
        <f t="shared" si="5"/>
        <v/>
      </c>
      <c r="I54" s="131" t="str">
        <f t="shared" si="6"/>
        <v/>
      </c>
      <c r="J54" s="132" t="str">
        <f t="shared" si="7"/>
        <v/>
      </c>
      <c r="K54" s="40"/>
      <c r="L54" s="133"/>
      <c r="M54" s="9"/>
      <c r="N54" s="9"/>
      <c r="O54" s="9"/>
      <c r="P54" s="9"/>
      <c r="Q54" s="9"/>
      <c r="R54" s="9"/>
      <c r="S54" s="9"/>
      <c r="T54" s="9"/>
      <c r="U54" s="9"/>
      <c r="V54" s="9"/>
      <c r="W54" s="9"/>
      <c r="X54" s="9"/>
      <c r="Y54" s="9"/>
      <c r="Z54" s="9"/>
      <c r="AA54" s="9"/>
      <c r="AB54" s="9"/>
      <c r="AC54" s="9"/>
      <c r="AD54" s="9"/>
      <c r="AE54" s="9"/>
      <c r="AF54" s="9"/>
      <c r="AG54" s="9"/>
      <c r="AH54" s="9"/>
      <c r="AI54" s="9"/>
      <c r="AJ54" s="9"/>
    </row>
    <row r="55" spans="1:36" ht="15" customHeight="1">
      <c r="A55" s="62">
        <f>'Students Details'!A55</f>
        <v>49</v>
      </c>
      <c r="B55" s="128" t="str">
        <f>IF('Students Details'!B55="","",'Students Details'!B55)</f>
        <v/>
      </c>
      <c r="C55" s="129" t="str">
        <f>IF('Students Details'!C55="","",'Students Details'!C55)</f>
        <v/>
      </c>
      <c r="D55" s="130" t="str">
        <f t="shared" si="1"/>
        <v/>
      </c>
      <c r="E55" s="131" t="str">
        <f t="shared" si="2"/>
        <v/>
      </c>
      <c r="F55" s="131" t="str">
        <f t="shared" si="3"/>
        <v/>
      </c>
      <c r="G55" s="131" t="str">
        <f t="shared" si="4"/>
        <v/>
      </c>
      <c r="H55" s="131" t="str">
        <f t="shared" si="5"/>
        <v/>
      </c>
      <c r="I55" s="131" t="str">
        <f t="shared" si="6"/>
        <v/>
      </c>
      <c r="J55" s="132" t="str">
        <f t="shared" si="7"/>
        <v/>
      </c>
      <c r="K55" s="136"/>
      <c r="L55" s="133"/>
      <c r="M55" s="9"/>
      <c r="N55" s="9"/>
      <c r="O55" s="9"/>
      <c r="P55" s="9"/>
      <c r="Q55" s="9"/>
      <c r="R55" s="9"/>
      <c r="S55" s="9"/>
      <c r="T55" s="9"/>
      <c r="U55" s="9"/>
      <c r="V55" s="9"/>
      <c r="W55" s="9"/>
      <c r="X55" s="9"/>
      <c r="Y55" s="9"/>
      <c r="Z55" s="9"/>
      <c r="AA55" s="9"/>
      <c r="AB55" s="9"/>
      <c r="AC55" s="9"/>
      <c r="AD55" s="9"/>
      <c r="AE55" s="9"/>
      <c r="AF55" s="9"/>
      <c r="AG55" s="9"/>
      <c r="AH55" s="9"/>
      <c r="AI55" s="9"/>
      <c r="AJ55" s="9"/>
    </row>
    <row r="56" spans="1:36" ht="15" customHeight="1">
      <c r="A56" s="62">
        <f>'Students Details'!A56</f>
        <v>50</v>
      </c>
      <c r="B56" s="128" t="str">
        <f>IF('Students Details'!B56="","",'Students Details'!B56)</f>
        <v/>
      </c>
      <c r="C56" s="129" t="str">
        <f>IF('Students Details'!C56="","",'Students Details'!C56)</f>
        <v/>
      </c>
      <c r="D56" s="130" t="str">
        <f t="shared" si="1"/>
        <v/>
      </c>
      <c r="E56" s="131" t="str">
        <f t="shared" si="2"/>
        <v/>
      </c>
      <c r="F56" s="131" t="str">
        <f t="shared" si="3"/>
        <v/>
      </c>
      <c r="G56" s="131" t="str">
        <f t="shared" si="4"/>
        <v/>
      </c>
      <c r="H56" s="131" t="str">
        <f t="shared" si="5"/>
        <v/>
      </c>
      <c r="I56" s="131" t="str">
        <f t="shared" si="6"/>
        <v/>
      </c>
      <c r="J56" s="132" t="str">
        <f t="shared" si="7"/>
        <v/>
      </c>
      <c r="K56" s="136"/>
      <c r="L56" s="133"/>
      <c r="M56" s="9"/>
      <c r="N56" s="9"/>
      <c r="O56" s="9"/>
      <c r="P56" s="9"/>
      <c r="Q56" s="9"/>
      <c r="R56" s="9"/>
      <c r="S56" s="9"/>
      <c r="T56" s="9"/>
      <c r="U56" s="9"/>
      <c r="V56" s="9"/>
      <c r="W56" s="9"/>
      <c r="X56" s="9"/>
      <c r="Y56" s="9"/>
      <c r="Z56" s="9"/>
      <c r="AA56" s="9"/>
      <c r="AB56" s="9"/>
      <c r="AC56" s="9"/>
      <c r="AD56" s="9"/>
      <c r="AE56" s="9"/>
      <c r="AF56" s="9"/>
      <c r="AG56" s="9"/>
      <c r="AH56" s="9"/>
      <c r="AI56" s="9"/>
      <c r="AJ56" s="9"/>
    </row>
    <row r="57" spans="1:36" ht="15" customHeight="1">
      <c r="A57" s="62">
        <f>'Students Details'!A57</f>
        <v>51</v>
      </c>
      <c r="B57" s="128" t="str">
        <f>IF('Students Details'!B57="","",'Students Details'!B57)</f>
        <v/>
      </c>
      <c r="C57" s="129" t="str">
        <f>IF('Students Details'!C57="","",'Students Details'!C57)</f>
        <v/>
      </c>
      <c r="D57" s="130" t="str">
        <f t="shared" si="1"/>
        <v/>
      </c>
      <c r="E57" s="131" t="str">
        <f t="shared" si="2"/>
        <v/>
      </c>
      <c r="F57" s="131" t="str">
        <f t="shared" si="3"/>
        <v/>
      </c>
      <c r="G57" s="131" t="str">
        <f t="shared" si="4"/>
        <v/>
      </c>
      <c r="H57" s="131" t="str">
        <f t="shared" si="5"/>
        <v/>
      </c>
      <c r="I57" s="131" t="str">
        <f t="shared" si="6"/>
        <v/>
      </c>
      <c r="J57" s="132" t="str">
        <f t="shared" si="7"/>
        <v/>
      </c>
      <c r="K57" s="136"/>
      <c r="L57" s="133"/>
      <c r="M57" s="9"/>
      <c r="N57" s="9"/>
      <c r="O57" s="9"/>
      <c r="P57" s="9"/>
      <c r="Q57" s="9"/>
      <c r="R57" s="9"/>
      <c r="S57" s="9"/>
      <c r="T57" s="9"/>
      <c r="U57" s="9"/>
      <c r="V57" s="9"/>
      <c r="W57" s="9"/>
      <c r="X57" s="9"/>
      <c r="Y57" s="9"/>
      <c r="Z57" s="9"/>
      <c r="AA57" s="9"/>
      <c r="AB57" s="9"/>
      <c r="AC57" s="9"/>
      <c r="AD57" s="9"/>
      <c r="AE57" s="9"/>
      <c r="AF57" s="9"/>
      <c r="AG57" s="9"/>
      <c r="AH57" s="9"/>
      <c r="AI57" s="9"/>
      <c r="AJ57" s="9"/>
    </row>
    <row r="58" spans="1:36" ht="15" customHeight="1">
      <c r="A58" s="62">
        <f>'Students Details'!A58</f>
        <v>52</v>
      </c>
      <c r="B58" s="128" t="str">
        <f>IF('Students Details'!B58="","",'Students Details'!B58)</f>
        <v/>
      </c>
      <c r="C58" s="129" t="str">
        <f>IF('Students Details'!C58="","",'Students Details'!C58)</f>
        <v/>
      </c>
      <c r="D58" s="130" t="str">
        <f t="shared" si="1"/>
        <v/>
      </c>
      <c r="E58" s="131" t="str">
        <f t="shared" si="2"/>
        <v/>
      </c>
      <c r="F58" s="131" t="str">
        <f t="shared" si="3"/>
        <v/>
      </c>
      <c r="G58" s="131" t="str">
        <f t="shared" si="4"/>
        <v/>
      </c>
      <c r="H58" s="131" t="str">
        <f t="shared" si="5"/>
        <v/>
      </c>
      <c r="I58" s="131" t="str">
        <f t="shared" si="6"/>
        <v/>
      </c>
      <c r="J58" s="132" t="str">
        <f t="shared" si="7"/>
        <v/>
      </c>
      <c r="K58" s="136"/>
      <c r="L58" s="133"/>
      <c r="M58" s="9"/>
      <c r="N58" s="9"/>
      <c r="O58" s="9"/>
      <c r="P58" s="9"/>
      <c r="Q58" s="9"/>
      <c r="R58" s="9"/>
      <c r="S58" s="9"/>
      <c r="T58" s="9"/>
      <c r="U58" s="9"/>
      <c r="V58" s="9"/>
      <c r="W58" s="9"/>
      <c r="X58" s="9"/>
      <c r="Y58" s="9"/>
      <c r="Z58" s="9"/>
      <c r="AA58" s="9"/>
      <c r="AB58" s="9"/>
      <c r="AC58" s="9"/>
      <c r="AD58" s="9"/>
      <c r="AE58" s="9"/>
      <c r="AF58" s="9"/>
      <c r="AG58" s="9"/>
      <c r="AH58" s="9"/>
      <c r="AI58" s="9"/>
      <c r="AJ58" s="9"/>
    </row>
    <row r="59" spans="1:36" ht="15" customHeight="1">
      <c r="A59" s="62">
        <f>'Students Details'!A59</f>
        <v>53</v>
      </c>
      <c r="B59" s="128" t="str">
        <f>IF('Students Details'!B59="","",'Students Details'!B59)</f>
        <v/>
      </c>
      <c r="C59" s="129" t="str">
        <f>IF('Students Details'!C59="","",'Students Details'!C59)</f>
        <v/>
      </c>
      <c r="D59" s="130" t="str">
        <f t="shared" si="1"/>
        <v/>
      </c>
      <c r="E59" s="131" t="str">
        <f t="shared" si="2"/>
        <v/>
      </c>
      <c r="F59" s="131" t="str">
        <f t="shared" si="3"/>
        <v/>
      </c>
      <c r="G59" s="131" t="str">
        <f t="shared" si="4"/>
        <v/>
      </c>
      <c r="H59" s="131" t="str">
        <f t="shared" si="5"/>
        <v/>
      </c>
      <c r="I59" s="131" t="str">
        <f t="shared" si="6"/>
        <v/>
      </c>
      <c r="J59" s="132" t="str">
        <f t="shared" si="7"/>
        <v/>
      </c>
      <c r="K59" s="136"/>
      <c r="L59" s="133"/>
      <c r="M59" s="9"/>
      <c r="N59" s="9"/>
      <c r="O59" s="9"/>
      <c r="P59" s="9"/>
      <c r="Q59" s="9"/>
      <c r="R59" s="9"/>
      <c r="S59" s="9"/>
      <c r="T59" s="9"/>
      <c r="U59" s="9"/>
      <c r="V59" s="9"/>
      <c r="W59" s="9"/>
      <c r="X59" s="9"/>
      <c r="Y59" s="9"/>
      <c r="Z59" s="9"/>
      <c r="AA59" s="9"/>
      <c r="AB59" s="9"/>
      <c r="AC59" s="9"/>
      <c r="AD59" s="9"/>
      <c r="AE59" s="9"/>
      <c r="AF59" s="9"/>
      <c r="AG59" s="9"/>
      <c r="AH59" s="9"/>
      <c r="AI59" s="9"/>
      <c r="AJ59" s="9"/>
    </row>
    <row r="60" spans="1:36" ht="15" customHeight="1">
      <c r="A60" s="62">
        <f>'Students Details'!A60</f>
        <v>54</v>
      </c>
      <c r="B60" s="128" t="str">
        <f>IF('Students Details'!B60="","",'Students Details'!B60)</f>
        <v/>
      </c>
      <c r="C60" s="129" t="str">
        <f>IF('Students Details'!C60="","",'Students Details'!C60)</f>
        <v/>
      </c>
      <c r="D60" s="130" t="str">
        <f t="shared" si="1"/>
        <v/>
      </c>
      <c r="E60" s="131" t="str">
        <f t="shared" si="2"/>
        <v/>
      </c>
      <c r="F60" s="131" t="str">
        <f t="shared" si="3"/>
        <v/>
      </c>
      <c r="G60" s="131" t="str">
        <f t="shared" si="4"/>
        <v/>
      </c>
      <c r="H60" s="131" t="str">
        <f t="shared" si="5"/>
        <v/>
      </c>
      <c r="I60" s="131" t="str">
        <f t="shared" si="6"/>
        <v/>
      </c>
      <c r="J60" s="132" t="str">
        <f t="shared" si="7"/>
        <v/>
      </c>
      <c r="K60" s="136"/>
      <c r="L60" s="133"/>
      <c r="M60" s="9"/>
      <c r="N60" s="9"/>
      <c r="O60" s="9"/>
      <c r="P60" s="9"/>
      <c r="Q60" s="9"/>
      <c r="R60" s="9"/>
      <c r="S60" s="9"/>
      <c r="T60" s="9"/>
      <c r="U60" s="9"/>
      <c r="V60" s="9"/>
      <c r="W60" s="9"/>
      <c r="X60" s="9"/>
      <c r="Y60" s="9"/>
      <c r="Z60" s="9"/>
      <c r="AA60" s="9"/>
      <c r="AB60" s="9"/>
      <c r="AC60" s="9"/>
      <c r="AD60" s="9"/>
      <c r="AE60" s="9"/>
      <c r="AF60" s="9"/>
      <c r="AG60" s="9"/>
      <c r="AH60" s="9"/>
      <c r="AI60" s="9"/>
      <c r="AJ60" s="9"/>
    </row>
    <row r="61" spans="1:36" ht="15" customHeight="1">
      <c r="A61" s="62">
        <f>'Students Details'!A61</f>
        <v>55</v>
      </c>
      <c r="B61" s="128" t="str">
        <f>IF('Students Details'!B61="","",'Students Details'!B61)</f>
        <v/>
      </c>
      <c r="C61" s="129" t="str">
        <f>IF('Students Details'!C61="","",'Students Details'!C61)</f>
        <v/>
      </c>
      <c r="D61" s="130" t="str">
        <f t="shared" si="1"/>
        <v/>
      </c>
      <c r="E61" s="131" t="str">
        <f t="shared" si="2"/>
        <v/>
      </c>
      <c r="F61" s="131" t="str">
        <f t="shared" si="3"/>
        <v/>
      </c>
      <c r="G61" s="131" t="str">
        <f t="shared" si="4"/>
        <v/>
      </c>
      <c r="H61" s="131" t="str">
        <f t="shared" si="5"/>
        <v/>
      </c>
      <c r="I61" s="131" t="str">
        <f t="shared" si="6"/>
        <v/>
      </c>
      <c r="J61" s="132" t="str">
        <f t="shared" si="7"/>
        <v/>
      </c>
      <c r="K61" s="136"/>
      <c r="L61" s="133"/>
      <c r="M61" s="9"/>
      <c r="N61" s="9"/>
      <c r="O61" s="9"/>
      <c r="P61" s="9"/>
      <c r="Q61" s="9"/>
      <c r="R61" s="9"/>
      <c r="S61" s="9"/>
      <c r="T61" s="9"/>
      <c r="U61" s="9"/>
      <c r="V61" s="9"/>
      <c r="W61" s="9"/>
      <c r="X61" s="9"/>
      <c r="Y61" s="9"/>
      <c r="Z61" s="9"/>
      <c r="AA61" s="9"/>
      <c r="AB61" s="9"/>
      <c r="AC61" s="9"/>
      <c r="AD61" s="9"/>
      <c r="AE61" s="9"/>
      <c r="AF61" s="9"/>
      <c r="AG61" s="9"/>
      <c r="AH61" s="9"/>
      <c r="AI61" s="9"/>
      <c r="AJ61" s="9"/>
    </row>
    <row r="62" spans="1:36" ht="15" customHeight="1">
      <c r="A62" s="62">
        <f>'Students Details'!A62</f>
        <v>56</v>
      </c>
      <c r="B62" s="128" t="str">
        <f>IF('Students Details'!B62="","",'Students Details'!B62)</f>
        <v/>
      </c>
      <c r="C62" s="129" t="str">
        <f>IF('Students Details'!C62="","",'Students Details'!C62)</f>
        <v/>
      </c>
      <c r="D62" s="130" t="str">
        <f t="shared" si="1"/>
        <v/>
      </c>
      <c r="E62" s="131" t="str">
        <f t="shared" si="2"/>
        <v/>
      </c>
      <c r="F62" s="131" t="str">
        <f t="shared" si="3"/>
        <v/>
      </c>
      <c r="G62" s="131" t="str">
        <f t="shared" si="4"/>
        <v/>
      </c>
      <c r="H62" s="131" t="str">
        <f t="shared" si="5"/>
        <v/>
      </c>
      <c r="I62" s="131" t="str">
        <f t="shared" si="6"/>
        <v/>
      </c>
      <c r="J62" s="132" t="str">
        <f t="shared" si="7"/>
        <v/>
      </c>
      <c r="K62" s="137"/>
      <c r="L62" s="133"/>
      <c r="M62" s="9"/>
      <c r="N62" s="9"/>
      <c r="O62" s="9"/>
      <c r="P62" s="9"/>
      <c r="Q62" s="9"/>
      <c r="R62" s="9"/>
      <c r="S62" s="9"/>
      <c r="T62" s="9"/>
      <c r="U62" s="9"/>
      <c r="V62" s="9"/>
      <c r="W62" s="9"/>
      <c r="X62" s="9"/>
      <c r="Y62" s="9"/>
      <c r="Z62" s="9"/>
      <c r="AA62" s="9"/>
      <c r="AB62" s="9"/>
      <c r="AC62" s="9"/>
      <c r="AD62" s="9"/>
      <c r="AE62" s="9"/>
      <c r="AF62" s="9"/>
      <c r="AG62" s="9"/>
      <c r="AH62" s="9"/>
      <c r="AI62" s="9"/>
      <c r="AJ62" s="9"/>
    </row>
    <row r="63" spans="1:36" ht="15" customHeight="1">
      <c r="A63" s="62">
        <f>'Students Details'!A63</f>
        <v>57</v>
      </c>
      <c r="B63" s="128" t="str">
        <f>IF('Students Details'!B63="","",'Students Details'!B63)</f>
        <v/>
      </c>
      <c r="C63" s="129" t="str">
        <f>IF('Students Details'!C63="","",'Students Details'!C63)</f>
        <v/>
      </c>
      <c r="D63" s="130" t="str">
        <f t="shared" si="1"/>
        <v/>
      </c>
      <c r="E63" s="131" t="str">
        <f t="shared" si="2"/>
        <v/>
      </c>
      <c r="F63" s="131" t="str">
        <f t="shared" si="3"/>
        <v/>
      </c>
      <c r="G63" s="131" t="str">
        <f t="shared" si="4"/>
        <v/>
      </c>
      <c r="H63" s="131" t="str">
        <f t="shared" si="5"/>
        <v/>
      </c>
      <c r="I63" s="131" t="str">
        <f t="shared" si="6"/>
        <v/>
      </c>
      <c r="J63" s="132" t="str">
        <f t="shared" si="7"/>
        <v/>
      </c>
      <c r="K63" s="137"/>
      <c r="L63" s="133"/>
      <c r="M63" s="9"/>
      <c r="N63" s="9"/>
      <c r="O63" s="9"/>
      <c r="P63" s="9"/>
      <c r="Q63" s="9"/>
      <c r="R63" s="9"/>
      <c r="S63" s="9"/>
      <c r="T63" s="9"/>
      <c r="U63" s="9"/>
      <c r="V63" s="9"/>
      <c r="W63" s="9"/>
      <c r="X63" s="9"/>
      <c r="Y63" s="9"/>
      <c r="Z63" s="9"/>
      <c r="AA63" s="9"/>
      <c r="AB63" s="9"/>
      <c r="AC63" s="9"/>
      <c r="AD63" s="9"/>
      <c r="AE63" s="9"/>
      <c r="AF63" s="9"/>
      <c r="AG63" s="9"/>
      <c r="AH63" s="9"/>
      <c r="AI63" s="9"/>
      <c r="AJ63" s="9"/>
    </row>
    <row r="64" spans="1:36" ht="15" customHeight="1">
      <c r="A64" s="62">
        <f>'Students Details'!A64</f>
        <v>58</v>
      </c>
      <c r="B64" s="128" t="str">
        <f>IF('Students Details'!B64="","",'Students Details'!B64)</f>
        <v/>
      </c>
      <c r="C64" s="129" t="str">
        <f>IF('Students Details'!C64="","",'Students Details'!C64)</f>
        <v/>
      </c>
      <c r="D64" s="130" t="str">
        <f t="shared" si="1"/>
        <v/>
      </c>
      <c r="E64" s="131" t="str">
        <f t="shared" si="2"/>
        <v/>
      </c>
      <c r="F64" s="131" t="str">
        <f t="shared" si="3"/>
        <v/>
      </c>
      <c r="G64" s="131" t="str">
        <f t="shared" si="4"/>
        <v/>
      </c>
      <c r="H64" s="131" t="str">
        <f t="shared" si="5"/>
        <v/>
      </c>
      <c r="I64" s="131" t="str">
        <f t="shared" si="6"/>
        <v/>
      </c>
      <c r="J64" s="132" t="str">
        <f t="shared" si="7"/>
        <v/>
      </c>
      <c r="K64" s="137"/>
      <c r="L64" s="133"/>
      <c r="M64" s="9"/>
      <c r="N64" s="9"/>
      <c r="O64" s="9"/>
      <c r="P64" s="9"/>
      <c r="Q64" s="9"/>
      <c r="R64" s="9"/>
      <c r="S64" s="9"/>
      <c r="T64" s="9"/>
      <c r="U64" s="9"/>
      <c r="V64" s="9"/>
      <c r="W64" s="9"/>
      <c r="X64" s="9"/>
      <c r="Y64" s="9"/>
      <c r="Z64" s="9"/>
      <c r="AA64" s="9"/>
      <c r="AB64" s="9"/>
      <c r="AC64" s="9"/>
      <c r="AD64" s="9"/>
      <c r="AE64" s="9"/>
      <c r="AF64" s="9"/>
      <c r="AG64" s="9"/>
      <c r="AH64" s="9"/>
      <c r="AI64" s="9"/>
      <c r="AJ64" s="9"/>
    </row>
    <row r="65" spans="1:36" ht="15" customHeight="1">
      <c r="A65" s="62">
        <f>'Students Details'!A65</f>
        <v>59</v>
      </c>
      <c r="B65" s="128" t="str">
        <f>IF('Students Details'!B65="","",'Students Details'!B65)</f>
        <v/>
      </c>
      <c r="C65" s="129" t="str">
        <f>IF('Students Details'!C65="","",'Students Details'!C65)</f>
        <v/>
      </c>
      <c r="D65" s="130" t="str">
        <f t="shared" si="1"/>
        <v/>
      </c>
      <c r="E65" s="131" t="str">
        <f t="shared" si="2"/>
        <v/>
      </c>
      <c r="F65" s="131" t="str">
        <f t="shared" si="3"/>
        <v/>
      </c>
      <c r="G65" s="131" t="str">
        <f t="shared" si="4"/>
        <v/>
      </c>
      <c r="H65" s="131" t="str">
        <f t="shared" si="5"/>
        <v/>
      </c>
      <c r="I65" s="131" t="str">
        <f t="shared" si="6"/>
        <v/>
      </c>
      <c r="J65" s="132" t="str">
        <f t="shared" si="7"/>
        <v/>
      </c>
      <c r="K65" s="137"/>
      <c r="L65" s="133"/>
      <c r="M65" s="9"/>
      <c r="N65" s="9"/>
      <c r="O65" s="9"/>
      <c r="P65" s="9"/>
      <c r="Q65" s="9"/>
      <c r="R65" s="9"/>
      <c r="S65" s="9"/>
      <c r="T65" s="9"/>
      <c r="U65" s="9"/>
      <c r="V65" s="9"/>
      <c r="W65" s="9"/>
      <c r="X65" s="9"/>
      <c r="Y65" s="9"/>
      <c r="Z65" s="9"/>
      <c r="AA65" s="9"/>
      <c r="AB65" s="9"/>
      <c r="AC65" s="9"/>
      <c r="AD65" s="9"/>
      <c r="AE65" s="9"/>
      <c r="AF65" s="9"/>
      <c r="AG65" s="9"/>
      <c r="AH65" s="9"/>
      <c r="AI65" s="9"/>
      <c r="AJ65" s="9"/>
    </row>
    <row r="66" spans="1:36" ht="15" customHeight="1">
      <c r="A66" s="62">
        <f>'Students Details'!A66</f>
        <v>60</v>
      </c>
      <c r="B66" s="128" t="str">
        <f>IF('Students Details'!B66="","",'Students Details'!B66)</f>
        <v/>
      </c>
      <c r="C66" s="129" t="str">
        <f>IF('Students Details'!C66="","",'Students Details'!C66)</f>
        <v/>
      </c>
      <c r="D66" s="130" t="str">
        <f t="shared" si="1"/>
        <v/>
      </c>
      <c r="E66" s="131" t="str">
        <f t="shared" si="2"/>
        <v/>
      </c>
      <c r="F66" s="131" t="str">
        <f t="shared" si="3"/>
        <v/>
      </c>
      <c r="G66" s="131" t="str">
        <f t="shared" si="4"/>
        <v/>
      </c>
      <c r="H66" s="131" t="str">
        <f t="shared" si="5"/>
        <v/>
      </c>
      <c r="I66" s="131" t="str">
        <f t="shared" si="6"/>
        <v/>
      </c>
      <c r="J66" s="132" t="str">
        <f t="shared" si="7"/>
        <v/>
      </c>
      <c r="K66" s="137"/>
      <c r="L66" s="133"/>
      <c r="M66" s="9"/>
      <c r="N66" s="9"/>
      <c r="O66" s="9"/>
      <c r="P66" s="9"/>
      <c r="Q66" s="9"/>
      <c r="R66" s="9"/>
      <c r="S66" s="9"/>
      <c r="T66" s="9"/>
      <c r="U66" s="9"/>
      <c r="V66" s="9"/>
      <c r="W66" s="9"/>
      <c r="X66" s="9"/>
      <c r="Y66" s="9"/>
      <c r="Z66" s="9"/>
      <c r="AA66" s="9"/>
      <c r="AB66" s="9"/>
      <c r="AC66" s="9"/>
      <c r="AD66" s="9"/>
      <c r="AE66" s="9"/>
      <c r="AF66" s="9"/>
      <c r="AG66" s="9"/>
      <c r="AH66" s="9"/>
      <c r="AI66" s="9"/>
      <c r="AJ66" s="9"/>
    </row>
    <row r="67" spans="1:36" ht="15" customHeight="1">
      <c r="A67" s="62">
        <f>'Students Details'!A67</f>
        <v>61</v>
      </c>
      <c r="B67" s="128" t="str">
        <f>IF('Students Details'!B67="","",'Students Details'!B67)</f>
        <v/>
      </c>
      <c r="C67" s="129" t="str">
        <f>IF('Students Details'!C67="","",'Students Details'!C67)</f>
        <v/>
      </c>
      <c r="D67" s="130" t="str">
        <f t="shared" si="1"/>
        <v/>
      </c>
      <c r="E67" s="131" t="str">
        <f t="shared" si="2"/>
        <v/>
      </c>
      <c r="F67" s="131" t="str">
        <f t="shared" si="3"/>
        <v/>
      </c>
      <c r="G67" s="131" t="str">
        <f t="shared" si="4"/>
        <v/>
      </c>
      <c r="H67" s="131" t="str">
        <f t="shared" si="5"/>
        <v/>
      </c>
      <c r="I67" s="131" t="str">
        <f t="shared" si="6"/>
        <v/>
      </c>
      <c r="J67" s="132" t="str">
        <f t="shared" si="7"/>
        <v/>
      </c>
      <c r="K67" s="137"/>
      <c r="L67" s="133"/>
      <c r="M67" s="9"/>
      <c r="N67" s="9"/>
      <c r="O67" s="9"/>
      <c r="P67" s="9"/>
      <c r="Q67" s="9"/>
      <c r="R67" s="9"/>
      <c r="S67" s="9"/>
      <c r="T67" s="9"/>
      <c r="U67" s="9"/>
      <c r="V67" s="9"/>
      <c r="W67" s="9"/>
      <c r="X67" s="9"/>
      <c r="Y67" s="9"/>
      <c r="Z67" s="9"/>
      <c r="AA67" s="9"/>
      <c r="AB67" s="9"/>
      <c r="AC67" s="9"/>
      <c r="AD67" s="9"/>
      <c r="AE67" s="9"/>
      <c r="AF67" s="9"/>
      <c r="AG67" s="9"/>
      <c r="AH67" s="9"/>
      <c r="AI67" s="9"/>
      <c r="AJ67" s="9"/>
    </row>
    <row r="68" spans="1:36" ht="15" customHeight="1">
      <c r="A68" s="62">
        <f>'Students Details'!A68</f>
        <v>62</v>
      </c>
      <c r="B68" s="128" t="str">
        <f>IF('Students Details'!B68="","",'Students Details'!B68)</f>
        <v/>
      </c>
      <c r="C68" s="129" t="str">
        <f>IF('Students Details'!C68="","",'Students Details'!C68)</f>
        <v/>
      </c>
      <c r="D68" s="130" t="str">
        <f t="shared" si="1"/>
        <v/>
      </c>
      <c r="E68" s="131" t="str">
        <f t="shared" si="2"/>
        <v/>
      </c>
      <c r="F68" s="131" t="str">
        <f t="shared" si="3"/>
        <v/>
      </c>
      <c r="G68" s="131" t="str">
        <f t="shared" si="4"/>
        <v/>
      </c>
      <c r="H68" s="131" t="str">
        <f t="shared" si="5"/>
        <v/>
      </c>
      <c r="I68" s="131" t="str">
        <f t="shared" si="6"/>
        <v/>
      </c>
      <c r="J68" s="132" t="str">
        <f t="shared" si="7"/>
        <v/>
      </c>
      <c r="K68" s="137"/>
      <c r="L68" s="133"/>
      <c r="M68" s="9"/>
      <c r="N68" s="9"/>
      <c r="O68" s="9"/>
      <c r="P68" s="9"/>
      <c r="Q68" s="9"/>
      <c r="R68" s="9"/>
      <c r="S68" s="9"/>
      <c r="T68" s="9"/>
      <c r="U68" s="9"/>
      <c r="V68" s="9"/>
      <c r="W68" s="9"/>
      <c r="X68" s="9"/>
      <c r="Y68" s="9"/>
      <c r="Z68" s="9"/>
      <c r="AA68" s="9"/>
      <c r="AB68" s="9"/>
      <c r="AC68" s="9"/>
      <c r="AD68" s="9"/>
      <c r="AE68" s="9"/>
      <c r="AF68" s="9"/>
      <c r="AG68" s="9"/>
      <c r="AH68" s="9"/>
      <c r="AI68" s="9"/>
      <c r="AJ68" s="9"/>
    </row>
    <row r="69" spans="1:36" ht="15" customHeight="1">
      <c r="A69" s="62">
        <f>'Students Details'!A69</f>
        <v>63</v>
      </c>
      <c r="B69" s="128" t="str">
        <f>IF('Students Details'!B69="","",'Students Details'!B69)</f>
        <v/>
      </c>
      <c r="C69" s="129" t="str">
        <f>IF('Students Details'!C69="","",'Students Details'!C69)</f>
        <v/>
      </c>
      <c r="D69" s="130" t="str">
        <f t="shared" si="1"/>
        <v/>
      </c>
      <c r="E69" s="131" t="str">
        <f t="shared" si="2"/>
        <v/>
      </c>
      <c r="F69" s="131" t="str">
        <f t="shared" si="3"/>
        <v/>
      </c>
      <c r="G69" s="131" t="str">
        <f t="shared" si="4"/>
        <v/>
      </c>
      <c r="H69" s="131" t="str">
        <f t="shared" si="5"/>
        <v/>
      </c>
      <c r="I69" s="131" t="str">
        <f t="shared" si="6"/>
        <v/>
      </c>
      <c r="J69" s="132" t="str">
        <f t="shared" si="7"/>
        <v/>
      </c>
      <c r="K69" s="137"/>
      <c r="L69" s="133"/>
      <c r="M69" s="9"/>
      <c r="N69" s="9"/>
      <c r="O69" s="9"/>
      <c r="P69" s="9"/>
      <c r="Q69" s="9"/>
      <c r="R69" s="9"/>
      <c r="S69" s="9"/>
      <c r="T69" s="9"/>
      <c r="U69" s="9"/>
      <c r="V69" s="9"/>
      <c r="W69" s="9"/>
      <c r="X69" s="9"/>
      <c r="Y69" s="9"/>
      <c r="Z69" s="9"/>
      <c r="AA69" s="9"/>
      <c r="AB69" s="9"/>
      <c r="AC69" s="9"/>
      <c r="AD69" s="9"/>
      <c r="AE69" s="9"/>
      <c r="AF69" s="9"/>
      <c r="AG69" s="9"/>
      <c r="AH69" s="9"/>
      <c r="AI69" s="9"/>
      <c r="AJ69" s="9"/>
    </row>
    <row r="70" spans="1:36" ht="15" customHeight="1">
      <c r="A70" s="62">
        <f>'Students Details'!A70</f>
        <v>64</v>
      </c>
      <c r="B70" s="128" t="str">
        <f>IF('Students Details'!B70="","",'Students Details'!B70)</f>
        <v/>
      </c>
      <c r="C70" s="129" t="str">
        <f>IF('Students Details'!C70="","",'Students Details'!C70)</f>
        <v/>
      </c>
      <c r="D70" s="130" t="str">
        <f t="shared" si="1"/>
        <v/>
      </c>
      <c r="E70" s="131" t="str">
        <f t="shared" si="2"/>
        <v/>
      </c>
      <c r="F70" s="131" t="str">
        <f t="shared" si="3"/>
        <v/>
      </c>
      <c r="G70" s="131" t="str">
        <f t="shared" si="4"/>
        <v/>
      </c>
      <c r="H70" s="131" t="str">
        <f t="shared" si="5"/>
        <v/>
      </c>
      <c r="I70" s="131" t="str">
        <f t="shared" si="6"/>
        <v/>
      </c>
      <c r="J70" s="132" t="str">
        <f t="shared" si="7"/>
        <v/>
      </c>
      <c r="K70" s="137"/>
      <c r="L70" s="133"/>
      <c r="M70" s="9"/>
      <c r="N70" s="9"/>
      <c r="O70" s="9"/>
      <c r="P70" s="9"/>
      <c r="Q70" s="9"/>
      <c r="R70" s="9"/>
      <c r="S70" s="9"/>
      <c r="T70" s="9"/>
      <c r="U70" s="9"/>
      <c r="V70" s="9"/>
      <c r="W70" s="9"/>
      <c r="X70" s="9"/>
      <c r="Y70" s="9"/>
      <c r="Z70" s="9"/>
      <c r="AA70" s="9"/>
      <c r="AB70" s="9"/>
      <c r="AC70" s="9"/>
      <c r="AD70" s="9"/>
      <c r="AE70" s="9"/>
      <c r="AF70" s="9"/>
      <c r="AG70" s="9"/>
      <c r="AH70" s="9"/>
      <c r="AI70" s="9"/>
      <c r="AJ70" s="9"/>
    </row>
    <row r="71" spans="1:36" ht="15" customHeight="1">
      <c r="A71" s="62">
        <f>'Students Details'!A71</f>
        <v>65</v>
      </c>
      <c r="B71" s="128" t="str">
        <f>IF('Students Details'!B71="","",'Students Details'!B71)</f>
        <v/>
      </c>
      <c r="C71" s="129" t="str">
        <f>IF('Students Details'!C71="","",'Students Details'!C71)</f>
        <v/>
      </c>
      <c r="D71" s="130" t="str">
        <f t="shared" si="1"/>
        <v/>
      </c>
      <c r="E71" s="131" t="str">
        <f t="shared" si="2"/>
        <v/>
      </c>
      <c r="F71" s="131" t="str">
        <f t="shared" si="3"/>
        <v/>
      </c>
      <c r="G71" s="131" t="str">
        <f t="shared" si="4"/>
        <v/>
      </c>
      <c r="H71" s="131" t="str">
        <f t="shared" si="5"/>
        <v/>
      </c>
      <c r="I71" s="131" t="str">
        <f t="shared" si="6"/>
        <v/>
      </c>
      <c r="J71" s="132" t="str">
        <f t="shared" si="7"/>
        <v/>
      </c>
      <c r="K71" s="137"/>
      <c r="L71" s="133"/>
      <c r="M71" s="9"/>
      <c r="N71" s="9"/>
      <c r="O71" s="9"/>
      <c r="P71" s="9"/>
      <c r="Q71" s="9"/>
      <c r="R71" s="9"/>
      <c r="S71" s="9"/>
      <c r="T71" s="9"/>
      <c r="U71" s="9"/>
      <c r="V71" s="9"/>
      <c r="W71" s="9"/>
      <c r="X71" s="9"/>
      <c r="Y71" s="9"/>
      <c r="Z71" s="9"/>
      <c r="AA71" s="9"/>
      <c r="AB71" s="9"/>
      <c r="AC71" s="9"/>
      <c r="AD71" s="9"/>
      <c r="AE71" s="9"/>
      <c r="AF71" s="9"/>
      <c r="AG71" s="9"/>
      <c r="AH71" s="9"/>
      <c r="AI71" s="9"/>
      <c r="AJ71" s="9"/>
    </row>
    <row r="72" spans="1:36" ht="15" customHeight="1">
      <c r="A72" s="62">
        <f>'Students Details'!A72</f>
        <v>66</v>
      </c>
      <c r="B72" s="128" t="str">
        <f>IF('Students Details'!B72="","",'Students Details'!B72)</f>
        <v/>
      </c>
      <c r="C72" s="129" t="str">
        <f>IF('Students Details'!C72="","",'Students Details'!C72)</f>
        <v/>
      </c>
      <c r="D72" s="130" t="str">
        <f t="shared" si="1"/>
        <v/>
      </c>
      <c r="E72" s="131" t="str">
        <f t="shared" si="2"/>
        <v/>
      </c>
      <c r="F72" s="131" t="str">
        <f t="shared" si="3"/>
        <v/>
      </c>
      <c r="G72" s="131" t="str">
        <f t="shared" si="4"/>
        <v/>
      </c>
      <c r="H72" s="131" t="str">
        <f t="shared" si="5"/>
        <v/>
      </c>
      <c r="I72" s="131" t="str">
        <f t="shared" si="6"/>
        <v/>
      </c>
      <c r="J72" s="132" t="str">
        <f t="shared" si="7"/>
        <v/>
      </c>
      <c r="K72" s="137"/>
      <c r="L72" s="133"/>
      <c r="M72" s="9"/>
      <c r="N72" s="9"/>
      <c r="O72" s="9"/>
      <c r="P72" s="9"/>
      <c r="Q72" s="9"/>
      <c r="R72" s="9"/>
      <c r="S72" s="9"/>
      <c r="T72" s="9"/>
      <c r="U72" s="9"/>
      <c r="V72" s="9"/>
      <c r="W72" s="9"/>
      <c r="X72" s="9"/>
      <c r="Y72" s="9"/>
      <c r="Z72" s="9"/>
      <c r="AA72" s="9"/>
      <c r="AB72" s="9"/>
      <c r="AC72" s="9"/>
      <c r="AD72" s="9"/>
      <c r="AE72" s="9"/>
      <c r="AF72" s="9"/>
      <c r="AG72" s="9"/>
      <c r="AH72" s="9"/>
      <c r="AI72" s="9"/>
      <c r="AJ72" s="9"/>
    </row>
    <row r="73" spans="1:36" ht="15" customHeight="1">
      <c r="A73" s="62">
        <f>'Students Details'!A73</f>
        <v>67</v>
      </c>
      <c r="B73" s="128" t="str">
        <f>IF('Students Details'!B73="","",'Students Details'!B73)</f>
        <v/>
      </c>
      <c r="C73" s="129" t="str">
        <f>IF('Students Details'!C73="","",'Students Details'!C73)</f>
        <v/>
      </c>
      <c r="D73" s="130" t="str">
        <f t="shared" si="1"/>
        <v/>
      </c>
      <c r="E73" s="131" t="str">
        <f t="shared" si="2"/>
        <v/>
      </c>
      <c r="F73" s="131" t="str">
        <f t="shared" si="3"/>
        <v/>
      </c>
      <c r="G73" s="131" t="str">
        <f t="shared" si="4"/>
        <v/>
      </c>
      <c r="H73" s="131" t="str">
        <f t="shared" si="5"/>
        <v/>
      </c>
      <c r="I73" s="131" t="str">
        <f t="shared" si="6"/>
        <v/>
      </c>
      <c r="J73" s="132" t="str">
        <f t="shared" si="7"/>
        <v/>
      </c>
      <c r="K73" s="137"/>
      <c r="L73" s="133"/>
      <c r="M73" s="9"/>
      <c r="N73" s="9"/>
      <c r="O73" s="9"/>
      <c r="P73" s="9"/>
      <c r="Q73" s="9"/>
      <c r="R73" s="9"/>
      <c r="S73" s="9"/>
      <c r="T73" s="9"/>
      <c r="U73" s="9"/>
      <c r="V73" s="9"/>
      <c r="W73" s="9"/>
      <c r="X73" s="9"/>
      <c r="Y73" s="9"/>
      <c r="Z73" s="9"/>
      <c r="AA73" s="9"/>
      <c r="AB73" s="9"/>
      <c r="AC73" s="9"/>
      <c r="AD73" s="9"/>
      <c r="AE73" s="9"/>
      <c r="AF73" s="9"/>
      <c r="AG73" s="9"/>
      <c r="AH73" s="9"/>
      <c r="AI73" s="9"/>
      <c r="AJ73" s="9"/>
    </row>
    <row r="74" spans="1:36" ht="15" customHeight="1">
      <c r="A74" s="62">
        <f>'Students Details'!A74</f>
        <v>68</v>
      </c>
      <c r="B74" s="128" t="str">
        <f>IF('Students Details'!B74="","",'Students Details'!B74)</f>
        <v/>
      </c>
      <c r="C74" s="129" t="str">
        <f>IF('Students Details'!C74="","",'Students Details'!C74)</f>
        <v/>
      </c>
      <c r="D74" s="130" t="str">
        <f t="shared" si="1"/>
        <v/>
      </c>
      <c r="E74" s="131" t="str">
        <f t="shared" si="2"/>
        <v/>
      </c>
      <c r="F74" s="131" t="str">
        <f t="shared" si="3"/>
        <v/>
      </c>
      <c r="G74" s="131" t="str">
        <f t="shared" si="4"/>
        <v/>
      </c>
      <c r="H74" s="131" t="str">
        <f t="shared" si="5"/>
        <v/>
      </c>
      <c r="I74" s="131" t="str">
        <f t="shared" si="6"/>
        <v/>
      </c>
      <c r="J74" s="132" t="str">
        <f t="shared" si="7"/>
        <v/>
      </c>
      <c r="K74" s="137"/>
      <c r="L74" s="133"/>
      <c r="M74" s="9"/>
      <c r="N74" s="9"/>
      <c r="O74" s="9"/>
      <c r="P74" s="9"/>
      <c r="Q74" s="9"/>
      <c r="R74" s="9"/>
      <c r="S74" s="9"/>
      <c r="T74" s="9"/>
      <c r="U74" s="9"/>
      <c r="V74" s="9"/>
      <c r="W74" s="9"/>
      <c r="X74" s="9"/>
      <c r="Y74" s="9"/>
      <c r="Z74" s="9"/>
      <c r="AA74" s="9"/>
      <c r="AB74" s="9"/>
      <c r="AC74" s="9"/>
      <c r="AD74" s="9"/>
      <c r="AE74" s="9"/>
      <c r="AF74" s="9"/>
      <c r="AG74" s="9"/>
      <c r="AH74" s="9"/>
      <c r="AI74" s="9"/>
      <c r="AJ74" s="9"/>
    </row>
    <row r="75" spans="1:36" ht="15" customHeight="1">
      <c r="A75" s="62">
        <f>'Students Details'!A75</f>
        <v>69</v>
      </c>
      <c r="B75" s="128" t="str">
        <f>IF('Students Details'!B75="","",'Students Details'!B75)</f>
        <v/>
      </c>
      <c r="C75" s="129" t="str">
        <f>IF('Students Details'!C75="","",'Students Details'!C75)</f>
        <v/>
      </c>
      <c r="D75" s="130" t="str">
        <f t="shared" si="1"/>
        <v/>
      </c>
      <c r="E75" s="131" t="str">
        <f t="shared" si="2"/>
        <v/>
      </c>
      <c r="F75" s="131" t="str">
        <f t="shared" si="3"/>
        <v/>
      </c>
      <c r="G75" s="131" t="str">
        <f t="shared" si="4"/>
        <v/>
      </c>
      <c r="H75" s="131" t="str">
        <f t="shared" si="5"/>
        <v/>
      </c>
      <c r="I75" s="131" t="str">
        <f t="shared" si="6"/>
        <v/>
      </c>
      <c r="J75" s="132" t="str">
        <f t="shared" si="7"/>
        <v/>
      </c>
      <c r="K75" s="137"/>
      <c r="L75" s="133"/>
      <c r="M75" s="9"/>
      <c r="N75" s="9"/>
      <c r="O75" s="9"/>
      <c r="P75" s="9"/>
      <c r="Q75" s="9"/>
      <c r="R75" s="9"/>
      <c r="S75" s="9"/>
      <c r="T75" s="9"/>
      <c r="U75" s="9"/>
      <c r="V75" s="9"/>
      <c r="W75" s="9"/>
      <c r="X75" s="9"/>
      <c r="Y75" s="9"/>
      <c r="Z75" s="9"/>
      <c r="AA75" s="9"/>
      <c r="AB75" s="9"/>
      <c r="AC75" s="9"/>
      <c r="AD75" s="9"/>
      <c r="AE75" s="9"/>
      <c r="AF75" s="9"/>
      <c r="AG75" s="9"/>
      <c r="AH75" s="9"/>
      <c r="AI75" s="9"/>
      <c r="AJ75" s="9"/>
    </row>
    <row r="76" spans="1:36" ht="15" customHeight="1">
      <c r="A76" s="62">
        <f>'Students Details'!A76</f>
        <v>70</v>
      </c>
      <c r="B76" s="128" t="str">
        <f>IF('Students Details'!B76="","",'Students Details'!B76)</f>
        <v/>
      </c>
      <c r="C76" s="129" t="str">
        <f>IF('Students Details'!C76="","",'Students Details'!C76)</f>
        <v/>
      </c>
      <c r="D76" s="130" t="str">
        <f t="shared" si="1"/>
        <v/>
      </c>
      <c r="E76" s="131" t="str">
        <f t="shared" si="2"/>
        <v/>
      </c>
      <c r="F76" s="131" t="str">
        <f t="shared" si="3"/>
        <v/>
      </c>
      <c r="G76" s="131" t="str">
        <f t="shared" si="4"/>
        <v/>
      </c>
      <c r="H76" s="131" t="str">
        <f t="shared" si="5"/>
        <v/>
      </c>
      <c r="I76" s="131" t="str">
        <f t="shared" si="6"/>
        <v/>
      </c>
      <c r="J76" s="132" t="str">
        <f t="shared" si="7"/>
        <v/>
      </c>
      <c r="K76" s="137"/>
      <c r="L76" s="133"/>
      <c r="M76" s="9"/>
      <c r="N76" s="9"/>
      <c r="O76" s="9"/>
      <c r="P76" s="9"/>
      <c r="Q76" s="9"/>
      <c r="R76" s="9"/>
      <c r="S76" s="9"/>
      <c r="T76" s="9"/>
      <c r="U76" s="9"/>
      <c r="V76" s="9"/>
      <c r="W76" s="9"/>
      <c r="X76" s="9"/>
      <c r="Y76" s="9"/>
      <c r="Z76" s="9"/>
      <c r="AA76" s="9"/>
      <c r="AB76" s="9"/>
      <c r="AC76" s="9"/>
      <c r="AD76" s="9"/>
      <c r="AE76" s="9"/>
      <c r="AF76" s="9"/>
      <c r="AG76" s="9"/>
      <c r="AH76" s="9"/>
      <c r="AI76" s="9"/>
      <c r="AJ76" s="9"/>
    </row>
    <row r="77" spans="1:36" ht="15" customHeight="1">
      <c r="A77" s="62">
        <f>'Students Details'!A77</f>
        <v>71</v>
      </c>
      <c r="B77" s="128" t="str">
        <f>IF('Students Details'!B77="","",'Students Details'!B77)</f>
        <v/>
      </c>
      <c r="C77" s="129" t="str">
        <f>IF('Students Details'!C77="","",'Students Details'!C77)</f>
        <v/>
      </c>
      <c r="D77" s="130" t="str">
        <f t="shared" si="1"/>
        <v/>
      </c>
      <c r="E77" s="131" t="str">
        <f t="shared" si="2"/>
        <v/>
      </c>
      <c r="F77" s="131" t="str">
        <f t="shared" si="3"/>
        <v/>
      </c>
      <c r="G77" s="131" t="str">
        <f t="shared" si="4"/>
        <v/>
      </c>
      <c r="H77" s="131" t="str">
        <f t="shared" si="5"/>
        <v/>
      </c>
      <c r="I77" s="131" t="str">
        <f t="shared" si="6"/>
        <v/>
      </c>
      <c r="J77" s="132" t="str">
        <f t="shared" si="7"/>
        <v/>
      </c>
      <c r="K77" s="44"/>
      <c r="L77" s="133"/>
      <c r="M77" s="9"/>
      <c r="N77" s="9"/>
      <c r="O77" s="9"/>
      <c r="P77" s="9"/>
      <c r="Q77" s="9"/>
      <c r="R77" s="9"/>
      <c r="S77" s="9"/>
      <c r="T77" s="9"/>
      <c r="U77" s="9"/>
      <c r="V77" s="9"/>
      <c r="W77" s="9"/>
      <c r="X77" s="9"/>
      <c r="Y77" s="9"/>
      <c r="Z77" s="9"/>
      <c r="AA77" s="9"/>
      <c r="AB77" s="9"/>
      <c r="AC77" s="9"/>
      <c r="AD77" s="9"/>
      <c r="AE77" s="9"/>
      <c r="AF77" s="9"/>
      <c r="AG77" s="9"/>
      <c r="AH77" s="9"/>
      <c r="AI77" s="9"/>
      <c r="AJ77" s="9"/>
    </row>
    <row r="78" spans="1:36" ht="15" customHeight="1">
      <c r="A78" s="62">
        <f>'Students Details'!A78</f>
        <v>72</v>
      </c>
      <c r="B78" s="128" t="str">
        <f>IF('Students Details'!B78="","",'Students Details'!B78)</f>
        <v/>
      </c>
      <c r="C78" s="129" t="str">
        <f>IF('Students Details'!C78="","",'Students Details'!C78)</f>
        <v/>
      </c>
      <c r="D78" s="130" t="str">
        <f t="shared" si="1"/>
        <v/>
      </c>
      <c r="E78" s="131" t="str">
        <f t="shared" si="2"/>
        <v/>
      </c>
      <c r="F78" s="131" t="str">
        <f t="shared" si="3"/>
        <v/>
      </c>
      <c r="G78" s="131" t="str">
        <f t="shared" si="4"/>
        <v/>
      </c>
      <c r="H78" s="131" t="str">
        <f t="shared" si="5"/>
        <v/>
      </c>
      <c r="I78" s="131" t="str">
        <f t="shared" si="6"/>
        <v/>
      </c>
      <c r="J78" s="132" t="str">
        <f t="shared" si="7"/>
        <v/>
      </c>
      <c r="K78" s="44"/>
      <c r="L78" s="133"/>
      <c r="M78" s="9"/>
      <c r="N78" s="9"/>
      <c r="O78" s="9"/>
      <c r="P78" s="9"/>
      <c r="Q78" s="9"/>
      <c r="R78" s="9"/>
      <c r="S78" s="9"/>
      <c r="T78" s="9"/>
      <c r="U78" s="9"/>
      <c r="V78" s="9"/>
      <c r="W78" s="9"/>
      <c r="X78" s="9"/>
      <c r="Y78" s="9"/>
      <c r="Z78" s="9"/>
      <c r="AA78" s="9"/>
      <c r="AB78" s="9"/>
      <c r="AC78" s="9"/>
      <c r="AD78" s="9"/>
      <c r="AE78" s="9"/>
      <c r="AF78" s="9"/>
      <c r="AG78" s="9"/>
      <c r="AH78" s="9"/>
      <c r="AI78" s="9"/>
      <c r="AJ78" s="9"/>
    </row>
    <row r="79" spans="1:36" ht="15" customHeight="1">
      <c r="A79" s="62">
        <f>'Students Details'!A79</f>
        <v>73</v>
      </c>
      <c r="B79" s="128" t="str">
        <f>IF('Students Details'!B79="","",'Students Details'!B79)</f>
        <v/>
      </c>
      <c r="C79" s="129" t="str">
        <f>IF('Students Details'!C79="","",'Students Details'!C79)</f>
        <v/>
      </c>
      <c r="D79" s="130" t="str">
        <f t="shared" si="1"/>
        <v/>
      </c>
      <c r="E79" s="131" t="str">
        <f t="shared" si="2"/>
        <v/>
      </c>
      <c r="F79" s="131" t="str">
        <f t="shared" si="3"/>
        <v/>
      </c>
      <c r="G79" s="131" t="str">
        <f t="shared" si="4"/>
        <v/>
      </c>
      <c r="H79" s="131" t="str">
        <f t="shared" si="5"/>
        <v/>
      </c>
      <c r="I79" s="131" t="str">
        <f t="shared" si="6"/>
        <v/>
      </c>
      <c r="J79" s="132" t="str">
        <f t="shared" si="7"/>
        <v/>
      </c>
      <c r="K79" s="44"/>
      <c r="L79" s="133"/>
      <c r="M79" s="9"/>
      <c r="N79" s="9"/>
      <c r="O79" s="9"/>
      <c r="P79" s="9"/>
      <c r="Q79" s="9"/>
      <c r="R79" s="9"/>
      <c r="S79" s="9"/>
      <c r="T79" s="9"/>
      <c r="U79" s="9"/>
      <c r="V79" s="9"/>
      <c r="W79" s="9"/>
      <c r="X79" s="9"/>
      <c r="Y79" s="9"/>
      <c r="Z79" s="9"/>
      <c r="AA79" s="9"/>
      <c r="AB79" s="9"/>
      <c r="AC79" s="9"/>
      <c r="AD79" s="9"/>
      <c r="AE79" s="9"/>
      <c r="AF79" s="9"/>
      <c r="AG79" s="9"/>
      <c r="AH79" s="9"/>
      <c r="AI79" s="9"/>
      <c r="AJ79" s="9"/>
    </row>
    <row r="80" spans="1:36" ht="15" customHeight="1">
      <c r="A80" s="62">
        <f>'Students Details'!A80</f>
        <v>74</v>
      </c>
      <c r="B80" s="128" t="str">
        <f>IF('Students Details'!B80="","",'Students Details'!B80)</f>
        <v/>
      </c>
      <c r="C80" s="129" t="str">
        <f>IF('Students Details'!C80="","",'Students Details'!C80)</f>
        <v/>
      </c>
      <c r="D80" s="130" t="str">
        <f t="shared" si="1"/>
        <v/>
      </c>
      <c r="E80" s="131" t="str">
        <f t="shared" si="2"/>
        <v/>
      </c>
      <c r="F80" s="131" t="str">
        <f t="shared" si="3"/>
        <v/>
      </c>
      <c r="G80" s="131" t="str">
        <f t="shared" si="4"/>
        <v/>
      </c>
      <c r="H80" s="131" t="str">
        <f t="shared" si="5"/>
        <v/>
      </c>
      <c r="I80" s="131" t="str">
        <f t="shared" si="6"/>
        <v/>
      </c>
      <c r="J80" s="132" t="str">
        <f t="shared" si="7"/>
        <v/>
      </c>
      <c r="K80" s="44"/>
      <c r="L80" s="133"/>
      <c r="M80" s="9"/>
      <c r="N80" s="9"/>
      <c r="O80" s="9"/>
      <c r="P80" s="9"/>
      <c r="Q80" s="9"/>
      <c r="R80" s="9"/>
      <c r="S80" s="9"/>
      <c r="T80" s="9"/>
      <c r="U80" s="9"/>
      <c r="V80" s="9"/>
      <c r="W80" s="9"/>
      <c r="X80" s="9"/>
      <c r="Y80" s="9"/>
      <c r="Z80" s="9"/>
      <c r="AA80" s="9"/>
      <c r="AB80" s="9"/>
      <c r="AC80" s="9"/>
      <c r="AD80" s="9"/>
      <c r="AE80" s="9"/>
      <c r="AF80" s="9"/>
      <c r="AG80" s="9"/>
      <c r="AH80" s="9"/>
      <c r="AI80" s="9"/>
      <c r="AJ80" s="9"/>
    </row>
    <row r="81" spans="1:36" ht="15" customHeight="1">
      <c r="A81" s="62">
        <f>'Students Details'!A81</f>
        <v>75</v>
      </c>
      <c r="B81" s="128" t="str">
        <f>IF('Students Details'!B81="","",'Students Details'!B81)</f>
        <v/>
      </c>
      <c r="C81" s="129" t="str">
        <f>IF('Students Details'!C81="","",'Students Details'!C81)</f>
        <v/>
      </c>
      <c r="D81" s="130" t="str">
        <f t="shared" si="1"/>
        <v/>
      </c>
      <c r="E81" s="131" t="str">
        <f t="shared" si="2"/>
        <v/>
      </c>
      <c r="F81" s="131" t="str">
        <f t="shared" si="3"/>
        <v/>
      </c>
      <c r="G81" s="131" t="str">
        <f t="shared" si="4"/>
        <v/>
      </c>
      <c r="H81" s="131" t="str">
        <f t="shared" si="5"/>
        <v/>
      </c>
      <c r="I81" s="131" t="str">
        <f t="shared" si="6"/>
        <v/>
      </c>
      <c r="J81" s="132" t="str">
        <f t="shared" si="7"/>
        <v/>
      </c>
      <c r="K81" s="44"/>
      <c r="L81" s="133"/>
      <c r="M81" s="9"/>
      <c r="N81" s="9"/>
      <c r="O81" s="9"/>
      <c r="P81" s="9"/>
      <c r="Q81" s="9"/>
      <c r="R81" s="9"/>
      <c r="S81" s="9"/>
      <c r="T81" s="9"/>
      <c r="U81" s="9"/>
      <c r="V81" s="9"/>
      <c r="W81" s="9"/>
      <c r="X81" s="9"/>
      <c r="Y81" s="9"/>
      <c r="Z81" s="9"/>
      <c r="AA81" s="9"/>
      <c r="AB81" s="9"/>
      <c r="AC81" s="9"/>
      <c r="AD81" s="9"/>
      <c r="AE81" s="9"/>
      <c r="AF81" s="9"/>
      <c r="AG81" s="9"/>
      <c r="AH81" s="9"/>
      <c r="AI81" s="9"/>
      <c r="AJ81" s="9"/>
    </row>
    <row r="82" spans="1:36" ht="15" customHeight="1">
      <c r="A82" s="62">
        <f>'Students Details'!A82</f>
        <v>76</v>
      </c>
      <c r="B82" s="128" t="str">
        <f>IF('Students Details'!B82="","",'Students Details'!B82)</f>
        <v/>
      </c>
      <c r="C82" s="129" t="str">
        <f>IF('Students Details'!C82="","",'Students Details'!C82)</f>
        <v/>
      </c>
      <c r="D82" s="130" t="str">
        <f t="shared" si="1"/>
        <v/>
      </c>
      <c r="E82" s="131" t="str">
        <f t="shared" si="2"/>
        <v/>
      </c>
      <c r="F82" s="131" t="str">
        <f t="shared" si="3"/>
        <v/>
      </c>
      <c r="G82" s="131" t="str">
        <f t="shared" si="4"/>
        <v/>
      </c>
      <c r="H82" s="131" t="str">
        <f t="shared" si="5"/>
        <v/>
      </c>
      <c r="I82" s="131" t="str">
        <f t="shared" si="6"/>
        <v/>
      </c>
      <c r="J82" s="132" t="str">
        <f t="shared" si="7"/>
        <v/>
      </c>
      <c r="K82" s="44"/>
      <c r="L82" s="133"/>
      <c r="M82" s="9"/>
      <c r="N82" s="9"/>
      <c r="O82" s="9"/>
      <c r="P82" s="9"/>
      <c r="Q82" s="9"/>
      <c r="R82" s="9"/>
      <c r="S82" s="9"/>
      <c r="T82" s="9"/>
      <c r="U82" s="9"/>
      <c r="V82" s="9"/>
      <c r="W82" s="9"/>
      <c r="X82" s="9"/>
      <c r="Y82" s="9"/>
      <c r="Z82" s="9"/>
      <c r="AA82" s="9"/>
      <c r="AB82" s="9"/>
      <c r="AC82" s="9"/>
      <c r="AD82" s="9"/>
      <c r="AE82" s="9"/>
      <c r="AF82" s="9"/>
      <c r="AG82" s="9"/>
      <c r="AH82" s="9"/>
      <c r="AI82" s="9"/>
      <c r="AJ82" s="9"/>
    </row>
    <row r="83" spans="1:36" ht="15" customHeight="1">
      <c r="A83" s="62">
        <f>'Students Details'!A83</f>
        <v>77</v>
      </c>
      <c r="B83" s="128" t="str">
        <f>IF('Students Details'!B83="","",'Students Details'!B83)</f>
        <v/>
      </c>
      <c r="C83" s="129" t="str">
        <f>IF('Students Details'!C83="","",'Students Details'!C83)</f>
        <v/>
      </c>
      <c r="D83" s="130" t="str">
        <f t="shared" si="1"/>
        <v/>
      </c>
      <c r="E83" s="131" t="str">
        <f t="shared" si="2"/>
        <v/>
      </c>
      <c r="F83" s="131" t="str">
        <f t="shared" si="3"/>
        <v/>
      </c>
      <c r="G83" s="131" t="str">
        <f t="shared" si="4"/>
        <v/>
      </c>
      <c r="H83" s="131" t="str">
        <f t="shared" si="5"/>
        <v/>
      </c>
      <c r="I83" s="131" t="str">
        <f t="shared" si="6"/>
        <v/>
      </c>
      <c r="J83" s="132" t="str">
        <f t="shared" si="7"/>
        <v/>
      </c>
      <c r="K83" s="44"/>
      <c r="L83" s="133"/>
      <c r="M83" s="9"/>
      <c r="N83" s="9"/>
      <c r="O83" s="9"/>
      <c r="P83" s="9"/>
      <c r="Q83" s="9"/>
      <c r="R83" s="9"/>
      <c r="S83" s="9"/>
      <c r="T83" s="9"/>
      <c r="U83" s="9"/>
      <c r="V83" s="9"/>
      <c r="W83" s="9"/>
      <c r="X83" s="9"/>
      <c r="Y83" s="9"/>
      <c r="Z83" s="9"/>
      <c r="AA83" s="9"/>
      <c r="AB83" s="9"/>
      <c r="AC83" s="9"/>
      <c r="AD83" s="9"/>
      <c r="AE83" s="9"/>
      <c r="AF83" s="9"/>
      <c r="AG83" s="9"/>
      <c r="AH83" s="9"/>
      <c r="AI83" s="9"/>
      <c r="AJ83" s="9"/>
    </row>
    <row r="84" spans="1:36" ht="15" customHeight="1">
      <c r="A84" s="62">
        <f>'Students Details'!A84</f>
        <v>78</v>
      </c>
      <c r="B84" s="128" t="str">
        <f>IF('Students Details'!B84="","",'Students Details'!B84)</f>
        <v/>
      </c>
      <c r="C84" s="129" t="str">
        <f>IF('Students Details'!C84="","",'Students Details'!C84)</f>
        <v/>
      </c>
      <c r="D84" s="130" t="str">
        <f t="shared" si="1"/>
        <v/>
      </c>
      <c r="E84" s="131" t="str">
        <f t="shared" si="2"/>
        <v/>
      </c>
      <c r="F84" s="131" t="str">
        <f t="shared" si="3"/>
        <v/>
      </c>
      <c r="G84" s="131" t="str">
        <f t="shared" si="4"/>
        <v/>
      </c>
      <c r="H84" s="131" t="str">
        <f t="shared" si="5"/>
        <v/>
      </c>
      <c r="I84" s="131" t="str">
        <f t="shared" si="6"/>
        <v/>
      </c>
      <c r="J84" s="132" t="str">
        <f t="shared" si="7"/>
        <v/>
      </c>
      <c r="K84" s="44"/>
      <c r="L84" s="133"/>
      <c r="M84" s="9"/>
      <c r="N84" s="9"/>
      <c r="O84" s="9"/>
      <c r="P84" s="9"/>
      <c r="Q84" s="9"/>
      <c r="R84" s="9"/>
      <c r="S84" s="9"/>
      <c r="T84" s="9"/>
      <c r="U84" s="9"/>
      <c r="V84" s="9"/>
      <c r="W84" s="9"/>
      <c r="X84" s="9"/>
      <c r="Y84" s="9"/>
      <c r="Z84" s="9"/>
      <c r="AA84" s="9"/>
      <c r="AB84" s="9"/>
      <c r="AC84" s="9"/>
      <c r="AD84" s="9"/>
      <c r="AE84" s="9"/>
      <c r="AF84" s="9"/>
      <c r="AG84" s="9"/>
      <c r="AH84" s="9"/>
      <c r="AI84" s="9"/>
      <c r="AJ84" s="9"/>
    </row>
    <row r="85" spans="1:36" ht="15" customHeight="1">
      <c r="A85" s="62">
        <f>'Students Details'!A85</f>
        <v>79</v>
      </c>
      <c r="B85" s="128" t="str">
        <f>IF('Students Details'!B85="","",'Students Details'!B85)</f>
        <v/>
      </c>
      <c r="C85" s="129" t="str">
        <f>IF('Students Details'!C85="","",'Students Details'!C85)</f>
        <v/>
      </c>
      <c r="D85" s="130" t="str">
        <f t="shared" si="1"/>
        <v/>
      </c>
      <c r="E85" s="131" t="str">
        <f t="shared" si="2"/>
        <v/>
      </c>
      <c r="F85" s="131" t="str">
        <f t="shared" si="3"/>
        <v/>
      </c>
      <c r="G85" s="131" t="str">
        <f t="shared" si="4"/>
        <v/>
      </c>
      <c r="H85" s="131" t="str">
        <f t="shared" si="5"/>
        <v/>
      </c>
      <c r="I85" s="131" t="str">
        <f t="shared" si="6"/>
        <v/>
      </c>
      <c r="J85" s="132" t="str">
        <f t="shared" si="7"/>
        <v/>
      </c>
      <c r="K85" s="44"/>
      <c r="L85" s="133"/>
      <c r="M85" s="9"/>
      <c r="N85" s="9"/>
      <c r="O85" s="9"/>
      <c r="P85" s="9"/>
      <c r="Q85" s="9"/>
      <c r="R85" s="9"/>
      <c r="S85" s="9"/>
      <c r="T85" s="9"/>
      <c r="U85" s="9"/>
      <c r="V85" s="9"/>
      <c r="W85" s="9"/>
      <c r="X85" s="9"/>
      <c r="Y85" s="9"/>
      <c r="Z85" s="9"/>
      <c r="AA85" s="9"/>
      <c r="AB85" s="9"/>
      <c r="AC85" s="9"/>
      <c r="AD85" s="9"/>
      <c r="AE85" s="9"/>
      <c r="AF85" s="9"/>
      <c r="AG85" s="9"/>
      <c r="AH85" s="9"/>
      <c r="AI85" s="9"/>
      <c r="AJ85" s="9"/>
    </row>
    <row r="86" spans="1:36" ht="15" customHeight="1">
      <c r="A86" s="62">
        <f>'Students Details'!A86</f>
        <v>80</v>
      </c>
      <c r="B86" s="128" t="str">
        <f>IF('Students Details'!B86="","",'Students Details'!B86)</f>
        <v/>
      </c>
      <c r="C86" s="129" t="str">
        <f>IF('Students Details'!C86="","",'Students Details'!C86)</f>
        <v/>
      </c>
      <c r="D86" s="130" t="str">
        <f t="shared" si="1"/>
        <v/>
      </c>
      <c r="E86" s="131" t="str">
        <f t="shared" si="2"/>
        <v/>
      </c>
      <c r="F86" s="131" t="str">
        <f t="shared" si="3"/>
        <v/>
      </c>
      <c r="G86" s="131" t="str">
        <f t="shared" si="4"/>
        <v/>
      </c>
      <c r="H86" s="131" t="str">
        <f t="shared" si="5"/>
        <v/>
      </c>
      <c r="I86" s="131" t="str">
        <f t="shared" si="6"/>
        <v/>
      </c>
      <c r="J86" s="132" t="str">
        <f t="shared" si="7"/>
        <v/>
      </c>
      <c r="K86" s="44"/>
      <c r="L86" s="133"/>
      <c r="M86" s="9"/>
      <c r="N86" s="9"/>
      <c r="O86" s="9"/>
      <c r="P86" s="9"/>
      <c r="Q86" s="9"/>
      <c r="R86" s="9"/>
      <c r="S86" s="9"/>
      <c r="T86" s="9"/>
      <c r="U86" s="9"/>
      <c r="V86" s="9"/>
      <c r="W86" s="9"/>
      <c r="X86" s="9"/>
      <c r="Y86" s="9"/>
      <c r="Z86" s="9"/>
      <c r="AA86" s="9"/>
      <c r="AB86" s="9"/>
      <c r="AC86" s="9"/>
      <c r="AD86" s="9"/>
      <c r="AE86" s="9"/>
      <c r="AF86" s="9"/>
      <c r="AG86" s="9"/>
      <c r="AH86" s="9"/>
      <c r="AI86" s="9"/>
      <c r="AJ86" s="9"/>
    </row>
    <row r="87" spans="1:36" ht="15" customHeight="1">
      <c r="A87" s="62">
        <f>'Students Details'!A87</f>
        <v>81</v>
      </c>
      <c r="B87" s="128" t="str">
        <f>IF('Students Details'!B87="","",'Students Details'!B87)</f>
        <v/>
      </c>
      <c r="C87" s="129" t="str">
        <f>IF('Students Details'!C87="","",'Students Details'!C87)</f>
        <v/>
      </c>
      <c r="D87" s="130" t="str">
        <f t="shared" si="1"/>
        <v/>
      </c>
      <c r="E87" s="131" t="str">
        <f t="shared" si="2"/>
        <v/>
      </c>
      <c r="F87" s="131" t="str">
        <f t="shared" si="3"/>
        <v/>
      </c>
      <c r="G87" s="131" t="str">
        <f t="shared" si="4"/>
        <v/>
      </c>
      <c r="H87" s="131" t="str">
        <f t="shared" si="5"/>
        <v/>
      </c>
      <c r="I87" s="131" t="str">
        <f t="shared" si="6"/>
        <v/>
      </c>
      <c r="J87" s="132" t="str">
        <f t="shared" si="7"/>
        <v/>
      </c>
      <c r="K87" s="44"/>
      <c r="L87" s="133"/>
      <c r="M87" s="9"/>
      <c r="N87" s="9"/>
      <c r="O87" s="9"/>
      <c r="P87" s="9"/>
      <c r="Q87" s="9"/>
      <c r="R87" s="9"/>
      <c r="S87" s="9"/>
      <c r="T87" s="9"/>
      <c r="U87" s="9"/>
      <c r="V87" s="9"/>
      <c r="W87" s="9"/>
      <c r="X87" s="9"/>
      <c r="Y87" s="9"/>
      <c r="Z87" s="9"/>
      <c r="AA87" s="9"/>
      <c r="AB87" s="9"/>
      <c r="AC87" s="9"/>
      <c r="AD87" s="9"/>
      <c r="AE87" s="9"/>
      <c r="AF87" s="9"/>
      <c r="AG87" s="9"/>
      <c r="AH87" s="9"/>
      <c r="AI87" s="9"/>
      <c r="AJ87" s="9"/>
    </row>
    <row r="88" spans="1:36" ht="15" customHeight="1">
      <c r="A88" s="62">
        <f>'Students Details'!A88</f>
        <v>82</v>
      </c>
      <c r="B88" s="128" t="str">
        <f>IF('Students Details'!B88="","",'Students Details'!B88)</f>
        <v/>
      </c>
      <c r="C88" s="129" t="str">
        <f>IF('Students Details'!C88="","",'Students Details'!C88)</f>
        <v/>
      </c>
      <c r="D88" s="130" t="str">
        <f t="shared" si="1"/>
        <v/>
      </c>
      <c r="E88" s="131" t="str">
        <f t="shared" si="2"/>
        <v/>
      </c>
      <c r="F88" s="131" t="str">
        <f t="shared" si="3"/>
        <v/>
      </c>
      <c r="G88" s="131" t="str">
        <f t="shared" si="4"/>
        <v/>
      </c>
      <c r="H88" s="131" t="str">
        <f t="shared" si="5"/>
        <v/>
      </c>
      <c r="I88" s="131" t="str">
        <f t="shared" si="6"/>
        <v/>
      </c>
      <c r="J88" s="132" t="str">
        <f t="shared" si="7"/>
        <v/>
      </c>
      <c r="K88" s="44"/>
      <c r="L88" s="133"/>
      <c r="M88" s="9"/>
      <c r="N88" s="9"/>
      <c r="O88" s="9"/>
      <c r="P88" s="9"/>
      <c r="Q88" s="9"/>
      <c r="R88" s="9"/>
      <c r="S88" s="9"/>
      <c r="T88" s="9"/>
      <c r="U88" s="9"/>
      <c r="V88" s="9"/>
      <c r="W88" s="9"/>
      <c r="X88" s="9"/>
      <c r="Y88" s="9"/>
      <c r="Z88" s="9"/>
      <c r="AA88" s="9"/>
      <c r="AB88" s="9"/>
      <c r="AC88" s="9"/>
      <c r="AD88" s="9"/>
      <c r="AE88" s="9"/>
      <c r="AF88" s="9"/>
      <c r="AG88" s="9"/>
      <c r="AH88" s="9"/>
      <c r="AI88" s="9"/>
      <c r="AJ88" s="9"/>
    </row>
    <row r="89" spans="1:36" ht="15" customHeight="1">
      <c r="A89" s="62">
        <f>'Students Details'!A89</f>
        <v>83</v>
      </c>
      <c r="B89" s="128" t="str">
        <f>IF('Students Details'!B89="","",'Students Details'!B89)</f>
        <v/>
      </c>
      <c r="C89" s="129" t="str">
        <f>IF('Students Details'!C89="","",'Students Details'!C89)</f>
        <v/>
      </c>
      <c r="D89" s="130" t="str">
        <f t="shared" si="1"/>
        <v/>
      </c>
      <c r="E89" s="131" t="str">
        <f t="shared" si="2"/>
        <v/>
      </c>
      <c r="F89" s="131" t="str">
        <f t="shared" si="3"/>
        <v/>
      </c>
      <c r="G89" s="131" t="str">
        <f t="shared" si="4"/>
        <v/>
      </c>
      <c r="H89" s="131" t="str">
        <f t="shared" si="5"/>
        <v/>
      </c>
      <c r="I89" s="131" t="str">
        <f t="shared" si="6"/>
        <v/>
      </c>
      <c r="J89" s="132" t="str">
        <f t="shared" si="7"/>
        <v/>
      </c>
      <c r="K89" s="44"/>
      <c r="L89" s="133"/>
      <c r="M89" s="9"/>
      <c r="N89" s="9"/>
      <c r="O89" s="9"/>
      <c r="P89" s="9"/>
      <c r="Q89" s="9"/>
      <c r="R89" s="9"/>
      <c r="S89" s="9"/>
      <c r="T89" s="9"/>
      <c r="U89" s="9"/>
      <c r="V89" s="9"/>
      <c r="W89" s="9"/>
      <c r="X89" s="9"/>
      <c r="Y89" s="9"/>
      <c r="Z89" s="9"/>
      <c r="AA89" s="9"/>
      <c r="AB89" s="9"/>
      <c r="AC89" s="9"/>
      <c r="AD89" s="9"/>
      <c r="AE89" s="9"/>
      <c r="AF89" s="9"/>
      <c r="AG89" s="9"/>
      <c r="AH89" s="9"/>
      <c r="AI89" s="9"/>
      <c r="AJ89" s="9"/>
    </row>
    <row r="90" spans="1:36" ht="15" customHeight="1">
      <c r="A90" s="62">
        <f>'Students Details'!A90</f>
        <v>84</v>
      </c>
      <c r="B90" s="128" t="str">
        <f>IF('Students Details'!B90="","",'Students Details'!B90)</f>
        <v/>
      </c>
      <c r="C90" s="129" t="str">
        <f>IF('Students Details'!C90="","",'Students Details'!C90)</f>
        <v/>
      </c>
      <c r="D90" s="130" t="str">
        <f t="shared" si="1"/>
        <v/>
      </c>
      <c r="E90" s="131" t="str">
        <f t="shared" si="2"/>
        <v/>
      </c>
      <c r="F90" s="131" t="str">
        <f t="shared" si="3"/>
        <v/>
      </c>
      <c r="G90" s="131" t="str">
        <f t="shared" si="4"/>
        <v/>
      </c>
      <c r="H90" s="131" t="str">
        <f t="shared" si="5"/>
        <v/>
      </c>
      <c r="I90" s="131" t="str">
        <f t="shared" si="6"/>
        <v/>
      </c>
      <c r="J90" s="132" t="str">
        <f t="shared" si="7"/>
        <v/>
      </c>
      <c r="K90" s="44"/>
      <c r="L90" s="133"/>
      <c r="M90" s="9"/>
      <c r="N90" s="9"/>
      <c r="O90" s="9"/>
      <c r="P90" s="9"/>
      <c r="Q90" s="9"/>
      <c r="R90" s="9"/>
      <c r="S90" s="9"/>
      <c r="T90" s="9"/>
      <c r="U90" s="9"/>
      <c r="V90" s="9"/>
      <c r="W90" s="9"/>
      <c r="X90" s="9"/>
      <c r="Y90" s="9"/>
      <c r="Z90" s="9"/>
      <c r="AA90" s="9"/>
      <c r="AB90" s="9"/>
      <c r="AC90" s="9"/>
      <c r="AD90" s="9"/>
      <c r="AE90" s="9"/>
      <c r="AF90" s="9"/>
      <c r="AG90" s="9"/>
      <c r="AH90" s="9"/>
      <c r="AI90" s="9"/>
      <c r="AJ90" s="9"/>
    </row>
    <row r="91" spans="1:36" ht="15" customHeight="1">
      <c r="A91" s="62">
        <f>'Students Details'!A91</f>
        <v>85</v>
      </c>
      <c r="B91" s="128" t="str">
        <f>IF('Students Details'!B91="","",'Students Details'!B91)</f>
        <v/>
      </c>
      <c r="C91" s="129" t="str">
        <f>IF('Students Details'!C91="","",'Students Details'!C91)</f>
        <v/>
      </c>
      <c r="D91" s="130" t="str">
        <f t="shared" si="1"/>
        <v/>
      </c>
      <c r="E91" s="131" t="str">
        <f t="shared" si="2"/>
        <v/>
      </c>
      <c r="F91" s="131" t="str">
        <f t="shared" si="3"/>
        <v/>
      </c>
      <c r="G91" s="131" t="str">
        <f t="shared" si="4"/>
        <v/>
      </c>
      <c r="H91" s="131" t="str">
        <f t="shared" si="5"/>
        <v/>
      </c>
      <c r="I91" s="131" t="str">
        <f t="shared" si="6"/>
        <v/>
      </c>
      <c r="J91" s="132" t="str">
        <f t="shared" si="7"/>
        <v/>
      </c>
      <c r="K91" s="44"/>
      <c r="L91" s="133"/>
      <c r="M91" s="9"/>
      <c r="N91" s="9"/>
      <c r="O91" s="9"/>
      <c r="P91" s="9"/>
      <c r="Q91" s="9"/>
      <c r="R91" s="9"/>
      <c r="S91" s="9"/>
      <c r="T91" s="9"/>
      <c r="U91" s="9"/>
      <c r="V91" s="9"/>
      <c r="W91" s="9"/>
      <c r="X91" s="9"/>
      <c r="Y91" s="9"/>
      <c r="Z91" s="9"/>
      <c r="AA91" s="9"/>
      <c r="AB91" s="9"/>
      <c r="AC91" s="9"/>
      <c r="AD91" s="9"/>
      <c r="AE91" s="9"/>
      <c r="AF91" s="9"/>
      <c r="AG91" s="9"/>
      <c r="AH91" s="9"/>
      <c r="AI91" s="9"/>
      <c r="AJ91" s="9"/>
    </row>
    <row r="92" spans="1:36" ht="15" customHeight="1">
      <c r="A92" s="62">
        <f>'Students Details'!A92</f>
        <v>86</v>
      </c>
      <c r="B92" s="128" t="str">
        <f>IF('Students Details'!B92="","",'Students Details'!B92)</f>
        <v/>
      </c>
      <c r="C92" s="129" t="str">
        <f>IF('Students Details'!C92="","",'Students Details'!C92)</f>
        <v/>
      </c>
      <c r="D92" s="130" t="str">
        <f t="shared" si="1"/>
        <v/>
      </c>
      <c r="E92" s="131" t="str">
        <f t="shared" si="2"/>
        <v/>
      </c>
      <c r="F92" s="131" t="str">
        <f t="shared" si="3"/>
        <v/>
      </c>
      <c r="G92" s="131" t="str">
        <f t="shared" si="4"/>
        <v/>
      </c>
      <c r="H92" s="131" t="str">
        <f t="shared" si="5"/>
        <v/>
      </c>
      <c r="I92" s="131" t="str">
        <f t="shared" si="6"/>
        <v/>
      </c>
      <c r="J92" s="132" t="str">
        <f t="shared" si="7"/>
        <v/>
      </c>
      <c r="K92" s="44"/>
      <c r="L92" s="133"/>
      <c r="M92" s="9"/>
      <c r="N92" s="9"/>
      <c r="O92" s="9"/>
      <c r="P92" s="9"/>
      <c r="Q92" s="9"/>
      <c r="R92" s="9"/>
      <c r="S92" s="9"/>
      <c r="T92" s="9"/>
      <c r="U92" s="9"/>
      <c r="V92" s="9"/>
      <c r="W92" s="9"/>
      <c r="X92" s="9"/>
      <c r="Y92" s="9"/>
      <c r="Z92" s="9"/>
      <c r="AA92" s="9"/>
      <c r="AB92" s="9"/>
      <c r="AC92" s="9"/>
      <c r="AD92" s="9"/>
      <c r="AE92" s="9"/>
      <c r="AF92" s="9"/>
      <c r="AG92" s="9"/>
      <c r="AH92" s="9"/>
      <c r="AI92" s="9"/>
      <c r="AJ92" s="9"/>
    </row>
    <row r="93" spans="1:36" ht="15" customHeight="1">
      <c r="A93" s="62">
        <f>'Students Details'!A93</f>
        <v>87</v>
      </c>
      <c r="B93" s="128" t="str">
        <f>IF('Students Details'!B93="","",'Students Details'!B93)</f>
        <v/>
      </c>
      <c r="C93" s="129" t="str">
        <f>IF('Students Details'!C93="","",'Students Details'!C93)</f>
        <v/>
      </c>
      <c r="D93" s="130" t="str">
        <f t="shared" si="1"/>
        <v/>
      </c>
      <c r="E93" s="131" t="str">
        <f t="shared" si="2"/>
        <v/>
      </c>
      <c r="F93" s="131" t="str">
        <f t="shared" si="3"/>
        <v/>
      </c>
      <c r="G93" s="131" t="str">
        <f t="shared" si="4"/>
        <v/>
      </c>
      <c r="H93" s="131" t="str">
        <f t="shared" si="5"/>
        <v/>
      </c>
      <c r="I93" s="131" t="str">
        <f t="shared" si="6"/>
        <v/>
      </c>
      <c r="J93" s="132" t="str">
        <f t="shared" si="7"/>
        <v/>
      </c>
      <c r="K93" s="44"/>
      <c r="L93" s="133"/>
      <c r="M93" s="9"/>
      <c r="N93" s="9"/>
      <c r="O93" s="9"/>
      <c r="P93" s="9"/>
      <c r="Q93" s="9"/>
      <c r="R93" s="9"/>
      <c r="S93" s="9"/>
      <c r="T93" s="9"/>
      <c r="U93" s="9"/>
      <c r="V93" s="9"/>
      <c r="W93" s="9"/>
      <c r="X93" s="9"/>
      <c r="Y93" s="9"/>
      <c r="Z93" s="9"/>
      <c r="AA93" s="9"/>
      <c r="AB93" s="9"/>
      <c r="AC93" s="9"/>
      <c r="AD93" s="9"/>
      <c r="AE93" s="9"/>
      <c r="AF93" s="9"/>
      <c r="AG93" s="9"/>
      <c r="AH93" s="9"/>
      <c r="AI93" s="9"/>
      <c r="AJ93" s="9"/>
    </row>
    <row r="94" spans="1:36" ht="15" customHeight="1">
      <c r="A94" s="62">
        <f>'Students Details'!A94</f>
        <v>88</v>
      </c>
      <c r="B94" s="128" t="str">
        <f>IF('Students Details'!B94="","",'Students Details'!B94)</f>
        <v/>
      </c>
      <c r="C94" s="129" t="str">
        <f>IF('Students Details'!C94="","",'Students Details'!C94)</f>
        <v/>
      </c>
      <c r="D94" s="130" t="str">
        <f t="shared" si="1"/>
        <v/>
      </c>
      <c r="E94" s="131" t="str">
        <f t="shared" si="2"/>
        <v/>
      </c>
      <c r="F94" s="131" t="str">
        <f t="shared" si="3"/>
        <v/>
      </c>
      <c r="G94" s="131" t="str">
        <f t="shared" si="4"/>
        <v/>
      </c>
      <c r="H94" s="131" t="str">
        <f t="shared" si="5"/>
        <v/>
      </c>
      <c r="I94" s="131" t="str">
        <f t="shared" si="6"/>
        <v/>
      </c>
      <c r="J94" s="132" t="str">
        <f t="shared" si="7"/>
        <v/>
      </c>
      <c r="K94" s="44"/>
      <c r="L94" s="133"/>
      <c r="M94" s="9"/>
      <c r="N94" s="9"/>
      <c r="O94" s="9"/>
      <c r="P94" s="9"/>
      <c r="Q94" s="9"/>
      <c r="R94" s="9"/>
      <c r="S94" s="9"/>
      <c r="T94" s="9"/>
      <c r="U94" s="9"/>
      <c r="V94" s="9"/>
      <c r="W94" s="9"/>
      <c r="X94" s="9"/>
      <c r="Y94" s="9"/>
      <c r="Z94" s="9"/>
      <c r="AA94" s="9"/>
      <c r="AB94" s="9"/>
      <c r="AC94" s="9"/>
      <c r="AD94" s="9"/>
      <c r="AE94" s="9"/>
      <c r="AF94" s="9"/>
      <c r="AG94" s="9"/>
      <c r="AH94" s="9"/>
      <c r="AI94" s="9"/>
      <c r="AJ94" s="9"/>
    </row>
    <row r="95" spans="1:36" ht="15" customHeight="1">
      <c r="A95" s="62">
        <f>'Students Details'!A95</f>
        <v>89</v>
      </c>
      <c r="B95" s="128" t="str">
        <f>IF('Students Details'!B95="","",'Students Details'!B95)</f>
        <v/>
      </c>
      <c r="C95" s="129" t="str">
        <f>IF('Students Details'!C95="","",'Students Details'!C95)</f>
        <v/>
      </c>
      <c r="D95" s="130" t="str">
        <f t="shared" si="1"/>
        <v/>
      </c>
      <c r="E95" s="131" t="str">
        <f t="shared" si="2"/>
        <v/>
      </c>
      <c r="F95" s="131" t="str">
        <f t="shared" si="3"/>
        <v/>
      </c>
      <c r="G95" s="131" t="str">
        <f t="shared" si="4"/>
        <v/>
      </c>
      <c r="H95" s="131" t="str">
        <f t="shared" si="5"/>
        <v/>
      </c>
      <c r="I95" s="131" t="str">
        <f t="shared" si="6"/>
        <v/>
      </c>
      <c r="J95" s="132" t="str">
        <f t="shared" si="7"/>
        <v/>
      </c>
      <c r="K95" s="44"/>
      <c r="L95" s="133"/>
      <c r="M95" s="9"/>
      <c r="N95" s="9"/>
      <c r="O95" s="9"/>
      <c r="P95" s="9"/>
      <c r="Q95" s="9"/>
      <c r="R95" s="9"/>
      <c r="S95" s="9"/>
      <c r="T95" s="9"/>
      <c r="U95" s="9"/>
      <c r="V95" s="9"/>
      <c r="W95" s="9"/>
      <c r="X95" s="9"/>
      <c r="Y95" s="9"/>
      <c r="Z95" s="9"/>
      <c r="AA95" s="9"/>
      <c r="AB95" s="9"/>
      <c r="AC95" s="9"/>
      <c r="AD95" s="9"/>
      <c r="AE95" s="9"/>
      <c r="AF95" s="9"/>
      <c r="AG95" s="9"/>
      <c r="AH95" s="9"/>
      <c r="AI95" s="9"/>
      <c r="AJ95" s="9"/>
    </row>
    <row r="96" spans="1:36" ht="15" customHeight="1">
      <c r="A96" s="62">
        <f>'Students Details'!A96</f>
        <v>90</v>
      </c>
      <c r="B96" s="128" t="str">
        <f>IF('Students Details'!B96="","",'Students Details'!B96)</f>
        <v/>
      </c>
      <c r="C96" s="129" t="str">
        <f>IF('Students Details'!C96="","",'Students Details'!C96)</f>
        <v/>
      </c>
      <c r="D96" s="130" t="str">
        <f t="shared" si="1"/>
        <v/>
      </c>
      <c r="E96" s="131" t="str">
        <f t="shared" si="2"/>
        <v/>
      </c>
      <c r="F96" s="131" t="str">
        <f t="shared" si="3"/>
        <v/>
      </c>
      <c r="G96" s="131" t="str">
        <f t="shared" si="4"/>
        <v/>
      </c>
      <c r="H96" s="131" t="str">
        <f t="shared" si="5"/>
        <v/>
      </c>
      <c r="I96" s="131" t="str">
        <f t="shared" si="6"/>
        <v/>
      </c>
      <c r="J96" s="132" t="str">
        <f t="shared" si="7"/>
        <v/>
      </c>
      <c r="K96" s="44"/>
      <c r="L96" s="133"/>
      <c r="M96" s="9"/>
      <c r="N96" s="9"/>
      <c r="O96" s="9"/>
      <c r="P96" s="9"/>
      <c r="Q96" s="9"/>
      <c r="R96" s="9"/>
      <c r="S96" s="9"/>
      <c r="T96" s="9"/>
      <c r="U96" s="9"/>
      <c r="V96" s="9"/>
      <c r="W96" s="9"/>
      <c r="X96" s="9"/>
      <c r="Y96" s="9"/>
      <c r="Z96" s="9"/>
      <c r="AA96" s="9"/>
      <c r="AB96" s="9"/>
      <c r="AC96" s="9"/>
      <c r="AD96" s="9"/>
      <c r="AE96" s="9"/>
      <c r="AF96" s="9"/>
      <c r="AG96" s="9"/>
      <c r="AH96" s="9"/>
      <c r="AI96" s="9"/>
      <c r="AJ96" s="9"/>
    </row>
    <row r="97" spans="1:36" ht="15" customHeight="1">
      <c r="A97" s="62">
        <f>'Students Details'!A97</f>
        <v>91</v>
      </c>
      <c r="B97" s="128" t="str">
        <f>IF('Students Details'!B97="","",'Students Details'!B97)</f>
        <v/>
      </c>
      <c r="C97" s="129" t="str">
        <f>IF('Students Details'!C97="","",'Students Details'!C97)</f>
        <v/>
      </c>
      <c r="D97" s="130" t="str">
        <f t="shared" si="1"/>
        <v/>
      </c>
      <c r="E97" s="131" t="str">
        <f t="shared" si="2"/>
        <v/>
      </c>
      <c r="F97" s="131" t="str">
        <f t="shared" si="3"/>
        <v/>
      </c>
      <c r="G97" s="131" t="str">
        <f t="shared" si="4"/>
        <v/>
      </c>
      <c r="H97" s="131" t="str">
        <f t="shared" si="5"/>
        <v/>
      </c>
      <c r="I97" s="131" t="str">
        <f t="shared" si="6"/>
        <v/>
      </c>
      <c r="J97" s="132" t="str">
        <f t="shared" si="7"/>
        <v/>
      </c>
      <c r="K97" s="44"/>
      <c r="L97" s="133"/>
      <c r="M97" s="9"/>
      <c r="N97" s="9"/>
      <c r="O97" s="9"/>
      <c r="P97" s="9"/>
      <c r="Q97" s="9"/>
      <c r="R97" s="9"/>
      <c r="S97" s="9"/>
      <c r="T97" s="9"/>
      <c r="U97" s="9"/>
      <c r="V97" s="9"/>
      <c r="W97" s="9"/>
      <c r="X97" s="9"/>
      <c r="Y97" s="9"/>
      <c r="Z97" s="9"/>
      <c r="AA97" s="9"/>
      <c r="AB97" s="9"/>
      <c r="AC97" s="9"/>
      <c r="AD97" s="9"/>
      <c r="AE97" s="9"/>
      <c r="AF97" s="9"/>
      <c r="AG97" s="9"/>
      <c r="AH97" s="9"/>
      <c r="AI97" s="9"/>
      <c r="AJ97" s="9"/>
    </row>
    <row r="98" spans="1:36" ht="15" customHeight="1">
      <c r="A98" s="62">
        <f>'Students Details'!A98</f>
        <v>92</v>
      </c>
      <c r="B98" s="128" t="str">
        <f>IF('Students Details'!B98="","",'Students Details'!B98)</f>
        <v/>
      </c>
      <c r="C98" s="129" t="str">
        <f>IF('Students Details'!C98="","",'Students Details'!C98)</f>
        <v/>
      </c>
      <c r="D98" s="130" t="str">
        <f t="shared" si="1"/>
        <v/>
      </c>
      <c r="E98" s="131" t="str">
        <f t="shared" si="2"/>
        <v/>
      </c>
      <c r="F98" s="131" t="str">
        <f t="shared" si="3"/>
        <v/>
      </c>
      <c r="G98" s="131" t="str">
        <f t="shared" si="4"/>
        <v/>
      </c>
      <c r="H98" s="131" t="str">
        <f t="shared" si="5"/>
        <v/>
      </c>
      <c r="I98" s="131" t="str">
        <f t="shared" si="6"/>
        <v/>
      </c>
      <c r="J98" s="132" t="str">
        <f t="shared" si="7"/>
        <v/>
      </c>
      <c r="K98" s="44"/>
      <c r="L98" s="133"/>
      <c r="M98" s="9"/>
      <c r="N98" s="9"/>
      <c r="O98" s="9"/>
      <c r="P98" s="9"/>
      <c r="Q98" s="9"/>
      <c r="R98" s="9"/>
      <c r="S98" s="9"/>
      <c r="T98" s="9"/>
      <c r="U98" s="9"/>
      <c r="V98" s="9"/>
      <c r="W98" s="9"/>
      <c r="X98" s="9"/>
      <c r="Y98" s="9"/>
      <c r="Z98" s="9"/>
      <c r="AA98" s="9"/>
      <c r="AB98" s="9"/>
      <c r="AC98" s="9"/>
      <c r="AD98" s="9"/>
      <c r="AE98" s="9"/>
      <c r="AF98" s="9"/>
      <c r="AG98" s="9"/>
      <c r="AH98" s="9"/>
      <c r="AI98" s="9"/>
      <c r="AJ98" s="9"/>
    </row>
    <row r="99" spans="1:36" ht="15" customHeight="1">
      <c r="A99" s="62">
        <f>'Students Details'!A99</f>
        <v>93</v>
      </c>
      <c r="B99" s="128" t="str">
        <f>IF('Students Details'!B99="","",'Students Details'!B99)</f>
        <v/>
      </c>
      <c r="C99" s="129" t="str">
        <f>IF('Students Details'!C99="","",'Students Details'!C99)</f>
        <v/>
      </c>
      <c r="D99" s="130" t="str">
        <f t="shared" si="1"/>
        <v/>
      </c>
      <c r="E99" s="131" t="str">
        <f t="shared" si="2"/>
        <v/>
      </c>
      <c r="F99" s="131" t="str">
        <f t="shared" si="3"/>
        <v/>
      </c>
      <c r="G99" s="131" t="str">
        <f t="shared" si="4"/>
        <v/>
      </c>
      <c r="H99" s="131" t="str">
        <f t="shared" si="5"/>
        <v/>
      </c>
      <c r="I99" s="131" t="str">
        <f t="shared" si="6"/>
        <v/>
      </c>
      <c r="J99" s="132" t="str">
        <f t="shared" si="7"/>
        <v/>
      </c>
      <c r="K99" s="44"/>
      <c r="L99" s="133"/>
      <c r="M99" s="9"/>
      <c r="N99" s="9"/>
      <c r="O99" s="9"/>
      <c r="P99" s="9"/>
      <c r="Q99" s="9"/>
      <c r="R99" s="9"/>
      <c r="S99" s="9"/>
      <c r="T99" s="9"/>
      <c r="U99" s="9"/>
      <c r="V99" s="9"/>
      <c r="W99" s="9"/>
      <c r="X99" s="9"/>
      <c r="Y99" s="9"/>
      <c r="Z99" s="9"/>
      <c r="AA99" s="9"/>
      <c r="AB99" s="9"/>
      <c r="AC99" s="9"/>
      <c r="AD99" s="9"/>
      <c r="AE99" s="9"/>
      <c r="AF99" s="9"/>
      <c r="AG99" s="9"/>
      <c r="AH99" s="9"/>
      <c r="AI99" s="9"/>
      <c r="AJ99" s="9"/>
    </row>
    <row r="100" spans="1:36" ht="15" customHeight="1">
      <c r="A100" s="62">
        <f>'Students Details'!A100</f>
        <v>94</v>
      </c>
      <c r="B100" s="128" t="str">
        <f>IF('Students Details'!B100="","",'Students Details'!B100)</f>
        <v/>
      </c>
      <c r="C100" s="129" t="str">
        <f>IF('Students Details'!C100="","",'Students Details'!C100)</f>
        <v/>
      </c>
      <c r="D100" s="130" t="str">
        <f t="shared" si="1"/>
        <v/>
      </c>
      <c r="E100" s="131" t="str">
        <f t="shared" si="2"/>
        <v/>
      </c>
      <c r="F100" s="131" t="str">
        <f t="shared" si="3"/>
        <v/>
      </c>
      <c r="G100" s="131" t="str">
        <f t="shared" si="4"/>
        <v/>
      </c>
      <c r="H100" s="131" t="str">
        <f t="shared" si="5"/>
        <v/>
      </c>
      <c r="I100" s="131" t="str">
        <f t="shared" si="6"/>
        <v/>
      </c>
      <c r="J100" s="132" t="str">
        <f t="shared" si="7"/>
        <v/>
      </c>
      <c r="K100" s="44"/>
      <c r="L100" s="133"/>
      <c r="M100" s="9"/>
      <c r="N100" s="9"/>
      <c r="O100" s="9"/>
      <c r="P100" s="9"/>
      <c r="Q100" s="9"/>
      <c r="R100" s="9"/>
      <c r="S100" s="9"/>
      <c r="T100" s="9"/>
      <c r="U100" s="9"/>
      <c r="V100" s="9"/>
      <c r="W100" s="9"/>
      <c r="X100" s="9"/>
      <c r="Y100" s="9"/>
      <c r="Z100" s="9"/>
      <c r="AA100" s="9"/>
      <c r="AB100" s="9"/>
      <c r="AC100" s="9"/>
      <c r="AD100" s="9"/>
      <c r="AE100" s="9"/>
      <c r="AF100" s="9"/>
      <c r="AG100" s="9"/>
      <c r="AH100" s="9"/>
      <c r="AI100" s="9"/>
      <c r="AJ100" s="9"/>
    </row>
    <row r="101" spans="1:36" ht="15" customHeight="1">
      <c r="A101" s="62">
        <f>'Students Details'!A101</f>
        <v>95</v>
      </c>
      <c r="B101" s="128" t="str">
        <f>IF('Students Details'!B101="","",'Students Details'!B101)</f>
        <v/>
      </c>
      <c r="C101" s="129" t="str">
        <f>IF('Students Details'!C101="","",'Students Details'!C101)</f>
        <v/>
      </c>
      <c r="D101" s="130" t="str">
        <f t="shared" si="1"/>
        <v/>
      </c>
      <c r="E101" s="131" t="str">
        <f t="shared" si="2"/>
        <v/>
      </c>
      <c r="F101" s="131" t="str">
        <f t="shared" si="3"/>
        <v/>
      </c>
      <c r="G101" s="131" t="str">
        <f t="shared" si="4"/>
        <v/>
      </c>
      <c r="H101" s="131" t="str">
        <f t="shared" si="5"/>
        <v/>
      </c>
      <c r="I101" s="131" t="str">
        <f t="shared" si="6"/>
        <v/>
      </c>
      <c r="J101" s="132" t="str">
        <f t="shared" si="7"/>
        <v/>
      </c>
      <c r="K101" s="44"/>
      <c r="L101" s="133"/>
      <c r="M101" s="9"/>
      <c r="N101" s="9"/>
      <c r="O101" s="9"/>
      <c r="P101" s="9"/>
      <c r="Q101" s="9"/>
      <c r="R101" s="9"/>
      <c r="S101" s="9"/>
      <c r="T101" s="9"/>
      <c r="U101" s="9"/>
      <c r="V101" s="9"/>
      <c r="W101" s="9"/>
      <c r="X101" s="9"/>
      <c r="Y101" s="9"/>
      <c r="Z101" s="9"/>
      <c r="AA101" s="9"/>
      <c r="AB101" s="9"/>
      <c r="AC101" s="9"/>
      <c r="AD101" s="9"/>
      <c r="AE101" s="9"/>
      <c r="AF101" s="9"/>
      <c r="AG101" s="9"/>
      <c r="AH101" s="9"/>
      <c r="AI101" s="9"/>
      <c r="AJ101" s="9"/>
    </row>
    <row r="102" spans="1:36" ht="15" customHeight="1">
      <c r="A102" s="62">
        <f>'Students Details'!A102</f>
        <v>96</v>
      </c>
      <c r="B102" s="128" t="str">
        <f>IF('Students Details'!B102="","",'Students Details'!B102)</f>
        <v/>
      </c>
      <c r="C102" s="129" t="str">
        <f>IF('Students Details'!C102="","",'Students Details'!C102)</f>
        <v/>
      </c>
      <c r="D102" s="130" t="str">
        <f t="shared" si="1"/>
        <v/>
      </c>
      <c r="E102" s="131" t="str">
        <f t="shared" si="2"/>
        <v/>
      </c>
      <c r="F102" s="131" t="str">
        <f t="shared" si="3"/>
        <v/>
      </c>
      <c r="G102" s="131" t="str">
        <f t="shared" si="4"/>
        <v/>
      </c>
      <c r="H102" s="131" t="str">
        <f t="shared" si="5"/>
        <v/>
      </c>
      <c r="I102" s="131" t="str">
        <f t="shared" si="6"/>
        <v/>
      </c>
      <c r="J102" s="132" t="str">
        <f t="shared" si="7"/>
        <v/>
      </c>
      <c r="K102" s="44"/>
      <c r="L102" s="133"/>
      <c r="M102" s="9"/>
      <c r="N102" s="9"/>
      <c r="O102" s="9"/>
      <c r="P102" s="9"/>
      <c r="Q102" s="9"/>
      <c r="R102" s="9"/>
      <c r="S102" s="9"/>
      <c r="T102" s="9"/>
      <c r="U102" s="9"/>
      <c r="V102" s="9"/>
      <c r="W102" s="9"/>
      <c r="X102" s="9"/>
      <c r="Y102" s="9"/>
      <c r="Z102" s="9"/>
      <c r="AA102" s="9"/>
      <c r="AB102" s="9"/>
      <c r="AC102" s="9"/>
      <c r="AD102" s="9"/>
      <c r="AE102" s="9"/>
      <c r="AF102" s="9"/>
      <c r="AG102" s="9"/>
      <c r="AH102" s="9"/>
      <c r="AI102" s="9"/>
      <c r="AJ102" s="9"/>
    </row>
    <row r="103" spans="1:36" ht="15" customHeight="1">
      <c r="A103" s="62">
        <f>'Students Details'!A103</f>
        <v>97</v>
      </c>
      <c r="B103" s="128" t="str">
        <f>IF('Students Details'!B103="","",'Students Details'!B103)</f>
        <v/>
      </c>
      <c r="C103" s="129" t="str">
        <f>IF('Students Details'!C103="","",'Students Details'!C103)</f>
        <v/>
      </c>
      <c r="D103" s="130" t="str">
        <f t="shared" si="1"/>
        <v/>
      </c>
      <c r="E103" s="131" t="str">
        <f t="shared" si="2"/>
        <v/>
      </c>
      <c r="F103" s="131" t="str">
        <f t="shared" si="3"/>
        <v/>
      </c>
      <c r="G103" s="131" t="str">
        <f t="shared" si="4"/>
        <v/>
      </c>
      <c r="H103" s="131" t="str">
        <f t="shared" si="5"/>
        <v/>
      </c>
      <c r="I103" s="131" t="str">
        <f t="shared" si="6"/>
        <v/>
      </c>
      <c r="J103" s="132" t="str">
        <f t="shared" si="7"/>
        <v/>
      </c>
      <c r="K103" s="44"/>
      <c r="L103" s="133"/>
      <c r="M103" s="9"/>
      <c r="N103" s="9"/>
      <c r="O103" s="9"/>
      <c r="P103" s="9"/>
      <c r="Q103" s="9"/>
      <c r="R103" s="9"/>
      <c r="S103" s="9"/>
      <c r="T103" s="9"/>
      <c r="U103" s="9"/>
      <c r="V103" s="9"/>
      <c r="W103" s="9"/>
      <c r="X103" s="9"/>
      <c r="Y103" s="9"/>
      <c r="Z103" s="9"/>
      <c r="AA103" s="9"/>
      <c r="AB103" s="9"/>
      <c r="AC103" s="9"/>
      <c r="AD103" s="9"/>
      <c r="AE103" s="9"/>
      <c r="AF103" s="9"/>
      <c r="AG103" s="9"/>
      <c r="AH103" s="9"/>
      <c r="AI103" s="9"/>
      <c r="AJ103" s="9"/>
    </row>
    <row r="104" spans="1:36" ht="15" customHeight="1">
      <c r="A104" s="62">
        <f>'Students Details'!A104</f>
        <v>98</v>
      </c>
      <c r="B104" s="128" t="str">
        <f>IF('Students Details'!B104="","",'Students Details'!B104)</f>
        <v/>
      </c>
      <c r="C104" s="129" t="str">
        <f>IF('Students Details'!C104="","",'Students Details'!C104)</f>
        <v/>
      </c>
      <c r="D104" s="130" t="str">
        <f t="shared" si="1"/>
        <v/>
      </c>
      <c r="E104" s="131" t="str">
        <f t="shared" si="2"/>
        <v/>
      </c>
      <c r="F104" s="131" t="str">
        <f t="shared" si="3"/>
        <v/>
      </c>
      <c r="G104" s="131" t="str">
        <f t="shared" si="4"/>
        <v/>
      </c>
      <c r="H104" s="131" t="str">
        <f t="shared" si="5"/>
        <v/>
      </c>
      <c r="I104" s="131" t="str">
        <f t="shared" si="6"/>
        <v/>
      </c>
      <c r="J104" s="132" t="str">
        <f t="shared" si="7"/>
        <v/>
      </c>
      <c r="K104" s="44"/>
      <c r="L104" s="133"/>
      <c r="M104" s="9"/>
      <c r="N104" s="9"/>
      <c r="O104" s="9"/>
      <c r="P104" s="9"/>
      <c r="Q104" s="9"/>
      <c r="R104" s="9"/>
      <c r="S104" s="9"/>
      <c r="T104" s="9"/>
      <c r="U104" s="9"/>
      <c r="V104" s="9"/>
      <c r="W104" s="9"/>
      <c r="X104" s="9"/>
      <c r="Y104" s="9"/>
      <c r="Z104" s="9"/>
      <c r="AA104" s="9"/>
      <c r="AB104" s="9"/>
      <c r="AC104" s="9"/>
      <c r="AD104" s="9"/>
      <c r="AE104" s="9"/>
      <c r="AF104" s="9"/>
      <c r="AG104" s="9"/>
      <c r="AH104" s="9"/>
      <c r="AI104" s="9"/>
      <c r="AJ104" s="9"/>
    </row>
    <row r="105" spans="1:36" ht="15" customHeight="1">
      <c r="A105" s="62">
        <f>'Students Details'!A105</f>
        <v>99</v>
      </c>
      <c r="B105" s="128" t="str">
        <f>IF('Students Details'!B105="","",'Students Details'!B105)</f>
        <v/>
      </c>
      <c r="C105" s="129" t="str">
        <f>IF('Students Details'!C105="","",'Students Details'!C105)</f>
        <v/>
      </c>
      <c r="D105" s="130" t="str">
        <f t="shared" si="1"/>
        <v/>
      </c>
      <c r="E105" s="131" t="str">
        <f t="shared" si="2"/>
        <v/>
      </c>
      <c r="F105" s="131" t="str">
        <f t="shared" si="3"/>
        <v/>
      </c>
      <c r="G105" s="131" t="str">
        <f t="shared" si="4"/>
        <v/>
      </c>
      <c r="H105" s="131" t="str">
        <f t="shared" si="5"/>
        <v/>
      </c>
      <c r="I105" s="131" t="str">
        <f t="shared" si="6"/>
        <v/>
      </c>
      <c r="J105" s="132" t="str">
        <f t="shared" si="7"/>
        <v/>
      </c>
      <c r="K105" s="44"/>
      <c r="L105" s="133"/>
      <c r="M105" s="9"/>
      <c r="N105" s="9"/>
      <c r="O105" s="9"/>
      <c r="P105" s="9"/>
      <c r="Q105" s="9"/>
      <c r="R105" s="9"/>
      <c r="S105" s="9"/>
      <c r="T105" s="9"/>
      <c r="U105" s="9"/>
      <c r="V105" s="9"/>
      <c r="W105" s="9"/>
      <c r="X105" s="9"/>
      <c r="Y105" s="9"/>
      <c r="Z105" s="9"/>
      <c r="AA105" s="9"/>
      <c r="AB105" s="9"/>
      <c r="AC105" s="9"/>
      <c r="AD105" s="9"/>
      <c r="AE105" s="9"/>
      <c r="AF105" s="9"/>
      <c r="AG105" s="9"/>
      <c r="AH105" s="9"/>
      <c r="AI105" s="9"/>
      <c r="AJ105" s="9"/>
    </row>
    <row r="106" spans="1:36" ht="15" customHeight="1">
      <c r="A106" s="62">
        <f>'Students Details'!A106</f>
        <v>100</v>
      </c>
      <c r="B106" s="128" t="str">
        <f>IF('Students Details'!B106="","",'Students Details'!B106)</f>
        <v/>
      </c>
      <c r="C106" s="129" t="str">
        <f>IF('Students Details'!C106="","",'Students Details'!C106)</f>
        <v/>
      </c>
      <c r="D106" s="130" t="str">
        <f t="shared" si="1"/>
        <v/>
      </c>
      <c r="E106" s="131" t="str">
        <f t="shared" si="2"/>
        <v/>
      </c>
      <c r="F106" s="131" t="str">
        <f t="shared" si="3"/>
        <v/>
      </c>
      <c r="G106" s="131" t="str">
        <f t="shared" si="4"/>
        <v/>
      </c>
      <c r="H106" s="131" t="str">
        <f t="shared" si="5"/>
        <v/>
      </c>
      <c r="I106" s="131" t="str">
        <f t="shared" si="6"/>
        <v/>
      </c>
      <c r="J106" s="132" t="str">
        <f t="shared" si="7"/>
        <v/>
      </c>
      <c r="K106" s="44"/>
      <c r="L106" s="133"/>
      <c r="M106" s="9"/>
      <c r="N106" s="9"/>
      <c r="O106" s="9"/>
      <c r="P106" s="9"/>
      <c r="Q106" s="9"/>
      <c r="R106" s="9"/>
      <c r="S106" s="9"/>
      <c r="T106" s="9"/>
      <c r="U106" s="9"/>
      <c r="V106" s="9"/>
      <c r="W106" s="9"/>
      <c r="X106" s="9"/>
      <c r="Y106" s="9"/>
      <c r="Z106" s="9"/>
      <c r="AA106" s="9"/>
      <c r="AB106" s="9"/>
      <c r="AC106" s="9"/>
      <c r="AD106" s="9"/>
      <c r="AE106" s="9"/>
      <c r="AF106" s="9"/>
      <c r="AG106" s="9"/>
      <c r="AH106" s="9"/>
      <c r="AI106" s="9"/>
      <c r="AJ106" s="9"/>
    </row>
    <row r="107" spans="1:36" ht="15" customHeight="1">
      <c r="A107" s="62">
        <f>'Students Details'!A107</f>
        <v>101</v>
      </c>
      <c r="B107" s="128" t="str">
        <f>IF('Students Details'!B107="","",'Students Details'!B107)</f>
        <v/>
      </c>
      <c r="C107" s="129" t="str">
        <f>IF('Students Details'!C107="","",'Students Details'!C107)</f>
        <v/>
      </c>
      <c r="D107" s="130" t="str">
        <f t="shared" si="1"/>
        <v/>
      </c>
      <c r="E107" s="131" t="str">
        <f t="shared" si="2"/>
        <v/>
      </c>
      <c r="F107" s="131" t="str">
        <f t="shared" si="3"/>
        <v/>
      </c>
      <c r="G107" s="131" t="str">
        <f t="shared" si="4"/>
        <v/>
      </c>
      <c r="H107" s="131" t="str">
        <f t="shared" si="5"/>
        <v/>
      </c>
      <c r="I107" s="131" t="str">
        <f t="shared" si="6"/>
        <v/>
      </c>
      <c r="J107" s="132" t="str">
        <f t="shared" si="7"/>
        <v/>
      </c>
      <c r="K107" s="44"/>
      <c r="L107" s="133"/>
      <c r="M107" s="9"/>
      <c r="N107" s="9"/>
      <c r="O107" s="9"/>
      <c r="P107" s="9"/>
      <c r="Q107" s="9"/>
      <c r="R107" s="9"/>
      <c r="S107" s="9"/>
      <c r="T107" s="9"/>
      <c r="U107" s="9"/>
      <c r="V107" s="9"/>
      <c r="W107" s="9"/>
      <c r="X107" s="9"/>
      <c r="Y107" s="9"/>
      <c r="Z107" s="9"/>
      <c r="AA107" s="9"/>
      <c r="AB107" s="9"/>
      <c r="AC107" s="9"/>
      <c r="AD107" s="9"/>
      <c r="AE107" s="9"/>
      <c r="AF107" s="9"/>
      <c r="AG107" s="9"/>
      <c r="AH107" s="9"/>
      <c r="AI107" s="9"/>
      <c r="AJ107" s="9"/>
    </row>
    <row r="108" spans="1:36" ht="15" customHeight="1">
      <c r="A108" s="62">
        <f>'Students Details'!A108</f>
        <v>102</v>
      </c>
      <c r="B108" s="128" t="str">
        <f>IF('Students Details'!B108="","",'Students Details'!B108)</f>
        <v/>
      </c>
      <c r="C108" s="129" t="str">
        <f>IF('Students Details'!C108="","",'Students Details'!C108)</f>
        <v/>
      </c>
      <c r="D108" s="130" t="str">
        <f t="shared" si="1"/>
        <v/>
      </c>
      <c r="E108" s="131" t="str">
        <f t="shared" si="2"/>
        <v/>
      </c>
      <c r="F108" s="131" t="str">
        <f t="shared" si="3"/>
        <v/>
      </c>
      <c r="G108" s="131" t="str">
        <f t="shared" si="4"/>
        <v/>
      </c>
      <c r="H108" s="131" t="str">
        <f t="shared" si="5"/>
        <v/>
      </c>
      <c r="I108" s="131" t="str">
        <f t="shared" si="6"/>
        <v/>
      </c>
      <c r="J108" s="132" t="str">
        <f t="shared" si="7"/>
        <v/>
      </c>
      <c r="K108" s="44"/>
      <c r="L108" s="133"/>
      <c r="M108" s="9"/>
      <c r="N108" s="9"/>
      <c r="O108" s="9"/>
      <c r="P108" s="9"/>
      <c r="Q108" s="9"/>
      <c r="R108" s="9"/>
      <c r="S108" s="9"/>
      <c r="T108" s="9"/>
      <c r="U108" s="9"/>
      <c r="V108" s="9"/>
      <c r="W108" s="9"/>
      <c r="X108" s="9"/>
      <c r="Y108" s="9"/>
      <c r="Z108" s="9"/>
      <c r="AA108" s="9"/>
      <c r="AB108" s="9"/>
      <c r="AC108" s="9"/>
      <c r="AD108" s="9"/>
      <c r="AE108" s="9"/>
      <c r="AF108" s="9"/>
      <c r="AG108" s="9"/>
      <c r="AH108" s="9"/>
      <c r="AI108" s="9"/>
      <c r="AJ108" s="9"/>
    </row>
    <row r="109" spans="1:36" ht="15" customHeight="1">
      <c r="A109" s="62">
        <f>'Students Details'!A109</f>
        <v>103</v>
      </c>
      <c r="B109" s="128" t="str">
        <f>IF('Students Details'!B109="","",'Students Details'!B109)</f>
        <v/>
      </c>
      <c r="C109" s="129" t="str">
        <f>IF('Students Details'!C109="","",'Students Details'!C109)</f>
        <v/>
      </c>
      <c r="D109" s="130" t="str">
        <f t="shared" si="1"/>
        <v/>
      </c>
      <c r="E109" s="131" t="str">
        <f t="shared" si="2"/>
        <v/>
      </c>
      <c r="F109" s="131" t="str">
        <f t="shared" si="3"/>
        <v/>
      </c>
      <c r="G109" s="131" t="str">
        <f t="shared" si="4"/>
        <v/>
      </c>
      <c r="H109" s="131" t="str">
        <f t="shared" si="5"/>
        <v/>
      </c>
      <c r="I109" s="131" t="str">
        <f t="shared" si="6"/>
        <v/>
      </c>
      <c r="J109" s="132" t="str">
        <f t="shared" si="7"/>
        <v/>
      </c>
      <c r="K109" s="44"/>
      <c r="L109" s="133"/>
      <c r="M109" s="9"/>
      <c r="N109" s="9"/>
      <c r="O109" s="9"/>
      <c r="P109" s="9"/>
      <c r="Q109" s="9"/>
      <c r="R109" s="9"/>
      <c r="S109" s="9"/>
      <c r="T109" s="9"/>
      <c r="U109" s="9"/>
      <c r="V109" s="9"/>
      <c r="W109" s="9"/>
      <c r="X109" s="9"/>
      <c r="Y109" s="9"/>
      <c r="Z109" s="9"/>
      <c r="AA109" s="9"/>
      <c r="AB109" s="9"/>
      <c r="AC109" s="9"/>
      <c r="AD109" s="9"/>
      <c r="AE109" s="9"/>
      <c r="AF109" s="9"/>
      <c r="AG109" s="9"/>
      <c r="AH109" s="9"/>
      <c r="AI109" s="9"/>
      <c r="AJ109" s="9"/>
    </row>
    <row r="110" spans="1:36" ht="15" customHeight="1">
      <c r="A110" s="62">
        <f>'Students Details'!A110</f>
        <v>104</v>
      </c>
      <c r="B110" s="128" t="str">
        <f>IF('Students Details'!B110="","",'Students Details'!B110)</f>
        <v/>
      </c>
      <c r="C110" s="129" t="str">
        <f>IF('Students Details'!C110="","",'Students Details'!C110)</f>
        <v/>
      </c>
      <c r="D110" s="130" t="str">
        <f t="shared" si="1"/>
        <v/>
      </c>
      <c r="E110" s="131" t="str">
        <f t="shared" si="2"/>
        <v/>
      </c>
      <c r="F110" s="131" t="str">
        <f t="shared" si="3"/>
        <v/>
      </c>
      <c r="G110" s="131" t="str">
        <f t="shared" si="4"/>
        <v/>
      </c>
      <c r="H110" s="131" t="str">
        <f t="shared" si="5"/>
        <v/>
      </c>
      <c r="I110" s="131" t="str">
        <f t="shared" si="6"/>
        <v/>
      </c>
      <c r="J110" s="132" t="str">
        <f t="shared" si="7"/>
        <v/>
      </c>
      <c r="K110" s="44"/>
      <c r="L110" s="133"/>
      <c r="M110" s="9"/>
      <c r="N110" s="9"/>
      <c r="O110" s="9"/>
      <c r="P110" s="9"/>
      <c r="Q110" s="9"/>
      <c r="R110" s="9"/>
      <c r="S110" s="9"/>
      <c r="T110" s="9"/>
      <c r="U110" s="9"/>
      <c r="V110" s="9"/>
      <c r="W110" s="9"/>
      <c r="X110" s="9"/>
      <c r="Y110" s="9"/>
      <c r="Z110" s="9"/>
      <c r="AA110" s="9"/>
      <c r="AB110" s="9"/>
      <c r="AC110" s="9"/>
      <c r="AD110" s="9"/>
      <c r="AE110" s="9"/>
      <c r="AF110" s="9"/>
      <c r="AG110" s="9"/>
      <c r="AH110" s="9"/>
      <c r="AI110" s="9"/>
      <c r="AJ110" s="9"/>
    </row>
    <row r="111" spans="1:36" ht="15" customHeight="1">
      <c r="A111" s="62">
        <f>'Students Details'!A111</f>
        <v>105</v>
      </c>
      <c r="B111" s="128" t="str">
        <f>IF('Students Details'!B111="","",'Students Details'!B111)</f>
        <v/>
      </c>
      <c r="C111" s="129" t="str">
        <f>IF('Students Details'!C111="","",'Students Details'!C111)</f>
        <v/>
      </c>
      <c r="D111" s="130" t="str">
        <f t="shared" si="1"/>
        <v/>
      </c>
      <c r="E111" s="131" t="str">
        <f t="shared" si="2"/>
        <v/>
      </c>
      <c r="F111" s="131" t="str">
        <f t="shared" si="3"/>
        <v/>
      </c>
      <c r="G111" s="131" t="str">
        <f t="shared" si="4"/>
        <v/>
      </c>
      <c r="H111" s="131" t="str">
        <f t="shared" si="5"/>
        <v/>
      </c>
      <c r="I111" s="131" t="str">
        <f t="shared" si="6"/>
        <v/>
      </c>
      <c r="J111" s="132" t="str">
        <f t="shared" si="7"/>
        <v/>
      </c>
      <c r="K111" s="44"/>
      <c r="L111" s="133"/>
      <c r="M111" s="9"/>
      <c r="N111" s="9"/>
      <c r="O111" s="9"/>
      <c r="P111" s="9"/>
      <c r="Q111" s="9"/>
      <c r="R111" s="9"/>
      <c r="S111" s="9"/>
      <c r="T111" s="9"/>
      <c r="U111" s="9"/>
      <c r="V111" s="9"/>
      <c r="W111" s="9"/>
      <c r="X111" s="9"/>
      <c r="Y111" s="9"/>
      <c r="Z111" s="9"/>
      <c r="AA111" s="9"/>
      <c r="AB111" s="9"/>
      <c r="AC111" s="9"/>
      <c r="AD111" s="9"/>
      <c r="AE111" s="9"/>
      <c r="AF111" s="9"/>
      <c r="AG111" s="9"/>
      <c r="AH111" s="9"/>
      <c r="AI111" s="9"/>
      <c r="AJ111" s="9"/>
    </row>
    <row r="112" spans="1:36" ht="15" customHeight="1">
      <c r="A112" s="62">
        <f>'Students Details'!A112</f>
        <v>106</v>
      </c>
      <c r="B112" s="128" t="str">
        <f>IF('Students Details'!B112="","",'Students Details'!B112)</f>
        <v/>
      </c>
      <c r="C112" s="129" t="str">
        <f>IF('Students Details'!C112="","",'Students Details'!C112)</f>
        <v/>
      </c>
      <c r="D112" s="130" t="str">
        <f t="shared" si="1"/>
        <v/>
      </c>
      <c r="E112" s="131" t="str">
        <f t="shared" si="2"/>
        <v/>
      </c>
      <c r="F112" s="131" t="str">
        <f t="shared" si="3"/>
        <v/>
      </c>
      <c r="G112" s="131" t="str">
        <f t="shared" si="4"/>
        <v/>
      </c>
      <c r="H112" s="131" t="str">
        <f t="shared" si="5"/>
        <v/>
      </c>
      <c r="I112" s="131" t="str">
        <f t="shared" si="6"/>
        <v/>
      </c>
      <c r="J112" s="132" t="str">
        <f t="shared" si="7"/>
        <v/>
      </c>
      <c r="K112" s="44"/>
      <c r="L112" s="133"/>
      <c r="M112" s="9"/>
      <c r="N112" s="9"/>
      <c r="O112" s="9"/>
      <c r="P112" s="9"/>
      <c r="Q112" s="9"/>
      <c r="R112" s="9"/>
      <c r="S112" s="9"/>
      <c r="T112" s="9"/>
      <c r="U112" s="9"/>
      <c r="V112" s="9"/>
      <c r="W112" s="9"/>
      <c r="X112" s="9"/>
      <c r="Y112" s="9"/>
      <c r="Z112" s="9"/>
      <c r="AA112" s="9"/>
      <c r="AB112" s="9"/>
      <c r="AC112" s="9"/>
      <c r="AD112" s="9"/>
      <c r="AE112" s="9"/>
      <c r="AF112" s="9"/>
      <c r="AG112" s="9"/>
      <c r="AH112" s="9"/>
      <c r="AI112" s="9"/>
      <c r="AJ112" s="9"/>
    </row>
    <row r="113" spans="1:36" ht="15" customHeight="1">
      <c r="A113" s="62">
        <f>'Students Details'!A113</f>
        <v>107</v>
      </c>
      <c r="B113" s="128" t="str">
        <f>IF('Students Details'!B113="","",'Students Details'!B113)</f>
        <v/>
      </c>
      <c r="C113" s="129" t="str">
        <f>IF('Students Details'!C113="","",'Students Details'!C113)</f>
        <v/>
      </c>
      <c r="D113" s="130" t="str">
        <f t="shared" si="1"/>
        <v/>
      </c>
      <c r="E113" s="131" t="str">
        <f t="shared" si="2"/>
        <v/>
      </c>
      <c r="F113" s="131" t="str">
        <f t="shared" si="3"/>
        <v/>
      </c>
      <c r="G113" s="131" t="str">
        <f t="shared" si="4"/>
        <v/>
      </c>
      <c r="H113" s="131" t="str">
        <f t="shared" si="5"/>
        <v/>
      </c>
      <c r="I113" s="131" t="str">
        <f t="shared" si="6"/>
        <v/>
      </c>
      <c r="J113" s="132" t="str">
        <f t="shared" si="7"/>
        <v/>
      </c>
      <c r="K113" s="44"/>
      <c r="L113" s="133"/>
      <c r="M113" s="9"/>
      <c r="N113" s="9"/>
      <c r="O113" s="9"/>
      <c r="P113" s="9"/>
      <c r="Q113" s="9"/>
      <c r="R113" s="9"/>
      <c r="S113" s="9"/>
      <c r="T113" s="9"/>
      <c r="U113" s="9"/>
      <c r="V113" s="9"/>
      <c r="W113" s="9"/>
      <c r="X113" s="9"/>
      <c r="Y113" s="9"/>
      <c r="Z113" s="9"/>
      <c r="AA113" s="9"/>
      <c r="AB113" s="9"/>
      <c r="AC113" s="9"/>
      <c r="AD113" s="9"/>
      <c r="AE113" s="9"/>
      <c r="AF113" s="9"/>
      <c r="AG113" s="9"/>
      <c r="AH113" s="9"/>
      <c r="AI113" s="9"/>
      <c r="AJ113" s="9"/>
    </row>
    <row r="114" spans="1:36" ht="15" customHeight="1">
      <c r="A114" s="62">
        <f>'Students Details'!A114</f>
        <v>108</v>
      </c>
      <c r="B114" s="128" t="str">
        <f>IF('Students Details'!B114="","",'Students Details'!B114)</f>
        <v/>
      </c>
      <c r="C114" s="129" t="str">
        <f>IF('Students Details'!C114="","",'Students Details'!C114)</f>
        <v/>
      </c>
      <c r="D114" s="130" t="str">
        <f t="shared" si="1"/>
        <v/>
      </c>
      <c r="E114" s="131" t="str">
        <f t="shared" si="2"/>
        <v/>
      </c>
      <c r="F114" s="131" t="str">
        <f t="shared" si="3"/>
        <v/>
      </c>
      <c r="G114" s="131" t="str">
        <f t="shared" si="4"/>
        <v/>
      </c>
      <c r="H114" s="131" t="str">
        <f t="shared" si="5"/>
        <v/>
      </c>
      <c r="I114" s="131" t="str">
        <f t="shared" si="6"/>
        <v/>
      </c>
      <c r="J114" s="132" t="str">
        <f t="shared" si="7"/>
        <v/>
      </c>
      <c r="K114" s="44"/>
      <c r="L114" s="133"/>
      <c r="M114" s="9"/>
      <c r="N114" s="9"/>
      <c r="O114" s="9"/>
      <c r="P114" s="9"/>
      <c r="Q114" s="9"/>
      <c r="R114" s="9"/>
      <c r="S114" s="9"/>
      <c r="T114" s="9"/>
      <c r="U114" s="9"/>
      <c r="V114" s="9"/>
      <c r="W114" s="9"/>
      <c r="X114" s="9"/>
      <c r="Y114" s="9"/>
      <c r="Z114" s="9"/>
      <c r="AA114" s="9"/>
      <c r="AB114" s="9"/>
      <c r="AC114" s="9"/>
      <c r="AD114" s="9"/>
      <c r="AE114" s="9"/>
      <c r="AF114" s="9"/>
      <c r="AG114" s="9"/>
      <c r="AH114" s="9"/>
      <c r="AI114" s="9"/>
      <c r="AJ114" s="9"/>
    </row>
    <row r="115" spans="1:36" ht="15" customHeight="1">
      <c r="A115" s="62">
        <f>'Students Details'!A115</f>
        <v>109</v>
      </c>
      <c r="B115" s="128" t="str">
        <f>IF('Students Details'!B115="","",'Students Details'!B115)</f>
        <v/>
      </c>
      <c r="C115" s="129" t="str">
        <f>IF('Students Details'!C115="","",'Students Details'!C115)</f>
        <v/>
      </c>
      <c r="D115" s="130" t="str">
        <f t="shared" si="1"/>
        <v/>
      </c>
      <c r="E115" s="131" t="str">
        <f t="shared" si="2"/>
        <v/>
      </c>
      <c r="F115" s="131" t="str">
        <f t="shared" si="3"/>
        <v/>
      </c>
      <c r="G115" s="131" t="str">
        <f t="shared" si="4"/>
        <v/>
      </c>
      <c r="H115" s="131" t="str">
        <f t="shared" si="5"/>
        <v/>
      </c>
      <c r="I115" s="131" t="str">
        <f t="shared" si="6"/>
        <v/>
      </c>
      <c r="J115" s="132" t="str">
        <f t="shared" si="7"/>
        <v/>
      </c>
      <c r="K115" s="44"/>
      <c r="L115" s="133"/>
      <c r="M115" s="9"/>
      <c r="N115" s="9"/>
      <c r="O115" s="9"/>
      <c r="P115" s="9"/>
      <c r="Q115" s="9"/>
      <c r="R115" s="9"/>
      <c r="S115" s="9"/>
      <c r="T115" s="9"/>
      <c r="U115" s="9"/>
      <c r="V115" s="9"/>
      <c r="W115" s="9"/>
      <c r="X115" s="9"/>
      <c r="Y115" s="9"/>
      <c r="Z115" s="9"/>
      <c r="AA115" s="9"/>
      <c r="AB115" s="9"/>
      <c r="AC115" s="9"/>
      <c r="AD115" s="9"/>
      <c r="AE115" s="9"/>
      <c r="AF115" s="9"/>
      <c r="AG115" s="9"/>
      <c r="AH115" s="9"/>
      <c r="AI115" s="9"/>
      <c r="AJ115" s="9"/>
    </row>
    <row r="116" spans="1:36" ht="15" customHeight="1">
      <c r="A116" s="62">
        <f>'Students Details'!A116</f>
        <v>110</v>
      </c>
      <c r="B116" s="128" t="str">
        <f>IF('Students Details'!B116="","",'Students Details'!B116)</f>
        <v/>
      </c>
      <c r="C116" s="129" t="str">
        <f>IF('Students Details'!C116="","",'Students Details'!C116)</f>
        <v/>
      </c>
      <c r="D116" s="130" t="str">
        <f t="shared" si="1"/>
        <v/>
      </c>
      <c r="E116" s="131" t="str">
        <f t="shared" si="2"/>
        <v/>
      </c>
      <c r="F116" s="131" t="str">
        <f t="shared" si="3"/>
        <v/>
      </c>
      <c r="G116" s="131" t="str">
        <f t="shared" si="4"/>
        <v/>
      </c>
      <c r="H116" s="131" t="str">
        <f t="shared" si="5"/>
        <v/>
      </c>
      <c r="I116" s="131" t="str">
        <f t="shared" si="6"/>
        <v/>
      </c>
      <c r="J116" s="132" t="str">
        <f t="shared" si="7"/>
        <v/>
      </c>
      <c r="K116" s="44"/>
      <c r="L116" s="133"/>
      <c r="M116" s="9"/>
      <c r="N116" s="9"/>
      <c r="O116" s="9"/>
      <c r="P116" s="9"/>
      <c r="Q116" s="9"/>
      <c r="R116" s="9"/>
      <c r="S116" s="9"/>
      <c r="T116" s="9"/>
      <c r="U116" s="9"/>
      <c r="V116" s="9"/>
      <c r="W116" s="9"/>
      <c r="X116" s="9"/>
      <c r="Y116" s="9"/>
      <c r="Z116" s="9"/>
      <c r="AA116" s="9"/>
      <c r="AB116" s="9"/>
      <c r="AC116" s="9"/>
      <c r="AD116" s="9"/>
      <c r="AE116" s="9"/>
      <c r="AF116" s="9"/>
      <c r="AG116" s="9"/>
      <c r="AH116" s="9"/>
      <c r="AI116" s="9"/>
      <c r="AJ116" s="9"/>
    </row>
    <row r="117" spans="1:36" ht="15" customHeight="1">
      <c r="A117" s="62">
        <f>'Students Details'!A117</f>
        <v>111</v>
      </c>
      <c r="B117" s="128" t="str">
        <f>IF('Students Details'!B117="","",'Students Details'!B117)</f>
        <v/>
      </c>
      <c r="C117" s="129" t="str">
        <f>IF('Students Details'!C117="","",'Students Details'!C117)</f>
        <v/>
      </c>
      <c r="D117" s="130" t="str">
        <f t="shared" si="1"/>
        <v/>
      </c>
      <c r="E117" s="131" t="str">
        <f t="shared" si="2"/>
        <v/>
      </c>
      <c r="F117" s="131" t="str">
        <f t="shared" si="3"/>
        <v/>
      </c>
      <c r="G117" s="131" t="str">
        <f t="shared" si="4"/>
        <v/>
      </c>
      <c r="H117" s="131" t="str">
        <f t="shared" si="5"/>
        <v/>
      </c>
      <c r="I117" s="131" t="str">
        <f t="shared" si="6"/>
        <v/>
      </c>
      <c r="J117" s="132" t="str">
        <f t="shared" si="7"/>
        <v/>
      </c>
      <c r="K117" s="44"/>
      <c r="L117" s="133"/>
      <c r="M117" s="9"/>
      <c r="N117" s="9"/>
      <c r="O117" s="9"/>
      <c r="P117" s="9"/>
      <c r="Q117" s="9"/>
      <c r="R117" s="9"/>
      <c r="S117" s="9"/>
      <c r="T117" s="9"/>
      <c r="U117" s="9"/>
      <c r="V117" s="9"/>
      <c r="W117" s="9"/>
      <c r="X117" s="9"/>
      <c r="Y117" s="9"/>
      <c r="Z117" s="9"/>
      <c r="AA117" s="9"/>
      <c r="AB117" s="9"/>
      <c r="AC117" s="9"/>
      <c r="AD117" s="9"/>
      <c r="AE117" s="9"/>
      <c r="AF117" s="9"/>
      <c r="AG117" s="9"/>
      <c r="AH117" s="9"/>
      <c r="AI117" s="9"/>
      <c r="AJ117" s="9"/>
    </row>
    <row r="118" spans="1:36" ht="15" customHeight="1">
      <c r="A118" s="62">
        <f>'Students Details'!A118</f>
        <v>112</v>
      </c>
      <c r="B118" s="128" t="str">
        <f>IF('Students Details'!B118="","",'Students Details'!B118)</f>
        <v/>
      </c>
      <c r="C118" s="129" t="str">
        <f>IF('Students Details'!C118="","",'Students Details'!C118)</f>
        <v/>
      </c>
      <c r="D118" s="130" t="str">
        <f t="shared" si="1"/>
        <v/>
      </c>
      <c r="E118" s="131" t="str">
        <f t="shared" si="2"/>
        <v/>
      </c>
      <c r="F118" s="131" t="str">
        <f t="shared" si="3"/>
        <v/>
      </c>
      <c r="G118" s="131" t="str">
        <f t="shared" si="4"/>
        <v/>
      </c>
      <c r="H118" s="131" t="str">
        <f t="shared" si="5"/>
        <v/>
      </c>
      <c r="I118" s="131" t="str">
        <f t="shared" si="6"/>
        <v/>
      </c>
      <c r="J118" s="132" t="str">
        <f t="shared" si="7"/>
        <v/>
      </c>
      <c r="K118" s="44"/>
      <c r="L118" s="133"/>
      <c r="M118" s="9"/>
      <c r="N118" s="9"/>
      <c r="O118" s="9"/>
      <c r="P118" s="9"/>
      <c r="Q118" s="9"/>
      <c r="R118" s="9"/>
      <c r="S118" s="9"/>
      <c r="T118" s="9"/>
      <c r="U118" s="9"/>
      <c r="V118" s="9"/>
      <c r="W118" s="9"/>
      <c r="X118" s="9"/>
      <c r="Y118" s="9"/>
      <c r="Z118" s="9"/>
      <c r="AA118" s="9"/>
      <c r="AB118" s="9"/>
      <c r="AC118" s="9"/>
      <c r="AD118" s="9"/>
      <c r="AE118" s="9"/>
      <c r="AF118" s="9"/>
      <c r="AG118" s="9"/>
      <c r="AH118" s="9"/>
      <c r="AI118" s="9"/>
      <c r="AJ118" s="9"/>
    </row>
    <row r="119" spans="1:36" ht="15" customHeight="1">
      <c r="A119" s="62">
        <f>'Students Details'!A119</f>
        <v>113</v>
      </c>
      <c r="B119" s="128" t="str">
        <f>IF('Students Details'!B119="","",'Students Details'!B119)</f>
        <v/>
      </c>
      <c r="C119" s="129" t="str">
        <f>IF('Students Details'!C119="","",'Students Details'!C119)</f>
        <v/>
      </c>
      <c r="D119" s="130" t="str">
        <f t="shared" si="1"/>
        <v/>
      </c>
      <c r="E119" s="131" t="str">
        <f t="shared" si="2"/>
        <v/>
      </c>
      <c r="F119" s="131" t="str">
        <f t="shared" si="3"/>
        <v/>
      </c>
      <c r="G119" s="131" t="str">
        <f t="shared" si="4"/>
        <v/>
      </c>
      <c r="H119" s="131" t="str">
        <f t="shared" si="5"/>
        <v/>
      </c>
      <c r="I119" s="131" t="str">
        <f t="shared" si="6"/>
        <v/>
      </c>
      <c r="J119" s="132" t="str">
        <f t="shared" si="7"/>
        <v/>
      </c>
      <c r="K119" s="44"/>
      <c r="L119" s="133"/>
      <c r="M119" s="9"/>
      <c r="N119" s="9"/>
      <c r="O119" s="9"/>
      <c r="P119" s="9"/>
      <c r="Q119" s="9"/>
      <c r="R119" s="9"/>
      <c r="S119" s="9"/>
      <c r="T119" s="9"/>
      <c r="U119" s="9"/>
      <c r="V119" s="9"/>
      <c r="W119" s="9"/>
      <c r="X119" s="9"/>
      <c r="Y119" s="9"/>
      <c r="Z119" s="9"/>
      <c r="AA119" s="9"/>
      <c r="AB119" s="9"/>
      <c r="AC119" s="9"/>
      <c r="AD119" s="9"/>
      <c r="AE119" s="9"/>
      <c r="AF119" s="9"/>
      <c r="AG119" s="9"/>
      <c r="AH119" s="9"/>
      <c r="AI119" s="9"/>
      <c r="AJ119" s="9"/>
    </row>
    <row r="120" spans="1:36" ht="15" customHeight="1">
      <c r="A120" s="62">
        <f>'Students Details'!A120</f>
        <v>114</v>
      </c>
      <c r="B120" s="128" t="str">
        <f>IF('Students Details'!B120="","",'Students Details'!B120)</f>
        <v/>
      </c>
      <c r="C120" s="129" t="str">
        <f>IF('Students Details'!C120="","",'Students Details'!C120)</f>
        <v/>
      </c>
      <c r="D120" s="130" t="str">
        <f t="shared" si="1"/>
        <v/>
      </c>
      <c r="E120" s="131" t="str">
        <f t="shared" si="2"/>
        <v/>
      </c>
      <c r="F120" s="131" t="str">
        <f t="shared" si="3"/>
        <v/>
      </c>
      <c r="G120" s="131" t="str">
        <f t="shared" si="4"/>
        <v/>
      </c>
      <c r="H120" s="131" t="str">
        <f t="shared" si="5"/>
        <v/>
      </c>
      <c r="I120" s="131" t="str">
        <f t="shared" si="6"/>
        <v/>
      </c>
      <c r="J120" s="132" t="str">
        <f t="shared" si="7"/>
        <v/>
      </c>
      <c r="K120" s="44"/>
      <c r="L120" s="133"/>
      <c r="M120" s="9"/>
      <c r="N120" s="9"/>
      <c r="O120" s="9"/>
      <c r="P120" s="9"/>
      <c r="Q120" s="9"/>
      <c r="R120" s="9"/>
      <c r="S120" s="9"/>
      <c r="T120" s="9"/>
      <c r="U120" s="9"/>
      <c r="V120" s="9"/>
      <c r="W120" s="9"/>
      <c r="X120" s="9"/>
      <c r="Y120" s="9"/>
      <c r="Z120" s="9"/>
      <c r="AA120" s="9"/>
      <c r="AB120" s="9"/>
      <c r="AC120" s="9"/>
      <c r="AD120" s="9"/>
      <c r="AE120" s="9"/>
      <c r="AF120" s="9"/>
      <c r="AG120" s="9"/>
      <c r="AH120" s="9"/>
      <c r="AI120" s="9"/>
      <c r="AJ120" s="9"/>
    </row>
    <row r="121" spans="1:36" ht="15" customHeight="1">
      <c r="A121" s="62">
        <f>'Students Details'!A121</f>
        <v>115</v>
      </c>
      <c r="B121" s="128" t="str">
        <f>IF('Students Details'!B121="","",'Students Details'!B121)</f>
        <v/>
      </c>
      <c r="C121" s="129" t="str">
        <f>IF('Students Details'!C121="","",'Students Details'!C121)</f>
        <v/>
      </c>
      <c r="D121" s="130" t="str">
        <f t="shared" si="1"/>
        <v/>
      </c>
      <c r="E121" s="131" t="str">
        <f t="shared" si="2"/>
        <v/>
      </c>
      <c r="F121" s="131" t="str">
        <f t="shared" si="3"/>
        <v/>
      </c>
      <c r="G121" s="131" t="str">
        <f t="shared" si="4"/>
        <v/>
      </c>
      <c r="H121" s="131" t="str">
        <f t="shared" si="5"/>
        <v/>
      </c>
      <c r="I121" s="131" t="str">
        <f t="shared" si="6"/>
        <v/>
      </c>
      <c r="J121" s="132" t="str">
        <f t="shared" si="7"/>
        <v/>
      </c>
      <c r="K121" s="44"/>
      <c r="L121" s="133"/>
      <c r="M121" s="9"/>
      <c r="N121" s="9"/>
      <c r="O121" s="9"/>
      <c r="P121" s="9"/>
      <c r="Q121" s="9"/>
      <c r="R121" s="9"/>
      <c r="S121" s="9"/>
      <c r="T121" s="9"/>
      <c r="U121" s="9"/>
      <c r="V121" s="9"/>
      <c r="W121" s="9"/>
      <c r="X121" s="9"/>
      <c r="Y121" s="9"/>
      <c r="Z121" s="9"/>
      <c r="AA121" s="9"/>
      <c r="AB121" s="9"/>
      <c r="AC121" s="9"/>
      <c r="AD121" s="9"/>
      <c r="AE121" s="9"/>
      <c r="AF121" s="9"/>
      <c r="AG121" s="9"/>
      <c r="AH121" s="9"/>
      <c r="AI121" s="9"/>
      <c r="AJ121" s="9"/>
    </row>
    <row r="122" spans="1:36" ht="15" customHeight="1">
      <c r="A122" s="62">
        <f>'Students Details'!A122</f>
        <v>116</v>
      </c>
      <c r="B122" s="128" t="str">
        <f>IF('Students Details'!B122="","",'Students Details'!B122)</f>
        <v/>
      </c>
      <c r="C122" s="129" t="str">
        <f>IF('Students Details'!C122="","",'Students Details'!C122)</f>
        <v/>
      </c>
      <c r="D122" s="130" t="str">
        <f t="shared" si="1"/>
        <v/>
      </c>
      <c r="E122" s="131" t="str">
        <f t="shared" si="2"/>
        <v/>
      </c>
      <c r="F122" s="131" t="str">
        <f t="shared" si="3"/>
        <v/>
      </c>
      <c r="G122" s="131" t="str">
        <f t="shared" si="4"/>
        <v/>
      </c>
      <c r="H122" s="131" t="str">
        <f t="shared" si="5"/>
        <v/>
      </c>
      <c r="I122" s="131" t="str">
        <f t="shared" si="6"/>
        <v/>
      </c>
      <c r="J122" s="132" t="str">
        <f t="shared" si="7"/>
        <v/>
      </c>
      <c r="K122" s="44"/>
      <c r="L122" s="133"/>
      <c r="M122" s="9"/>
      <c r="N122" s="9"/>
      <c r="O122" s="9"/>
      <c r="P122" s="9"/>
      <c r="Q122" s="9"/>
      <c r="R122" s="9"/>
      <c r="S122" s="9"/>
      <c r="T122" s="9"/>
      <c r="U122" s="9"/>
      <c r="V122" s="9"/>
      <c r="W122" s="9"/>
      <c r="X122" s="9"/>
      <c r="Y122" s="9"/>
      <c r="Z122" s="9"/>
      <c r="AA122" s="9"/>
      <c r="AB122" s="9"/>
      <c r="AC122" s="9"/>
      <c r="AD122" s="9"/>
      <c r="AE122" s="9"/>
      <c r="AF122" s="9"/>
      <c r="AG122" s="9"/>
      <c r="AH122" s="9"/>
      <c r="AI122" s="9"/>
      <c r="AJ122" s="9"/>
    </row>
    <row r="123" spans="1:36" ht="15" customHeight="1">
      <c r="A123" s="62">
        <f>'Students Details'!A123</f>
        <v>117</v>
      </c>
      <c r="B123" s="128" t="str">
        <f>IF('Students Details'!B123="","",'Students Details'!B123)</f>
        <v/>
      </c>
      <c r="C123" s="129" t="str">
        <f>IF('Students Details'!C123="","",'Students Details'!C123)</f>
        <v/>
      </c>
      <c r="D123" s="130" t="str">
        <f t="shared" si="1"/>
        <v/>
      </c>
      <c r="E123" s="131" t="str">
        <f t="shared" si="2"/>
        <v/>
      </c>
      <c r="F123" s="131" t="str">
        <f t="shared" si="3"/>
        <v/>
      </c>
      <c r="G123" s="131" t="str">
        <f t="shared" si="4"/>
        <v/>
      </c>
      <c r="H123" s="131" t="str">
        <f t="shared" si="5"/>
        <v/>
      </c>
      <c r="I123" s="131" t="str">
        <f t="shared" si="6"/>
        <v/>
      </c>
      <c r="J123" s="132" t="str">
        <f t="shared" si="7"/>
        <v/>
      </c>
      <c r="K123" s="44"/>
      <c r="L123" s="133"/>
      <c r="M123" s="9"/>
      <c r="N123" s="9"/>
      <c r="O123" s="9"/>
      <c r="P123" s="9"/>
      <c r="Q123" s="9"/>
      <c r="R123" s="9"/>
      <c r="S123" s="9"/>
      <c r="T123" s="9"/>
      <c r="U123" s="9"/>
      <c r="V123" s="9"/>
      <c r="W123" s="9"/>
      <c r="X123" s="9"/>
      <c r="Y123" s="9"/>
      <c r="Z123" s="9"/>
      <c r="AA123" s="9"/>
      <c r="AB123" s="9"/>
      <c r="AC123" s="9"/>
      <c r="AD123" s="9"/>
      <c r="AE123" s="9"/>
      <c r="AF123" s="9"/>
      <c r="AG123" s="9"/>
      <c r="AH123" s="9"/>
      <c r="AI123" s="9"/>
      <c r="AJ123" s="9"/>
    </row>
    <row r="124" spans="1:36" ht="15" customHeight="1">
      <c r="A124" s="62">
        <f>'Students Details'!A124</f>
        <v>118</v>
      </c>
      <c r="B124" s="128" t="str">
        <f>IF('Students Details'!B124="","",'Students Details'!B124)</f>
        <v/>
      </c>
      <c r="C124" s="129" t="str">
        <f>IF('Students Details'!C124="","",'Students Details'!C124)</f>
        <v/>
      </c>
      <c r="D124" s="130" t="str">
        <f t="shared" si="1"/>
        <v/>
      </c>
      <c r="E124" s="131" t="str">
        <f t="shared" si="2"/>
        <v/>
      </c>
      <c r="F124" s="131" t="str">
        <f t="shared" si="3"/>
        <v/>
      </c>
      <c r="G124" s="131" t="str">
        <f t="shared" si="4"/>
        <v/>
      </c>
      <c r="H124" s="131" t="str">
        <f t="shared" si="5"/>
        <v/>
      </c>
      <c r="I124" s="131" t="str">
        <f t="shared" si="6"/>
        <v/>
      </c>
      <c r="J124" s="132" t="str">
        <f t="shared" si="7"/>
        <v/>
      </c>
      <c r="K124" s="44"/>
      <c r="L124" s="133"/>
      <c r="M124" s="9"/>
      <c r="N124" s="9"/>
      <c r="O124" s="9"/>
      <c r="P124" s="9"/>
      <c r="Q124" s="9"/>
      <c r="R124" s="9"/>
      <c r="S124" s="9"/>
      <c r="T124" s="9"/>
      <c r="U124" s="9"/>
      <c r="V124" s="9"/>
      <c r="W124" s="9"/>
      <c r="X124" s="9"/>
      <c r="Y124" s="9"/>
      <c r="Z124" s="9"/>
      <c r="AA124" s="9"/>
      <c r="AB124" s="9"/>
      <c r="AC124" s="9"/>
      <c r="AD124" s="9"/>
      <c r="AE124" s="9"/>
      <c r="AF124" s="9"/>
      <c r="AG124" s="9"/>
      <c r="AH124" s="9"/>
      <c r="AI124" s="9"/>
      <c r="AJ124" s="9"/>
    </row>
    <row r="125" spans="1:36" ht="15" customHeight="1">
      <c r="A125" s="62">
        <f>'Students Details'!A125</f>
        <v>119</v>
      </c>
      <c r="B125" s="128" t="str">
        <f>IF('Students Details'!B125="","",'Students Details'!B125)</f>
        <v/>
      </c>
      <c r="C125" s="129" t="str">
        <f>IF('Students Details'!C125="","",'Students Details'!C125)</f>
        <v/>
      </c>
      <c r="D125" s="130" t="str">
        <f t="shared" si="1"/>
        <v/>
      </c>
      <c r="E125" s="131" t="str">
        <f t="shared" si="2"/>
        <v/>
      </c>
      <c r="F125" s="131" t="str">
        <f t="shared" si="3"/>
        <v/>
      </c>
      <c r="G125" s="131" t="str">
        <f t="shared" si="4"/>
        <v/>
      </c>
      <c r="H125" s="131" t="str">
        <f t="shared" si="5"/>
        <v/>
      </c>
      <c r="I125" s="131" t="str">
        <f t="shared" si="6"/>
        <v/>
      </c>
      <c r="J125" s="132" t="str">
        <f t="shared" si="7"/>
        <v/>
      </c>
      <c r="K125" s="44"/>
      <c r="L125" s="133"/>
      <c r="M125" s="9"/>
      <c r="N125" s="9"/>
      <c r="O125" s="9"/>
      <c r="P125" s="9"/>
      <c r="Q125" s="9"/>
      <c r="R125" s="9"/>
      <c r="S125" s="9"/>
      <c r="T125" s="9"/>
      <c r="U125" s="9"/>
      <c r="V125" s="9"/>
      <c r="W125" s="9"/>
      <c r="X125" s="9"/>
      <c r="Y125" s="9"/>
      <c r="Z125" s="9"/>
      <c r="AA125" s="9"/>
      <c r="AB125" s="9"/>
      <c r="AC125" s="9"/>
      <c r="AD125" s="9"/>
      <c r="AE125" s="9"/>
      <c r="AF125" s="9"/>
      <c r="AG125" s="9"/>
      <c r="AH125" s="9"/>
      <c r="AI125" s="9"/>
      <c r="AJ125" s="9"/>
    </row>
    <row r="126" spans="1:36" ht="15" customHeight="1">
      <c r="A126" s="62">
        <f>'Students Details'!A126</f>
        <v>120</v>
      </c>
      <c r="B126" s="128" t="str">
        <f>IF('Students Details'!B126="","",'Students Details'!B126)</f>
        <v/>
      </c>
      <c r="C126" s="129" t="str">
        <f>IF('Students Details'!C126="","",'Students Details'!C126)</f>
        <v/>
      </c>
      <c r="D126" s="130" t="str">
        <f t="shared" si="1"/>
        <v/>
      </c>
      <c r="E126" s="131" t="str">
        <f t="shared" si="2"/>
        <v/>
      </c>
      <c r="F126" s="131" t="str">
        <f t="shared" si="3"/>
        <v/>
      </c>
      <c r="G126" s="131" t="str">
        <f t="shared" si="4"/>
        <v/>
      </c>
      <c r="H126" s="131" t="str">
        <f t="shared" si="5"/>
        <v/>
      </c>
      <c r="I126" s="131" t="str">
        <f t="shared" si="6"/>
        <v/>
      </c>
      <c r="J126" s="132" t="str">
        <f t="shared" si="7"/>
        <v/>
      </c>
      <c r="K126" s="44"/>
      <c r="L126" s="133"/>
      <c r="M126" s="9"/>
      <c r="N126" s="9"/>
      <c r="O126" s="9"/>
      <c r="P126" s="9"/>
      <c r="Q126" s="9"/>
      <c r="R126" s="9"/>
      <c r="S126" s="9"/>
      <c r="T126" s="9"/>
      <c r="U126" s="9"/>
      <c r="V126" s="9"/>
      <c r="W126" s="9"/>
      <c r="X126" s="9"/>
      <c r="Y126" s="9"/>
      <c r="Z126" s="9"/>
      <c r="AA126" s="9"/>
      <c r="AB126" s="9"/>
      <c r="AC126" s="9"/>
      <c r="AD126" s="9"/>
      <c r="AE126" s="9"/>
      <c r="AF126" s="9"/>
      <c r="AG126" s="9"/>
      <c r="AH126" s="9"/>
      <c r="AI126" s="9"/>
      <c r="AJ126" s="9"/>
    </row>
    <row r="127" spans="1:36" ht="15" customHeight="1">
      <c r="A127" s="62">
        <f>'Students Details'!A127</f>
        <v>121</v>
      </c>
      <c r="B127" s="128" t="str">
        <f>IF('Students Details'!B127="","",'Students Details'!B127)</f>
        <v/>
      </c>
      <c r="C127" s="129" t="str">
        <f>IF('Students Details'!C127="","",'Students Details'!C127)</f>
        <v/>
      </c>
      <c r="D127" s="130" t="str">
        <f t="shared" si="1"/>
        <v/>
      </c>
      <c r="E127" s="131" t="str">
        <f t="shared" si="2"/>
        <v/>
      </c>
      <c r="F127" s="131" t="str">
        <f t="shared" si="3"/>
        <v/>
      </c>
      <c r="G127" s="131" t="str">
        <f t="shared" si="4"/>
        <v/>
      </c>
      <c r="H127" s="131" t="str">
        <f t="shared" si="5"/>
        <v/>
      </c>
      <c r="I127" s="131" t="str">
        <f t="shared" si="6"/>
        <v/>
      </c>
      <c r="J127" s="132" t="str">
        <f t="shared" si="7"/>
        <v/>
      </c>
      <c r="K127" s="44"/>
      <c r="L127" s="133"/>
      <c r="M127" s="9"/>
      <c r="N127" s="9"/>
      <c r="O127" s="9"/>
      <c r="P127" s="9"/>
      <c r="Q127" s="9"/>
      <c r="R127" s="9"/>
      <c r="S127" s="9"/>
      <c r="T127" s="9"/>
      <c r="U127" s="9"/>
      <c r="V127" s="9"/>
      <c r="W127" s="9"/>
      <c r="X127" s="9"/>
      <c r="Y127" s="9"/>
      <c r="Z127" s="9"/>
      <c r="AA127" s="9"/>
      <c r="AB127" s="9"/>
      <c r="AC127" s="9"/>
      <c r="AD127" s="9"/>
      <c r="AE127" s="9"/>
      <c r="AF127" s="9"/>
      <c r="AG127" s="9"/>
      <c r="AH127" s="9"/>
      <c r="AI127" s="9"/>
      <c r="AJ127" s="9"/>
    </row>
    <row r="128" spans="1:36" ht="15" customHeight="1">
      <c r="A128" s="62">
        <f>'Students Details'!A128</f>
        <v>122</v>
      </c>
      <c r="B128" s="128" t="str">
        <f>IF('Students Details'!B128="","",'Students Details'!B128)</f>
        <v/>
      </c>
      <c r="C128" s="129" t="str">
        <f>IF('Students Details'!C128="","",'Students Details'!C128)</f>
        <v/>
      </c>
      <c r="D128" s="130" t="str">
        <f t="shared" si="1"/>
        <v/>
      </c>
      <c r="E128" s="131" t="str">
        <f t="shared" si="2"/>
        <v/>
      </c>
      <c r="F128" s="131" t="str">
        <f t="shared" si="3"/>
        <v/>
      </c>
      <c r="G128" s="131" t="str">
        <f t="shared" si="4"/>
        <v/>
      </c>
      <c r="H128" s="131" t="str">
        <f t="shared" si="5"/>
        <v/>
      </c>
      <c r="I128" s="131" t="str">
        <f t="shared" si="6"/>
        <v/>
      </c>
      <c r="J128" s="132" t="str">
        <f t="shared" si="7"/>
        <v/>
      </c>
      <c r="K128" s="44"/>
      <c r="L128" s="133"/>
      <c r="M128" s="9"/>
      <c r="N128" s="9"/>
      <c r="O128" s="9"/>
      <c r="P128" s="9"/>
      <c r="Q128" s="9"/>
      <c r="R128" s="9"/>
      <c r="S128" s="9"/>
      <c r="T128" s="9"/>
      <c r="U128" s="9"/>
      <c r="V128" s="9"/>
      <c r="W128" s="9"/>
      <c r="X128" s="9"/>
      <c r="Y128" s="9"/>
      <c r="Z128" s="9"/>
      <c r="AA128" s="9"/>
      <c r="AB128" s="9"/>
      <c r="AC128" s="9"/>
      <c r="AD128" s="9"/>
      <c r="AE128" s="9"/>
      <c r="AF128" s="9"/>
      <c r="AG128" s="9"/>
      <c r="AH128" s="9"/>
      <c r="AI128" s="9"/>
      <c r="AJ128" s="9"/>
    </row>
    <row r="129" spans="1:36" ht="15" customHeight="1">
      <c r="A129" s="62">
        <f>'Students Details'!A129</f>
        <v>123</v>
      </c>
      <c r="B129" s="128" t="str">
        <f>IF('Students Details'!B129="","",'Students Details'!B129)</f>
        <v/>
      </c>
      <c r="C129" s="129" t="str">
        <f>IF('Students Details'!C129="","",'Students Details'!C129)</f>
        <v/>
      </c>
      <c r="D129" s="130" t="str">
        <f t="shared" si="1"/>
        <v/>
      </c>
      <c r="E129" s="131" t="str">
        <f t="shared" si="2"/>
        <v/>
      </c>
      <c r="F129" s="131" t="str">
        <f t="shared" si="3"/>
        <v/>
      </c>
      <c r="G129" s="131" t="str">
        <f t="shared" si="4"/>
        <v/>
      </c>
      <c r="H129" s="131" t="str">
        <f t="shared" si="5"/>
        <v/>
      </c>
      <c r="I129" s="131" t="str">
        <f t="shared" si="6"/>
        <v/>
      </c>
      <c r="J129" s="132" t="str">
        <f t="shared" si="7"/>
        <v/>
      </c>
      <c r="K129" s="44"/>
      <c r="L129" s="133"/>
      <c r="M129" s="9"/>
      <c r="N129" s="9"/>
      <c r="O129" s="9"/>
      <c r="P129" s="9"/>
      <c r="Q129" s="9"/>
      <c r="R129" s="9"/>
      <c r="S129" s="9"/>
      <c r="T129" s="9"/>
      <c r="U129" s="9"/>
      <c r="V129" s="9"/>
      <c r="W129" s="9"/>
      <c r="X129" s="9"/>
      <c r="Y129" s="9"/>
      <c r="Z129" s="9"/>
      <c r="AA129" s="9"/>
      <c r="AB129" s="9"/>
      <c r="AC129" s="9"/>
      <c r="AD129" s="9"/>
      <c r="AE129" s="9"/>
      <c r="AF129" s="9"/>
      <c r="AG129" s="9"/>
      <c r="AH129" s="9"/>
      <c r="AI129" s="9"/>
      <c r="AJ129" s="9"/>
    </row>
    <row r="130" spans="1:36" ht="15" customHeight="1">
      <c r="A130" s="62">
        <f>'Students Details'!A130</f>
        <v>124</v>
      </c>
      <c r="B130" s="128" t="str">
        <f>IF('Students Details'!B130="","",'Students Details'!B130)</f>
        <v/>
      </c>
      <c r="C130" s="129" t="str">
        <f>IF('Students Details'!C130="","",'Students Details'!C130)</f>
        <v/>
      </c>
      <c r="D130" s="130" t="str">
        <f t="shared" si="1"/>
        <v/>
      </c>
      <c r="E130" s="131" t="str">
        <f t="shared" si="2"/>
        <v/>
      </c>
      <c r="F130" s="131" t="str">
        <f t="shared" si="3"/>
        <v/>
      </c>
      <c r="G130" s="131" t="str">
        <f t="shared" si="4"/>
        <v/>
      </c>
      <c r="H130" s="131" t="str">
        <f t="shared" si="5"/>
        <v/>
      </c>
      <c r="I130" s="131" t="str">
        <f t="shared" si="6"/>
        <v/>
      </c>
      <c r="J130" s="132" t="str">
        <f t="shared" si="7"/>
        <v/>
      </c>
      <c r="K130" s="44"/>
      <c r="L130" s="133"/>
      <c r="M130" s="9"/>
      <c r="N130" s="9"/>
      <c r="O130" s="9"/>
      <c r="P130" s="9"/>
      <c r="Q130" s="9"/>
      <c r="R130" s="9"/>
      <c r="S130" s="9"/>
      <c r="T130" s="9"/>
      <c r="U130" s="9"/>
      <c r="V130" s="9"/>
      <c r="W130" s="9"/>
      <c r="X130" s="9"/>
      <c r="Y130" s="9"/>
      <c r="Z130" s="9"/>
      <c r="AA130" s="9"/>
      <c r="AB130" s="9"/>
      <c r="AC130" s="9"/>
      <c r="AD130" s="9"/>
      <c r="AE130" s="9"/>
      <c r="AF130" s="9"/>
      <c r="AG130" s="9"/>
      <c r="AH130" s="9"/>
      <c r="AI130" s="9"/>
      <c r="AJ130" s="9"/>
    </row>
    <row r="131" spans="1:36" ht="15" customHeight="1">
      <c r="A131" s="62">
        <f>'Students Details'!A131</f>
        <v>125</v>
      </c>
      <c r="B131" s="128" t="str">
        <f>IF('Students Details'!B131="","",'Students Details'!B131)</f>
        <v/>
      </c>
      <c r="C131" s="129" t="str">
        <f>IF('Students Details'!C131="","",'Students Details'!C131)</f>
        <v/>
      </c>
      <c r="D131" s="130" t="str">
        <f t="shared" si="1"/>
        <v/>
      </c>
      <c r="E131" s="131" t="str">
        <f t="shared" si="2"/>
        <v/>
      </c>
      <c r="F131" s="131" t="str">
        <f t="shared" si="3"/>
        <v/>
      </c>
      <c r="G131" s="131" t="str">
        <f t="shared" si="4"/>
        <v/>
      </c>
      <c r="H131" s="131" t="str">
        <f t="shared" si="5"/>
        <v/>
      </c>
      <c r="I131" s="131" t="str">
        <f t="shared" si="6"/>
        <v/>
      </c>
      <c r="J131" s="132" t="str">
        <f t="shared" si="7"/>
        <v/>
      </c>
      <c r="K131" s="44"/>
      <c r="L131" s="133"/>
      <c r="M131" s="9"/>
      <c r="N131" s="9"/>
      <c r="O131" s="9"/>
      <c r="P131" s="9"/>
      <c r="Q131" s="9"/>
      <c r="R131" s="9"/>
      <c r="S131" s="9"/>
      <c r="T131" s="9"/>
      <c r="U131" s="9"/>
      <c r="V131" s="9"/>
      <c r="W131" s="9"/>
      <c r="X131" s="9"/>
      <c r="Y131" s="9"/>
      <c r="Z131" s="9"/>
      <c r="AA131" s="9"/>
      <c r="AB131" s="9"/>
      <c r="AC131" s="9"/>
      <c r="AD131" s="9"/>
      <c r="AE131" s="9"/>
      <c r="AF131" s="9"/>
      <c r="AG131" s="9"/>
      <c r="AH131" s="9"/>
      <c r="AI131" s="9"/>
      <c r="AJ131" s="9"/>
    </row>
    <row r="132" spans="1:36" ht="15" customHeight="1">
      <c r="A132" s="62">
        <f>'Students Details'!A132</f>
        <v>126</v>
      </c>
      <c r="B132" s="128" t="str">
        <f>IF('Students Details'!B132="","",'Students Details'!B132)</f>
        <v/>
      </c>
      <c r="C132" s="129" t="str">
        <f>IF('Students Details'!C132="","",'Students Details'!C132)</f>
        <v/>
      </c>
      <c r="D132" s="130" t="str">
        <f t="shared" si="1"/>
        <v/>
      </c>
      <c r="E132" s="131" t="str">
        <f t="shared" si="2"/>
        <v/>
      </c>
      <c r="F132" s="131" t="str">
        <f t="shared" si="3"/>
        <v/>
      </c>
      <c r="G132" s="131" t="str">
        <f t="shared" si="4"/>
        <v/>
      </c>
      <c r="H132" s="131" t="str">
        <f t="shared" si="5"/>
        <v/>
      </c>
      <c r="I132" s="131" t="str">
        <f t="shared" si="6"/>
        <v/>
      </c>
      <c r="J132" s="132" t="str">
        <f t="shared" si="7"/>
        <v/>
      </c>
      <c r="K132" s="44"/>
      <c r="L132" s="133"/>
      <c r="M132" s="9"/>
      <c r="N132" s="9"/>
      <c r="O132" s="9"/>
      <c r="P132" s="9"/>
      <c r="Q132" s="9"/>
      <c r="R132" s="9"/>
      <c r="S132" s="9"/>
      <c r="T132" s="9"/>
      <c r="U132" s="9"/>
      <c r="V132" s="9"/>
      <c r="W132" s="9"/>
      <c r="X132" s="9"/>
      <c r="Y132" s="9"/>
      <c r="Z132" s="9"/>
      <c r="AA132" s="9"/>
      <c r="AB132" s="9"/>
      <c r="AC132" s="9"/>
      <c r="AD132" s="9"/>
      <c r="AE132" s="9"/>
      <c r="AF132" s="9"/>
      <c r="AG132" s="9"/>
      <c r="AH132" s="9"/>
      <c r="AI132" s="9"/>
      <c r="AJ132" s="9"/>
    </row>
    <row r="133" spans="1:36" ht="15" customHeight="1">
      <c r="A133" s="62">
        <f>'Students Details'!A133</f>
        <v>127</v>
      </c>
      <c r="B133" s="128" t="str">
        <f>IF('Students Details'!B133="","",'Students Details'!B133)</f>
        <v/>
      </c>
      <c r="C133" s="129" t="str">
        <f>IF('Students Details'!C133="","",'Students Details'!C133)</f>
        <v/>
      </c>
      <c r="D133" s="130" t="str">
        <f t="shared" si="1"/>
        <v/>
      </c>
      <c r="E133" s="131" t="str">
        <f t="shared" si="2"/>
        <v/>
      </c>
      <c r="F133" s="131" t="str">
        <f t="shared" si="3"/>
        <v/>
      </c>
      <c r="G133" s="131" t="str">
        <f t="shared" si="4"/>
        <v/>
      </c>
      <c r="H133" s="131" t="str">
        <f t="shared" si="5"/>
        <v/>
      </c>
      <c r="I133" s="131" t="str">
        <f t="shared" si="6"/>
        <v/>
      </c>
      <c r="J133" s="132" t="str">
        <f t="shared" si="7"/>
        <v/>
      </c>
      <c r="K133" s="44"/>
      <c r="L133" s="133"/>
      <c r="M133" s="9"/>
      <c r="N133" s="9"/>
      <c r="O133" s="9"/>
      <c r="P133" s="9"/>
      <c r="Q133" s="9"/>
      <c r="R133" s="9"/>
      <c r="S133" s="9"/>
      <c r="T133" s="9"/>
      <c r="U133" s="9"/>
      <c r="V133" s="9"/>
      <c r="W133" s="9"/>
      <c r="X133" s="9"/>
      <c r="Y133" s="9"/>
      <c r="Z133" s="9"/>
      <c r="AA133" s="9"/>
      <c r="AB133" s="9"/>
      <c r="AC133" s="9"/>
      <c r="AD133" s="9"/>
      <c r="AE133" s="9"/>
      <c r="AF133" s="9"/>
      <c r="AG133" s="9"/>
      <c r="AH133" s="9"/>
      <c r="AI133" s="9"/>
      <c r="AJ133" s="9"/>
    </row>
    <row r="134" spans="1:36" ht="15" customHeight="1">
      <c r="A134" s="62">
        <f>'Students Details'!A134</f>
        <v>128</v>
      </c>
      <c r="B134" s="128" t="str">
        <f>IF('Students Details'!B134="","",'Students Details'!B134)</f>
        <v/>
      </c>
      <c r="C134" s="129" t="str">
        <f>IF('Students Details'!C134="","",'Students Details'!C134)</f>
        <v/>
      </c>
      <c r="D134" s="130" t="str">
        <f t="shared" si="1"/>
        <v/>
      </c>
      <c r="E134" s="131" t="str">
        <f t="shared" si="2"/>
        <v/>
      </c>
      <c r="F134" s="131" t="str">
        <f t="shared" si="3"/>
        <v/>
      </c>
      <c r="G134" s="131" t="str">
        <f t="shared" si="4"/>
        <v/>
      </c>
      <c r="H134" s="131" t="str">
        <f t="shared" si="5"/>
        <v/>
      </c>
      <c r="I134" s="131" t="str">
        <f t="shared" si="6"/>
        <v/>
      </c>
      <c r="J134" s="132" t="str">
        <f t="shared" si="7"/>
        <v/>
      </c>
      <c r="K134" s="44"/>
      <c r="L134" s="133"/>
      <c r="M134" s="9"/>
      <c r="N134" s="9"/>
      <c r="O134" s="9"/>
      <c r="P134" s="9"/>
      <c r="Q134" s="9"/>
      <c r="R134" s="9"/>
      <c r="S134" s="9"/>
      <c r="T134" s="9"/>
      <c r="U134" s="9"/>
      <c r="V134" s="9"/>
      <c r="W134" s="9"/>
      <c r="X134" s="9"/>
      <c r="Y134" s="9"/>
      <c r="Z134" s="9"/>
      <c r="AA134" s="9"/>
      <c r="AB134" s="9"/>
      <c r="AC134" s="9"/>
      <c r="AD134" s="9"/>
      <c r="AE134" s="9"/>
      <c r="AF134" s="9"/>
      <c r="AG134" s="9"/>
      <c r="AH134" s="9"/>
      <c r="AI134" s="9"/>
      <c r="AJ134" s="9"/>
    </row>
    <row r="135" spans="1:36" ht="15" customHeight="1">
      <c r="A135" s="62">
        <f>'Students Details'!A135</f>
        <v>129</v>
      </c>
      <c r="B135" s="128" t="str">
        <f>IF('Students Details'!B135="","",'Students Details'!B135)</f>
        <v/>
      </c>
      <c r="C135" s="129" t="str">
        <f>IF('Students Details'!C135="","",'Students Details'!C135)</f>
        <v/>
      </c>
      <c r="D135" s="130" t="str">
        <f t="shared" si="1"/>
        <v/>
      </c>
      <c r="E135" s="131" t="str">
        <f t="shared" si="2"/>
        <v/>
      </c>
      <c r="F135" s="131" t="str">
        <f t="shared" si="3"/>
        <v/>
      </c>
      <c r="G135" s="131" t="str">
        <f t="shared" si="4"/>
        <v/>
      </c>
      <c r="H135" s="131" t="str">
        <f t="shared" si="5"/>
        <v/>
      </c>
      <c r="I135" s="131" t="str">
        <f t="shared" si="6"/>
        <v/>
      </c>
      <c r="J135" s="132" t="str">
        <f t="shared" si="7"/>
        <v/>
      </c>
      <c r="K135" s="44"/>
      <c r="L135" s="133"/>
      <c r="M135" s="9"/>
      <c r="N135" s="9"/>
      <c r="O135" s="9"/>
      <c r="P135" s="9"/>
      <c r="Q135" s="9"/>
      <c r="R135" s="9"/>
      <c r="S135" s="9"/>
      <c r="T135" s="9"/>
      <c r="U135" s="9"/>
      <c r="V135" s="9"/>
      <c r="W135" s="9"/>
      <c r="X135" s="9"/>
      <c r="Y135" s="9"/>
      <c r="Z135" s="9"/>
      <c r="AA135" s="9"/>
      <c r="AB135" s="9"/>
      <c r="AC135" s="9"/>
      <c r="AD135" s="9"/>
      <c r="AE135" s="9"/>
      <c r="AF135" s="9"/>
      <c r="AG135" s="9"/>
      <c r="AH135" s="9"/>
      <c r="AI135" s="9"/>
      <c r="AJ135" s="9"/>
    </row>
    <row r="136" spans="1:36" ht="15" customHeight="1">
      <c r="A136" s="62">
        <f>'Students Details'!A136</f>
        <v>130</v>
      </c>
      <c r="B136" s="128" t="str">
        <f>IF('Students Details'!B136="","",'Students Details'!B136)</f>
        <v/>
      </c>
      <c r="C136" s="129" t="str">
        <f>IF('Students Details'!C136="","",'Students Details'!C136)</f>
        <v/>
      </c>
      <c r="D136" s="130" t="str">
        <f t="shared" si="1"/>
        <v/>
      </c>
      <c r="E136" s="131" t="str">
        <f t="shared" si="2"/>
        <v/>
      </c>
      <c r="F136" s="131" t="str">
        <f t="shared" si="3"/>
        <v/>
      </c>
      <c r="G136" s="131" t="str">
        <f t="shared" si="4"/>
        <v/>
      </c>
      <c r="H136" s="131" t="str">
        <f t="shared" si="5"/>
        <v/>
      </c>
      <c r="I136" s="131" t="str">
        <f t="shared" si="6"/>
        <v/>
      </c>
      <c r="J136" s="132" t="str">
        <f t="shared" si="7"/>
        <v/>
      </c>
      <c r="K136" s="44"/>
      <c r="L136" s="133"/>
      <c r="M136" s="9"/>
      <c r="N136" s="9"/>
      <c r="O136" s="9"/>
      <c r="P136" s="9"/>
      <c r="Q136" s="9"/>
      <c r="R136" s="9"/>
      <c r="S136" s="9"/>
      <c r="T136" s="9"/>
      <c r="U136" s="9"/>
      <c r="V136" s="9"/>
      <c r="W136" s="9"/>
      <c r="X136" s="9"/>
      <c r="Y136" s="9"/>
      <c r="Z136" s="9"/>
      <c r="AA136" s="9"/>
      <c r="AB136" s="9"/>
      <c r="AC136" s="9"/>
      <c r="AD136" s="9"/>
      <c r="AE136" s="9"/>
      <c r="AF136" s="9"/>
      <c r="AG136" s="9"/>
      <c r="AH136" s="9"/>
      <c r="AI136" s="9"/>
      <c r="AJ136" s="9"/>
    </row>
    <row r="137" spans="1:36" ht="15" customHeight="1">
      <c r="A137" s="62">
        <f>'Students Details'!A137</f>
        <v>131</v>
      </c>
      <c r="B137" s="128" t="str">
        <f>IF('Students Details'!B137="","",'Students Details'!B137)</f>
        <v/>
      </c>
      <c r="C137" s="129" t="str">
        <f>IF('Students Details'!C137="","",'Students Details'!C137)</f>
        <v/>
      </c>
      <c r="D137" s="130" t="str">
        <f t="shared" si="1"/>
        <v/>
      </c>
      <c r="E137" s="131" t="str">
        <f t="shared" si="2"/>
        <v/>
      </c>
      <c r="F137" s="131" t="str">
        <f t="shared" si="3"/>
        <v/>
      </c>
      <c r="G137" s="131" t="str">
        <f t="shared" si="4"/>
        <v/>
      </c>
      <c r="H137" s="131" t="str">
        <f t="shared" si="5"/>
        <v/>
      </c>
      <c r="I137" s="131" t="str">
        <f t="shared" si="6"/>
        <v/>
      </c>
      <c r="J137" s="132" t="str">
        <f t="shared" si="7"/>
        <v/>
      </c>
      <c r="K137" s="44"/>
      <c r="L137" s="133"/>
      <c r="M137" s="9"/>
      <c r="N137" s="9"/>
      <c r="O137" s="9"/>
      <c r="P137" s="9"/>
      <c r="Q137" s="9"/>
      <c r="R137" s="9"/>
      <c r="S137" s="9"/>
      <c r="T137" s="9"/>
      <c r="U137" s="9"/>
      <c r="V137" s="9"/>
      <c r="W137" s="9"/>
      <c r="X137" s="9"/>
      <c r="Y137" s="9"/>
      <c r="Z137" s="9"/>
      <c r="AA137" s="9"/>
      <c r="AB137" s="9"/>
      <c r="AC137" s="9"/>
      <c r="AD137" s="9"/>
      <c r="AE137" s="9"/>
      <c r="AF137" s="9"/>
      <c r="AG137" s="9"/>
      <c r="AH137" s="9"/>
      <c r="AI137" s="9"/>
      <c r="AJ137" s="9"/>
    </row>
    <row r="138" spans="1:36" ht="15" customHeight="1">
      <c r="A138" s="62">
        <f>'Students Details'!A138</f>
        <v>132</v>
      </c>
      <c r="B138" s="128" t="str">
        <f>IF('Students Details'!B138="","",'Students Details'!B138)</f>
        <v/>
      </c>
      <c r="C138" s="129" t="str">
        <f>IF('Students Details'!C138="","",'Students Details'!C138)</f>
        <v/>
      </c>
      <c r="D138" s="130" t="str">
        <f t="shared" si="1"/>
        <v/>
      </c>
      <c r="E138" s="131" t="str">
        <f t="shared" si="2"/>
        <v/>
      </c>
      <c r="F138" s="131" t="str">
        <f t="shared" si="3"/>
        <v/>
      </c>
      <c r="G138" s="131" t="str">
        <f t="shared" si="4"/>
        <v/>
      </c>
      <c r="H138" s="131" t="str">
        <f t="shared" si="5"/>
        <v/>
      </c>
      <c r="I138" s="131" t="str">
        <f t="shared" si="6"/>
        <v/>
      </c>
      <c r="J138" s="132" t="str">
        <f t="shared" si="7"/>
        <v/>
      </c>
      <c r="K138" s="44"/>
      <c r="L138" s="133"/>
      <c r="M138" s="9"/>
      <c r="N138" s="9"/>
      <c r="O138" s="9"/>
      <c r="P138" s="9"/>
      <c r="Q138" s="9"/>
      <c r="R138" s="9"/>
      <c r="S138" s="9"/>
      <c r="T138" s="9"/>
      <c r="U138" s="9"/>
      <c r="V138" s="9"/>
      <c r="W138" s="9"/>
      <c r="X138" s="9"/>
      <c r="Y138" s="9"/>
      <c r="Z138" s="9"/>
      <c r="AA138" s="9"/>
      <c r="AB138" s="9"/>
      <c r="AC138" s="9"/>
      <c r="AD138" s="9"/>
      <c r="AE138" s="9"/>
      <c r="AF138" s="9"/>
      <c r="AG138" s="9"/>
      <c r="AH138" s="9"/>
      <c r="AI138" s="9"/>
      <c r="AJ138" s="9"/>
    </row>
    <row r="139" spans="1:36" ht="15" customHeight="1">
      <c r="A139" s="62">
        <f>'Students Details'!A139</f>
        <v>133</v>
      </c>
      <c r="B139" s="128" t="str">
        <f>IF('Students Details'!B139="","",'Students Details'!B139)</f>
        <v/>
      </c>
      <c r="C139" s="129" t="str">
        <f>IF('Students Details'!C139="","",'Students Details'!C139)</f>
        <v/>
      </c>
      <c r="D139" s="130" t="str">
        <f t="shared" si="1"/>
        <v/>
      </c>
      <c r="E139" s="131" t="str">
        <f t="shared" si="2"/>
        <v/>
      </c>
      <c r="F139" s="131" t="str">
        <f t="shared" si="3"/>
        <v/>
      </c>
      <c r="G139" s="131" t="str">
        <f t="shared" si="4"/>
        <v/>
      </c>
      <c r="H139" s="131" t="str">
        <f t="shared" si="5"/>
        <v/>
      </c>
      <c r="I139" s="131" t="str">
        <f t="shared" si="6"/>
        <v/>
      </c>
      <c r="J139" s="132" t="str">
        <f t="shared" si="7"/>
        <v/>
      </c>
      <c r="K139" s="44"/>
      <c r="L139" s="133"/>
      <c r="M139" s="9"/>
      <c r="N139" s="9"/>
      <c r="O139" s="9"/>
      <c r="P139" s="9"/>
      <c r="Q139" s="9"/>
      <c r="R139" s="9"/>
      <c r="S139" s="9"/>
      <c r="T139" s="9"/>
      <c r="U139" s="9"/>
      <c r="V139" s="9"/>
      <c r="W139" s="9"/>
      <c r="X139" s="9"/>
      <c r="Y139" s="9"/>
      <c r="Z139" s="9"/>
      <c r="AA139" s="9"/>
      <c r="AB139" s="9"/>
      <c r="AC139" s="9"/>
      <c r="AD139" s="9"/>
      <c r="AE139" s="9"/>
      <c r="AF139" s="9"/>
      <c r="AG139" s="9"/>
      <c r="AH139" s="9"/>
      <c r="AI139" s="9"/>
      <c r="AJ139" s="9"/>
    </row>
    <row r="140" spans="1:36" ht="15" customHeight="1">
      <c r="A140" s="62">
        <f>'Students Details'!A140</f>
        <v>134</v>
      </c>
      <c r="B140" s="128" t="str">
        <f>IF('Students Details'!B140="","",'Students Details'!B140)</f>
        <v/>
      </c>
      <c r="C140" s="129" t="str">
        <f>IF('Students Details'!C140="","",'Students Details'!C140)</f>
        <v/>
      </c>
      <c r="D140" s="130" t="str">
        <f t="shared" si="1"/>
        <v/>
      </c>
      <c r="E140" s="131" t="str">
        <f t="shared" si="2"/>
        <v/>
      </c>
      <c r="F140" s="131" t="str">
        <f t="shared" si="3"/>
        <v/>
      </c>
      <c r="G140" s="131" t="str">
        <f t="shared" si="4"/>
        <v/>
      </c>
      <c r="H140" s="131" t="str">
        <f t="shared" si="5"/>
        <v/>
      </c>
      <c r="I140" s="131" t="str">
        <f t="shared" si="6"/>
        <v/>
      </c>
      <c r="J140" s="132" t="str">
        <f t="shared" si="7"/>
        <v/>
      </c>
      <c r="K140" s="44"/>
      <c r="L140" s="133"/>
      <c r="M140" s="9"/>
      <c r="N140" s="9"/>
      <c r="O140" s="9"/>
      <c r="P140" s="9"/>
      <c r="Q140" s="9"/>
      <c r="R140" s="9"/>
      <c r="S140" s="9"/>
      <c r="T140" s="9"/>
      <c r="U140" s="9"/>
      <c r="V140" s="9"/>
      <c r="W140" s="9"/>
      <c r="X140" s="9"/>
      <c r="Y140" s="9"/>
      <c r="Z140" s="9"/>
      <c r="AA140" s="9"/>
      <c r="AB140" s="9"/>
      <c r="AC140" s="9"/>
      <c r="AD140" s="9"/>
      <c r="AE140" s="9"/>
      <c r="AF140" s="9"/>
      <c r="AG140" s="9"/>
      <c r="AH140" s="9"/>
      <c r="AI140" s="9"/>
      <c r="AJ140" s="9"/>
    </row>
    <row r="141" spans="1:36" ht="15" customHeight="1">
      <c r="A141" s="62">
        <f>'Students Details'!A141</f>
        <v>135</v>
      </c>
      <c r="B141" s="128" t="str">
        <f>IF('Students Details'!B141="","",'Students Details'!B141)</f>
        <v/>
      </c>
      <c r="C141" s="129" t="str">
        <f>IF('Students Details'!C141="","",'Students Details'!C141)</f>
        <v/>
      </c>
      <c r="D141" s="130" t="str">
        <f t="shared" si="1"/>
        <v/>
      </c>
      <c r="E141" s="131" t="str">
        <f t="shared" si="2"/>
        <v/>
      </c>
      <c r="F141" s="131" t="str">
        <f t="shared" si="3"/>
        <v/>
      </c>
      <c r="G141" s="131" t="str">
        <f t="shared" si="4"/>
        <v/>
      </c>
      <c r="H141" s="131" t="str">
        <f t="shared" si="5"/>
        <v/>
      </c>
      <c r="I141" s="131" t="str">
        <f t="shared" si="6"/>
        <v/>
      </c>
      <c r="J141" s="132" t="str">
        <f t="shared" si="7"/>
        <v/>
      </c>
      <c r="K141" s="44"/>
      <c r="L141" s="133"/>
      <c r="M141" s="9"/>
      <c r="N141" s="9"/>
      <c r="O141" s="9"/>
      <c r="P141" s="9"/>
      <c r="Q141" s="9"/>
      <c r="R141" s="9"/>
      <c r="S141" s="9"/>
      <c r="T141" s="9"/>
      <c r="U141" s="9"/>
      <c r="V141" s="9"/>
      <c r="W141" s="9"/>
      <c r="X141" s="9"/>
      <c r="Y141" s="9"/>
      <c r="Z141" s="9"/>
      <c r="AA141" s="9"/>
      <c r="AB141" s="9"/>
      <c r="AC141" s="9"/>
      <c r="AD141" s="9"/>
      <c r="AE141" s="9"/>
      <c r="AF141" s="9"/>
      <c r="AG141" s="9"/>
      <c r="AH141" s="9"/>
      <c r="AI141" s="9"/>
      <c r="AJ141" s="9"/>
    </row>
    <row r="142" spans="1:36" ht="15" customHeight="1">
      <c r="A142" s="62">
        <f>'Students Details'!A142</f>
        <v>136</v>
      </c>
      <c r="B142" s="128" t="str">
        <f>IF('Students Details'!B142="","",'Students Details'!B142)</f>
        <v/>
      </c>
      <c r="C142" s="129" t="str">
        <f>IF('Students Details'!C142="","",'Students Details'!C142)</f>
        <v/>
      </c>
      <c r="D142" s="130" t="str">
        <f t="shared" si="1"/>
        <v/>
      </c>
      <c r="E142" s="131" t="str">
        <f t="shared" si="2"/>
        <v/>
      </c>
      <c r="F142" s="131" t="str">
        <f t="shared" si="3"/>
        <v/>
      </c>
      <c r="G142" s="131" t="str">
        <f t="shared" si="4"/>
        <v/>
      </c>
      <c r="H142" s="131" t="str">
        <f t="shared" si="5"/>
        <v/>
      </c>
      <c r="I142" s="131" t="str">
        <f t="shared" si="6"/>
        <v/>
      </c>
      <c r="J142" s="132" t="str">
        <f t="shared" si="7"/>
        <v/>
      </c>
      <c r="K142" s="44"/>
      <c r="L142" s="133"/>
      <c r="M142" s="9"/>
      <c r="N142" s="9"/>
      <c r="O142" s="9"/>
      <c r="P142" s="9"/>
      <c r="Q142" s="9"/>
      <c r="R142" s="9"/>
      <c r="S142" s="9"/>
      <c r="T142" s="9"/>
      <c r="U142" s="9"/>
      <c r="V142" s="9"/>
      <c r="W142" s="9"/>
      <c r="X142" s="9"/>
      <c r="Y142" s="9"/>
      <c r="Z142" s="9"/>
      <c r="AA142" s="9"/>
      <c r="AB142" s="9"/>
      <c r="AC142" s="9"/>
      <c r="AD142" s="9"/>
      <c r="AE142" s="9"/>
      <c r="AF142" s="9"/>
      <c r="AG142" s="9"/>
      <c r="AH142" s="9"/>
      <c r="AI142" s="9"/>
      <c r="AJ142" s="9"/>
    </row>
    <row r="143" spans="1:36" ht="15" customHeight="1">
      <c r="A143" s="62">
        <f>'Students Details'!A143</f>
        <v>137</v>
      </c>
      <c r="B143" s="128" t="str">
        <f>IF('Students Details'!B143="","",'Students Details'!B143)</f>
        <v/>
      </c>
      <c r="C143" s="129" t="str">
        <f>IF('Students Details'!C143="","",'Students Details'!C143)</f>
        <v/>
      </c>
      <c r="D143" s="130" t="str">
        <f t="shared" si="1"/>
        <v/>
      </c>
      <c r="E143" s="131" t="str">
        <f t="shared" si="2"/>
        <v/>
      </c>
      <c r="F143" s="131" t="str">
        <f t="shared" si="3"/>
        <v/>
      </c>
      <c r="G143" s="131" t="str">
        <f t="shared" si="4"/>
        <v/>
      </c>
      <c r="H143" s="131" t="str">
        <f t="shared" si="5"/>
        <v/>
      </c>
      <c r="I143" s="131" t="str">
        <f t="shared" si="6"/>
        <v/>
      </c>
      <c r="J143" s="132" t="str">
        <f t="shared" si="7"/>
        <v/>
      </c>
      <c r="K143" s="44"/>
      <c r="L143" s="133"/>
      <c r="M143" s="9"/>
      <c r="N143" s="9"/>
      <c r="O143" s="9"/>
      <c r="P143" s="9"/>
      <c r="Q143" s="9"/>
      <c r="R143" s="9"/>
      <c r="S143" s="9"/>
      <c r="T143" s="9"/>
      <c r="U143" s="9"/>
      <c r="V143" s="9"/>
      <c r="W143" s="9"/>
      <c r="X143" s="9"/>
      <c r="Y143" s="9"/>
      <c r="Z143" s="9"/>
      <c r="AA143" s="9"/>
      <c r="AB143" s="9"/>
      <c r="AC143" s="9"/>
      <c r="AD143" s="9"/>
      <c r="AE143" s="9"/>
      <c r="AF143" s="9"/>
      <c r="AG143" s="9"/>
      <c r="AH143" s="9"/>
      <c r="AI143" s="9"/>
      <c r="AJ143" s="9"/>
    </row>
    <row r="144" spans="1:36" ht="15" customHeight="1">
      <c r="A144" s="62">
        <f>'Students Details'!A144</f>
        <v>138</v>
      </c>
      <c r="B144" s="128" t="str">
        <f>IF('Students Details'!B144="","",'Students Details'!B144)</f>
        <v/>
      </c>
      <c r="C144" s="129" t="str">
        <f>IF('Students Details'!C144="","",'Students Details'!C144)</f>
        <v/>
      </c>
      <c r="D144" s="130" t="str">
        <f t="shared" si="1"/>
        <v/>
      </c>
      <c r="E144" s="131" t="str">
        <f t="shared" si="2"/>
        <v/>
      </c>
      <c r="F144" s="131" t="str">
        <f t="shared" si="3"/>
        <v/>
      </c>
      <c r="G144" s="131" t="str">
        <f t="shared" si="4"/>
        <v/>
      </c>
      <c r="H144" s="131" t="str">
        <f t="shared" si="5"/>
        <v/>
      </c>
      <c r="I144" s="131" t="str">
        <f t="shared" si="6"/>
        <v/>
      </c>
      <c r="J144" s="132" t="str">
        <f t="shared" si="7"/>
        <v/>
      </c>
      <c r="K144" s="44"/>
      <c r="L144" s="133"/>
      <c r="M144" s="9"/>
      <c r="N144" s="9"/>
      <c r="O144" s="9"/>
      <c r="P144" s="9"/>
      <c r="Q144" s="9"/>
      <c r="R144" s="9"/>
      <c r="S144" s="9"/>
      <c r="T144" s="9"/>
      <c r="U144" s="9"/>
      <c r="V144" s="9"/>
      <c r="W144" s="9"/>
      <c r="X144" s="9"/>
      <c r="Y144" s="9"/>
      <c r="Z144" s="9"/>
      <c r="AA144" s="9"/>
      <c r="AB144" s="9"/>
      <c r="AC144" s="9"/>
      <c r="AD144" s="9"/>
      <c r="AE144" s="9"/>
      <c r="AF144" s="9"/>
      <c r="AG144" s="9"/>
      <c r="AH144" s="9"/>
      <c r="AI144" s="9"/>
      <c r="AJ144" s="9"/>
    </row>
    <row r="145" spans="1:36" ht="15" customHeight="1">
      <c r="A145" s="62">
        <f>'Students Details'!A145</f>
        <v>139</v>
      </c>
      <c r="B145" s="128" t="str">
        <f>IF('Students Details'!B145="","",'Students Details'!B145)</f>
        <v/>
      </c>
      <c r="C145" s="129" t="str">
        <f>IF('Students Details'!C145="","",'Students Details'!C145)</f>
        <v/>
      </c>
      <c r="D145" s="130" t="str">
        <f t="shared" si="1"/>
        <v/>
      </c>
      <c r="E145" s="131" t="str">
        <f t="shared" si="2"/>
        <v/>
      </c>
      <c r="F145" s="131" t="str">
        <f t="shared" si="3"/>
        <v/>
      </c>
      <c r="G145" s="131" t="str">
        <f t="shared" si="4"/>
        <v/>
      </c>
      <c r="H145" s="131" t="str">
        <f t="shared" si="5"/>
        <v/>
      </c>
      <c r="I145" s="131" t="str">
        <f t="shared" si="6"/>
        <v/>
      </c>
      <c r="J145" s="132" t="str">
        <f t="shared" si="7"/>
        <v/>
      </c>
      <c r="K145" s="44"/>
      <c r="L145" s="133"/>
      <c r="M145" s="9"/>
      <c r="N145" s="9"/>
      <c r="O145" s="9"/>
      <c r="P145" s="9"/>
      <c r="Q145" s="9"/>
      <c r="R145" s="9"/>
      <c r="S145" s="9"/>
      <c r="T145" s="9"/>
      <c r="U145" s="9"/>
      <c r="V145" s="9"/>
      <c r="W145" s="9"/>
      <c r="X145" s="9"/>
      <c r="Y145" s="9"/>
      <c r="Z145" s="9"/>
      <c r="AA145" s="9"/>
      <c r="AB145" s="9"/>
      <c r="AC145" s="9"/>
      <c r="AD145" s="9"/>
      <c r="AE145" s="9"/>
      <c r="AF145" s="9"/>
      <c r="AG145" s="9"/>
      <c r="AH145" s="9"/>
      <c r="AI145" s="9"/>
      <c r="AJ145" s="9"/>
    </row>
    <row r="146" spans="1:36" ht="15" customHeight="1">
      <c r="A146" s="62">
        <f>'Students Details'!A146</f>
        <v>140</v>
      </c>
      <c r="B146" s="128" t="str">
        <f>IF('Students Details'!B146="","",'Students Details'!B146)</f>
        <v/>
      </c>
      <c r="C146" s="129" t="str">
        <f>IF('Students Details'!C146="","",'Students Details'!C146)</f>
        <v/>
      </c>
      <c r="D146" s="130" t="str">
        <f t="shared" si="1"/>
        <v/>
      </c>
      <c r="E146" s="131" t="str">
        <f t="shared" si="2"/>
        <v/>
      </c>
      <c r="F146" s="131" t="str">
        <f t="shared" si="3"/>
        <v/>
      </c>
      <c r="G146" s="131" t="str">
        <f t="shared" si="4"/>
        <v/>
      </c>
      <c r="H146" s="131" t="str">
        <f t="shared" si="5"/>
        <v/>
      </c>
      <c r="I146" s="131" t="str">
        <f t="shared" si="6"/>
        <v/>
      </c>
      <c r="J146" s="132" t="str">
        <f t="shared" si="7"/>
        <v/>
      </c>
      <c r="K146" s="44"/>
      <c r="L146" s="133"/>
      <c r="M146" s="9"/>
      <c r="N146" s="9"/>
      <c r="O146" s="9"/>
      <c r="P146" s="9"/>
      <c r="Q146" s="9"/>
      <c r="R146" s="9"/>
      <c r="S146" s="9"/>
      <c r="T146" s="9"/>
      <c r="U146" s="9"/>
      <c r="V146" s="9"/>
      <c r="W146" s="9"/>
      <c r="X146" s="9"/>
      <c r="Y146" s="9"/>
      <c r="Z146" s="9"/>
      <c r="AA146" s="9"/>
      <c r="AB146" s="9"/>
      <c r="AC146" s="9"/>
      <c r="AD146" s="9"/>
      <c r="AE146" s="9"/>
      <c r="AF146" s="9"/>
      <c r="AG146" s="9"/>
      <c r="AH146" s="9"/>
      <c r="AI146" s="9"/>
      <c r="AJ146" s="9"/>
    </row>
    <row r="147" spans="1:36" ht="15" customHeight="1">
      <c r="A147" s="62">
        <f>'Students Details'!A147</f>
        <v>141</v>
      </c>
      <c r="B147" s="128" t="str">
        <f>IF('Students Details'!B147="","",'Students Details'!B147)</f>
        <v/>
      </c>
      <c r="C147" s="129" t="str">
        <f>IF('Students Details'!C147="","",'Students Details'!C147)</f>
        <v/>
      </c>
      <c r="D147" s="130" t="str">
        <f t="shared" si="1"/>
        <v/>
      </c>
      <c r="E147" s="131" t="str">
        <f t="shared" si="2"/>
        <v/>
      </c>
      <c r="F147" s="131" t="str">
        <f t="shared" si="3"/>
        <v/>
      </c>
      <c r="G147" s="131" t="str">
        <f t="shared" si="4"/>
        <v/>
      </c>
      <c r="H147" s="131" t="str">
        <f t="shared" si="5"/>
        <v/>
      </c>
      <c r="I147" s="131" t="str">
        <f t="shared" si="6"/>
        <v/>
      </c>
      <c r="J147" s="132" t="str">
        <f t="shared" si="7"/>
        <v/>
      </c>
      <c r="K147" s="44"/>
      <c r="L147" s="133"/>
      <c r="M147" s="9"/>
      <c r="N147" s="9"/>
      <c r="O147" s="9"/>
      <c r="P147" s="9"/>
      <c r="Q147" s="9"/>
      <c r="R147" s="9"/>
      <c r="S147" s="9"/>
      <c r="T147" s="9"/>
      <c r="U147" s="9"/>
      <c r="V147" s="9"/>
      <c r="W147" s="9"/>
      <c r="X147" s="9"/>
      <c r="Y147" s="9"/>
      <c r="Z147" s="9"/>
      <c r="AA147" s="9"/>
      <c r="AB147" s="9"/>
      <c r="AC147" s="9"/>
      <c r="AD147" s="9"/>
      <c r="AE147" s="9"/>
      <c r="AF147" s="9"/>
      <c r="AG147" s="9"/>
      <c r="AH147" s="9"/>
      <c r="AI147" s="9"/>
      <c r="AJ147" s="9"/>
    </row>
    <row r="148" spans="1:36" ht="15" customHeight="1">
      <c r="A148" s="62">
        <f>'Students Details'!A148</f>
        <v>142</v>
      </c>
      <c r="B148" s="128" t="str">
        <f>IF('Students Details'!B148="","",'Students Details'!B148)</f>
        <v/>
      </c>
      <c r="C148" s="129" t="str">
        <f>IF('Students Details'!C148="","",'Students Details'!C148)</f>
        <v/>
      </c>
      <c r="D148" s="130" t="str">
        <f t="shared" si="1"/>
        <v/>
      </c>
      <c r="E148" s="131" t="str">
        <f t="shared" si="2"/>
        <v/>
      </c>
      <c r="F148" s="131" t="str">
        <f t="shared" si="3"/>
        <v/>
      </c>
      <c r="G148" s="131" t="str">
        <f t="shared" si="4"/>
        <v/>
      </c>
      <c r="H148" s="131" t="str">
        <f t="shared" si="5"/>
        <v/>
      </c>
      <c r="I148" s="131" t="str">
        <f t="shared" si="6"/>
        <v/>
      </c>
      <c r="J148" s="132" t="str">
        <f t="shared" si="7"/>
        <v/>
      </c>
      <c r="K148" s="44"/>
      <c r="L148" s="133"/>
      <c r="M148" s="9"/>
      <c r="N148" s="9"/>
      <c r="O148" s="9"/>
      <c r="P148" s="9"/>
      <c r="Q148" s="9"/>
      <c r="R148" s="9"/>
      <c r="S148" s="9"/>
      <c r="T148" s="9"/>
      <c r="U148" s="9"/>
      <c r="V148" s="9"/>
      <c r="W148" s="9"/>
      <c r="X148" s="9"/>
      <c r="Y148" s="9"/>
      <c r="Z148" s="9"/>
      <c r="AA148" s="9"/>
      <c r="AB148" s="9"/>
      <c r="AC148" s="9"/>
      <c r="AD148" s="9"/>
      <c r="AE148" s="9"/>
      <c r="AF148" s="9"/>
      <c r="AG148" s="9"/>
      <c r="AH148" s="9"/>
      <c r="AI148" s="9"/>
      <c r="AJ148" s="9"/>
    </row>
    <row r="149" spans="1:36" ht="15" customHeight="1">
      <c r="A149" s="62">
        <f>'Students Details'!A149</f>
        <v>143</v>
      </c>
      <c r="B149" s="128" t="str">
        <f>IF('Students Details'!B149="","",'Students Details'!B149)</f>
        <v/>
      </c>
      <c r="C149" s="129" t="str">
        <f>IF('Students Details'!C149="","",'Students Details'!C149)</f>
        <v/>
      </c>
      <c r="D149" s="130" t="str">
        <f t="shared" si="1"/>
        <v/>
      </c>
      <c r="E149" s="131" t="str">
        <f t="shared" si="2"/>
        <v/>
      </c>
      <c r="F149" s="131" t="str">
        <f t="shared" si="3"/>
        <v/>
      </c>
      <c r="G149" s="131" t="str">
        <f t="shared" si="4"/>
        <v/>
      </c>
      <c r="H149" s="131" t="str">
        <f t="shared" si="5"/>
        <v/>
      </c>
      <c r="I149" s="131" t="str">
        <f t="shared" si="6"/>
        <v/>
      </c>
      <c r="J149" s="132" t="str">
        <f t="shared" si="7"/>
        <v/>
      </c>
      <c r="K149" s="44"/>
      <c r="L149" s="133"/>
      <c r="M149" s="9"/>
      <c r="N149" s="9"/>
      <c r="O149" s="9"/>
      <c r="P149" s="9"/>
      <c r="Q149" s="9"/>
      <c r="R149" s="9"/>
      <c r="S149" s="9"/>
      <c r="T149" s="9"/>
      <c r="U149" s="9"/>
      <c r="V149" s="9"/>
      <c r="W149" s="9"/>
      <c r="X149" s="9"/>
      <c r="Y149" s="9"/>
      <c r="Z149" s="9"/>
      <c r="AA149" s="9"/>
      <c r="AB149" s="9"/>
      <c r="AC149" s="9"/>
      <c r="AD149" s="9"/>
      <c r="AE149" s="9"/>
      <c r="AF149" s="9"/>
      <c r="AG149" s="9"/>
      <c r="AH149" s="9"/>
      <c r="AI149" s="9"/>
      <c r="AJ149" s="9"/>
    </row>
    <row r="150" spans="1:36" ht="15" customHeight="1">
      <c r="A150" s="62">
        <f>'Students Details'!A150</f>
        <v>144</v>
      </c>
      <c r="B150" s="128" t="str">
        <f>IF('Students Details'!B150="","",'Students Details'!B150)</f>
        <v/>
      </c>
      <c r="C150" s="129" t="str">
        <f>IF('Students Details'!C150="","",'Students Details'!C150)</f>
        <v/>
      </c>
      <c r="D150" s="130" t="str">
        <f t="shared" si="1"/>
        <v/>
      </c>
      <c r="E150" s="131" t="str">
        <f t="shared" si="2"/>
        <v/>
      </c>
      <c r="F150" s="131" t="str">
        <f t="shared" si="3"/>
        <v/>
      </c>
      <c r="G150" s="131" t="str">
        <f t="shared" si="4"/>
        <v/>
      </c>
      <c r="H150" s="131" t="str">
        <f t="shared" si="5"/>
        <v/>
      </c>
      <c r="I150" s="131" t="str">
        <f t="shared" si="6"/>
        <v/>
      </c>
      <c r="J150" s="132" t="str">
        <f t="shared" si="7"/>
        <v/>
      </c>
      <c r="K150" s="44"/>
      <c r="L150" s="133"/>
      <c r="M150" s="9"/>
      <c r="N150" s="9"/>
      <c r="O150" s="9"/>
      <c r="P150" s="9"/>
      <c r="Q150" s="9"/>
      <c r="R150" s="9"/>
      <c r="S150" s="9"/>
      <c r="T150" s="9"/>
      <c r="U150" s="9"/>
      <c r="V150" s="9"/>
      <c r="W150" s="9"/>
      <c r="X150" s="9"/>
      <c r="Y150" s="9"/>
      <c r="Z150" s="9"/>
      <c r="AA150" s="9"/>
      <c r="AB150" s="9"/>
      <c r="AC150" s="9"/>
      <c r="AD150" s="9"/>
      <c r="AE150" s="9"/>
      <c r="AF150" s="9"/>
      <c r="AG150" s="9"/>
      <c r="AH150" s="9"/>
      <c r="AI150" s="9"/>
      <c r="AJ150" s="9"/>
    </row>
    <row r="151" spans="1:36" ht="15" customHeight="1">
      <c r="A151" s="62">
        <f>'Students Details'!A151</f>
        <v>145</v>
      </c>
      <c r="B151" s="128" t="str">
        <f>IF('Students Details'!B151="","",'Students Details'!B151)</f>
        <v/>
      </c>
      <c r="C151" s="129" t="str">
        <f>IF('Students Details'!C151="","",'Students Details'!C151)</f>
        <v/>
      </c>
      <c r="D151" s="130" t="str">
        <f t="shared" si="1"/>
        <v/>
      </c>
      <c r="E151" s="131" t="str">
        <f t="shared" si="2"/>
        <v/>
      </c>
      <c r="F151" s="131" t="str">
        <f t="shared" si="3"/>
        <v/>
      </c>
      <c r="G151" s="131" t="str">
        <f t="shared" si="4"/>
        <v/>
      </c>
      <c r="H151" s="131" t="str">
        <f t="shared" si="5"/>
        <v/>
      </c>
      <c r="I151" s="131" t="str">
        <f t="shared" si="6"/>
        <v/>
      </c>
      <c r="J151" s="132" t="str">
        <f t="shared" si="7"/>
        <v/>
      </c>
      <c r="K151" s="44"/>
      <c r="L151" s="133"/>
      <c r="M151" s="9"/>
      <c r="N151" s="9"/>
      <c r="O151" s="9"/>
      <c r="P151" s="9"/>
      <c r="Q151" s="9"/>
      <c r="R151" s="9"/>
      <c r="S151" s="9"/>
      <c r="T151" s="9"/>
      <c r="U151" s="9"/>
      <c r="V151" s="9"/>
      <c r="W151" s="9"/>
      <c r="X151" s="9"/>
      <c r="Y151" s="9"/>
      <c r="Z151" s="9"/>
      <c r="AA151" s="9"/>
      <c r="AB151" s="9"/>
      <c r="AC151" s="9"/>
      <c r="AD151" s="9"/>
      <c r="AE151" s="9"/>
      <c r="AF151" s="9"/>
      <c r="AG151" s="9"/>
      <c r="AH151" s="9"/>
      <c r="AI151" s="9"/>
      <c r="AJ151" s="9"/>
    </row>
    <row r="152" spans="1:36" ht="15" customHeight="1">
      <c r="A152" s="62">
        <f>'Students Details'!A152</f>
        <v>146</v>
      </c>
      <c r="B152" s="128" t="str">
        <f>IF('Students Details'!B152="","",'Students Details'!B152)</f>
        <v/>
      </c>
      <c r="C152" s="129" t="str">
        <f>IF('Students Details'!C152="","",'Students Details'!C152)</f>
        <v/>
      </c>
      <c r="D152" s="130" t="str">
        <f t="shared" si="1"/>
        <v/>
      </c>
      <c r="E152" s="131" t="str">
        <f t="shared" si="2"/>
        <v/>
      </c>
      <c r="F152" s="131" t="str">
        <f t="shared" si="3"/>
        <v/>
      </c>
      <c r="G152" s="131" t="str">
        <f t="shared" si="4"/>
        <v/>
      </c>
      <c r="H152" s="131" t="str">
        <f t="shared" si="5"/>
        <v/>
      </c>
      <c r="I152" s="131" t="str">
        <f t="shared" si="6"/>
        <v/>
      </c>
      <c r="J152" s="132" t="str">
        <f t="shared" si="7"/>
        <v/>
      </c>
      <c r="K152" s="44"/>
      <c r="L152" s="133"/>
      <c r="M152" s="9"/>
      <c r="N152" s="9"/>
      <c r="O152" s="9"/>
      <c r="P152" s="9"/>
      <c r="Q152" s="9"/>
      <c r="R152" s="9"/>
      <c r="S152" s="9"/>
      <c r="T152" s="9"/>
      <c r="U152" s="9"/>
      <c r="V152" s="9"/>
      <c r="W152" s="9"/>
      <c r="X152" s="9"/>
      <c r="Y152" s="9"/>
      <c r="Z152" s="9"/>
      <c r="AA152" s="9"/>
      <c r="AB152" s="9"/>
      <c r="AC152" s="9"/>
      <c r="AD152" s="9"/>
      <c r="AE152" s="9"/>
      <c r="AF152" s="9"/>
      <c r="AG152" s="9"/>
      <c r="AH152" s="9"/>
      <c r="AI152" s="9"/>
      <c r="AJ152" s="9"/>
    </row>
    <row r="153" spans="1:36" ht="15" customHeight="1">
      <c r="A153" s="62">
        <f>'Students Details'!A153</f>
        <v>147</v>
      </c>
      <c r="B153" s="128" t="str">
        <f>IF('Students Details'!B153="","",'Students Details'!B153)</f>
        <v/>
      </c>
      <c r="C153" s="129" t="str">
        <f>IF('Students Details'!C153="","",'Students Details'!C153)</f>
        <v/>
      </c>
      <c r="D153" s="130" t="str">
        <f t="shared" si="1"/>
        <v/>
      </c>
      <c r="E153" s="131" t="str">
        <f t="shared" si="2"/>
        <v/>
      </c>
      <c r="F153" s="131" t="str">
        <f t="shared" si="3"/>
        <v/>
      </c>
      <c r="G153" s="131" t="str">
        <f t="shared" si="4"/>
        <v/>
      </c>
      <c r="H153" s="131" t="str">
        <f t="shared" si="5"/>
        <v/>
      </c>
      <c r="I153" s="131" t="str">
        <f t="shared" si="6"/>
        <v/>
      </c>
      <c r="J153" s="132" t="str">
        <f t="shared" si="7"/>
        <v/>
      </c>
      <c r="K153" s="44"/>
      <c r="L153" s="133"/>
      <c r="M153" s="9"/>
      <c r="N153" s="9"/>
      <c r="O153" s="9"/>
      <c r="P153" s="9"/>
      <c r="Q153" s="9"/>
      <c r="R153" s="9"/>
      <c r="S153" s="9"/>
      <c r="T153" s="9"/>
      <c r="U153" s="9"/>
      <c r="V153" s="9"/>
      <c r="W153" s="9"/>
      <c r="X153" s="9"/>
      <c r="Y153" s="9"/>
      <c r="Z153" s="9"/>
      <c r="AA153" s="9"/>
      <c r="AB153" s="9"/>
      <c r="AC153" s="9"/>
      <c r="AD153" s="9"/>
      <c r="AE153" s="9"/>
      <c r="AF153" s="9"/>
      <c r="AG153" s="9"/>
      <c r="AH153" s="9"/>
      <c r="AI153" s="9"/>
      <c r="AJ153" s="9"/>
    </row>
    <row r="154" spans="1:36" ht="15" customHeight="1">
      <c r="A154" s="62">
        <f>'Students Details'!A154</f>
        <v>148</v>
      </c>
      <c r="B154" s="128" t="str">
        <f>IF('Students Details'!B154="","",'Students Details'!B154)</f>
        <v/>
      </c>
      <c r="C154" s="129" t="str">
        <f>IF('Students Details'!C154="","",'Students Details'!C154)</f>
        <v/>
      </c>
      <c r="D154" s="130" t="str">
        <f t="shared" si="1"/>
        <v/>
      </c>
      <c r="E154" s="131" t="str">
        <f t="shared" si="2"/>
        <v/>
      </c>
      <c r="F154" s="131" t="str">
        <f t="shared" si="3"/>
        <v/>
      </c>
      <c r="G154" s="131" t="str">
        <f t="shared" si="4"/>
        <v/>
      </c>
      <c r="H154" s="131" t="str">
        <f t="shared" si="5"/>
        <v/>
      </c>
      <c r="I154" s="131" t="str">
        <f t="shared" si="6"/>
        <v/>
      </c>
      <c r="J154" s="132" t="str">
        <f t="shared" si="7"/>
        <v/>
      </c>
      <c r="K154" s="44"/>
      <c r="L154" s="133"/>
      <c r="M154" s="9"/>
      <c r="N154" s="9"/>
      <c r="O154" s="9"/>
      <c r="P154" s="9"/>
      <c r="Q154" s="9"/>
      <c r="R154" s="9"/>
      <c r="S154" s="9"/>
      <c r="T154" s="9"/>
      <c r="U154" s="9"/>
      <c r="V154" s="9"/>
      <c r="W154" s="9"/>
      <c r="X154" s="9"/>
      <c r="Y154" s="9"/>
      <c r="Z154" s="9"/>
      <c r="AA154" s="9"/>
      <c r="AB154" s="9"/>
      <c r="AC154" s="9"/>
      <c r="AD154" s="9"/>
      <c r="AE154" s="9"/>
      <c r="AF154" s="9"/>
      <c r="AG154" s="9"/>
      <c r="AH154" s="9"/>
      <c r="AI154" s="9"/>
      <c r="AJ154" s="9"/>
    </row>
    <row r="155" spans="1:36" ht="15" customHeight="1">
      <c r="A155" s="62">
        <f>'Students Details'!A155</f>
        <v>149</v>
      </c>
      <c r="B155" s="128" t="str">
        <f>IF('Students Details'!B155="","",'Students Details'!B155)</f>
        <v/>
      </c>
      <c r="C155" s="129" t="str">
        <f>IF('Students Details'!C155="","",'Students Details'!C155)</f>
        <v/>
      </c>
      <c r="D155" s="130" t="str">
        <f t="shared" si="1"/>
        <v/>
      </c>
      <c r="E155" s="131" t="str">
        <f t="shared" si="2"/>
        <v/>
      </c>
      <c r="F155" s="131" t="str">
        <f t="shared" si="3"/>
        <v/>
      </c>
      <c r="G155" s="131" t="str">
        <f t="shared" si="4"/>
        <v/>
      </c>
      <c r="H155" s="131" t="str">
        <f t="shared" si="5"/>
        <v/>
      </c>
      <c r="I155" s="131" t="str">
        <f t="shared" si="6"/>
        <v/>
      </c>
      <c r="J155" s="132" t="str">
        <f t="shared" si="7"/>
        <v/>
      </c>
      <c r="K155" s="44"/>
      <c r="L155" s="133"/>
      <c r="M155" s="9"/>
      <c r="N155" s="9"/>
      <c r="O155" s="9"/>
      <c r="P155" s="9"/>
      <c r="Q155" s="9"/>
      <c r="R155" s="9"/>
      <c r="S155" s="9"/>
      <c r="T155" s="9"/>
      <c r="U155" s="9"/>
      <c r="V155" s="9"/>
      <c r="W155" s="9"/>
      <c r="X155" s="9"/>
      <c r="Y155" s="9"/>
      <c r="Z155" s="9"/>
      <c r="AA155" s="9"/>
      <c r="AB155" s="9"/>
      <c r="AC155" s="9"/>
      <c r="AD155" s="9"/>
      <c r="AE155" s="9"/>
      <c r="AF155" s="9"/>
      <c r="AG155" s="9"/>
      <c r="AH155" s="9"/>
      <c r="AI155" s="9"/>
      <c r="AJ155" s="9"/>
    </row>
    <row r="156" spans="1:36" ht="15" customHeight="1">
      <c r="A156" s="62">
        <f>'Students Details'!A156</f>
        <v>150</v>
      </c>
      <c r="B156" s="128" t="str">
        <f>IF('Students Details'!B156="","",'Students Details'!B156)</f>
        <v/>
      </c>
      <c r="C156" s="129" t="str">
        <f>IF('Students Details'!C156="","",'Students Details'!C156)</f>
        <v/>
      </c>
      <c r="D156" s="130" t="str">
        <f t="shared" si="1"/>
        <v/>
      </c>
      <c r="E156" s="131" t="str">
        <f t="shared" si="2"/>
        <v/>
      </c>
      <c r="F156" s="131" t="str">
        <f t="shared" si="3"/>
        <v/>
      </c>
      <c r="G156" s="131" t="str">
        <f t="shared" si="4"/>
        <v/>
      </c>
      <c r="H156" s="131" t="str">
        <f t="shared" si="5"/>
        <v/>
      </c>
      <c r="I156" s="131" t="str">
        <f t="shared" si="6"/>
        <v/>
      </c>
      <c r="J156" s="132" t="str">
        <f t="shared" si="7"/>
        <v/>
      </c>
      <c r="K156" s="44"/>
      <c r="L156" s="133"/>
      <c r="M156" s="9"/>
      <c r="N156" s="9"/>
      <c r="O156" s="9"/>
      <c r="P156" s="9"/>
      <c r="Q156" s="9"/>
      <c r="R156" s="9"/>
      <c r="S156" s="9"/>
      <c r="T156" s="9"/>
      <c r="U156" s="9"/>
      <c r="V156" s="9"/>
      <c r="W156" s="9"/>
      <c r="X156" s="9"/>
      <c r="Y156" s="9"/>
      <c r="Z156" s="9"/>
      <c r="AA156" s="9"/>
      <c r="AB156" s="9"/>
      <c r="AC156" s="9"/>
      <c r="AD156" s="9"/>
      <c r="AE156" s="9"/>
      <c r="AF156" s="9"/>
      <c r="AG156" s="9"/>
      <c r="AH156" s="9"/>
      <c r="AI156" s="9"/>
      <c r="AJ156" s="9"/>
    </row>
    <row r="157" spans="1:36" ht="15" customHeight="1">
      <c r="A157" s="62">
        <f>'Students Details'!A157</f>
        <v>151</v>
      </c>
      <c r="B157" s="128" t="str">
        <f>IF('Students Details'!B157="","",'Students Details'!B157)</f>
        <v/>
      </c>
      <c r="C157" s="129" t="str">
        <f>IF('Students Details'!C157="","",'Students Details'!C157)</f>
        <v/>
      </c>
      <c r="D157" s="130" t="str">
        <f t="shared" si="1"/>
        <v/>
      </c>
      <c r="E157" s="131" t="str">
        <f t="shared" si="2"/>
        <v/>
      </c>
      <c r="F157" s="131" t="str">
        <f t="shared" si="3"/>
        <v/>
      </c>
      <c r="G157" s="131" t="str">
        <f t="shared" si="4"/>
        <v/>
      </c>
      <c r="H157" s="131" t="str">
        <f t="shared" si="5"/>
        <v/>
      </c>
      <c r="I157" s="131" t="str">
        <f t="shared" si="6"/>
        <v/>
      </c>
      <c r="J157" s="132" t="str">
        <f t="shared" si="7"/>
        <v/>
      </c>
      <c r="K157" s="44"/>
      <c r="L157" s="133"/>
      <c r="M157" s="9"/>
      <c r="N157" s="9"/>
      <c r="O157" s="9"/>
      <c r="P157" s="9"/>
      <c r="Q157" s="9"/>
      <c r="R157" s="9"/>
      <c r="S157" s="9"/>
      <c r="T157" s="9"/>
      <c r="U157" s="9"/>
      <c r="V157" s="9"/>
      <c r="W157" s="9"/>
      <c r="X157" s="9"/>
      <c r="Y157" s="9"/>
      <c r="Z157" s="9"/>
      <c r="AA157" s="9"/>
      <c r="AB157" s="9"/>
      <c r="AC157" s="9"/>
      <c r="AD157" s="9"/>
      <c r="AE157" s="9"/>
      <c r="AF157" s="9"/>
      <c r="AG157" s="9"/>
      <c r="AH157" s="9"/>
      <c r="AI157" s="9"/>
      <c r="AJ157" s="9"/>
    </row>
    <row r="158" spans="1:36" ht="15" customHeight="1">
      <c r="A158" s="62">
        <f>'Students Details'!A158</f>
        <v>152</v>
      </c>
      <c r="B158" s="128" t="str">
        <f>IF('Students Details'!B158="","",'Students Details'!B158)</f>
        <v/>
      </c>
      <c r="C158" s="129" t="str">
        <f>IF('Students Details'!C158="","",'Students Details'!C158)</f>
        <v/>
      </c>
      <c r="D158" s="130" t="str">
        <f t="shared" si="1"/>
        <v/>
      </c>
      <c r="E158" s="131" t="str">
        <f t="shared" si="2"/>
        <v/>
      </c>
      <c r="F158" s="131" t="str">
        <f t="shared" si="3"/>
        <v/>
      </c>
      <c r="G158" s="131" t="str">
        <f t="shared" si="4"/>
        <v/>
      </c>
      <c r="H158" s="131" t="str">
        <f t="shared" si="5"/>
        <v/>
      </c>
      <c r="I158" s="131" t="str">
        <f t="shared" si="6"/>
        <v/>
      </c>
      <c r="J158" s="132" t="str">
        <f t="shared" si="7"/>
        <v/>
      </c>
      <c r="K158" s="44"/>
      <c r="L158" s="133"/>
      <c r="M158" s="9"/>
      <c r="N158" s="9"/>
      <c r="O158" s="9"/>
      <c r="P158" s="9"/>
      <c r="Q158" s="9"/>
      <c r="R158" s="9"/>
      <c r="S158" s="9"/>
      <c r="T158" s="9"/>
      <c r="U158" s="9"/>
      <c r="V158" s="9"/>
      <c r="W158" s="9"/>
      <c r="X158" s="9"/>
      <c r="Y158" s="9"/>
      <c r="Z158" s="9"/>
      <c r="AA158" s="9"/>
      <c r="AB158" s="9"/>
      <c r="AC158" s="9"/>
      <c r="AD158" s="9"/>
      <c r="AE158" s="9"/>
      <c r="AF158" s="9"/>
      <c r="AG158" s="9"/>
      <c r="AH158" s="9"/>
      <c r="AI158" s="9"/>
      <c r="AJ158" s="9"/>
    </row>
    <row r="159" spans="1:36" ht="15" customHeight="1">
      <c r="A159" s="62">
        <f>'Students Details'!A159</f>
        <v>153</v>
      </c>
      <c r="B159" s="128" t="str">
        <f>IF('Students Details'!B159="","",'Students Details'!B159)</f>
        <v/>
      </c>
      <c r="C159" s="129" t="str">
        <f>IF('Students Details'!C159="","",'Students Details'!C159)</f>
        <v/>
      </c>
      <c r="D159" s="130" t="str">
        <f t="shared" si="1"/>
        <v/>
      </c>
      <c r="E159" s="131" t="str">
        <f t="shared" si="2"/>
        <v/>
      </c>
      <c r="F159" s="131" t="str">
        <f t="shared" si="3"/>
        <v/>
      </c>
      <c r="G159" s="131" t="str">
        <f t="shared" si="4"/>
        <v/>
      </c>
      <c r="H159" s="131" t="str">
        <f t="shared" si="5"/>
        <v/>
      </c>
      <c r="I159" s="131" t="str">
        <f t="shared" si="6"/>
        <v/>
      </c>
      <c r="J159" s="132" t="str">
        <f t="shared" si="7"/>
        <v/>
      </c>
      <c r="K159" s="44"/>
      <c r="L159" s="133"/>
      <c r="M159" s="9"/>
      <c r="N159" s="9"/>
      <c r="O159" s="9"/>
      <c r="P159" s="9"/>
      <c r="Q159" s="9"/>
      <c r="R159" s="9"/>
      <c r="S159" s="9"/>
      <c r="T159" s="9"/>
      <c r="U159" s="9"/>
      <c r="V159" s="9"/>
      <c r="W159" s="9"/>
      <c r="X159" s="9"/>
      <c r="Y159" s="9"/>
      <c r="Z159" s="9"/>
      <c r="AA159" s="9"/>
      <c r="AB159" s="9"/>
      <c r="AC159" s="9"/>
      <c r="AD159" s="9"/>
      <c r="AE159" s="9"/>
      <c r="AF159" s="9"/>
      <c r="AG159" s="9"/>
      <c r="AH159" s="9"/>
      <c r="AI159" s="9"/>
      <c r="AJ159" s="9"/>
    </row>
    <row r="160" spans="1:36" ht="15" customHeight="1">
      <c r="A160" s="62">
        <f>'Students Details'!A160</f>
        <v>154</v>
      </c>
      <c r="B160" s="128" t="str">
        <f>IF('Students Details'!B160="","",'Students Details'!B160)</f>
        <v/>
      </c>
      <c r="C160" s="129" t="str">
        <f>IF('Students Details'!C160="","",'Students Details'!C160)</f>
        <v/>
      </c>
      <c r="D160" s="130" t="str">
        <f t="shared" si="1"/>
        <v/>
      </c>
      <c r="E160" s="131" t="str">
        <f t="shared" si="2"/>
        <v/>
      </c>
      <c r="F160" s="131" t="str">
        <f t="shared" si="3"/>
        <v/>
      </c>
      <c r="G160" s="131" t="str">
        <f t="shared" si="4"/>
        <v/>
      </c>
      <c r="H160" s="131" t="str">
        <f t="shared" si="5"/>
        <v/>
      </c>
      <c r="I160" s="131" t="str">
        <f t="shared" si="6"/>
        <v/>
      </c>
      <c r="J160" s="132" t="str">
        <f t="shared" si="7"/>
        <v/>
      </c>
      <c r="K160" s="44"/>
      <c r="L160" s="133"/>
      <c r="M160" s="9"/>
      <c r="N160" s="9"/>
      <c r="O160" s="9"/>
      <c r="P160" s="9"/>
      <c r="Q160" s="9"/>
      <c r="R160" s="9"/>
      <c r="S160" s="9"/>
      <c r="T160" s="9"/>
      <c r="U160" s="9"/>
      <c r="V160" s="9"/>
      <c r="W160" s="9"/>
      <c r="X160" s="9"/>
      <c r="Y160" s="9"/>
      <c r="Z160" s="9"/>
      <c r="AA160" s="9"/>
      <c r="AB160" s="9"/>
      <c r="AC160" s="9"/>
      <c r="AD160" s="9"/>
      <c r="AE160" s="9"/>
      <c r="AF160" s="9"/>
      <c r="AG160" s="9"/>
      <c r="AH160" s="9"/>
      <c r="AI160" s="9"/>
      <c r="AJ160" s="9"/>
    </row>
    <row r="161" spans="1:36" ht="15" customHeight="1">
      <c r="A161" s="62">
        <f>'Students Details'!A161</f>
        <v>155</v>
      </c>
      <c r="B161" s="128" t="str">
        <f>IF('Students Details'!B161="","",'Students Details'!B161)</f>
        <v/>
      </c>
      <c r="C161" s="129" t="str">
        <f>IF('Students Details'!C161="","",'Students Details'!C161)</f>
        <v/>
      </c>
      <c r="D161" s="130" t="str">
        <f t="shared" si="1"/>
        <v/>
      </c>
      <c r="E161" s="131" t="str">
        <f t="shared" si="2"/>
        <v/>
      </c>
      <c r="F161" s="131" t="str">
        <f t="shared" si="3"/>
        <v/>
      </c>
      <c r="G161" s="131" t="str">
        <f t="shared" si="4"/>
        <v/>
      </c>
      <c r="H161" s="131" t="str">
        <f t="shared" si="5"/>
        <v/>
      </c>
      <c r="I161" s="131" t="str">
        <f t="shared" si="6"/>
        <v/>
      </c>
      <c r="J161" s="132" t="str">
        <f t="shared" si="7"/>
        <v/>
      </c>
      <c r="K161" s="44"/>
      <c r="L161" s="133"/>
      <c r="M161" s="9"/>
      <c r="N161" s="9"/>
      <c r="O161" s="9"/>
      <c r="P161" s="9"/>
      <c r="Q161" s="9"/>
      <c r="R161" s="9"/>
      <c r="S161" s="9"/>
      <c r="T161" s="9"/>
      <c r="U161" s="9"/>
      <c r="V161" s="9"/>
      <c r="W161" s="9"/>
      <c r="X161" s="9"/>
      <c r="Y161" s="9"/>
      <c r="Z161" s="9"/>
      <c r="AA161" s="9"/>
      <c r="AB161" s="9"/>
      <c r="AC161" s="9"/>
      <c r="AD161" s="9"/>
      <c r="AE161" s="9"/>
      <c r="AF161" s="9"/>
      <c r="AG161" s="9"/>
      <c r="AH161" s="9"/>
      <c r="AI161" s="9"/>
      <c r="AJ161" s="9"/>
    </row>
    <row r="162" spans="1:36" ht="15" customHeight="1">
      <c r="A162" s="62">
        <f>'Students Details'!A162</f>
        <v>156</v>
      </c>
      <c r="B162" s="128" t="str">
        <f>IF('Students Details'!B162="","",'Students Details'!B162)</f>
        <v/>
      </c>
      <c r="C162" s="129" t="str">
        <f>IF('Students Details'!C162="","",'Students Details'!C162)</f>
        <v/>
      </c>
      <c r="D162" s="130" t="str">
        <f t="shared" si="1"/>
        <v/>
      </c>
      <c r="E162" s="131" t="str">
        <f t="shared" si="2"/>
        <v/>
      </c>
      <c r="F162" s="131" t="str">
        <f t="shared" si="3"/>
        <v/>
      </c>
      <c r="G162" s="131" t="str">
        <f t="shared" si="4"/>
        <v/>
      </c>
      <c r="H162" s="131" t="str">
        <f t="shared" si="5"/>
        <v/>
      </c>
      <c r="I162" s="131" t="str">
        <f t="shared" si="6"/>
        <v/>
      </c>
      <c r="J162" s="132" t="str">
        <f t="shared" si="7"/>
        <v/>
      </c>
      <c r="K162" s="44"/>
      <c r="L162" s="133"/>
      <c r="M162" s="9"/>
      <c r="N162" s="9"/>
      <c r="O162" s="9"/>
      <c r="P162" s="9"/>
      <c r="Q162" s="9"/>
      <c r="R162" s="9"/>
      <c r="S162" s="9"/>
      <c r="T162" s="9"/>
      <c r="U162" s="9"/>
      <c r="V162" s="9"/>
      <c r="W162" s="9"/>
      <c r="X162" s="9"/>
      <c r="Y162" s="9"/>
      <c r="Z162" s="9"/>
      <c r="AA162" s="9"/>
      <c r="AB162" s="9"/>
      <c r="AC162" s="9"/>
      <c r="AD162" s="9"/>
      <c r="AE162" s="9"/>
      <c r="AF162" s="9"/>
      <c r="AG162" s="9"/>
      <c r="AH162" s="9"/>
      <c r="AI162" s="9"/>
      <c r="AJ162" s="9"/>
    </row>
    <row r="163" spans="1:36" ht="15" customHeight="1">
      <c r="A163" s="62">
        <f>'Students Details'!A163</f>
        <v>157</v>
      </c>
      <c r="B163" s="128" t="str">
        <f>IF('Students Details'!B163="","",'Students Details'!B163)</f>
        <v/>
      </c>
      <c r="C163" s="129" t="str">
        <f>IF('Students Details'!C163="","",'Students Details'!C163)</f>
        <v/>
      </c>
      <c r="D163" s="130" t="str">
        <f t="shared" si="1"/>
        <v/>
      </c>
      <c r="E163" s="131" t="str">
        <f t="shared" si="2"/>
        <v/>
      </c>
      <c r="F163" s="131" t="str">
        <f t="shared" si="3"/>
        <v/>
      </c>
      <c r="G163" s="131" t="str">
        <f t="shared" si="4"/>
        <v/>
      </c>
      <c r="H163" s="131" t="str">
        <f t="shared" si="5"/>
        <v/>
      </c>
      <c r="I163" s="131" t="str">
        <f t="shared" si="6"/>
        <v/>
      </c>
      <c r="J163" s="132" t="str">
        <f t="shared" si="7"/>
        <v/>
      </c>
      <c r="K163" s="44"/>
      <c r="L163" s="133"/>
      <c r="M163" s="9"/>
      <c r="N163" s="9"/>
      <c r="O163" s="9"/>
      <c r="P163" s="9"/>
      <c r="Q163" s="9"/>
      <c r="R163" s="9"/>
      <c r="S163" s="9"/>
      <c r="T163" s="9"/>
      <c r="U163" s="9"/>
      <c r="V163" s="9"/>
      <c r="W163" s="9"/>
      <c r="X163" s="9"/>
      <c r="Y163" s="9"/>
      <c r="Z163" s="9"/>
      <c r="AA163" s="9"/>
      <c r="AB163" s="9"/>
      <c r="AC163" s="9"/>
      <c r="AD163" s="9"/>
      <c r="AE163" s="9"/>
      <c r="AF163" s="9"/>
      <c r="AG163" s="9"/>
      <c r="AH163" s="9"/>
      <c r="AI163" s="9"/>
      <c r="AJ163" s="9"/>
    </row>
    <row r="164" spans="1:36" ht="15" customHeight="1">
      <c r="A164" s="62">
        <f>'Students Details'!A164</f>
        <v>158</v>
      </c>
      <c r="B164" s="128" t="str">
        <f>IF('Students Details'!B164="","",'Students Details'!B164)</f>
        <v/>
      </c>
      <c r="C164" s="129" t="str">
        <f>IF('Students Details'!C164="","",'Students Details'!C164)</f>
        <v/>
      </c>
      <c r="D164" s="130" t="str">
        <f t="shared" si="1"/>
        <v/>
      </c>
      <c r="E164" s="131" t="str">
        <f t="shared" si="2"/>
        <v/>
      </c>
      <c r="F164" s="131" t="str">
        <f t="shared" si="3"/>
        <v/>
      </c>
      <c r="G164" s="131" t="str">
        <f t="shared" si="4"/>
        <v/>
      </c>
      <c r="H164" s="131" t="str">
        <f t="shared" si="5"/>
        <v/>
      </c>
      <c r="I164" s="131" t="str">
        <f t="shared" si="6"/>
        <v/>
      </c>
      <c r="J164" s="132" t="str">
        <f t="shared" si="7"/>
        <v/>
      </c>
      <c r="K164" s="44"/>
      <c r="L164" s="133"/>
      <c r="M164" s="9"/>
      <c r="N164" s="9"/>
      <c r="O164" s="9"/>
      <c r="P164" s="9"/>
      <c r="Q164" s="9"/>
      <c r="R164" s="9"/>
      <c r="S164" s="9"/>
      <c r="T164" s="9"/>
      <c r="U164" s="9"/>
      <c r="V164" s="9"/>
      <c r="W164" s="9"/>
      <c r="X164" s="9"/>
      <c r="Y164" s="9"/>
      <c r="Z164" s="9"/>
      <c r="AA164" s="9"/>
      <c r="AB164" s="9"/>
      <c r="AC164" s="9"/>
      <c r="AD164" s="9"/>
      <c r="AE164" s="9"/>
      <c r="AF164" s="9"/>
      <c r="AG164" s="9"/>
      <c r="AH164" s="9"/>
      <c r="AI164" s="9"/>
      <c r="AJ164" s="9"/>
    </row>
    <row r="165" spans="1:36" ht="15" customHeight="1">
      <c r="A165" s="62">
        <f>'Students Details'!A165</f>
        <v>159</v>
      </c>
      <c r="B165" s="128" t="str">
        <f>IF('Students Details'!B165="","",'Students Details'!B165)</f>
        <v/>
      </c>
      <c r="C165" s="129" t="str">
        <f>IF('Students Details'!C165="","",'Students Details'!C165)</f>
        <v/>
      </c>
      <c r="D165" s="130" t="str">
        <f t="shared" si="1"/>
        <v/>
      </c>
      <c r="E165" s="131" t="str">
        <f t="shared" si="2"/>
        <v/>
      </c>
      <c r="F165" s="131" t="str">
        <f t="shared" si="3"/>
        <v/>
      </c>
      <c r="G165" s="131" t="str">
        <f t="shared" si="4"/>
        <v/>
      </c>
      <c r="H165" s="131" t="str">
        <f t="shared" si="5"/>
        <v/>
      </c>
      <c r="I165" s="131" t="str">
        <f t="shared" si="6"/>
        <v/>
      </c>
      <c r="J165" s="132" t="str">
        <f t="shared" si="7"/>
        <v/>
      </c>
      <c r="K165" s="44"/>
      <c r="L165" s="133"/>
      <c r="M165" s="9"/>
      <c r="N165" s="9"/>
      <c r="O165" s="9"/>
      <c r="P165" s="9"/>
      <c r="Q165" s="9"/>
      <c r="R165" s="9"/>
      <c r="S165" s="9"/>
      <c r="T165" s="9"/>
      <c r="U165" s="9"/>
      <c r="V165" s="9"/>
      <c r="W165" s="9"/>
      <c r="X165" s="9"/>
      <c r="Y165" s="9"/>
      <c r="Z165" s="9"/>
      <c r="AA165" s="9"/>
      <c r="AB165" s="9"/>
      <c r="AC165" s="9"/>
      <c r="AD165" s="9"/>
      <c r="AE165" s="9"/>
      <c r="AF165" s="9"/>
      <c r="AG165" s="9"/>
      <c r="AH165" s="9"/>
      <c r="AI165" s="9"/>
      <c r="AJ165" s="9"/>
    </row>
    <row r="166" spans="1:36" ht="15" customHeight="1">
      <c r="A166" s="62">
        <f>'Students Details'!A166</f>
        <v>160</v>
      </c>
      <c r="B166" s="128" t="str">
        <f>IF('Students Details'!B166="","",'Students Details'!B166)</f>
        <v/>
      </c>
      <c r="C166" s="129" t="str">
        <f>IF('Students Details'!C166="","",'Students Details'!C166)</f>
        <v/>
      </c>
      <c r="D166" s="130" t="str">
        <f t="shared" si="1"/>
        <v/>
      </c>
      <c r="E166" s="131" t="str">
        <f t="shared" si="2"/>
        <v/>
      </c>
      <c r="F166" s="131" t="str">
        <f t="shared" si="3"/>
        <v/>
      </c>
      <c r="G166" s="131" t="str">
        <f t="shared" si="4"/>
        <v/>
      </c>
      <c r="H166" s="131" t="str">
        <f t="shared" si="5"/>
        <v/>
      </c>
      <c r="I166" s="131" t="str">
        <f t="shared" si="6"/>
        <v/>
      </c>
      <c r="J166" s="132" t="str">
        <f t="shared" si="7"/>
        <v/>
      </c>
      <c r="K166" s="44"/>
      <c r="L166" s="133"/>
      <c r="M166" s="9"/>
      <c r="N166" s="9"/>
      <c r="O166" s="9"/>
      <c r="P166" s="9"/>
      <c r="Q166" s="9"/>
      <c r="R166" s="9"/>
      <c r="S166" s="9"/>
      <c r="T166" s="9"/>
      <c r="U166" s="9"/>
      <c r="V166" s="9"/>
      <c r="W166" s="9"/>
      <c r="X166" s="9"/>
      <c r="Y166" s="9"/>
      <c r="Z166" s="9"/>
      <c r="AA166" s="9"/>
      <c r="AB166" s="9"/>
      <c r="AC166" s="9"/>
      <c r="AD166" s="9"/>
      <c r="AE166" s="9"/>
      <c r="AF166" s="9"/>
      <c r="AG166" s="9"/>
      <c r="AH166" s="9"/>
      <c r="AI166" s="9"/>
      <c r="AJ166" s="9"/>
    </row>
    <row r="167" spans="1:36" ht="15" customHeight="1">
      <c r="A167" s="62">
        <f>'Students Details'!A167</f>
        <v>161</v>
      </c>
      <c r="B167" s="128" t="str">
        <f>IF('Students Details'!B167="","",'Students Details'!B167)</f>
        <v/>
      </c>
      <c r="C167" s="129" t="str">
        <f>IF('Students Details'!C167="","",'Students Details'!C167)</f>
        <v/>
      </c>
      <c r="D167" s="130" t="str">
        <f t="shared" si="1"/>
        <v/>
      </c>
      <c r="E167" s="131" t="str">
        <f t="shared" si="2"/>
        <v/>
      </c>
      <c r="F167" s="131" t="str">
        <f t="shared" si="3"/>
        <v/>
      </c>
      <c r="G167" s="131" t="str">
        <f t="shared" si="4"/>
        <v/>
      </c>
      <c r="H167" s="131" t="str">
        <f t="shared" si="5"/>
        <v/>
      </c>
      <c r="I167" s="131" t="str">
        <f t="shared" si="6"/>
        <v/>
      </c>
      <c r="J167" s="132" t="str">
        <f t="shared" si="7"/>
        <v/>
      </c>
      <c r="K167" s="44"/>
      <c r="L167" s="133"/>
      <c r="M167" s="9"/>
      <c r="N167" s="9"/>
      <c r="O167" s="9"/>
      <c r="P167" s="9"/>
      <c r="Q167" s="9"/>
      <c r="R167" s="9"/>
      <c r="S167" s="9"/>
      <c r="T167" s="9"/>
      <c r="U167" s="9"/>
      <c r="V167" s="9"/>
      <c r="W167" s="9"/>
      <c r="X167" s="9"/>
      <c r="Y167" s="9"/>
      <c r="Z167" s="9"/>
      <c r="AA167" s="9"/>
      <c r="AB167" s="9"/>
      <c r="AC167" s="9"/>
      <c r="AD167" s="9"/>
      <c r="AE167" s="9"/>
      <c r="AF167" s="9"/>
      <c r="AG167" s="9"/>
      <c r="AH167" s="9"/>
      <c r="AI167" s="9"/>
      <c r="AJ167" s="9"/>
    </row>
    <row r="168" spans="1:36" ht="15" customHeight="1">
      <c r="A168" s="62">
        <f>'Students Details'!A168</f>
        <v>162</v>
      </c>
      <c r="B168" s="128" t="str">
        <f>IF('Students Details'!B168="","",'Students Details'!B168)</f>
        <v/>
      </c>
      <c r="C168" s="129" t="str">
        <f>IF('Students Details'!C168="","",'Students Details'!C168)</f>
        <v/>
      </c>
      <c r="D168" s="130" t="str">
        <f t="shared" si="1"/>
        <v/>
      </c>
      <c r="E168" s="131" t="str">
        <f t="shared" si="2"/>
        <v/>
      </c>
      <c r="F168" s="131" t="str">
        <f t="shared" si="3"/>
        <v/>
      </c>
      <c r="G168" s="131" t="str">
        <f t="shared" si="4"/>
        <v/>
      </c>
      <c r="H168" s="131" t="str">
        <f t="shared" si="5"/>
        <v/>
      </c>
      <c r="I168" s="131" t="str">
        <f t="shared" si="6"/>
        <v/>
      </c>
      <c r="J168" s="132" t="str">
        <f t="shared" si="7"/>
        <v/>
      </c>
      <c r="K168" s="44"/>
      <c r="L168" s="133"/>
      <c r="M168" s="9"/>
      <c r="N168" s="9"/>
      <c r="O168" s="9"/>
      <c r="P168" s="9"/>
      <c r="Q168" s="9"/>
      <c r="R168" s="9"/>
      <c r="S168" s="9"/>
      <c r="T168" s="9"/>
      <c r="U168" s="9"/>
      <c r="V168" s="9"/>
      <c r="W168" s="9"/>
      <c r="X168" s="9"/>
      <c r="Y168" s="9"/>
      <c r="Z168" s="9"/>
      <c r="AA168" s="9"/>
      <c r="AB168" s="9"/>
      <c r="AC168" s="9"/>
      <c r="AD168" s="9"/>
      <c r="AE168" s="9"/>
      <c r="AF168" s="9"/>
      <c r="AG168" s="9"/>
      <c r="AH168" s="9"/>
      <c r="AI168" s="9"/>
      <c r="AJ168" s="9"/>
    </row>
    <row r="169" spans="1:36" ht="15" customHeight="1">
      <c r="A169" s="62">
        <f>'Students Details'!A169</f>
        <v>163</v>
      </c>
      <c r="B169" s="128" t="str">
        <f>IF('Students Details'!B169="","",'Students Details'!B169)</f>
        <v/>
      </c>
      <c r="C169" s="129" t="str">
        <f>IF('Students Details'!C169="","",'Students Details'!C169)</f>
        <v/>
      </c>
      <c r="D169" s="130" t="str">
        <f t="shared" si="1"/>
        <v/>
      </c>
      <c r="E169" s="131" t="str">
        <f t="shared" si="2"/>
        <v/>
      </c>
      <c r="F169" s="131" t="str">
        <f t="shared" si="3"/>
        <v/>
      </c>
      <c r="G169" s="131" t="str">
        <f t="shared" si="4"/>
        <v/>
      </c>
      <c r="H169" s="131" t="str">
        <f t="shared" si="5"/>
        <v/>
      </c>
      <c r="I169" s="131" t="str">
        <f t="shared" si="6"/>
        <v/>
      </c>
      <c r="J169" s="132" t="str">
        <f t="shared" si="7"/>
        <v/>
      </c>
      <c r="K169" s="44"/>
      <c r="L169" s="133"/>
      <c r="M169" s="9"/>
      <c r="N169" s="9"/>
      <c r="O169" s="9"/>
      <c r="P169" s="9"/>
      <c r="Q169" s="9"/>
      <c r="R169" s="9"/>
      <c r="S169" s="9"/>
      <c r="T169" s="9"/>
      <c r="U169" s="9"/>
      <c r="V169" s="9"/>
      <c r="W169" s="9"/>
      <c r="X169" s="9"/>
      <c r="Y169" s="9"/>
      <c r="Z169" s="9"/>
      <c r="AA169" s="9"/>
      <c r="AB169" s="9"/>
      <c r="AC169" s="9"/>
      <c r="AD169" s="9"/>
      <c r="AE169" s="9"/>
      <c r="AF169" s="9"/>
      <c r="AG169" s="9"/>
      <c r="AH169" s="9"/>
      <c r="AI169" s="9"/>
      <c r="AJ169" s="9"/>
    </row>
    <row r="170" spans="1:36" ht="15" customHeight="1">
      <c r="A170" s="62">
        <f>'Students Details'!A170</f>
        <v>164</v>
      </c>
      <c r="B170" s="128" t="str">
        <f>IF('Students Details'!B170="","",'Students Details'!B170)</f>
        <v/>
      </c>
      <c r="C170" s="129" t="str">
        <f>IF('Students Details'!C170="","",'Students Details'!C170)</f>
        <v/>
      </c>
      <c r="D170" s="130" t="str">
        <f t="shared" si="1"/>
        <v/>
      </c>
      <c r="E170" s="131" t="str">
        <f t="shared" si="2"/>
        <v/>
      </c>
      <c r="F170" s="131" t="str">
        <f t="shared" si="3"/>
        <v/>
      </c>
      <c r="G170" s="131" t="str">
        <f t="shared" si="4"/>
        <v/>
      </c>
      <c r="H170" s="131" t="str">
        <f t="shared" si="5"/>
        <v/>
      </c>
      <c r="I170" s="131" t="str">
        <f t="shared" si="6"/>
        <v/>
      </c>
      <c r="J170" s="132" t="str">
        <f t="shared" si="7"/>
        <v/>
      </c>
      <c r="K170" s="44"/>
      <c r="L170" s="133"/>
      <c r="M170" s="9"/>
      <c r="N170" s="9"/>
      <c r="O170" s="9"/>
      <c r="P170" s="9"/>
      <c r="Q170" s="9"/>
      <c r="R170" s="9"/>
      <c r="S170" s="9"/>
      <c r="T170" s="9"/>
      <c r="U170" s="9"/>
      <c r="V170" s="9"/>
      <c r="W170" s="9"/>
      <c r="X170" s="9"/>
      <c r="Y170" s="9"/>
      <c r="Z170" s="9"/>
      <c r="AA170" s="9"/>
      <c r="AB170" s="9"/>
      <c r="AC170" s="9"/>
      <c r="AD170" s="9"/>
      <c r="AE170" s="9"/>
      <c r="AF170" s="9"/>
      <c r="AG170" s="9"/>
      <c r="AH170" s="9"/>
      <c r="AI170" s="9"/>
      <c r="AJ170" s="9"/>
    </row>
    <row r="171" spans="1:36" ht="15" customHeight="1">
      <c r="A171" s="62">
        <f>'Students Details'!A171</f>
        <v>165</v>
      </c>
      <c r="B171" s="128" t="str">
        <f>IF('Students Details'!B171="","",'Students Details'!B171)</f>
        <v/>
      </c>
      <c r="C171" s="129" t="str">
        <f>IF('Students Details'!C171="","",'Students Details'!C171)</f>
        <v/>
      </c>
      <c r="D171" s="130" t="str">
        <f t="shared" si="1"/>
        <v/>
      </c>
      <c r="E171" s="131" t="str">
        <f t="shared" si="2"/>
        <v/>
      </c>
      <c r="F171" s="131" t="str">
        <f t="shared" si="3"/>
        <v/>
      </c>
      <c r="G171" s="131" t="str">
        <f t="shared" si="4"/>
        <v/>
      </c>
      <c r="H171" s="131" t="str">
        <f t="shared" si="5"/>
        <v/>
      </c>
      <c r="I171" s="131" t="str">
        <f t="shared" si="6"/>
        <v/>
      </c>
      <c r="J171" s="132" t="str">
        <f t="shared" si="7"/>
        <v/>
      </c>
      <c r="K171" s="44"/>
      <c r="L171" s="133"/>
      <c r="M171" s="9"/>
      <c r="N171" s="9"/>
      <c r="O171" s="9"/>
      <c r="P171" s="9"/>
      <c r="Q171" s="9"/>
      <c r="R171" s="9"/>
      <c r="S171" s="9"/>
      <c r="T171" s="9"/>
      <c r="U171" s="9"/>
      <c r="V171" s="9"/>
      <c r="W171" s="9"/>
      <c r="X171" s="9"/>
      <c r="Y171" s="9"/>
      <c r="Z171" s="9"/>
      <c r="AA171" s="9"/>
      <c r="AB171" s="9"/>
      <c r="AC171" s="9"/>
      <c r="AD171" s="9"/>
      <c r="AE171" s="9"/>
      <c r="AF171" s="9"/>
      <c r="AG171" s="9"/>
      <c r="AH171" s="9"/>
      <c r="AI171" s="9"/>
      <c r="AJ171" s="9"/>
    </row>
    <row r="172" spans="1:36" ht="15" customHeight="1">
      <c r="A172" s="62">
        <f>'Students Details'!A172</f>
        <v>166</v>
      </c>
      <c r="B172" s="128" t="str">
        <f>IF('Students Details'!B172="","",'Students Details'!B172)</f>
        <v/>
      </c>
      <c r="C172" s="129" t="str">
        <f>IF('Students Details'!C172="","",'Students Details'!C172)</f>
        <v/>
      </c>
      <c r="D172" s="130" t="str">
        <f t="shared" si="1"/>
        <v/>
      </c>
      <c r="E172" s="131" t="str">
        <f t="shared" si="2"/>
        <v/>
      </c>
      <c r="F172" s="131" t="str">
        <f t="shared" si="3"/>
        <v/>
      </c>
      <c r="G172" s="131" t="str">
        <f t="shared" si="4"/>
        <v/>
      </c>
      <c r="H172" s="131" t="str">
        <f t="shared" si="5"/>
        <v/>
      </c>
      <c r="I172" s="131" t="str">
        <f t="shared" si="6"/>
        <v/>
      </c>
      <c r="J172" s="132" t="str">
        <f t="shared" si="7"/>
        <v/>
      </c>
      <c r="K172" s="44"/>
      <c r="L172" s="133"/>
      <c r="M172" s="9"/>
      <c r="N172" s="9"/>
      <c r="O172" s="9"/>
      <c r="P172" s="9"/>
      <c r="Q172" s="9"/>
      <c r="R172" s="9"/>
      <c r="S172" s="9"/>
      <c r="T172" s="9"/>
      <c r="U172" s="9"/>
      <c r="V172" s="9"/>
      <c r="W172" s="9"/>
      <c r="X172" s="9"/>
      <c r="Y172" s="9"/>
      <c r="Z172" s="9"/>
      <c r="AA172" s="9"/>
      <c r="AB172" s="9"/>
      <c r="AC172" s="9"/>
      <c r="AD172" s="9"/>
      <c r="AE172" s="9"/>
      <c r="AF172" s="9"/>
      <c r="AG172" s="9"/>
      <c r="AH172" s="9"/>
      <c r="AI172" s="9"/>
      <c r="AJ172" s="9"/>
    </row>
    <row r="173" spans="1:36" ht="15" customHeight="1">
      <c r="A173" s="62">
        <f>'Students Details'!A173</f>
        <v>167</v>
      </c>
      <c r="B173" s="128" t="str">
        <f>IF('Students Details'!B173="","",'Students Details'!B173)</f>
        <v/>
      </c>
      <c r="C173" s="129" t="str">
        <f>IF('Students Details'!C173="","",'Students Details'!C173)</f>
        <v/>
      </c>
      <c r="D173" s="130" t="str">
        <f t="shared" si="1"/>
        <v/>
      </c>
      <c r="E173" s="131" t="str">
        <f t="shared" si="2"/>
        <v/>
      </c>
      <c r="F173" s="131" t="str">
        <f t="shared" si="3"/>
        <v/>
      </c>
      <c r="G173" s="131" t="str">
        <f t="shared" si="4"/>
        <v/>
      </c>
      <c r="H173" s="131" t="str">
        <f t="shared" si="5"/>
        <v/>
      </c>
      <c r="I173" s="131" t="str">
        <f t="shared" si="6"/>
        <v/>
      </c>
      <c r="J173" s="132" t="str">
        <f t="shared" si="7"/>
        <v/>
      </c>
      <c r="K173" s="44"/>
      <c r="L173" s="133"/>
      <c r="M173" s="9"/>
      <c r="N173" s="9"/>
      <c r="O173" s="9"/>
      <c r="P173" s="9"/>
      <c r="Q173" s="9"/>
      <c r="R173" s="9"/>
      <c r="S173" s="9"/>
      <c r="T173" s="9"/>
      <c r="U173" s="9"/>
      <c r="V173" s="9"/>
      <c r="W173" s="9"/>
      <c r="X173" s="9"/>
      <c r="Y173" s="9"/>
      <c r="Z173" s="9"/>
      <c r="AA173" s="9"/>
      <c r="AB173" s="9"/>
      <c r="AC173" s="9"/>
      <c r="AD173" s="9"/>
      <c r="AE173" s="9"/>
      <c r="AF173" s="9"/>
      <c r="AG173" s="9"/>
      <c r="AH173" s="9"/>
      <c r="AI173" s="9"/>
      <c r="AJ173" s="9"/>
    </row>
    <row r="174" spans="1:36" ht="15" customHeight="1">
      <c r="A174" s="62">
        <f>'Students Details'!A174</f>
        <v>168</v>
      </c>
      <c r="B174" s="128" t="str">
        <f>IF('Students Details'!B174="","",'Students Details'!B174)</f>
        <v/>
      </c>
      <c r="C174" s="129" t="str">
        <f>IF('Students Details'!C174="","",'Students Details'!C174)</f>
        <v/>
      </c>
      <c r="D174" s="130" t="str">
        <f t="shared" si="1"/>
        <v/>
      </c>
      <c r="E174" s="131" t="str">
        <f t="shared" si="2"/>
        <v/>
      </c>
      <c r="F174" s="131" t="str">
        <f t="shared" si="3"/>
        <v/>
      </c>
      <c r="G174" s="131" t="str">
        <f t="shared" si="4"/>
        <v/>
      </c>
      <c r="H174" s="131" t="str">
        <f t="shared" si="5"/>
        <v/>
      </c>
      <c r="I174" s="131" t="str">
        <f t="shared" si="6"/>
        <v/>
      </c>
      <c r="J174" s="132" t="str">
        <f t="shared" si="7"/>
        <v/>
      </c>
      <c r="K174" s="44"/>
      <c r="L174" s="133"/>
      <c r="M174" s="9"/>
      <c r="N174" s="9"/>
      <c r="O174" s="9"/>
      <c r="P174" s="9"/>
      <c r="Q174" s="9"/>
      <c r="R174" s="9"/>
      <c r="S174" s="9"/>
      <c r="T174" s="9"/>
      <c r="U174" s="9"/>
      <c r="V174" s="9"/>
      <c r="W174" s="9"/>
      <c r="X174" s="9"/>
      <c r="Y174" s="9"/>
      <c r="Z174" s="9"/>
      <c r="AA174" s="9"/>
      <c r="AB174" s="9"/>
      <c r="AC174" s="9"/>
      <c r="AD174" s="9"/>
      <c r="AE174" s="9"/>
      <c r="AF174" s="9"/>
      <c r="AG174" s="9"/>
      <c r="AH174" s="9"/>
      <c r="AI174" s="9"/>
      <c r="AJ174" s="9"/>
    </row>
    <row r="175" spans="1:36" ht="15" customHeight="1">
      <c r="A175" s="62">
        <f>'Students Details'!A175</f>
        <v>169</v>
      </c>
      <c r="B175" s="128" t="str">
        <f>IF('Students Details'!B175="","",'Students Details'!B175)</f>
        <v/>
      </c>
      <c r="C175" s="129" t="str">
        <f>IF('Students Details'!C175="","",'Students Details'!C175)</f>
        <v/>
      </c>
      <c r="D175" s="130" t="str">
        <f t="shared" si="1"/>
        <v/>
      </c>
      <c r="E175" s="131" t="str">
        <f t="shared" si="2"/>
        <v/>
      </c>
      <c r="F175" s="131" t="str">
        <f t="shared" si="3"/>
        <v/>
      </c>
      <c r="G175" s="131" t="str">
        <f t="shared" si="4"/>
        <v/>
      </c>
      <c r="H175" s="131" t="str">
        <f t="shared" si="5"/>
        <v/>
      </c>
      <c r="I175" s="131" t="str">
        <f t="shared" si="6"/>
        <v/>
      </c>
      <c r="J175" s="132" t="str">
        <f t="shared" si="7"/>
        <v/>
      </c>
      <c r="K175" s="44"/>
      <c r="L175" s="133"/>
      <c r="M175" s="9"/>
      <c r="N175" s="9"/>
      <c r="O175" s="9"/>
      <c r="P175" s="9"/>
      <c r="Q175" s="9"/>
      <c r="R175" s="9"/>
      <c r="S175" s="9"/>
      <c r="T175" s="9"/>
      <c r="U175" s="9"/>
      <c r="V175" s="9"/>
      <c r="W175" s="9"/>
      <c r="X175" s="9"/>
      <c r="Y175" s="9"/>
      <c r="Z175" s="9"/>
      <c r="AA175" s="9"/>
      <c r="AB175" s="9"/>
      <c r="AC175" s="9"/>
      <c r="AD175" s="9"/>
      <c r="AE175" s="9"/>
      <c r="AF175" s="9"/>
      <c r="AG175" s="9"/>
      <c r="AH175" s="9"/>
      <c r="AI175" s="9"/>
      <c r="AJ175" s="9"/>
    </row>
    <row r="176" spans="1:36" ht="15" customHeight="1">
      <c r="A176" s="62">
        <f>'Students Details'!A176</f>
        <v>170</v>
      </c>
      <c r="B176" s="128" t="str">
        <f>IF('Students Details'!B176="","",'Students Details'!B176)</f>
        <v/>
      </c>
      <c r="C176" s="129" t="str">
        <f>IF('Students Details'!C176="","",'Students Details'!C176)</f>
        <v/>
      </c>
      <c r="D176" s="130" t="str">
        <f t="shared" si="1"/>
        <v/>
      </c>
      <c r="E176" s="131" t="str">
        <f t="shared" si="2"/>
        <v/>
      </c>
      <c r="F176" s="131" t="str">
        <f t="shared" si="3"/>
        <v/>
      </c>
      <c r="G176" s="131" t="str">
        <f t="shared" si="4"/>
        <v/>
      </c>
      <c r="H176" s="131" t="str">
        <f t="shared" si="5"/>
        <v/>
      </c>
      <c r="I176" s="131" t="str">
        <f t="shared" si="6"/>
        <v/>
      </c>
      <c r="J176" s="132" t="str">
        <f t="shared" si="7"/>
        <v/>
      </c>
      <c r="K176" s="44"/>
      <c r="L176" s="133"/>
      <c r="M176" s="9"/>
      <c r="N176" s="9"/>
      <c r="O176" s="9"/>
      <c r="P176" s="9"/>
      <c r="Q176" s="9"/>
      <c r="R176" s="9"/>
      <c r="S176" s="9"/>
      <c r="T176" s="9"/>
      <c r="U176" s="9"/>
      <c r="V176" s="9"/>
      <c r="W176" s="9"/>
      <c r="X176" s="9"/>
      <c r="Y176" s="9"/>
      <c r="Z176" s="9"/>
      <c r="AA176" s="9"/>
      <c r="AB176" s="9"/>
      <c r="AC176" s="9"/>
      <c r="AD176" s="9"/>
      <c r="AE176" s="9"/>
      <c r="AF176" s="9"/>
      <c r="AG176" s="9"/>
      <c r="AH176" s="9"/>
      <c r="AI176" s="9"/>
      <c r="AJ176" s="9"/>
    </row>
    <row r="177" spans="1:36" ht="15" customHeight="1">
      <c r="A177" s="62">
        <f>'Students Details'!A177</f>
        <v>171</v>
      </c>
      <c r="B177" s="128" t="str">
        <f>IF('Students Details'!B177="","",'Students Details'!B177)</f>
        <v/>
      </c>
      <c r="C177" s="129" t="str">
        <f>IF('Students Details'!C177="","",'Students Details'!C177)</f>
        <v/>
      </c>
      <c r="D177" s="130" t="str">
        <f t="shared" si="1"/>
        <v/>
      </c>
      <c r="E177" s="131" t="str">
        <f t="shared" si="2"/>
        <v/>
      </c>
      <c r="F177" s="131" t="str">
        <f t="shared" si="3"/>
        <v/>
      </c>
      <c r="G177" s="131" t="str">
        <f t="shared" si="4"/>
        <v/>
      </c>
      <c r="H177" s="131" t="str">
        <f t="shared" si="5"/>
        <v/>
      </c>
      <c r="I177" s="131" t="str">
        <f t="shared" si="6"/>
        <v/>
      </c>
      <c r="J177" s="132" t="str">
        <f t="shared" si="7"/>
        <v/>
      </c>
      <c r="K177" s="44"/>
      <c r="L177" s="133"/>
      <c r="M177" s="9"/>
      <c r="N177" s="9"/>
      <c r="O177" s="9"/>
      <c r="P177" s="9"/>
      <c r="Q177" s="9"/>
      <c r="R177" s="9"/>
      <c r="S177" s="9"/>
      <c r="T177" s="9"/>
      <c r="U177" s="9"/>
      <c r="V177" s="9"/>
      <c r="W177" s="9"/>
      <c r="X177" s="9"/>
      <c r="Y177" s="9"/>
      <c r="Z177" s="9"/>
      <c r="AA177" s="9"/>
      <c r="AB177" s="9"/>
      <c r="AC177" s="9"/>
      <c r="AD177" s="9"/>
      <c r="AE177" s="9"/>
      <c r="AF177" s="9"/>
      <c r="AG177" s="9"/>
      <c r="AH177" s="9"/>
      <c r="AI177" s="9"/>
      <c r="AJ177" s="9"/>
    </row>
    <row r="178" spans="1:36" ht="15" customHeight="1">
      <c r="A178" s="62">
        <f>'Students Details'!A178</f>
        <v>172</v>
      </c>
      <c r="B178" s="128" t="str">
        <f>IF('Students Details'!B178="","",'Students Details'!B178)</f>
        <v/>
      </c>
      <c r="C178" s="129" t="str">
        <f>IF('Students Details'!C178="","",'Students Details'!C178)</f>
        <v/>
      </c>
      <c r="D178" s="130" t="str">
        <f t="shared" si="1"/>
        <v/>
      </c>
      <c r="E178" s="131" t="str">
        <f t="shared" si="2"/>
        <v/>
      </c>
      <c r="F178" s="131" t="str">
        <f t="shared" si="3"/>
        <v/>
      </c>
      <c r="G178" s="131" t="str">
        <f t="shared" si="4"/>
        <v/>
      </c>
      <c r="H178" s="131" t="str">
        <f t="shared" si="5"/>
        <v/>
      </c>
      <c r="I178" s="131" t="str">
        <f t="shared" si="6"/>
        <v/>
      </c>
      <c r="J178" s="132" t="str">
        <f t="shared" si="7"/>
        <v/>
      </c>
      <c r="K178" s="44"/>
      <c r="L178" s="133"/>
      <c r="M178" s="9"/>
      <c r="N178" s="9"/>
      <c r="O178" s="9"/>
      <c r="P178" s="9"/>
      <c r="Q178" s="9"/>
      <c r="R178" s="9"/>
      <c r="S178" s="9"/>
      <c r="T178" s="9"/>
      <c r="U178" s="9"/>
      <c r="V178" s="9"/>
      <c r="W178" s="9"/>
      <c r="X178" s="9"/>
      <c r="Y178" s="9"/>
      <c r="Z178" s="9"/>
      <c r="AA178" s="9"/>
      <c r="AB178" s="9"/>
      <c r="AC178" s="9"/>
      <c r="AD178" s="9"/>
      <c r="AE178" s="9"/>
      <c r="AF178" s="9"/>
      <c r="AG178" s="9"/>
      <c r="AH178" s="9"/>
      <c r="AI178" s="9"/>
      <c r="AJ178" s="9"/>
    </row>
    <row r="179" spans="1:36" ht="15" customHeight="1">
      <c r="A179" s="62">
        <f>'Students Details'!A179</f>
        <v>173</v>
      </c>
      <c r="B179" s="128" t="str">
        <f>IF('Students Details'!B179="","",'Students Details'!B179)</f>
        <v/>
      </c>
      <c r="C179" s="129" t="str">
        <f>IF('Students Details'!C179="","",'Students Details'!C179)</f>
        <v/>
      </c>
      <c r="D179" s="130" t="str">
        <f t="shared" si="1"/>
        <v/>
      </c>
      <c r="E179" s="131" t="str">
        <f t="shared" si="2"/>
        <v/>
      </c>
      <c r="F179" s="131" t="str">
        <f t="shared" si="3"/>
        <v/>
      </c>
      <c r="G179" s="131" t="str">
        <f t="shared" si="4"/>
        <v/>
      </c>
      <c r="H179" s="131" t="str">
        <f t="shared" si="5"/>
        <v/>
      </c>
      <c r="I179" s="131" t="str">
        <f t="shared" si="6"/>
        <v/>
      </c>
      <c r="J179" s="132" t="str">
        <f t="shared" si="7"/>
        <v/>
      </c>
      <c r="K179" s="44"/>
      <c r="L179" s="133"/>
      <c r="M179" s="9"/>
      <c r="N179" s="9"/>
      <c r="O179" s="9"/>
      <c r="P179" s="9"/>
      <c r="Q179" s="9"/>
      <c r="R179" s="9"/>
      <c r="S179" s="9"/>
      <c r="T179" s="9"/>
      <c r="U179" s="9"/>
      <c r="V179" s="9"/>
      <c r="W179" s="9"/>
      <c r="X179" s="9"/>
      <c r="Y179" s="9"/>
      <c r="Z179" s="9"/>
      <c r="AA179" s="9"/>
      <c r="AB179" s="9"/>
      <c r="AC179" s="9"/>
      <c r="AD179" s="9"/>
      <c r="AE179" s="9"/>
      <c r="AF179" s="9"/>
      <c r="AG179" s="9"/>
      <c r="AH179" s="9"/>
      <c r="AI179" s="9"/>
      <c r="AJ179" s="9"/>
    </row>
    <row r="180" spans="1:36" ht="15" customHeight="1">
      <c r="A180" s="62">
        <f>'Students Details'!A180</f>
        <v>174</v>
      </c>
      <c r="B180" s="128" t="str">
        <f>IF('Students Details'!B180="","",'Students Details'!B180)</f>
        <v/>
      </c>
      <c r="C180" s="129" t="str">
        <f>IF('Students Details'!C180="","",'Students Details'!C180)</f>
        <v/>
      </c>
      <c r="D180" s="130" t="str">
        <f t="shared" si="1"/>
        <v/>
      </c>
      <c r="E180" s="131" t="str">
        <f t="shared" si="2"/>
        <v/>
      </c>
      <c r="F180" s="131" t="str">
        <f t="shared" si="3"/>
        <v/>
      </c>
      <c r="G180" s="131" t="str">
        <f t="shared" si="4"/>
        <v/>
      </c>
      <c r="H180" s="131" t="str">
        <f t="shared" si="5"/>
        <v/>
      </c>
      <c r="I180" s="131" t="str">
        <f t="shared" si="6"/>
        <v/>
      </c>
      <c r="J180" s="132" t="str">
        <f t="shared" si="7"/>
        <v/>
      </c>
      <c r="K180" s="44"/>
      <c r="L180" s="133"/>
      <c r="M180" s="9"/>
      <c r="N180" s="9"/>
      <c r="O180" s="9"/>
      <c r="P180" s="9"/>
      <c r="Q180" s="9"/>
      <c r="R180" s="9"/>
      <c r="S180" s="9"/>
      <c r="T180" s="9"/>
      <c r="U180" s="9"/>
      <c r="V180" s="9"/>
      <c r="W180" s="9"/>
      <c r="X180" s="9"/>
      <c r="Y180" s="9"/>
      <c r="Z180" s="9"/>
      <c r="AA180" s="9"/>
      <c r="AB180" s="9"/>
      <c r="AC180" s="9"/>
      <c r="AD180" s="9"/>
      <c r="AE180" s="9"/>
      <c r="AF180" s="9"/>
      <c r="AG180" s="9"/>
      <c r="AH180" s="9"/>
      <c r="AI180" s="9"/>
      <c r="AJ180" s="9"/>
    </row>
    <row r="181" spans="1:36" ht="15" customHeight="1">
      <c r="A181" s="62">
        <f>'Students Details'!A181</f>
        <v>175</v>
      </c>
      <c r="B181" s="128" t="str">
        <f>IF('Students Details'!B181="","",'Students Details'!B181)</f>
        <v/>
      </c>
      <c r="C181" s="129" t="str">
        <f>IF('Students Details'!C181="","",'Students Details'!C181)</f>
        <v/>
      </c>
      <c r="D181" s="130" t="str">
        <f t="shared" si="1"/>
        <v/>
      </c>
      <c r="E181" s="131" t="str">
        <f t="shared" si="2"/>
        <v/>
      </c>
      <c r="F181" s="131" t="str">
        <f t="shared" si="3"/>
        <v/>
      </c>
      <c r="G181" s="131" t="str">
        <f t="shared" si="4"/>
        <v/>
      </c>
      <c r="H181" s="131" t="str">
        <f t="shared" si="5"/>
        <v/>
      </c>
      <c r="I181" s="131" t="str">
        <f t="shared" si="6"/>
        <v/>
      </c>
      <c r="J181" s="132" t="str">
        <f t="shared" si="7"/>
        <v/>
      </c>
      <c r="K181" s="44"/>
      <c r="L181" s="133"/>
      <c r="M181" s="9"/>
      <c r="N181" s="9"/>
      <c r="O181" s="9"/>
      <c r="P181" s="9"/>
      <c r="Q181" s="9"/>
      <c r="R181" s="9"/>
      <c r="S181" s="9"/>
      <c r="T181" s="9"/>
      <c r="U181" s="9"/>
      <c r="V181" s="9"/>
      <c r="W181" s="9"/>
      <c r="X181" s="9"/>
      <c r="Y181" s="9"/>
      <c r="Z181" s="9"/>
      <c r="AA181" s="9"/>
      <c r="AB181" s="9"/>
      <c r="AC181" s="9"/>
      <c r="AD181" s="9"/>
      <c r="AE181" s="9"/>
      <c r="AF181" s="9"/>
      <c r="AG181" s="9"/>
      <c r="AH181" s="9"/>
      <c r="AI181" s="9"/>
      <c r="AJ181" s="9"/>
    </row>
    <row r="182" spans="1:36" ht="15" customHeight="1">
      <c r="A182" s="62">
        <f>'Students Details'!A182</f>
        <v>176</v>
      </c>
      <c r="B182" s="128" t="str">
        <f>IF('Students Details'!B182="","",'Students Details'!B182)</f>
        <v/>
      </c>
      <c r="C182" s="129" t="str">
        <f>IF('Students Details'!C182="","",'Students Details'!C182)</f>
        <v/>
      </c>
      <c r="D182" s="130" t="str">
        <f t="shared" si="1"/>
        <v/>
      </c>
      <c r="E182" s="131" t="str">
        <f t="shared" si="2"/>
        <v/>
      </c>
      <c r="F182" s="131" t="str">
        <f t="shared" si="3"/>
        <v/>
      </c>
      <c r="G182" s="131" t="str">
        <f t="shared" si="4"/>
        <v/>
      </c>
      <c r="H182" s="131" t="str">
        <f t="shared" si="5"/>
        <v/>
      </c>
      <c r="I182" s="131" t="str">
        <f t="shared" si="6"/>
        <v/>
      </c>
      <c r="J182" s="132" t="str">
        <f t="shared" si="7"/>
        <v/>
      </c>
      <c r="K182" s="44"/>
      <c r="L182" s="133"/>
      <c r="M182" s="9"/>
      <c r="N182" s="9"/>
      <c r="O182" s="9"/>
      <c r="P182" s="9"/>
      <c r="Q182" s="9"/>
      <c r="R182" s="9"/>
      <c r="S182" s="9"/>
      <c r="T182" s="9"/>
      <c r="U182" s="9"/>
      <c r="V182" s="9"/>
      <c r="W182" s="9"/>
      <c r="X182" s="9"/>
      <c r="Y182" s="9"/>
      <c r="Z182" s="9"/>
      <c r="AA182" s="9"/>
      <c r="AB182" s="9"/>
      <c r="AC182" s="9"/>
      <c r="AD182" s="9"/>
      <c r="AE182" s="9"/>
      <c r="AF182" s="9"/>
      <c r="AG182" s="9"/>
      <c r="AH182" s="9"/>
      <c r="AI182" s="9"/>
      <c r="AJ182" s="9"/>
    </row>
    <row r="183" spans="1:36" ht="15" customHeight="1">
      <c r="A183" s="62">
        <f>'Students Details'!A183</f>
        <v>177</v>
      </c>
      <c r="B183" s="128" t="str">
        <f>IF('Students Details'!B183="","",'Students Details'!B183)</f>
        <v/>
      </c>
      <c r="C183" s="129" t="str">
        <f>IF('Students Details'!C183="","",'Students Details'!C183)</f>
        <v/>
      </c>
      <c r="D183" s="130" t="str">
        <f t="shared" si="1"/>
        <v/>
      </c>
      <c r="E183" s="131" t="str">
        <f t="shared" si="2"/>
        <v/>
      </c>
      <c r="F183" s="131" t="str">
        <f t="shared" si="3"/>
        <v/>
      </c>
      <c r="G183" s="131" t="str">
        <f t="shared" si="4"/>
        <v/>
      </c>
      <c r="H183" s="131" t="str">
        <f t="shared" si="5"/>
        <v/>
      </c>
      <c r="I183" s="131" t="str">
        <f t="shared" si="6"/>
        <v/>
      </c>
      <c r="J183" s="132" t="str">
        <f t="shared" si="7"/>
        <v/>
      </c>
      <c r="K183" s="44"/>
      <c r="L183" s="133"/>
      <c r="M183" s="9"/>
      <c r="N183" s="9"/>
      <c r="O183" s="9"/>
      <c r="P183" s="9"/>
      <c r="Q183" s="9"/>
      <c r="R183" s="9"/>
      <c r="S183" s="9"/>
      <c r="T183" s="9"/>
      <c r="U183" s="9"/>
      <c r="V183" s="9"/>
      <c r="W183" s="9"/>
      <c r="X183" s="9"/>
      <c r="Y183" s="9"/>
      <c r="Z183" s="9"/>
      <c r="AA183" s="9"/>
      <c r="AB183" s="9"/>
      <c r="AC183" s="9"/>
      <c r="AD183" s="9"/>
      <c r="AE183" s="9"/>
      <c r="AF183" s="9"/>
      <c r="AG183" s="9"/>
      <c r="AH183" s="9"/>
      <c r="AI183" s="9"/>
      <c r="AJ183" s="9"/>
    </row>
    <row r="184" spans="1:36" ht="15" customHeight="1">
      <c r="A184" s="62">
        <f>'Students Details'!A184</f>
        <v>178</v>
      </c>
      <c r="B184" s="128" t="str">
        <f>IF('Students Details'!B184="","",'Students Details'!B184)</f>
        <v/>
      </c>
      <c r="C184" s="129" t="str">
        <f>IF('Students Details'!C184="","",'Students Details'!C184)</f>
        <v/>
      </c>
      <c r="D184" s="130" t="str">
        <f t="shared" si="1"/>
        <v/>
      </c>
      <c r="E184" s="131" t="str">
        <f t="shared" si="2"/>
        <v/>
      </c>
      <c r="F184" s="131" t="str">
        <f t="shared" si="3"/>
        <v/>
      </c>
      <c r="G184" s="131" t="str">
        <f t="shared" si="4"/>
        <v/>
      </c>
      <c r="H184" s="131" t="str">
        <f t="shared" si="5"/>
        <v/>
      </c>
      <c r="I184" s="131" t="str">
        <f t="shared" si="6"/>
        <v/>
      </c>
      <c r="J184" s="132" t="str">
        <f t="shared" si="7"/>
        <v/>
      </c>
      <c r="K184" s="44"/>
      <c r="L184" s="133"/>
      <c r="M184" s="9"/>
      <c r="N184" s="9"/>
      <c r="O184" s="9"/>
      <c r="P184" s="9"/>
      <c r="Q184" s="9"/>
      <c r="R184" s="9"/>
      <c r="S184" s="9"/>
      <c r="T184" s="9"/>
      <c r="U184" s="9"/>
      <c r="V184" s="9"/>
      <c r="W184" s="9"/>
      <c r="X184" s="9"/>
      <c r="Y184" s="9"/>
      <c r="Z184" s="9"/>
      <c r="AA184" s="9"/>
      <c r="AB184" s="9"/>
      <c r="AC184" s="9"/>
      <c r="AD184" s="9"/>
      <c r="AE184" s="9"/>
      <c r="AF184" s="9"/>
      <c r="AG184" s="9"/>
      <c r="AH184" s="9"/>
      <c r="AI184" s="9"/>
      <c r="AJ184" s="9"/>
    </row>
    <row r="185" spans="1:36" ht="15" customHeight="1">
      <c r="A185" s="62">
        <f>'Students Details'!A185</f>
        <v>179</v>
      </c>
      <c r="B185" s="128" t="str">
        <f>IF('Students Details'!B185="","",'Students Details'!B185)</f>
        <v/>
      </c>
      <c r="C185" s="129" t="str">
        <f>IF('Students Details'!C185="","",'Students Details'!C185)</f>
        <v/>
      </c>
      <c r="D185" s="130" t="str">
        <f t="shared" si="1"/>
        <v/>
      </c>
      <c r="E185" s="131" t="str">
        <f t="shared" si="2"/>
        <v/>
      </c>
      <c r="F185" s="131" t="str">
        <f t="shared" si="3"/>
        <v/>
      </c>
      <c r="G185" s="131" t="str">
        <f t="shared" si="4"/>
        <v/>
      </c>
      <c r="H185" s="131" t="str">
        <f t="shared" si="5"/>
        <v/>
      </c>
      <c r="I185" s="131" t="str">
        <f t="shared" si="6"/>
        <v/>
      </c>
      <c r="J185" s="132" t="str">
        <f t="shared" si="7"/>
        <v/>
      </c>
      <c r="K185" s="44"/>
      <c r="L185" s="133"/>
      <c r="M185" s="9"/>
      <c r="N185" s="9"/>
      <c r="O185" s="9"/>
      <c r="P185" s="9"/>
      <c r="Q185" s="9"/>
      <c r="R185" s="9"/>
      <c r="S185" s="9"/>
      <c r="T185" s="9"/>
      <c r="U185" s="9"/>
      <c r="V185" s="9"/>
      <c r="W185" s="9"/>
      <c r="X185" s="9"/>
      <c r="Y185" s="9"/>
      <c r="Z185" s="9"/>
      <c r="AA185" s="9"/>
      <c r="AB185" s="9"/>
      <c r="AC185" s="9"/>
      <c r="AD185" s="9"/>
      <c r="AE185" s="9"/>
      <c r="AF185" s="9"/>
      <c r="AG185" s="9"/>
      <c r="AH185" s="9"/>
      <c r="AI185" s="9"/>
      <c r="AJ185" s="9"/>
    </row>
    <row r="186" spans="1:36" ht="15" customHeight="1">
      <c r="A186" s="62">
        <f>'Students Details'!A186</f>
        <v>180</v>
      </c>
      <c r="B186" s="128" t="str">
        <f>IF('Students Details'!B186="","",'Students Details'!B186)</f>
        <v/>
      </c>
      <c r="C186" s="129" t="str">
        <f>IF('Students Details'!C186="","",'Students Details'!C186)</f>
        <v/>
      </c>
      <c r="D186" s="130" t="str">
        <f t="shared" si="1"/>
        <v/>
      </c>
      <c r="E186" s="131" t="str">
        <f t="shared" si="2"/>
        <v/>
      </c>
      <c r="F186" s="131" t="str">
        <f t="shared" si="3"/>
        <v/>
      </c>
      <c r="G186" s="131" t="str">
        <f t="shared" si="4"/>
        <v/>
      </c>
      <c r="H186" s="131" t="str">
        <f t="shared" si="5"/>
        <v/>
      </c>
      <c r="I186" s="131" t="str">
        <f t="shared" si="6"/>
        <v/>
      </c>
      <c r="J186" s="132" t="str">
        <f t="shared" si="7"/>
        <v/>
      </c>
      <c r="K186" s="44"/>
      <c r="L186" s="133"/>
      <c r="M186" s="9"/>
      <c r="N186" s="9"/>
      <c r="O186" s="9"/>
      <c r="P186" s="9"/>
      <c r="Q186" s="9"/>
      <c r="R186" s="9"/>
      <c r="S186" s="9"/>
      <c r="T186" s="9"/>
      <c r="U186" s="9"/>
      <c r="V186" s="9"/>
      <c r="W186" s="9"/>
      <c r="X186" s="9"/>
      <c r="Y186" s="9"/>
      <c r="Z186" s="9"/>
      <c r="AA186" s="9"/>
      <c r="AB186" s="9"/>
      <c r="AC186" s="9"/>
      <c r="AD186" s="9"/>
      <c r="AE186" s="9"/>
      <c r="AF186" s="9"/>
      <c r="AG186" s="9"/>
      <c r="AH186" s="9"/>
      <c r="AI186" s="9"/>
      <c r="AJ186" s="9"/>
    </row>
    <row r="187" spans="1:36" ht="15" customHeight="1">
      <c r="A187" s="62">
        <f>'Students Details'!A187</f>
        <v>0</v>
      </c>
      <c r="B187" s="128" t="str">
        <f>IF('Students Details'!B187="","",'Students Details'!B187)</f>
        <v/>
      </c>
      <c r="C187" s="129" t="str">
        <f>IF('Students Details'!C187="","",'Students Details'!C187)</f>
        <v/>
      </c>
      <c r="D187" s="130" t="str">
        <f t="shared" si="1"/>
        <v/>
      </c>
      <c r="E187" s="131" t="str">
        <f t="shared" si="2"/>
        <v/>
      </c>
      <c r="F187" s="131" t="str">
        <f t="shared" si="3"/>
        <v/>
      </c>
      <c r="G187" s="131" t="str">
        <f t="shared" si="4"/>
        <v/>
      </c>
      <c r="H187" s="131" t="str">
        <f t="shared" si="5"/>
        <v/>
      </c>
      <c r="I187" s="131" t="str">
        <f t="shared" si="6"/>
        <v/>
      </c>
      <c r="J187" s="132" t="str">
        <f t="shared" si="7"/>
        <v/>
      </c>
      <c r="K187" s="44"/>
      <c r="L187" s="133"/>
      <c r="M187" s="9"/>
      <c r="N187" s="9"/>
      <c r="O187" s="9"/>
      <c r="P187" s="9"/>
      <c r="Q187" s="9"/>
      <c r="R187" s="9"/>
      <c r="S187" s="9"/>
      <c r="T187" s="9"/>
      <c r="U187" s="9"/>
      <c r="V187" s="9"/>
      <c r="W187" s="9"/>
      <c r="X187" s="9"/>
      <c r="Y187" s="9"/>
      <c r="Z187" s="9"/>
      <c r="AA187" s="9"/>
      <c r="AB187" s="9"/>
      <c r="AC187" s="9"/>
      <c r="AD187" s="9"/>
      <c r="AE187" s="9"/>
      <c r="AF187" s="9"/>
      <c r="AG187" s="9"/>
      <c r="AH187" s="9"/>
      <c r="AI187" s="9"/>
      <c r="AJ187" s="9"/>
    </row>
    <row r="188" spans="1:36" ht="15" customHeight="1">
      <c r="A188" s="62">
        <f>'Students Details'!A188</f>
        <v>0</v>
      </c>
      <c r="B188" s="128" t="str">
        <f>IF('Students Details'!B188="","",'Students Details'!B188)</f>
        <v/>
      </c>
      <c r="C188" s="129" t="str">
        <f>IF('Students Details'!C188="","",'Students Details'!C188)</f>
        <v/>
      </c>
      <c r="D188" s="130" t="str">
        <f t="shared" si="1"/>
        <v/>
      </c>
      <c r="E188" s="131" t="str">
        <f t="shared" si="2"/>
        <v/>
      </c>
      <c r="F188" s="131" t="str">
        <f t="shared" si="3"/>
        <v/>
      </c>
      <c r="G188" s="131" t="str">
        <f t="shared" si="4"/>
        <v/>
      </c>
      <c r="H188" s="131" t="str">
        <f t="shared" si="5"/>
        <v/>
      </c>
      <c r="I188" s="131" t="str">
        <f t="shared" si="6"/>
        <v/>
      </c>
      <c r="J188" s="132" t="str">
        <f t="shared" si="7"/>
        <v/>
      </c>
      <c r="K188" s="44"/>
      <c r="L188" s="133"/>
      <c r="M188" s="9"/>
      <c r="N188" s="9"/>
      <c r="O188" s="9"/>
      <c r="P188" s="9"/>
      <c r="Q188" s="9"/>
      <c r="R188" s="9"/>
      <c r="S188" s="9"/>
      <c r="T188" s="9"/>
      <c r="U188" s="9"/>
      <c r="V188" s="9"/>
      <c r="W188" s="9"/>
      <c r="X188" s="9"/>
      <c r="Y188" s="9"/>
      <c r="Z188" s="9"/>
      <c r="AA188" s="9"/>
      <c r="AB188" s="9"/>
      <c r="AC188" s="9"/>
      <c r="AD188" s="9"/>
      <c r="AE188" s="9"/>
      <c r="AF188" s="9"/>
      <c r="AG188" s="9"/>
      <c r="AH188" s="9"/>
      <c r="AI188" s="9"/>
      <c r="AJ188" s="9"/>
    </row>
    <row r="189" spans="1:36" ht="15" customHeight="1">
      <c r="A189" s="62">
        <f>'Students Details'!A189</f>
        <v>0</v>
      </c>
      <c r="B189" s="128" t="str">
        <f>IF('Students Details'!B189="","",'Students Details'!B189)</f>
        <v/>
      </c>
      <c r="C189" s="129" t="str">
        <f>IF('Students Details'!C189="","",'Students Details'!C189)</f>
        <v/>
      </c>
      <c r="D189" s="130" t="str">
        <f t="shared" si="1"/>
        <v/>
      </c>
      <c r="E189" s="131" t="str">
        <f t="shared" si="2"/>
        <v/>
      </c>
      <c r="F189" s="131" t="str">
        <f t="shared" si="3"/>
        <v/>
      </c>
      <c r="G189" s="131" t="str">
        <f t="shared" si="4"/>
        <v/>
      </c>
      <c r="H189" s="131" t="str">
        <f t="shared" si="5"/>
        <v/>
      </c>
      <c r="I189" s="131" t="str">
        <f t="shared" si="6"/>
        <v/>
      </c>
      <c r="J189" s="132" t="str">
        <f t="shared" si="7"/>
        <v/>
      </c>
      <c r="K189" s="44"/>
      <c r="L189" s="133"/>
      <c r="M189" s="9"/>
      <c r="N189" s="9"/>
      <c r="O189" s="9"/>
      <c r="P189" s="9"/>
      <c r="Q189" s="9"/>
      <c r="R189" s="9"/>
      <c r="S189" s="9"/>
      <c r="T189" s="9"/>
      <c r="U189" s="9"/>
      <c r="V189" s="9"/>
      <c r="W189" s="9"/>
      <c r="X189" s="9"/>
      <c r="Y189" s="9"/>
      <c r="Z189" s="9"/>
      <c r="AA189" s="9"/>
      <c r="AB189" s="9"/>
      <c r="AC189" s="9"/>
      <c r="AD189" s="9"/>
      <c r="AE189" s="9"/>
      <c r="AF189" s="9"/>
      <c r="AG189" s="9"/>
      <c r="AH189" s="9"/>
      <c r="AI189" s="9"/>
      <c r="AJ189" s="9"/>
    </row>
    <row r="190" spans="1:36" ht="15" customHeight="1">
      <c r="A190" s="62">
        <f>'Students Details'!A190</f>
        <v>0</v>
      </c>
      <c r="B190" s="128" t="str">
        <f>IF('Students Details'!B190="","",'Students Details'!B190)</f>
        <v/>
      </c>
      <c r="C190" s="129" t="str">
        <f>IF('Students Details'!C190="","",'Students Details'!C190)</f>
        <v/>
      </c>
      <c r="D190" s="130" t="str">
        <f t="shared" si="1"/>
        <v/>
      </c>
      <c r="E190" s="131" t="str">
        <f t="shared" si="2"/>
        <v/>
      </c>
      <c r="F190" s="131" t="str">
        <f t="shared" si="3"/>
        <v/>
      </c>
      <c r="G190" s="131" t="str">
        <f t="shared" si="4"/>
        <v/>
      </c>
      <c r="H190" s="131" t="str">
        <f t="shared" si="5"/>
        <v/>
      </c>
      <c r="I190" s="131" t="str">
        <f t="shared" si="6"/>
        <v/>
      </c>
      <c r="J190" s="132" t="str">
        <f t="shared" si="7"/>
        <v/>
      </c>
      <c r="K190" s="44"/>
      <c r="L190" s="133"/>
      <c r="M190" s="9"/>
      <c r="N190" s="9"/>
      <c r="O190" s="9"/>
      <c r="P190" s="9"/>
      <c r="Q190" s="9"/>
      <c r="R190" s="9"/>
      <c r="S190" s="9"/>
      <c r="T190" s="9"/>
      <c r="U190" s="9"/>
      <c r="V190" s="9"/>
      <c r="W190" s="9"/>
      <c r="X190" s="9"/>
      <c r="Y190" s="9"/>
      <c r="Z190" s="9"/>
      <c r="AA190" s="9"/>
      <c r="AB190" s="9"/>
      <c r="AC190" s="9"/>
      <c r="AD190" s="9"/>
      <c r="AE190" s="9"/>
      <c r="AF190" s="9"/>
      <c r="AG190" s="9"/>
      <c r="AH190" s="9"/>
      <c r="AI190" s="9"/>
      <c r="AJ190" s="9"/>
    </row>
    <row r="191" spans="1:36" ht="15" customHeight="1">
      <c r="A191" s="62">
        <f>'Students Details'!A191</f>
        <v>0</v>
      </c>
      <c r="B191" s="128" t="str">
        <f>IF('Students Details'!B191="","",'Students Details'!B191)</f>
        <v/>
      </c>
      <c r="C191" s="129" t="str">
        <f>IF('Students Details'!C191="","",'Students Details'!C191)</f>
        <v/>
      </c>
      <c r="D191" s="130" t="str">
        <f t="shared" si="1"/>
        <v/>
      </c>
      <c r="E191" s="131" t="str">
        <f t="shared" si="2"/>
        <v/>
      </c>
      <c r="F191" s="131" t="str">
        <f t="shared" si="3"/>
        <v/>
      </c>
      <c r="G191" s="131" t="str">
        <f t="shared" si="4"/>
        <v/>
      </c>
      <c r="H191" s="131" t="str">
        <f t="shared" si="5"/>
        <v/>
      </c>
      <c r="I191" s="131" t="str">
        <f t="shared" si="6"/>
        <v/>
      </c>
      <c r="J191" s="132" t="str">
        <f t="shared" si="7"/>
        <v/>
      </c>
      <c r="K191" s="44"/>
      <c r="L191" s="133"/>
      <c r="M191" s="9"/>
      <c r="N191" s="9"/>
      <c r="O191" s="9"/>
      <c r="P191" s="9"/>
      <c r="Q191" s="9"/>
      <c r="R191" s="9"/>
      <c r="S191" s="9"/>
      <c r="T191" s="9"/>
      <c r="U191" s="9"/>
      <c r="V191" s="9"/>
      <c r="W191" s="9"/>
      <c r="X191" s="9"/>
      <c r="Y191" s="9"/>
      <c r="Z191" s="9"/>
      <c r="AA191" s="9"/>
      <c r="AB191" s="9"/>
      <c r="AC191" s="9"/>
      <c r="AD191" s="9"/>
      <c r="AE191" s="9"/>
      <c r="AF191" s="9"/>
      <c r="AG191" s="9"/>
      <c r="AH191" s="9"/>
      <c r="AI191" s="9"/>
      <c r="AJ191" s="9"/>
    </row>
    <row r="192" spans="1:36" ht="15" customHeight="1">
      <c r="A192" s="62">
        <f>'Students Details'!A192</f>
        <v>0</v>
      </c>
      <c r="B192" s="128" t="str">
        <f>IF('Students Details'!B192="","",'Students Details'!B192)</f>
        <v/>
      </c>
      <c r="C192" s="129" t="str">
        <f>IF('Students Details'!C192="","",'Students Details'!C192)</f>
        <v/>
      </c>
      <c r="D192" s="130" t="str">
        <f t="shared" si="1"/>
        <v/>
      </c>
      <c r="E192" s="131" t="str">
        <f t="shared" si="2"/>
        <v/>
      </c>
      <c r="F192" s="131" t="str">
        <f t="shared" si="3"/>
        <v/>
      </c>
      <c r="G192" s="131" t="str">
        <f t="shared" si="4"/>
        <v/>
      </c>
      <c r="H192" s="131" t="str">
        <f t="shared" si="5"/>
        <v/>
      </c>
      <c r="I192" s="131" t="str">
        <f t="shared" si="6"/>
        <v/>
      </c>
      <c r="J192" s="132" t="str">
        <f t="shared" si="7"/>
        <v/>
      </c>
      <c r="K192" s="44"/>
      <c r="L192" s="133"/>
      <c r="M192" s="9"/>
      <c r="N192" s="9"/>
      <c r="O192" s="9"/>
      <c r="P192" s="9"/>
      <c r="Q192" s="9"/>
      <c r="R192" s="9"/>
      <c r="S192" s="9"/>
      <c r="T192" s="9"/>
      <c r="U192" s="9"/>
      <c r="V192" s="9"/>
      <c r="W192" s="9"/>
      <c r="X192" s="9"/>
      <c r="Y192" s="9"/>
      <c r="Z192" s="9"/>
      <c r="AA192" s="9"/>
      <c r="AB192" s="9"/>
      <c r="AC192" s="9"/>
      <c r="AD192" s="9"/>
      <c r="AE192" s="9"/>
      <c r="AF192" s="9"/>
      <c r="AG192" s="9"/>
      <c r="AH192" s="9"/>
      <c r="AI192" s="9"/>
      <c r="AJ192" s="9"/>
    </row>
    <row r="193" spans="1:36" ht="15" customHeight="1">
      <c r="A193" s="62">
        <f>'Students Details'!A193</f>
        <v>0</v>
      </c>
      <c r="B193" s="128" t="str">
        <f>IF('Students Details'!B193="","",'Students Details'!B193)</f>
        <v/>
      </c>
      <c r="C193" s="129" t="str">
        <f>IF('Students Details'!C193="","",'Students Details'!C193)</f>
        <v/>
      </c>
      <c r="D193" s="130" t="str">
        <f t="shared" si="1"/>
        <v/>
      </c>
      <c r="E193" s="131" t="str">
        <f t="shared" si="2"/>
        <v/>
      </c>
      <c r="F193" s="131" t="str">
        <f t="shared" si="3"/>
        <v/>
      </c>
      <c r="G193" s="131" t="str">
        <f t="shared" si="4"/>
        <v/>
      </c>
      <c r="H193" s="131" t="str">
        <f t="shared" si="5"/>
        <v/>
      </c>
      <c r="I193" s="131" t="str">
        <f t="shared" si="6"/>
        <v/>
      </c>
      <c r="J193" s="132" t="str">
        <f t="shared" si="7"/>
        <v/>
      </c>
      <c r="K193" s="44"/>
      <c r="L193" s="133"/>
      <c r="M193" s="9"/>
      <c r="N193" s="9"/>
      <c r="O193" s="9"/>
      <c r="P193" s="9"/>
      <c r="Q193" s="9"/>
      <c r="R193" s="9"/>
      <c r="S193" s="9"/>
      <c r="T193" s="9"/>
      <c r="U193" s="9"/>
      <c r="V193" s="9"/>
      <c r="W193" s="9"/>
      <c r="X193" s="9"/>
      <c r="Y193" s="9"/>
      <c r="Z193" s="9"/>
      <c r="AA193" s="9"/>
      <c r="AB193" s="9"/>
      <c r="AC193" s="9"/>
      <c r="AD193" s="9"/>
      <c r="AE193" s="9"/>
      <c r="AF193" s="9"/>
      <c r="AG193" s="9"/>
      <c r="AH193" s="9"/>
      <c r="AI193" s="9"/>
      <c r="AJ193" s="9"/>
    </row>
    <row r="194" spans="1:36" ht="15" customHeight="1">
      <c r="A194" s="62">
        <f>'Students Details'!A194</f>
        <v>0</v>
      </c>
      <c r="B194" s="128" t="str">
        <f>IF('Students Details'!B194="","",'Students Details'!B194)</f>
        <v/>
      </c>
      <c r="C194" s="129" t="str">
        <f>IF('Students Details'!C194="","",'Students Details'!C194)</f>
        <v/>
      </c>
      <c r="D194" s="130" t="str">
        <f t="shared" si="1"/>
        <v/>
      </c>
      <c r="E194" s="131" t="str">
        <f t="shared" si="2"/>
        <v/>
      </c>
      <c r="F194" s="131" t="str">
        <f t="shared" si="3"/>
        <v/>
      </c>
      <c r="G194" s="131" t="str">
        <f t="shared" si="4"/>
        <v/>
      </c>
      <c r="H194" s="131" t="str">
        <f t="shared" si="5"/>
        <v/>
      </c>
      <c r="I194" s="131" t="str">
        <f t="shared" si="6"/>
        <v/>
      </c>
      <c r="J194" s="132" t="str">
        <f t="shared" si="7"/>
        <v/>
      </c>
      <c r="K194" s="44"/>
      <c r="L194" s="133"/>
      <c r="M194" s="9"/>
      <c r="N194" s="9"/>
      <c r="O194" s="9"/>
      <c r="P194" s="9"/>
      <c r="Q194" s="9"/>
      <c r="R194" s="9"/>
      <c r="S194" s="9"/>
      <c r="T194" s="9"/>
      <c r="U194" s="9"/>
      <c r="V194" s="9"/>
      <c r="W194" s="9"/>
      <c r="X194" s="9"/>
      <c r="Y194" s="9"/>
      <c r="Z194" s="9"/>
      <c r="AA194" s="9"/>
      <c r="AB194" s="9"/>
      <c r="AC194" s="9"/>
      <c r="AD194" s="9"/>
      <c r="AE194" s="9"/>
      <c r="AF194" s="9"/>
      <c r="AG194" s="9"/>
      <c r="AH194" s="9"/>
      <c r="AI194" s="9"/>
      <c r="AJ194" s="9"/>
    </row>
    <row r="195" spans="1:36" ht="15" customHeight="1">
      <c r="A195" s="62">
        <f>'Students Details'!A195</f>
        <v>0</v>
      </c>
      <c r="B195" s="128" t="str">
        <f>IF('Students Details'!B195="","",'Students Details'!B195)</f>
        <v/>
      </c>
      <c r="C195" s="129" t="str">
        <f>IF('Students Details'!C195="","",'Students Details'!C195)</f>
        <v/>
      </c>
      <c r="D195" s="130" t="str">
        <f t="shared" si="1"/>
        <v/>
      </c>
      <c r="E195" s="131" t="str">
        <f t="shared" si="2"/>
        <v/>
      </c>
      <c r="F195" s="131" t="str">
        <f t="shared" si="3"/>
        <v/>
      </c>
      <c r="G195" s="131" t="str">
        <f t="shared" si="4"/>
        <v/>
      </c>
      <c r="H195" s="131" t="str">
        <f t="shared" si="5"/>
        <v/>
      </c>
      <c r="I195" s="131" t="str">
        <f t="shared" si="6"/>
        <v/>
      </c>
      <c r="J195" s="132" t="str">
        <f t="shared" si="7"/>
        <v/>
      </c>
      <c r="K195" s="44"/>
      <c r="L195" s="133"/>
      <c r="M195" s="9"/>
      <c r="N195" s="9"/>
      <c r="O195" s="9"/>
      <c r="P195" s="9"/>
      <c r="Q195" s="9"/>
      <c r="R195" s="9"/>
      <c r="S195" s="9"/>
      <c r="T195" s="9"/>
      <c r="U195" s="9"/>
      <c r="V195" s="9"/>
      <c r="W195" s="9"/>
      <c r="X195" s="9"/>
      <c r="Y195" s="9"/>
      <c r="Z195" s="9"/>
      <c r="AA195" s="9"/>
      <c r="AB195" s="9"/>
      <c r="AC195" s="9"/>
      <c r="AD195" s="9"/>
      <c r="AE195" s="9"/>
      <c r="AF195" s="9"/>
      <c r="AG195" s="9"/>
      <c r="AH195" s="9"/>
      <c r="AI195" s="9"/>
      <c r="AJ195" s="9"/>
    </row>
    <row r="196" spans="1:36" ht="15" customHeight="1">
      <c r="A196" s="62">
        <f>'Students Details'!A196</f>
        <v>0</v>
      </c>
      <c r="B196" s="128" t="str">
        <f>IF('Students Details'!B196="","",'Students Details'!B196)</f>
        <v/>
      </c>
      <c r="C196" s="129" t="str">
        <f>IF('Students Details'!C196="","",'Students Details'!C196)</f>
        <v/>
      </c>
      <c r="D196" s="130" t="str">
        <f t="shared" si="1"/>
        <v/>
      </c>
      <c r="E196" s="131" t="str">
        <f t="shared" si="2"/>
        <v/>
      </c>
      <c r="F196" s="131" t="str">
        <f t="shared" si="3"/>
        <v/>
      </c>
      <c r="G196" s="131" t="str">
        <f t="shared" si="4"/>
        <v/>
      </c>
      <c r="H196" s="131" t="str">
        <f t="shared" si="5"/>
        <v/>
      </c>
      <c r="I196" s="131" t="str">
        <f t="shared" si="6"/>
        <v/>
      </c>
      <c r="J196" s="132" t="str">
        <f t="shared" si="7"/>
        <v/>
      </c>
      <c r="K196" s="44"/>
      <c r="L196" s="133"/>
      <c r="M196" s="9"/>
      <c r="N196" s="9"/>
      <c r="O196" s="9"/>
      <c r="P196" s="9"/>
      <c r="Q196" s="9"/>
      <c r="R196" s="9"/>
      <c r="S196" s="9"/>
      <c r="T196" s="9"/>
      <c r="U196" s="9"/>
      <c r="V196" s="9"/>
      <c r="W196" s="9"/>
      <c r="X196" s="9"/>
      <c r="Y196" s="9"/>
      <c r="Z196" s="9"/>
      <c r="AA196" s="9"/>
      <c r="AB196" s="9"/>
      <c r="AC196" s="9"/>
      <c r="AD196" s="9"/>
      <c r="AE196" s="9"/>
      <c r="AF196" s="9"/>
      <c r="AG196" s="9"/>
      <c r="AH196" s="9"/>
      <c r="AI196" s="9"/>
      <c r="AJ196" s="9"/>
    </row>
    <row r="197" spans="1:36" ht="15" customHeight="1">
      <c r="A197" s="62">
        <f>'Students Details'!A197</f>
        <v>0</v>
      </c>
      <c r="B197" s="128" t="str">
        <f>IF('Students Details'!B197="","",'Students Details'!B197)</f>
        <v/>
      </c>
      <c r="C197" s="129" t="str">
        <f>IF('Students Details'!C197="","",'Students Details'!C197)</f>
        <v/>
      </c>
      <c r="D197" s="130" t="str">
        <f t="shared" si="1"/>
        <v/>
      </c>
      <c r="E197" s="131" t="str">
        <f t="shared" si="2"/>
        <v/>
      </c>
      <c r="F197" s="131" t="str">
        <f t="shared" si="3"/>
        <v/>
      </c>
      <c r="G197" s="131" t="str">
        <f t="shared" si="4"/>
        <v/>
      </c>
      <c r="H197" s="131" t="str">
        <f t="shared" si="5"/>
        <v/>
      </c>
      <c r="I197" s="131" t="str">
        <f t="shared" si="6"/>
        <v/>
      </c>
      <c r="J197" s="132" t="str">
        <f t="shared" si="7"/>
        <v/>
      </c>
      <c r="K197" s="44"/>
      <c r="L197" s="133"/>
      <c r="M197" s="9"/>
      <c r="N197" s="9"/>
      <c r="O197" s="9"/>
      <c r="P197" s="9"/>
      <c r="Q197" s="9"/>
      <c r="R197" s="9"/>
      <c r="S197" s="9"/>
      <c r="T197" s="9"/>
      <c r="U197" s="9"/>
      <c r="V197" s="9"/>
      <c r="W197" s="9"/>
      <c r="X197" s="9"/>
      <c r="Y197" s="9"/>
      <c r="Z197" s="9"/>
      <c r="AA197" s="9"/>
      <c r="AB197" s="9"/>
      <c r="AC197" s="9"/>
      <c r="AD197" s="9"/>
      <c r="AE197" s="9"/>
      <c r="AF197" s="9"/>
      <c r="AG197" s="9"/>
      <c r="AH197" s="9"/>
      <c r="AI197" s="9"/>
      <c r="AJ197" s="9"/>
    </row>
    <row r="198" spans="1:36" ht="15" customHeight="1">
      <c r="A198" s="62">
        <f>'Students Details'!A198</f>
        <v>0</v>
      </c>
      <c r="B198" s="128" t="str">
        <f>IF('Students Details'!B198="","",'Students Details'!B198)</f>
        <v/>
      </c>
      <c r="C198" s="129" t="str">
        <f>IF('Students Details'!C198="","",'Students Details'!C198)</f>
        <v/>
      </c>
      <c r="D198" s="130" t="str">
        <f t="shared" si="1"/>
        <v/>
      </c>
      <c r="E198" s="131" t="str">
        <f t="shared" si="2"/>
        <v/>
      </c>
      <c r="F198" s="131" t="str">
        <f t="shared" si="3"/>
        <v/>
      </c>
      <c r="G198" s="131" t="str">
        <f t="shared" si="4"/>
        <v/>
      </c>
      <c r="H198" s="131" t="str">
        <f t="shared" si="5"/>
        <v/>
      </c>
      <c r="I198" s="131" t="str">
        <f t="shared" si="6"/>
        <v/>
      </c>
      <c r="J198" s="132" t="str">
        <f t="shared" si="7"/>
        <v/>
      </c>
      <c r="K198" s="44"/>
      <c r="L198" s="133"/>
      <c r="M198" s="9"/>
      <c r="N198" s="9"/>
      <c r="O198" s="9"/>
      <c r="P198" s="9"/>
      <c r="Q198" s="9"/>
      <c r="R198" s="9"/>
      <c r="S198" s="9"/>
      <c r="T198" s="9"/>
      <c r="U198" s="9"/>
      <c r="V198" s="9"/>
      <c r="W198" s="9"/>
      <c r="X198" s="9"/>
      <c r="Y198" s="9"/>
      <c r="Z198" s="9"/>
      <c r="AA198" s="9"/>
      <c r="AB198" s="9"/>
      <c r="AC198" s="9"/>
      <c r="AD198" s="9"/>
      <c r="AE198" s="9"/>
      <c r="AF198" s="9"/>
      <c r="AG198" s="9"/>
      <c r="AH198" s="9"/>
      <c r="AI198" s="9"/>
      <c r="AJ198" s="9"/>
    </row>
    <row r="199" spans="1:36" ht="15" customHeight="1">
      <c r="A199" s="62">
        <f>'Students Details'!A199</f>
        <v>0</v>
      </c>
      <c r="B199" s="128" t="str">
        <f>IF('Students Details'!B199="","",'Students Details'!B199)</f>
        <v/>
      </c>
      <c r="C199" s="129" t="str">
        <f>IF('Students Details'!C199="","",'Students Details'!C199)</f>
        <v/>
      </c>
      <c r="D199" s="130" t="str">
        <f t="shared" si="1"/>
        <v/>
      </c>
      <c r="E199" s="131" t="str">
        <f t="shared" si="2"/>
        <v/>
      </c>
      <c r="F199" s="131" t="str">
        <f t="shared" si="3"/>
        <v/>
      </c>
      <c r="G199" s="131" t="str">
        <f t="shared" si="4"/>
        <v/>
      </c>
      <c r="H199" s="131" t="str">
        <f t="shared" si="5"/>
        <v/>
      </c>
      <c r="I199" s="131" t="str">
        <f t="shared" si="6"/>
        <v/>
      </c>
      <c r="J199" s="132" t="str">
        <f t="shared" si="7"/>
        <v/>
      </c>
      <c r="K199" s="44"/>
      <c r="L199" s="133"/>
      <c r="M199" s="9"/>
      <c r="N199" s="9"/>
      <c r="O199" s="9"/>
      <c r="P199" s="9"/>
      <c r="Q199" s="9"/>
      <c r="R199" s="9"/>
      <c r="S199" s="9"/>
      <c r="T199" s="9"/>
      <c r="U199" s="9"/>
      <c r="V199" s="9"/>
      <c r="W199" s="9"/>
      <c r="X199" s="9"/>
      <c r="Y199" s="9"/>
      <c r="Z199" s="9"/>
      <c r="AA199" s="9"/>
      <c r="AB199" s="9"/>
      <c r="AC199" s="9"/>
      <c r="AD199" s="9"/>
      <c r="AE199" s="9"/>
      <c r="AF199" s="9"/>
      <c r="AG199" s="9"/>
      <c r="AH199" s="9"/>
      <c r="AI199" s="9"/>
      <c r="AJ199" s="9"/>
    </row>
    <row r="200" spans="1:36" ht="15" customHeight="1">
      <c r="A200" s="62">
        <f>'Students Details'!A200</f>
        <v>0</v>
      </c>
      <c r="B200" s="128" t="str">
        <f>IF('Students Details'!B200="","",'Students Details'!B200)</f>
        <v/>
      </c>
      <c r="C200" s="129" t="str">
        <f>IF('Students Details'!C200="","",'Students Details'!C200)</f>
        <v/>
      </c>
      <c r="D200" s="130" t="str">
        <f t="shared" si="1"/>
        <v/>
      </c>
      <c r="E200" s="131" t="str">
        <f t="shared" si="2"/>
        <v/>
      </c>
      <c r="F200" s="131" t="str">
        <f t="shared" si="3"/>
        <v/>
      </c>
      <c r="G200" s="131" t="str">
        <f t="shared" si="4"/>
        <v/>
      </c>
      <c r="H200" s="131" t="str">
        <f t="shared" si="5"/>
        <v/>
      </c>
      <c r="I200" s="131" t="str">
        <f t="shared" si="6"/>
        <v/>
      </c>
      <c r="J200" s="132" t="str">
        <f t="shared" si="7"/>
        <v/>
      </c>
      <c r="K200" s="44"/>
      <c r="L200" s="133"/>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spans="1:36" ht="15" customHeight="1">
      <c r="A201" s="62">
        <f>'Students Details'!A201</f>
        <v>0</v>
      </c>
      <c r="B201" s="128" t="str">
        <f>IF('Students Details'!B201="","",'Students Details'!B201)</f>
        <v/>
      </c>
      <c r="C201" s="129" t="str">
        <f>IF('Students Details'!C201="","",'Students Details'!C201)</f>
        <v/>
      </c>
      <c r="D201" s="130" t="str">
        <f t="shared" si="1"/>
        <v/>
      </c>
      <c r="E201" s="131" t="str">
        <f t="shared" si="2"/>
        <v/>
      </c>
      <c r="F201" s="131" t="str">
        <f t="shared" si="3"/>
        <v/>
      </c>
      <c r="G201" s="131" t="str">
        <f t="shared" si="4"/>
        <v/>
      </c>
      <c r="H201" s="131" t="str">
        <f t="shared" si="5"/>
        <v/>
      </c>
      <c r="I201" s="131" t="str">
        <f t="shared" si="6"/>
        <v/>
      </c>
      <c r="J201" s="132" t="str">
        <f t="shared" si="7"/>
        <v/>
      </c>
      <c r="K201" s="44"/>
      <c r="L201" s="133"/>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spans="1:36" ht="15" customHeight="1">
      <c r="A202" s="62">
        <f>'Students Details'!A202</f>
        <v>0</v>
      </c>
      <c r="B202" s="128" t="str">
        <f>IF('Students Details'!B202="","",'Students Details'!B202)</f>
        <v/>
      </c>
      <c r="C202" s="129" t="str">
        <f>IF('Students Details'!C202="","",'Students Details'!C202)</f>
        <v/>
      </c>
      <c r="D202" s="130" t="str">
        <f t="shared" si="1"/>
        <v/>
      </c>
      <c r="E202" s="131" t="str">
        <f t="shared" si="2"/>
        <v/>
      </c>
      <c r="F202" s="131" t="str">
        <f t="shared" si="3"/>
        <v/>
      </c>
      <c r="G202" s="131" t="str">
        <f t="shared" si="4"/>
        <v/>
      </c>
      <c r="H202" s="131" t="str">
        <f t="shared" si="5"/>
        <v/>
      </c>
      <c r="I202" s="131" t="str">
        <f t="shared" si="6"/>
        <v/>
      </c>
      <c r="J202" s="132" t="str">
        <f t="shared" si="7"/>
        <v/>
      </c>
      <c r="K202" s="44"/>
      <c r="L202" s="133"/>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spans="1:36" ht="15" customHeight="1">
      <c r="A203" s="62">
        <f>'Students Details'!A203</f>
        <v>0</v>
      </c>
      <c r="B203" s="128" t="str">
        <f>IF('Students Details'!B203="","",'Students Details'!B203)</f>
        <v/>
      </c>
      <c r="C203" s="129" t="str">
        <f>IF('Students Details'!C203="","",'Students Details'!C203)</f>
        <v/>
      </c>
      <c r="D203" s="130" t="str">
        <f t="shared" si="1"/>
        <v/>
      </c>
      <c r="E203" s="131" t="str">
        <f t="shared" si="2"/>
        <v/>
      </c>
      <c r="F203" s="131" t="str">
        <f t="shared" si="3"/>
        <v/>
      </c>
      <c r="G203" s="131" t="str">
        <f t="shared" si="4"/>
        <v/>
      </c>
      <c r="H203" s="131" t="str">
        <f t="shared" si="5"/>
        <v/>
      </c>
      <c r="I203" s="131" t="str">
        <f t="shared" si="6"/>
        <v/>
      </c>
      <c r="J203" s="132" t="str">
        <f t="shared" si="7"/>
        <v/>
      </c>
      <c r="K203" s="44"/>
      <c r="L203" s="133"/>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spans="1:36" ht="15" customHeight="1">
      <c r="A204" s="62">
        <f>'Students Details'!A204</f>
        <v>0</v>
      </c>
      <c r="B204" s="128" t="str">
        <f>IF('Students Details'!B204="","",'Students Details'!B204)</f>
        <v/>
      </c>
      <c r="C204" s="129" t="str">
        <f>IF('Students Details'!C204="","",'Students Details'!C204)</f>
        <v/>
      </c>
      <c r="D204" s="130" t="str">
        <f t="shared" si="1"/>
        <v/>
      </c>
      <c r="E204" s="131" t="str">
        <f t="shared" si="2"/>
        <v/>
      </c>
      <c r="F204" s="131" t="str">
        <f t="shared" si="3"/>
        <v/>
      </c>
      <c r="G204" s="131" t="str">
        <f t="shared" si="4"/>
        <v/>
      </c>
      <c r="H204" s="131" t="str">
        <f t="shared" si="5"/>
        <v/>
      </c>
      <c r="I204" s="131" t="str">
        <f t="shared" si="6"/>
        <v/>
      </c>
      <c r="J204" s="132" t="str">
        <f t="shared" si="7"/>
        <v/>
      </c>
      <c r="K204" s="44"/>
      <c r="L204" s="133"/>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spans="1:36" ht="15" customHeight="1">
      <c r="A205" s="62">
        <f>'Students Details'!A205</f>
        <v>0</v>
      </c>
      <c r="B205" s="128" t="str">
        <f>IF('Students Details'!B205="","",'Students Details'!B205)</f>
        <v/>
      </c>
      <c r="C205" s="129" t="str">
        <f>IF('Students Details'!C205="","",'Students Details'!C205)</f>
        <v/>
      </c>
      <c r="D205" s="130" t="str">
        <f t="shared" si="1"/>
        <v/>
      </c>
      <c r="E205" s="131" t="str">
        <f t="shared" si="2"/>
        <v/>
      </c>
      <c r="F205" s="131" t="str">
        <f t="shared" si="3"/>
        <v/>
      </c>
      <c r="G205" s="131" t="str">
        <f t="shared" si="4"/>
        <v/>
      </c>
      <c r="H205" s="131" t="str">
        <f t="shared" si="5"/>
        <v/>
      </c>
      <c r="I205" s="131" t="str">
        <f t="shared" si="6"/>
        <v/>
      </c>
      <c r="J205" s="132" t="str">
        <f t="shared" si="7"/>
        <v/>
      </c>
      <c r="K205" s="44"/>
      <c r="L205" s="133"/>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spans="1:36" ht="15" customHeight="1">
      <c r="A206" s="62">
        <f>'Students Details'!A206</f>
        <v>0</v>
      </c>
      <c r="B206" s="128" t="str">
        <f>IF('Students Details'!B206="","",'Students Details'!B206)</f>
        <v/>
      </c>
      <c r="C206" s="129" t="str">
        <f>IF('Students Details'!C206="","",'Students Details'!C206)</f>
        <v/>
      </c>
      <c r="D206" s="130" t="str">
        <f t="shared" si="1"/>
        <v/>
      </c>
      <c r="E206" s="131" t="str">
        <f t="shared" si="2"/>
        <v/>
      </c>
      <c r="F206" s="131" t="str">
        <f t="shared" si="3"/>
        <v/>
      </c>
      <c r="G206" s="131" t="str">
        <f t="shared" si="4"/>
        <v/>
      </c>
      <c r="H206" s="131" t="str">
        <f t="shared" si="5"/>
        <v/>
      </c>
      <c r="I206" s="131" t="str">
        <f t="shared" si="6"/>
        <v/>
      </c>
      <c r="J206" s="132" t="str">
        <f t="shared" si="7"/>
        <v/>
      </c>
      <c r="K206" s="44"/>
      <c r="L206" s="133"/>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spans="1:36" ht="15" customHeight="1">
      <c r="A207" s="39"/>
      <c r="B207" s="138"/>
      <c r="C207" s="139"/>
      <c r="D207" s="62"/>
      <c r="E207" s="62"/>
      <c r="F207" s="62"/>
      <c r="G207" s="62"/>
      <c r="H207" s="62"/>
      <c r="I207" s="62"/>
      <c r="J207" s="44"/>
      <c r="K207" s="140"/>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spans="1:36" ht="15" customHeight="1">
      <c r="A208" s="89" t="s">
        <v>85</v>
      </c>
      <c r="B208" s="15">
        <f>COUNT(B6:B206)</f>
        <v>0</v>
      </c>
      <c r="C208" s="90" t="s">
        <v>86</v>
      </c>
      <c r="D208" s="91">
        <f>J208</f>
        <v>40</v>
      </c>
      <c r="E208" s="91">
        <f>J208</f>
        <v>40</v>
      </c>
      <c r="F208" s="91">
        <f>J208</f>
        <v>40</v>
      </c>
      <c r="G208" s="91">
        <f>J208</f>
        <v>40</v>
      </c>
      <c r="H208" s="91">
        <f>J208</f>
        <v>40</v>
      </c>
      <c r="I208" s="91">
        <f>J208</f>
        <v>40</v>
      </c>
      <c r="J208" s="91">
        <f>'CO-PO Mapping'!E30</f>
        <v>40</v>
      </c>
      <c r="K208" s="141"/>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spans="1:36" ht="15" customHeight="1">
      <c r="A209" s="62"/>
      <c r="B209" s="112"/>
      <c r="C209" s="93" t="s">
        <v>87</v>
      </c>
      <c r="D209" s="113" t="str">
        <f t="shared" ref="D209:I209" si="10">IFERROR(D208*D6/100,"")</f>
        <v/>
      </c>
      <c r="E209" s="113" t="str">
        <f t="shared" si="10"/>
        <v/>
      </c>
      <c r="F209" s="113" t="str">
        <f t="shared" si="10"/>
        <v/>
      </c>
      <c r="G209" s="113" t="str">
        <f t="shared" si="10"/>
        <v/>
      </c>
      <c r="H209" s="113" t="str">
        <f t="shared" si="10"/>
        <v/>
      </c>
      <c r="I209" s="113" t="str">
        <f t="shared" si="10"/>
        <v/>
      </c>
      <c r="J209" s="113">
        <f>IF(O4=0,"",J208*J6/100)</f>
        <v>0</v>
      </c>
      <c r="K209" s="142"/>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spans="1:36" ht="15" customHeight="1">
      <c r="A210" s="62"/>
      <c r="B210" s="112"/>
      <c r="C210" s="93"/>
      <c r="D210" s="113"/>
      <c r="E210" s="113"/>
      <c r="F210" s="113"/>
      <c r="G210" s="113"/>
      <c r="H210" s="113"/>
      <c r="I210" s="113"/>
      <c r="J210" s="113"/>
      <c r="K210" s="142"/>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spans="1:36" ht="15" customHeight="1">
      <c r="A211" s="62"/>
      <c r="B211" s="112"/>
      <c r="C211" s="143" t="s">
        <v>115</v>
      </c>
      <c r="D211" s="132">
        <f t="shared" ref="D211:J211" si="11">COUNTIF(D7:D206,"&gt;="&amp;D209)</f>
        <v>0</v>
      </c>
      <c r="E211" s="132">
        <f t="shared" si="11"/>
        <v>0</v>
      </c>
      <c r="F211" s="132">
        <f t="shared" si="11"/>
        <v>0</v>
      </c>
      <c r="G211" s="132">
        <f t="shared" si="11"/>
        <v>0</v>
      </c>
      <c r="H211" s="132">
        <f t="shared" si="11"/>
        <v>0</v>
      </c>
      <c r="I211" s="132">
        <f t="shared" si="11"/>
        <v>0</v>
      </c>
      <c r="J211" s="132">
        <f t="shared" si="11"/>
        <v>0</v>
      </c>
      <c r="K211" s="144"/>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spans="1:36" ht="15" customHeight="1">
      <c r="A212" s="62"/>
      <c r="B212" s="112"/>
      <c r="C212" s="145"/>
      <c r="D212" s="132"/>
      <c r="E212" s="132"/>
      <c r="F212" s="132"/>
      <c r="G212" s="132"/>
      <c r="H212" s="132"/>
      <c r="I212" s="132"/>
      <c r="J212" s="132"/>
      <c r="K212" s="144"/>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spans="1:36" ht="15" customHeight="1">
      <c r="A213" s="62"/>
      <c r="B213" s="112"/>
      <c r="C213" s="143" t="s">
        <v>116</v>
      </c>
      <c r="D213" s="132" t="e">
        <f t="shared" ref="D213:J213" si="12">D211/$B$208*100</f>
        <v>#DIV/0!</v>
      </c>
      <c r="E213" s="132" t="e">
        <f t="shared" si="12"/>
        <v>#DIV/0!</v>
      </c>
      <c r="F213" s="132" t="e">
        <f t="shared" si="12"/>
        <v>#DIV/0!</v>
      </c>
      <c r="G213" s="132" t="e">
        <f t="shared" si="12"/>
        <v>#DIV/0!</v>
      </c>
      <c r="H213" s="132" t="e">
        <f t="shared" si="12"/>
        <v>#DIV/0!</v>
      </c>
      <c r="I213" s="132" t="e">
        <f t="shared" si="12"/>
        <v>#DIV/0!</v>
      </c>
      <c r="J213" s="132" t="e">
        <f t="shared" si="12"/>
        <v>#DIV/0!</v>
      </c>
      <c r="K213" s="144"/>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spans="1:36" ht="15" customHeight="1">
      <c r="A214" s="62"/>
      <c r="B214" s="112"/>
      <c r="C214" s="145"/>
      <c r="D214" s="132"/>
      <c r="E214" s="132"/>
      <c r="F214" s="132"/>
      <c r="G214" s="132"/>
      <c r="H214" s="132"/>
      <c r="I214" s="132"/>
      <c r="J214" s="132"/>
      <c r="K214" s="144"/>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spans="1:36" ht="15" customHeight="1">
      <c r="A215" s="62"/>
      <c r="B215" s="112"/>
      <c r="C215" s="143" t="s">
        <v>90</v>
      </c>
      <c r="D215" s="146" t="str">
        <f>IF(D6="","",IF(D213&lt;='CO-PO Mapping'!$L$27,0,IF(D213&lt;='CO-PO Mapping'!$L$28,1,IF(D213&lt;='CO-PO Mapping'!$L$29,2,3))))</f>
        <v/>
      </c>
      <c r="E215" s="146" t="str">
        <f>IF(E6="","",IF(E213&lt;='CO-PO Mapping'!$L$27,0,IF(E213&lt;='CO-PO Mapping'!$L$28,1,IF(E213&lt;='CO-PO Mapping'!$L$29,2,3))))</f>
        <v/>
      </c>
      <c r="F215" s="146" t="str">
        <f>IF(F6="","",IF(F213&lt;='CO-PO Mapping'!$L$27,0,IF(F213&lt;='CO-PO Mapping'!$L$28,1,IF(F213&lt;='CO-PO Mapping'!$L$29,2,3))))</f>
        <v/>
      </c>
      <c r="G215" s="146" t="str">
        <f>IF(G6="","",IF(G213&lt;='CO-PO Mapping'!$L$27,0,IF(G213&lt;='CO-PO Mapping'!$L$28,1,IF(G213&lt;='CO-PO Mapping'!$L$29,2,3))))</f>
        <v/>
      </c>
      <c r="H215" s="146" t="str">
        <f>IF(H6="","",IF(H213&lt;='CO-PO Mapping'!$L$27,0,IF(H213&lt;='CO-PO Mapping'!$L$28,1,IF(H213&lt;='CO-PO Mapping'!$L$29,2,3))))</f>
        <v/>
      </c>
      <c r="I215" s="146" t="str">
        <f>IF(I6="","",IF(I213&lt;='CO-PO Mapping'!$L$27,0,IF(I213&lt;='CO-PO Mapping'!$L$28,1,IF(I213&lt;='CO-PO Mapping'!$L$29,2,3))))</f>
        <v/>
      </c>
      <c r="J215" s="146" t="e">
        <f>IF(J6="","",IF(J213&lt;='CO-PO Mapping'!$L$27,0,IF(J213&lt;='CO-PO Mapping'!$L$28,1,IF(J213&lt;='CO-PO Mapping'!$L$29,2,3))))</f>
        <v>#DIV/0!</v>
      </c>
      <c r="K215" s="144"/>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spans="1:36" ht="15" hidden="1" customHeight="1">
      <c r="A216" s="62"/>
      <c r="B216" s="147"/>
      <c r="C216" s="93" t="b">
        <f>IF($B$216=1,C215,IF($B$216=2,#REF!,IF($B$216=3,#REF!)))</f>
        <v>0</v>
      </c>
      <c r="D216" s="100" t="str">
        <f t="shared" ref="D216:H216" si="13">IF($J$6="0","0",D215)</f>
        <v/>
      </c>
      <c r="E216" s="100" t="str">
        <f t="shared" si="13"/>
        <v/>
      </c>
      <c r="F216" s="100" t="str">
        <f t="shared" si="13"/>
        <v/>
      </c>
      <c r="G216" s="100" t="str">
        <f t="shared" si="13"/>
        <v/>
      </c>
      <c r="H216" s="100" t="str">
        <f t="shared" si="13"/>
        <v/>
      </c>
      <c r="I216" s="101"/>
      <c r="J216" s="100" t="e">
        <f>IF($J$6="0","0",J215)</f>
        <v>#DIV/0!</v>
      </c>
      <c r="K216" s="148"/>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row>
    <row r="217" spans="1:36" ht="15" customHeight="1">
      <c r="A217" s="33"/>
      <c r="B217" s="33"/>
      <c r="C217" s="149"/>
      <c r="D217" s="33"/>
      <c r="E217" s="33"/>
      <c r="F217" s="33"/>
      <c r="G217" s="33"/>
      <c r="H217" s="33"/>
      <c r="I217" s="33"/>
      <c r="J217" s="33"/>
      <c r="K217" s="33"/>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spans="1:36" ht="15.6">
      <c r="A218" s="33"/>
      <c r="B218" s="33"/>
      <c r="C218" s="150"/>
      <c r="D218" s="33"/>
      <c r="E218" s="33"/>
      <c r="F218" s="33"/>
      <c r="G218" s="33"/>
      <c r="H218" s="33"/>
      <c r="I218" s="33"/>
      <c r="J218" s="33"/>
      <c r="K218" s="33"/>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spans="1:36" ht="15.6">
      <c r="A219" s="33"/>
      <c r="B219" s="33"/>
      <c r="C219" s="150"/>
      <c r="D219" s="33"/>
      <c r="E219" s="33"/>
      <c r="F219" s="33"/>
      <c r="G219" s="33"/>
      <c r="H219" s="33"/>
      <c r="I219" s="33"/>
      <c r="J219" s="33"/>
      <c r="K219" s="33"/>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spans="1:36" ht="15.6">
      <c r="A220" s="33"/>
      <c r="B220" s="33"/>
      <c r="C220" s="150"/>
      <c r="D220" s="33"/>
      <c r="E220" s="33"/>
      <c r="F220" s="33"/>
      <c r="G220" s="33"/>
      <c r="H220" s="33"/>
      <c r="I220" s="33"/>
      <c r="J220" s="33"/>
      <c r="K220" s="33"/>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spans="1:36" ht="15.6">
      <c r="A221" s="33"/>
      <c r="B221" s="33"/>
      <c r="C221" s="150"/>
      <c r="D221" s="33"/>
      <c r="E221" s="33"/>
      <c r="F221" s="33"/>
      <c r="G221" s="33"/>
      <c r="H221" s="33"/>
      <c r="I221" s="33"/>
      <c r="J221" s="33"/>
      <c r="K221" s="33"/>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spans="1:36" ht="15.6">
      <c r="A222" s="33"/>
      <c r="B222" s="33"/>
      <c r="C222" s="150"/>
      <c r="D222" s="33"/>
      <c r="E222" s="33"/>
      <c r="F222" s="33"/>
      <c r="G222" s="33"/>
      <c r="H222" s="33"/>
      <c r="I222" s="33"/>
      <c r="J222" s="33"/>
      <c r="K222" s="33"/>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spans="1:36" ht="15.6">
      <c r="A223" s="33"/>
      <c r="B223" s="33"/>
      <c r="C223" s="150"/>
      <c r="D223" s="33"/>
      <c r="E223" s="33"/>
      <c r="F223" s="33"/>
      <c r="G223" s="33"/>
      <c r="H223" s="33"/>
      <c r="I223" s="33"/>
      <c r="J223" s="33"/>
      <c r="K223" s="33"/>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spans="1:36" ht="15.6">
      <c r="A224" s="33"/>
      <c r="B224" s="33"/>
      <c r="C224" s="150"/>
      <c r="D224" s="33"/>
      <c r="E224" s="33"/>
      <c r="F224" s="33"/>
      <c r="G224" s="33"/>
      <c r="H224" s="33"/>
      <c r="I224" s="33"/>
      <c r="J224" s="33"/>
      <c r="K224" s="33"/>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spans="1:36" ht="15.6">
      <c r="A225" s="33"/>
      <c r="B225" s="33"/>
      <c r="C225" s="150"/>
      <c r="D225" s="33"/>
      <c r="E225" s="33"/>
      <c r="F225" s="33"/>
      <c r="G225" s="33"/>
      <c r="H225" s="33"/>
      <c r="I225" s="33"/>
      <c r="J225" s="33"/>
      <c r="K225" s="33"/>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spans="1:36" ht="15.6">
      <c r="A226" s="33"/>
      <c r="B226" s="33"/>
      <c r="C226" s="150"/>
      <c r="D226" s="33"/>
      <c r="E226" s="33"/>
      <c r="F226" s="33"/>
      <c r="G226" s="33"/>
      <c r="H226" s="33"/>
      <c r="I226" s="33"/>
      <c r="J226" s="33"/>
      <c r="K226" s="33"/>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spans="1:36" ht="15.6">
      <c r="A227" s="33"/>
      <c r="B227" s="33"/>
      <c r="C227" s="150"/>
      <c r="D227" s="33"/>
      <c r="E227" s="33"/>
      <c r="F227" s="33"/>
      <c r="G227" s="33"/>
      <c r="H227" s="33"/>
      <c r="I227" s="33"/>
      <c r="J227" s="33"/>
      <c r="K227" s="33"/>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spans="1:36" ht="15.6">
      <c r="A228" s="33"/>
      <c r="B228" s="33"/>
      <c r="C228" s="150"/>
      <c r="D228" s="33"/>
      <c r="E228" s="33"/>
      <c r="F228" s="33"/>
      <c r="G228" s="33"/>
      <c r="H228" s="33"/>
      <c r="I228" s="33"/>
      <c r="J228" s="33"/>
      <c r="K228" s="33"/>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spans="1:36" ht="15.6">
      <c r="A229" s="33"/>
      <c r="B229" s="33"/>
      <c r="C229" s="150"/>
      <c r="D229" s="33"/>
      <c r="E229" s="33"/>
      <c r="F229" s="33"/>
      <c r="G229" s="33"/>
      <c r="H229" s="33"/>
      <c r="I229" s="33"/>
      <c r="J229" s="33"/>
      <c r="K229" s="33"/>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spans="1:36" ht="15.6">
      <c r="A230" s="33"/>
      <c r="B230" s="33"/>
      <c r="C230" s="150"/>
      <c r="D230" s="33"/>
      <c r="E230" s="33"/>
      <c r="F230" s="33"/>
      <c r="G230" s="33"/>
      <c r="H230" s="33"/>
      <c r="I230" s="33"/>
      <c r="J230" s="33"/>
      <c r="K230" s="33"/>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spans="1:36" ht="15.6">
      <c r="A231" s="33"/>
      <c r="B231" s="33"/>
      <c r="C231" s="150"/>
      <c r="D231" s="33"/>
      <c r="E231" s="33"/>
      <c r="F231" s="33"/>
      <c r="G231" s="33"/>
      <c r="H231" s="33"/>
      <c r="I231" s="33"/>
      <c r="J231" s="33"/>
      <c r="K231" s="33"/>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spans="1:36" ht="15.6">
      <c r="A232" s="33"/>
      <c r="B232" s="33"/>
      <c r="C232" s="150"/>
      <c r="D232" s="33"/>
      <c r="E232" s="33"/>
      <c r="F232" s="33"/>
      <c r="G232" s="33"/>
      <c r="H232" s="33"/>
      <c r="I232" s="33"/>
      <c r="J232" s="33"/>
      <c r="K232" s="33"/>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spans="1:36" ht="15.6">
      <c r="A233" s="33"/>
      <c r="B233" s="33"/>
      <c r="C233" s="150"/>
      <c r="D233" s="33"/>
      <c r="E233" s="33"/>
      <c r="F233" s="33"/>
      <c r="G233" s="33"/>
      <c r="H233" s="33"/>
      <c r="I233" s="33"/>
      <c r="J233" s="33"/>
      <c r="K233" s="33"/>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spans="1:36" ht="15.6">
      <c r="A234" s="33"/>
      <c r="B234" s="33"/>
      <c r="C234" s="150"/>
      <c r="D234" s="33"/>
      <c r="E234" s="33"/>
      <c r="F234" s="33"/>
      <c r="G234" s="33"/>
      <c r="H234" s="33"/>
      <c r="I234" s="33"/>
      <c r="J234" s="33"/>
      <c r="K234" s="33"/>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spans="1:36" ht="15.6">
      <c r="A235" s="33"/>
      <c r="B235" s="33"/>
      <c r="C235" s="150"/>
      <c r="D235" s="33"/>
      <c r="E235" s="33"/>
      <c r="F235" s="33"/>
      <c r="G235" s="33"/>
      <c r="H235" s="33"/>
      <c r="I235" s="33"/>
      <c r="J235" s="33"/>
      <c r="K235" s="33"/>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spans="1:36" ht="15.6">
      <c r="A236" s="33"/>
      <c r="B236" s="33"/>
      <c r="C236" s="150"/>
      <c r="D236" s="33"/>
      <c r="E236" s="33"/>
      <c r="F236" s="33"/>
      <c r="G236" s="33"/>
      <c r="H236" s="33"/>
      <c r="I236" s="33"/>
      <c r="J236" s="33"/>
      <c r="K236" s="33"/>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spans="1:36" ht="15.6">
      <c r="A237" s="33"/>
      <c r="B237" s="33"/>
      <c r="C237" s="150"/>
      <c r="D237" s="33"/>
      <c r="E237" s="33"/>
      <c r="F237" s="33"/>
      <c r="G237" s="33"/>
      <c r="H237" s="33"/>
      <c r="I237" s="33"/>
      <c r="J237" s="33"/>
      <c r="K237" s="33"/>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spans="1:36" ht="15.6">
      <c r="A238" s="33"/>
      <c r="B238" s="33"/>
      <c r="C238" s="150"/>
      <c r="D238" s="33"/>
      <c r="E238" s="33"/>
      <c r="F238" s="33"/>
      <c r="G238" s="33"/>
      <c r="H238" s="33"/>
      <c r="I238" s="33"/>
      <c r="J238" s="33"/>
      <c r="K238" s="33"/>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spans="1:36" ht="15.6">
      <c r="A239" s="33"/>
      <c r="B239" s="33"/>
      <c r="C239" s="150"/>
      <c r="D239" s="33"/>
      <c r="E239" s="33"/>
      <c r="F239" s="33"/>
      <c r="G239" s="33"/>
      <c r="H239" s="33"/>
      <c r="I239" s="33"/>
      <c r="J239" s="33"/>
      <c r="K239" s="33"/>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spans="1:36" ht="15.6">
      <c r="A240" s="33"/>
      <c r="B240" s="33"/>
      <c r="C240" s="150"/>
      <c r="D240" s="33"/>
      <c r="E240" s="33"/>
      <c r="F240" s="33"/>
      <c r="G240" s="33"/>
      <c r="H240" s="33"/>
      <c r="I240" s="33"/>
      <c r="J240" s="33"/>
      <c r="K240" s="33"/>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spans="1:36" ht="15.6">
      <c r="A241" s="33"/>
      <c r="B241" s="33"/>
      <c r="C241" s="150"/>
      <c r="D241" s="33"/>
      <c r="E241" s="33"/>
      <c r="F241" s="33"/>
      <c r="G241" s="33"/>
      <c r="H241" s="33"/>
      <c r="I241" s="33"/>
      <c r="J241" s="33"/>
      <c r="K241" s="33"/>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spans="1:36" ht="15.6">
      <c r="A242" s="33"/>
      <c r="B242" s="33"/>
      <c r="C242" s="150"/>
      <c r="D242" s="33"/>
      <c r="E242" s="33"/>
      <c r="F242" s="33"/>
      <c r="G242" s="33"/>
      <c r="H242" s="33"/>
      <c r="I242" s="33"/>
      <c r="J242" s="33"/>
      <c r="K242" s="33"/>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spans="1:36" ht="15.6">
      <c r="A243" s="33"/>
      <c r="B243" s="33"/>
      <c r="C243" s="150"/>
      <c r="D243" s="33"/>
      <c r="E243" s="33"/>
      <c r="F243" s="33"/>
      <c r="G243" s="33"/>
      <c r="H243" s="33"/>
      <c r="I243" s="33"/>
      <c r="J243" s="33"/>
      <c r="K243" s="33"/>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spans="1:36" ht="15.6">
      <c r="A244" s="33"/>
      <c r="B244" s="33"/>
      <c r="C244" s="150"/>
      <c r="D244" s="33"/>
      <c r="E244" s="33"/>
      <c r="F244" s="33"/>
      <c r="G244" s="33"/>
      <c r="H244" s="33"/>
      <c r="I244" s="33"/>
      <c r="J244" s="33"/>
      <c r="K244" s="33"/>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spans="1:36" ht="15.6">
      <c r="A245" s="33"/>
      <c r="B245" s="33"/>
      <c r="C245" s="150"/>
      <c r="D245" s="33"/>
      <c r="E245" s="33"/>
      <c r="F245" s="33"/>
      <c r="G245" s="33"/>
      <c r="H245" s="33"/>
      <c r="I245" s="33"/>
      <c r="J245" s="33"/>
      <c r="K245" s="33"/>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spans="1:36" ht="15.6">
      <c r="A246" s="33"/>
      <c r="B246" s="33"/>
      <c r="C246" s="150"/>
      <c r="D246" s="33"/>
      <c r="E246" s="33"/>
      <c r="F246" s="33"/>
      <c r="G246" s="33"/>
      <c r="H246" s="33"/>
      <c r="I246" s="33"/>
      <c r="J246" s="33"/>
      <c r="K246" s="33"/>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spans="1:36" ht="15.6">
      <c r="A247" s="33"/>
      <c r="B247" s="33"/>
      <c r="C247" s="150"/>
      <c r="D247" s="33"/>
      <c r="E247" s="33"/>
      <c r="F247" s="33"/>
      <c r="G247" s="33"/>
      <c r="H247" s="33"/>
      <c r="I247" s="33"/>
      <c r="J247" s="33"/>
      <c r="K247" s="33"/>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spans="1:36" ht="15.6">
      <c r="A248" s="33"/>
      <c r="B248" s="33"/>
      <c r="C248" s="150"/>
      <c r="D248" s="33"/>
      <c r="E248" s="33"/>
      <c r="F248" s="33"/>
      <c r="G248" s="33"/>
      <c r="H248" s="33"/>
      <c r="I248" s="33"/>
      <c r="J248" s="33"/>
      <c r="K248" s="33"/>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spans="1:36" ht="15.6">
      <c r="A249" s="33"/>
      <c r="B249" s="33"/>
      <c r="C249" s="150"/>
      <c r="D249" s="33"/>
      <c r="E249" s="33"/>
      <c r="F249" s="33"/>
      <c r="G249" s="33"/>
      <c r="H249" s="33"/>
      <c r="I249" s="33"/>
      <c r="J249" s="33"/>
      <c r="K249" s="33"/>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spans="1:36" ht="15.6">
      <c r="A250" s="33"/>
      <c r="B250" s="33"/>
      <c r="C250" s="150"/>
      <c r="D250" s="33"/>
      <c r="E250" s="33"/>
      <c r="F250" s="33"/>
      <c r="G250" s="33"/>
      <c r="H250" s="33"/>
      <c r="I250" s="33"/>
      <c r="J250" s="33"/>
      <c r="K250" s="33"/>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spans="1:36" ht="15.6">
      <c r="A251" s="33"/>
      <c r="B251" s="33"/>
      <c r="C251" s="150"/>
      <c r="D251" s="33"/>
      <c r="E251" s="33"/>
      <c r="F251" s="33"/>
      <c r="G251" s="33"/>
      <c r="H251" s="33"/>
      <c r="I251" s="33"/>
      <c r="J251" s="33"/>
      <c r="K251" s="33"/>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spans="1:36" ht="15.6">
      <c r="A252" s="33"/>
      <c r="B252" s="33"/>
      <c r="C252" s="150"/>
      <c r="D252" s="33"/>
      <c r="E252" s="33"/>
      <c r="F252" s="33"/>
      <c r="G252" s="33"/>
      <c r="H252" s="33"/>
      <c r="I252" s="33"/>
      <c r="J252" s="33"/>
      <c r="K252" s="33"/>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spans="1:36" ht="15.6">
      <c r="A253" s="33"/>
      <c r="B253" s="33"/>
      <c r="C253" s="150"/>
      <c r="D253" s="33"/>
      <c r="E253" s="33"/>
      <c r="F253" s="33"/>
      <c r="G253" s="33"/>
      <c r="H253" s="33"/>
      <c r="I253" s="33"/>
      <c r="J253" s="33"/>
      <c r="K253" s="33"/>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spans="1:36" ht="15.6">
      <c r="A254" s="33"/>
      <c r="B254" s="33"/>
      <c r="C254" s="150"/>
      <c r="D254" s="33"/>
      <c r="E254" s="33"/>
      <c r="F254" s="33"/>
      <c r="G254" s="33"/>
      <c r="H254" s="33"/>
      <c r="I254" s="33"/>
      <c r="J254" s="33"/>
      <c r="K254" s="33"/>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spans="1:36" ht="15.6">
      <c r="A255" s="33"/>
      <c r="B255" s="33"/>
      <c r="C255" s="150"/>
      <c r="D255" s="33"/>
      <c r="E255" s="33"/>
      <c r="F255" s="33"/>
      <c r="G255" s="33"/>
      <c r="H255" s="33"/>
      <c r="I255" s="33"/>
      <c r="J255" s="33"/>
      <c r="K255" s="33"/>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spans="1:36" ht="15.6">
      <c r="A256" s="33"/>
      <c r="B256" s="33"/>
      <c r="C256" s="150"/>
      <c r="D256" s="33"/>
      <c r="E256" s="33"/>
      <c r="F256" s="33"/>
      <c r="G256" s="33"/>
      <c r="H256" s="33"/>
      <c r="I256" s="33"/>
      <c r="J256" s="33"/>
      <c r="K256" s="33"/>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spans="1:36" ht="15.6">
      <c r="A257" s="33"/>
      <c r="B257" s="33"/>
      <c r="C257" s="150"/>
      <c r="D257" s="33"/>
      <c r="E257" s="33"/>
      <c r="F257" s="33"/>
      <c r="G257" s="33"/>
      <c r="H257" s="33"/>
      <c r="I257" s="33"/>
      <c r="J257" s="33"/>
      <c r="K257" s="33"/>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spans="1:36" ht="15.6">
      <c r="A258" s="33"/>
      <c r="B258" s="33"/>
      <c r="C258" s="150"/>
      <c r="D258" s="33"/>
      <c r="E258" s="33"/>
      <c r="F258" s="33"/>
      <c r="G258" s="33"/>
      <c r="H258" s="33"/>
      <c r="I258" s="33"/>
      <c r="J258" s="33"/>
      <c r="K258" s="33"/>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spans="1:36" ht="15.6">
      <c r="A259" s="33"/>
      <c r="B259" s="33"/>
      <c r="C259" s="150"/>
      <c r="D259" s="33"/>
      <c r="E259" s="33"/>
      <c r="F259" s="33"/>
      <c r="G259" s="33"/>
      <c r="H259" s="33"/>
      <c r="I259" s="33"/>
      <c r="J259" s="33"/>
      <c r="K259" s="33"/>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spans="1:36" ht="15.6">
      <c r="A260" s="33"/>
      <c r="B260" s="33"/>
      <c r="C260" s="150"/>
      <c r="D260" s="33"/>
      <c r="E260" s="33"/>
      <c r="F260" s="33"/>
      <c r="G260" s="33"/>
      <c r="H260" s="33"/>
      <c r="I260" s="33"/>
      <c r="J260" s="33"/>
      <c r="K260" s="33"/>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spans="1:36" ht="15.6">
      <c r="A261" s="33"/>
      <c r="B261" s="33"/>
      <c r="C261" s="150"/>
      <c r="D261" s="33"/>
      <c r="E261" s="33"/>
      <c r="F261" s="33"/>
      <c r="G261" s="33"/>
      <c r="H261" s="33"/>
      <c r="I261" s="33"/>
      <c r="J261" s="33"/>
      <c r="K261" s="33"/>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spans="1:36" ht="15.6">
      <c r="A262" s="33"/>
      <c r="B262" s="33"/>
      <c r="C262" s="150"/>
      <c r="D262" s="33"/>
      <c r="E262" s="33"/>
      <c r="F262" s="33"/>
      <c r="G262" s="33"/>
      <c r="H262" s="33"/>
      <c r="I262" s="33"/>
      <c r="J262" s="33"/>
      <c r="K262" s="33"/>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spans="1:36" ht="15.6">
      <c r="A263" s="33"/>
      <c r="B263" s="33"/>
      <c r="C263" s="150"/>
      <c r="D263" s="33"/>
      <c r="E263" s="33"/>
      <c r="F263" s="33"/>
      <c r="G263" s="33"/>
      <c r="H263" s="33"/>
      <c r="I263" s="33"/>
      <c r="J263" s="33"/>
      <c r="K263" s="33"/>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spans="1:36" ht="15.6">
      <c r="A264" s="33"/>
      <c r="B264" s="33"/>
      <c r="C264" s="150"/>
      <c r="D264" s="33"/>
      <c r="E264" s="33"/>
      <c r="F264" s="33"/>
      <c r="G264" s="33"/>
      <c r="H264" s="33"/>
      <c r="I264" s="33"/>
      <c r="J264" s="33"/>
      <c r="K264" s="33"/>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spans="1:36" ht="15.6">
      <c r="A265" s="33"/>
      <c r="B265" s="33"/>
      <c r="C265" s="150"/>
      <c r="D265" s="33"/>
      <c r="E265" s="33"/>
      <c r="F265" s="33"/>
      <c r="G265" s="33"/>
      <c r="H265" s="33"/>
      <c r="I265" s="33"/>
      <c r="J265" s="33"/>
      <c r="K265" s="33"/>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spans="1:36" ht="15.6">
      <c r="A266" s="33"/>
      <c r="B266" s="33"/>
      <c r="C266" s="150"/>
      <c r="D266" s="33"/>
      <c r="E266" s="33"/>
      <c r="F266" s="33"/>
      <c r="G266" s="33"/>
      <c r="H266" s="33"/>
      <c r="I266" s="33"/>
      <c r="J266" s="33"/>
      <c r="K266" s="33"/>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spans="1:36" ht="15.6">
      <c r="A267" s="33"/>
      <c r="B267" s="33"/>
      <c r="C267" s="150"/>
      <c r="D267" s="33"/>
      <c r="E267" s="33"/>
      <c r="F267" s="33"/>
      <c r="G267" s="33"/>
      <c r="H267" s="33"/>
      <c r="I267" s="33"/>
      <c r="J267" s="33"/>
      <c r="K267" s="33"/>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spans="1:36" ht="15.6">
      <c r="A268" s="33"/>
      <c r="B268" s="33"/>
      <c r="C268" s="150"/>
      <c r="D268" s="33"/>
      <c r="E268" s="33"/>
      <c r="F268" s="33"/>
      <c r="G268" s="33"/>
      <c r="H268" s="33"/>
      <c r="I268" s="33"/>
      <c r="J268" s="33"/>
      <c r="K268" s="33"/>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spans="1:36" ht="15.6">
      <c r="A269" s="33"/>
      <c r="B269" s="33"/>
      <c r="C269" s="150"/>
      <c r="D269" s="33"/>
      <c r="E269" s="33"/>
      <c r="F269" s="33"/>
      <c r="G269" s="33"/>
      <c r="H269" s="33"/>
      <c r="I269" s="33"/>
      <c r="J269" s="33"/>
      <c r="K269" s="33"/>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spans="1:36" ht="15.6">
      <c r="A270" s="33"/>
      <c r="B270" s="33"/>
      <c r="C270" s="150"/>
      <c r="D270" s="33"/>
      <c r="E270" s="33"/>
      <c r="F270" s="33"/>
      <c r="G270" s="33"/>
      <c r="H270" s="33"/>
      <c r="I270" s="33"/>
      <c r="J270" s="33"/>
      <c r="K270" s="33"/>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spans="1:36" ht="15.6">
      <c r="A271" s="33"/>
      <c r="B271" s="33"/>
      <c r="C271" s="150"/>
      <c r="D271" s="33"/>
      <c r="E271" s="33"/>
      <c r="F271" s="33"/>
      <c r="G271" s="33"/>
      <c r="H271" s="33"/>
      <c r="I271" s="33"/>
      <c r="J271" s="33"/>
      <c r="K271" s="33"/>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spans="1:36" ht="15.6">
      <c r="A272" s="33"/>
      <c r="B272" s="33"/>
      <c r="C272" s="150"/>
      <c r="D272" s="33"/>
      <c r="E272" s="33"/>
      <c r="F272" s="33"/>
      <c r="G272" s="33"/>
      <c r="H272" s="33"/>
      <c r="I272" s="33"/>
      <c r="J272" s="33"/>
      <c r="K272" s="33"/>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spans="1:36" ht="15.6">
      <c r="A273" s="33"/>
      <c r="B273" s="33"/>
      <c r="C273" s="150"/>
      <c r="D273" s="33"/>
      <c r="E273" s="33"/>
      <c r="F273" s="33"/>
      <c r="G273" s="33"/>
      <c r="H273" s="33"/>
      <c r="I273" s="33"/>
      <c r="J273" s="33"/>
      <c r="K273" s="33"/>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spans="1:36" ht="15.6">
      <c r="A274" s="33"/>
      <c r="B274" s="33"/>
      <c r="C274" s="150"/>
      <c r="D274" s="33"/>
      <c r="E274" s="33"/>
      <c r="F274" s="33"/>
      <c r="G274" s="33"/>
      <c r="H274" s="33"/>
      <c r="I274" s="33"/>
      <c r="J274" s="33"/>
      <c r="K274" s="33"/>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spans="1:36" ht="15.6">
      <c r="A275" s="33"/>
      <c r="B275" s="33"/>
      <c r="C275" s="150"/>
      <c r="D275" s="33"/>
      <c r="E275" s="33"/>
      <c r="F275" s="33"/>
      <c r="G275" s="33"/>
      <c r="H275" s="33"/>
      <c r="I275" s="33"/>
      <c r="J275" s="33"/>
      <c r="K275" s="33"/>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spans="1:36" ht="15.6">
      <c r="A276" s="33"/>
      <c r="B276" s="33"/>
      <c r="C276" s="150"/>
      <c r="D276" s="33"/>
      <c r="E276" s="33"/>
      <c r="F276" s="33"/>
      <c r="G276" s="33"/>
      <c r="H276" s="33"/>
      <c r="I276" s="33"/>
      <c r="J276" s="33"/>
      <c r="K276" s="33"/>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spans="1:36" ht="15.6">
      <c r="A277" s="33"/>
      <c r="B277" s="33"/>
      <c r="C277" s="150"/>
      <c r="D277" s="33"/>
      <c r="E277" s="33"/>
      <c r="F277" s="33"/>
      <c r="G277" s="33"/>
      <c r="H277" s="33"/>
      <c r="I277" s="33"/>
      <c r="J277" s="33"/>
      <c r="K277" s="33"/>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spans="1:36" ht="15.6">
      <c r="A278" s="33"/>
      <c r="B278" s="33"/>
      <c r="C278" s="150"/>
      <c r="D278" s="33"/>
      <c r="E278" s="33"/>
      <c r="F278" s="33"/>
      <c r="G278" s="33"/>
      <c r="H278" s="33"/>
      <c r="I278" s="33"/>
      <c r="J278" s="33"/>
      <c r="K278" s="33"/>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spans="1:36" ht="15.6">
      <c r="A279" s="33"/>
      <c r="B279" s="33"/>
      <c r="C279" s="150"/>
      <c r="D279" s="33"/>
      <c r="E279" s="33"/>
      <c r="F279" s="33"/>
      <c r="G279" s="33"/>
      <c r="H279" s="33"/>
      <c r="I279" s="33"/>
      <c r="J279" s="33"/>
      <c r="K279" s="33"/>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spans="1:36" ht="15.6">
      <c r="A280" s="33"/>
      <c r="B280" s="33"/>
      <c r="C280" s="150"/>
      <c r="D280" s="33"/>
      <c r="E280" s="33"/>
      <c r="F280" s="33"/>
      <c r="G280" s="33"/>
      <c r="H280" s="33"/>
      <c r="I280" s="33"/>
      <c r="J280" s="33"/>
      <c r="K280" s="33"/>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spans="1:36" ht="15.6">
      <c r="A281" s="33"/>
      <c r="B281" s="33"/>
      <c r="C281" s="150"/>
      <c r="D281" s="33"/>
      <c r="E281" s="33"/>
      <c r="F281" s="33"/>
      <c r="G281" s="33"/>
      <c r="H281" s="33"/>
      <c r="I281" s="33"/>
      <c r="J281" s="33"/>
      <c r="K281" s="33"/>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spans="1:36" ht="15.6">
      <c r="A282" s="33"/>
      <c r="B282" s="33"/>
      <c r="C282" s="150"/>
      <c r="D282" s="33"/>
      <c r="E282" s="33"/>
      <c r="F282" s="33"/>
      <c r="G282" s="33"/>
      <c r="H282" s="33"/>
      <c r="I282" s="33"/>
      <c r="J282" s="33"/>
      <c r="K282" s="33"/>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spans="1:36" ht="15.6">
      <c r="A283" s="33"/>
      <c r="B283" s="33"/>
      <c r="C283" s="150"/>
      <c r="D283" s="33"/>
      <c r="E283" s="33"/>
      <c r="F283" s="33"/>
      <c r="G283" s="33"/>
      <c r="H283" s="33"/>
      <c r="I283" s="33"/>
      <c r="J283" s="33"/>
      <c r="K283" s="33"/>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spans="1:36" ht="15.6">
      <c r="A284" s="33"/>
      <c r="B284" s="33"/>
      <c r="C284" s="150"/>
      <c r="D284" s="33"/>
      <c r="E284" s="33"/>
      <c r="F284" s="33"/>
      <c r="G284" s="33"/>
      <c r="H284" s="33"/>
      <c r="I284" s="33"/>
      <c r="J284" s="33"/>
      <c r="K284" s="33"/>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spans="1:36" ht="15.6">
      <c r="A285" s="33"/>
      <c r="B285" s="33"/>
      <c r="C285" s="150"/>
      <c r="D285" s="33"/>
      <c r="E285" s="33"/>
      <c r="F285" s="33"/>
      <c r="G285" s="33"/>
      <c r="H285" s="33"/>
      <c r="I285" s="33"/>
      <c r="J285" s="33"/>
      <c r="K285" s="33"/>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spans="1:36" ht="15.6">
      <c r="A286" s="33"/>
      <c r="B286" s="33"/>
      <c r="C286" s="150"/>
      <c r="D286" s="33"/>
      <c r="E286" s="33"/>
      <c r="F286" s="33"/>
      <c r="G286" s="33"/>
      <c r="H286" s="33"/>
      <c r="I286" s="33"/>
      <c r="J286" s="33"/>
      <c r="K286" s="33"/>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spans="1:36" ht="15.6">
      <c r="A287" s="33"/>
      <c r="B287" s="33"/>
      <c r="C287" s="150"/>
      <c r="D287" s="33"/>
      <c r="E287" s="33"/>
      <c r="F287" s="33"/>
      <c r="G287" s="33"/>
      <c r="H287" s="33"/>
      <c r="I287" s="33"/>
      <c r="J287" s="33"/>
      <c r="K287" s="33"/>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spans="1:36" ht="15.6">
      <c r="A288" s="33"/>
      <c r="B288" s="33"/>
      <c r="C288" s="150"/>
      <c r="D288" s="33"/>
      <c r="E288" s="33"/>
      <c r="F288" s="33"/>
      <c r="G288" s="33"/>
      <c r="H288" s="33"/>
      <c r="I288" s="33"/>
      <c r="J288" s="33"/>
      <c r="K288" s="33"/>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spans="1:36" ht="15.6">
      <c r="A289" s="33"/>
      <c r="B289" s="33"/>
      <c r="C289" s="150"/>
      <c r="D289" s="33"/>
      <c r="E289" s="33"/>
      <c r="F289" s="33"/>
      <c r="G289" s="33"/>
      <c r="H289" s="33"/>
      <c r="I289" s="33"/>
      <c r="J289" s="33"/>
      <c r="K289" s="33"/>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spans="1:36" ht="15.6">
      <c r="A290" s="33"/>
      <c r="B290" s="33"/>
      <c r="C290" s="150"/>
      <c r="D290" s="33"/>
      <c r="E290" s="33"/>
      <c r="F290" s="33"/>
      <c r="G290" s="33"/>
      <c r="H290" s="33"/>
      <c r="I290" s="33"/>
      <c r="J290" s="33"/>
      <c r="K290" s="33"/>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spans="1:36" ht="15.6">
      <c r="A291" s="33"/>
      <c r="B291" s="33"/>
      <c r="C291" s="150"/>
      <c r="D291" s="33"/>
      <c r="E291" s="33"/>
      <c r="F291" s="33"/>
      <c r="G291" s="33"/>
      <c r="H291" s="33"/>
      <c r="I291" s="33"/>
      <c r="J291" s="33"/>
      <c r="K291" s="33"/>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spans="1:36" ht="15.6">
      <c r="A292" s="33"/>
      <c r="B292" s="33"/>
      <c r="C292" s="150"/>
      <c r="D292" s="33"/>
      <c r="E292" s="33"/>
      <c r="F292" s="33"/>
      <c r="G292" s="33"/>
      <c r="H292" s="33"/>
      <c r="I292" s="33"/>
      <c r="J292" s="33"/>
      <c r="K292" s="33"/>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spans="1:36" ht="15.6">
      <c r="A293" s="33"/>
      <c r="B293" s="33"/>
      <c r="C293" s="150"/>
      <c r="D293" s="33"/>
      <c r="E293" s="33"/>
      <c r="F293" s="33"/>
      <c r="G293" s="33"/>
      <c r="H293" s="33"/>
      <c r="I293" s="33"/>
      <c r="J293" s="33"/>
      <c r="K293" s="33"/>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spans="1:36" ht="15.6">
      <c r="A294" s="33"/>
      <c r="B294" s="33"/>
      <c r="C294" s="150"/>
      <c r="D294" s="33"/>
      <c r="E294" s="33"/>
      <c r="F294" s="33"/>
      <c r="G294" s="33"/>
      <c r="H294" s="33"/>
      <c r="I294" s="33"/>
      <c r="J294" s="33"/>
      <c r="K294" s="33"/>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spans="1:36" ht="15.6">
      <c r="A295" s="33"/>
      <c r="B295" s="33"/>
      <c r="C295" s="150"/>
      <c r="D295" s="33"/>
      <c r="E295" s="33"/>
      <c r="F295" s="33"/>
      <c r="G295" s="33"/>
      <c r="H295" s="33"/>
      <c r="I295" s="33"/>
      <c r="J295" s="33"/>
      <c r="K295" s="33"/>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spans="1:36" ht="15.6">
      <c r="A296" s="33"/>
      <c r="B296" s="33"/>
      <c r="C296" s="150"/>
      <c r="D296" s="33"/>
      <c r="E296" s="33"/>
      <c r="F296" s="33"/>
      <c r="G296" s="33"/>
      <c r="H296" s="33"/>
      <c r="I296" s="33"/>
      <c r="J296" s="33"/>
      <c r="K296" s="33"/>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spans="1:36" ht="15.6">
      <c r="A297" s="33"/>
      <c r="B297" s="33"/>
      <c r="C297" s="150"/>
      <c r="D297" s="33"/>
      <c r="E297" s="33"/>
      <c r="F297" s="33"/>
      <c r="G297" s="33"/>
      <c r="H297" s="33"/>
      <c r="I297" s="33"/>
      <c r="J297" s="33"/>
      <c r="K297" s="33"/>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spans="1:36" ht="15.6">
      <c r="A298" s="33"/>
      <c r="B298" s="33"/>
      <c r="C298" s="150"/>
      <c r="D298" s="33"/>
      <c r="E298" s="33"/>
      <c r="F298" s="33"/>
      <c r="G298" s="33"/>
      <c r="H298" s="33"/>
      <c r="I298" s="33"/>
      <c r="J298" s="33"/>
      <c r="K298" s="33"/>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spans="1:36" ht="15.6">
      <c r="A299" s="33"/>
      <c r="B299" s="33"/>
      <c r="C299" s="150"/>
      <c r="D299" s="33"/>
      <c r="E299" s="33"/>
      <c r="F299" s="33"/>
      <c r="G299" s="33"/>
      <c r="H299" s="33"/>
      <c r="I299" s="33"/>
      <c r="J299" s="33"/>
      <c r="K299" s="33"/>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spans="1:36" ht="15.6">
      <c r="A300" s="33"/>
      <c r="B300" s="33"/>
      <c r="C300" s="150"/>
      <c r="D300" s="33"/>
      <c r="E300" s="33"/>
      <c r="F300" s="33"/>
      <c r="G300" s="33"/>
      <c r="H300" s="33"/>
      <c r="I300" s="33"/>
      <c r="J300" s="33"/>
      <c r="K300" s="33"/>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spans="1:36" ht="15.6">
      <c r="A301" s="33"/>
      <c r="B301" s="33"/>
      <c r="C301" s="150"/>
      <c r="D301" s="33"/>
      <c r="E301" s="33"/>
      <c r="F301" s="33"/>
      <c r="G301" s="33"/>
      <c r="H301" s="33"/>
      <c r="I301" s="33"/>
      <c r="J301" s="33"/>
      <c r="K301" s="33"/>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spans="1:36" ht="15.6">
      <c r="A302" s="33"/>
      <c r="B302" s="33"/>
      <c r="C302" s="150"/>
      <c r="D302" s="33"/>
      <c r="E302" s="33"/>
      <c r="F302" s="33"/>
      <c r="G302" s="33"/>
      <c r="H302" s="33"/>
      <c r="I302" s="33"/>
      <c r="J302" s="33"/>
      <c r="K302" s="33"/>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spans="1:36" ht="15.6">
      <c r="A303" s="33"/>
      <c r="B303" s="33"/>
      <c r="C303" s="150"/>
      <c r="D303" s="33"/>
      <c r="E303" s="33"/>
      <c r="F303" s="33"/>
      <c r="G303" s="33"/>
      <c r="H303" s="33"/>
      <c r="I303" s="33"/>
      <c r="J303" s="33"/>
      <c r="K303" s="33"/>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spans="1:36" ht="15.6">
      <c r="A304" s="33"/>
      <c r="B304" s="33"/>
      <c r="C304" s="150"/>
      <c r="D304" s="33"/>
      <c r="E304" s="33"/>
      <c r="F304" s="33"/>
      <c r="G304" s="33"/>
      <c r="H304" s="33"/>
      <c r="I304" s="33"/>
      <c r="J304" s="33"/>
      <c r="K304" s="33"/>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spans="1:36" ht="15.6">
      <c r="A305" s="33"/>
      <c r="B305" s="33"/>
      <c r="C305" s="150"/>
      <c r="D305" s="33"/>
      <c r="E305" s="33"/>
      <c r="F305" s="33"/>
      <c r="G305" s="33"/>
      <c r="H305" s="33"/>
      <c r="I305" s="33"/>
      <c r="J305" s="33"/>
      <c r="K305" s="33"/>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spans="1:36" ht="15.6">
      <c r="A306" s="33"/>
      <c r="B306" s="33"/>
      <c r="C306" s="150"/>
      <c r="D306" s="33"/>
      <c r="E306" s="33"/>
      <c r="F306" s="33"/>
      <c r="G306" s="33"/>
      <c r="H306" s="33"/>
      <c r="I306" s="33"/>
      <c r="J306" s="33"/>
      <c r="K306" s="33"/>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spans="1:36" ht="15.6">
      <c r="A307" s="33"/>
      <c r="B307" s="33"/>
      <c r="C307" s="150"/>
      <c r="D307" s="33"/>
      <c r="E307" s="33"/>
      <c r="F307" s="33"/>
      <c r="G307" s="33"/>
      <c r="H307" s="33"/>
      <c r="I307" s="33"/>
      <c r="J307" s="33"/>
      <c r="K307" s="33"/>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spans="1:36" ht="15.6">
      <c r="A308" s="33"/>
      <c r="B308" s="33"/>
      <c r="C308" s="150"/>
      <c r="D308" s="33"/>
      <c r="E308" s="33"/>
      <c r="F308" s="33"/>
      <c r="G308" s="33"/>
      <c r="H308" s="33"/>
      <c r="I308" s="33"/>
      <c r="J308" s="33"/>
      <c r="K308" s="33"/>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spans="1:36" ht="15.6">
      <c r="A309" s="33"/>
      <c r="B309" s="33"/>
      <c r="C309" s="150"/>
      <c r="D309" s="33"/>
      <c r="E309" s="33"/>
      <c r="F309" s="33"/>
      <c r="G309" s="33"/>
      <c r="H309" s="33"/>
      <c r="I309" s="33"/>
      <c r="J309" s="33"/>
      <c r="K309" s="33"/>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spans="1:36" ht="15.6">
      <c r="A310" s="33"/>
      <c r="B310" s="33"/>
      <c r="C310" s="150"/>
      <c r="D310" s="33"/>
      <c r="E310" s="33"/>
      <c r="F310" s="33"/>
      <c r="G310" s="33"/>
      <c r="H310" s="33"/>
      <c r="I310" s="33"/>
      <c r="J310" s="33"/>
      <c r="K310" s="33"/>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spans="1:36" ht="15.6">
      <c r="A311" s="33"/>
      <c r="B311" s="33"/>
      <c r="C311" s="150"/>
      <c r="D311" s="33"/>
      <c r="E311" s="33"/>
      <c r="F311" s="33"/>
      <c r="G311" s="33"/>
      <c r="H311" s="33"/>
      <c r="I311" s="33"/>
      <c r="J311" s="33"/>
      <c r="K311" s="33"/>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spans="1:36" ht="15.6">
      <c r="A312" s="33"/>
      <c r="B312" s="33"/>
      <c r="C312" s="150"/>
      <c r="D312" s="33"/>
      <c r="E312" s="33"/>
      <c r="F312" s="33"/>
      <c r="G312" s="33"/>
      <c r="H312" s="33"/>
      <c r="I312" s="33"/>
      <c r="J312" s="33"/>
      <c r="K312" s="33"/>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spans="1:36" ht="15.6">
      <c r="A313" s="33"/>
      <c r="B313" s="33"/>
      <c r="C313" s="150"/>
      <c r="D313" s="33"/>
      <c r="E313" s="33"/>
      <c r="F313" s="33"/>
      <c r="G313" s="33"/>
      <c r="H313" s="33"/>
      <c r="I313" s="33"/>
      <c r="J313" s="33"/>
      <c r="K313" s="33"/>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spans="1:36" ht="15.6">
      <c r="A314" s="33"/>
      <c r="B314" s="33"/>
      <c r="C314" s="150"/>
      <c r="D314" s="33"/>
      <c r="E314" s="33"/>
      <c r="F314" s="33"/>
      <c r="G314" s="33"/>
      <c r="H314" s="33"/>
      <c r="I314" s="33"/>
      <c r="J314" s="33"/>
      <c r="K314" s="33"/>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spans="1:36" ht="15.6">
      <c r="A315" s="33"/>
      <c r="B315" s="33"/>
      <c r="C315" s="150"/>
      <c r="D315" s="33"/>
      <c r="E315" s="33"/>
      <c r="F315" s="33"/>
      <c r="G315" s="33"/>
      <c r="H315" s="33"/>
      <c r="I315" s="33"/>
      <c r="J315" s="33"/>
      <c r="K315" s="33"/>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spans="1:36" ht="15.6">
      <c r="A316" s="33"/>
      <c r="B316" s="33"/>
      <c r="C316" s="150"/>
      <c r="D316" s="33"/>
      <c r="E316" s="33"/>
      <c r="F316" s="33"/>
      <c r="G316" s="33"/>
      <c r="H316" s="33"/>
      <c r="I316" s="33"/>
      <c r="J316" s="33"/>
      <c r="K316" s="33"/>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spans="1:36" ht="15.6">
      <c r="A317" s="33"/>
      <c r="B317" s="33"/>
      <c r="C317" s="150"/>
      <c r="D317" s="33"/>
      <c r="E317" s="33"/>
      <c r="F317" s="33"/>
      <c r="G317" s="33"/>
      <c r="H317" s="33"/>
      <c r="I317" s="33"/>
      <c r="J317" s="33"/>
      <c r="K317" s="33"/>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spans="1:36" ht="15.6">
      <c r="A318" s="33"/>
      <c r="B318" s="33"/>
      <c r="C318" s="150"/>
      <c r="D318" s="33"/>
      <c r="E318" s="33"/>
      <c r="F318" s="33"/>
      <c r="G318" s="33"/>
      <c r="H318" s="33"/>
      <c r="I318" s="33"/>
      <c r="J318" s="33"/>
      <c r="K318" s="33"/>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spans="1:36" ht="15.6">
      <c r="A319" s="33"/>
      <c r="B319" s="33"/>
      <c r="C319" s="150"/>
      <c r="D319" s="33"/>
      <c r="E319" s="33"/>
      <c r="F319" s="33"/>
      <c r="G319" s="33"/>
      <c r="H319" s="33"/>
      <c r="I319" s="33"/>
      <c r="J319" s="33"/>
      <c r="K319" s="33"/>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spans="1:36" ht="15.6">
      <c r="A320" s="33"/>
      <c r="B320" s="33"/>
      <c r="C320" s="150"/>
      <c r="D320" s="33"/>
      <c r="E320" s="33"/>
      <c r="F320" s="33"/>
      <c r="G320" s="33"/>
      <c r="H320" s="33"/>
      <c r="I320" s="33"/>
      <c r="J320" s="33"/>
      <c r="K320" s="33"/>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spans="1:36" ht="15.6">
      <c r="A321" s="33"/>
      <c r="B321" s="33"/>
      <c r="C321" s="150"/>
      <c r="D321" s="33"/>
      <c r="E321" s="33"/>
      <c r="F321" s="33"/>
      <c r="G321" s="33"/>
      <c r="H321" s="33"/>
      <c r="I321" s="33"/>
      <c r="J321" s="33"/>
      <c r="K321" s="33"/>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spans="1:36" ht="15.6">
      <c r="A322" s="33"/>
      <c r="B322" s="33"/>
      <c r="C322" s="150"/>
      <c r="D322" s="33"/>
      <c r="E322" s="33"/>
      <c r="F322" s="33"/>
      <c r="G322" s="33"/>
      <c r="H322" s="33"/>
      <c r="I322" s="33"/>
      <c r="J322" s="33"/>
      <c r="K322" s="33"/>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spans="1:36" ht="15.6">
      <c r="A323" s="33"/>
      <c r="B323" s="33"/>
      <c r="C323" s="150"/>
      <c r="D323" s="33"/>
      <c r="E323" s="33"/>
      <c r="F323" s="33"/>
      <c r="G323" s="33"/>
      <c r="H323" s="33"/>
      <c r="I323" s="33"/>
      <c r="J323" s="33"/>
      <c r="K323" s="33"/>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spans="1:36" ht="15.6">
      <c r="A324" s="33"/>
      <c r="B324" s="33"/>
      <c r="C324" s="150"/>
      <c r="D324" s="33"/>
      <c r="E324" s="33"/>
      <c r="F324" s="33"/>
      <c r="G324" s="33"/>
      <c r="H324" s="33"/>
      <c r="I324" s="33"/>
      <c r="J324" s="33"/>
      <c r="K324" s="33"/>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spans="1:36" ht="15.6">
      <c r="A325" s="33"/>
      <c r="B325" s="33"/>
      <c r="C325" s="150"/>
      <c r="D325" s="33"/>
      <c r="E325" s="33"/>
      <c r="F325" s="33"/>
      <c r="G325" s="33"/>
      <c r="H325" s="33"/>
      <c r="I325" s="33"/>
      <c r="J325" s="33"/>
      <c r="K325" s="33"/>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spans="1:36" ht="15.6">
      <c r="A326" s="33"/>
      <c r="B326" s="33"/>
      <c r="C326" s="150"/>
      <c r="D326" s="33"/>
      <c r="E326" s="33"/>
      <c r="F326" s="33"/>
      <c r="G326" s="33"/>
      <c r="H326" s="33"/>
      <c r="I326" s="33"/>
      <c r="J326" s="33"/>
      <c r="K326" s="33"/>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spans="1:36" ht="15.6">
      <c r="A327" s="33"/>
      <c r="B327" s="33"/>
      <c r="C327" s="150"/>
      <c r="D327" s="33"/>
      <c r="E327" s="33"/>
      <c r="F327" s="33"/>
      <c r="G327" s="33"/>
      <c r="H327" s="33"/>
      <c r="I327" s="33"/>
      <c r="J327" s="33"/>
      <c r="K327" s="33"/>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spans="1:36" ht="15.6">
      <c r="A328" s="33"/>
      <c r="B328" s="33"/>
      <c r="C328" s="150"/>
      <c r="D328" s="33"/>
      <c r="E328" s="33"/>
      <c r="F328" s="33"/>
      <c r="G328" s="33"/>
      <c r="H328" s="33"/>
      <c r="I328" s="33"/>
      <c r="J328" s="33"/>
      <c r="K328" s="33"/>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spans="1:36" ht="15.6">
      <c r="A329" s="33"/>
      <c r="B329" s="33"/>
      <c r="C329" s="150"/>
      <c r="D329" s="33"/>
      <c r="E329" s="33"/>
      <c r="F329" s="33"/>
      <c r="G329" s="33"/>
      <c r="H329" s="33"/>
      <c r="I329" s="33"/>
      <c r="J329" s="33"/>
      <c r="K329" s="33"/>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spans="1:36" ht="15.6">
      <c r="A330" s="33"/>
      <c r="B330" s="33"/>
      <c r="C330" s="150"/>
      <c r="D330" s="33"/>
      <c r="E330" s="33"/>
      <c r="F330" s="33"/>
      <c r="G330" s="33"/>
      <c r="H330" s="33"/>
      <c r="I330" s="33"/>
      <c r="J330" s="33"/>
      <c r="K330" s="33"/>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spans="1:36" ht="15.6">
      <c r="A331" s="33"/>
      <c r="B331" s="33"/>
      <c r="C331" s="150"/>
      <c r="D331" s="33"/>
      <c r="E331" s="33"/>
      <c r="F331" s="33"/>
      <c r="G331" s="33"/>
      <c r="H331" s="33"/>
      <c r="I331" s="33"/>
      <c r="J331" s="33"/>
      <c r="K331" s="33"/>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spans="1:36" ht="15.6">
      <c r="A332" s="33"/>
      <c r="B332" s="33"/>
      <c r="C332" s="150"/>
      <c r="D332" s="33"/>
      <c r="E332" s="33"/>
      <c r="F332" s="33"/>
      <c r="G332" s="33"/>
      <c r="H332" s="33"/>
      <c r="I332" s="33"/>
      <c r="J332" s="33"/>
      <c r="K332" s="33"/>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spans="1:36" ht="15.6">
      <c r="A333" s="33"/>
      <c r="B333" s="33"/>
      <c r="C333" s="150"/>
      <c r="D333" s="33"/>
      <c r="E333" s="33"/>
      <c r="F333" s="33"/>
      <c r="G333" s="33"/>
      <c r="H333" s="33"/>
      <c r="I333" s="33"/>
      <c r="J333" s="33"/>
      <c r="K333" s="33"/>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spans="1:36" ht="15.6">
      <c r="A334" s="33"/>
      <c r="B334" s="33"/>
      <c r="C334" s="150"/>
      <c r="D334" s="33"/>
      <c r="E334" s="33"/>
      <c r="F334" s="33"/>
      <c r="G334" s="33"/>
      <c r="H334" s="33"/>
      <c r="I334" s="33"/>
      <c r="J334" s="33"/>
      <c r="K334" s="33"/>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spans="1:36" ht="15.6">
      <c r="A335" s="33"/>
      <c r="B335" s="33"/>
      <c r="C335" s="150"/>
      <c r="D335" s="33"/>
      <c r="E335" s="33"/>
      <c r="F335" s="33"/>
      <c r="G335" s="33"/>
      <c r="H335" s="33"/>
      <c r="I335" s="33"/>
      <c r="J335" s="33"/>
      <c r="K335" s="33"/>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spans="1:36" ht="15.6">
      <c r="A336" s="33"/>
      <c r="B336" s="33"/>
      <c r="C336" s="150"/>
      <c r="D336" s="33"/>
      <c r="E336" s="33"/>
      <c r="F336" s="33"/>
      <c r="G336" s="33"/>
      <c r="H336" s="33"/>
      <c r="I336" s="33"/>
      <c r="J336" s="33"/>
      <c r="K336" s="33"/>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spans="1:36" ht="15.6">
      <c r="A337" s="33"/>
      <c r="B337" s="33"/>
      <c r="C337" s="150"/>
      <c r="D337" s="33"/>
      <c r="E337" s="33"/>
      <c r="F337" s="33"/>
      <c r="G337" s="33"/>
      <c r="H337" s="33"/>
      <c r="I337" s="33"/>
      <c r="J337" s="33"/>
      <c r="K337" s="33"/>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spans="1:36" ht="15.6">
      <c r="A338" s="33"/>
      <c r="B338" s="33"/>
      <c r="C338" s="150"/>
      <c r="D338" s="33"/>
      <c r="E338" s="33"/>
      <c r="F338" s="33"/>
      <c r="G338" s="33"/>
      <c r="H338" s="33"/>
      <c r="I338" s="33"/>
      <c r="J338" s="33"/>
      <c r="K338" s="33"/>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spans="1:36" ht="15.6">
      <c r="A339" s="33"/>
      <c r="B339" s="33"/>
      <c r="C339" s="150"/>
      <c r="D339" s="33"/>
      <c r="E339" s="33"/>
      <c r="F339" s="33"/>
      <c r="G339" s="33"/>
      <c r="H339" s="33"/>
      <c r="I339" s="33"/>
      <c r="J339" s="33"/>
      <c r="K339" s="33"/>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spans="1:36" ht="15.6">
      <c r="A340" s="33"/>
      <c r="B340" s="33"/>
      <c r="C340" s="150"/>
      <c r="D340" s="33"/>
      <c r="E340" s="33"/>
      <c r="F340" s="33"/>
      <c r="G340" s="33"/>
      <c r="H340" s="33"/>
      <c r="I340" s="33"/>
      <c r="J340" s="33"/>
      <c r="K340" s="33"/>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spans="1:36" ht="15.6">
      <c r="A341" s="33"/>
      <c r="B341" s="33"/>
      <c r="C341" s="150"/>
      <c r="D341" s="33"/>
      <c r="E341" s="33"/>
      <c r="F341" s="33"/>
      <c r="G341" s="33"/>
      <c r="H341" s="33"/>
      <c r="I341" s="33"/>
      <c r="J341" s="33"/>
      <c r="K341" s="33"/>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spans="1:36" ht="15.6">
      <c r="A342" s="33"/>
      <c r="B342" s="33"/>
      <c r="C342" s="150"/>
      <c r="D342" s="33"/>
      <c r="E342" s="33"/>
      <c r="F342" s="33"/>
      <c r="G342" s="33"/>
      <c r="H342" s="33"/>
      <c r="I342" s="33"/>
      <c r="J342" s="33"/>
      <c r="K342" s="33"/>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spans="1:36" ht="15.6">
      <c r="A343" s="33"/>
      <c r="B343" s="33"/>
      <c r="C343" s="150"/>
      <c r="D343" s="33"/>
      <c r="E343" s="33"/>
      <c r="F343" s="33"/>
      <c r="G343" s="33"/>
      <c r="H343" s="33"/>
      <c r="I343" s="33"/>
      <c r="J343" s="33"/>
      <c r="K343" s="33"/>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spans="1:36" ht="15.6">
      <c r="A344" s="33"/>
      <c r="B344" s="33"/>
      <c r="C344" s="150"/>
      <c r="D344" s="33"/>
      <c r="E344" s="33"/>
      <c r="F344" s="33"/>
      <c r="G344" s="33"/>
      <c r="H344" s="33"/>
      <c r="I344" s="33"/>
      <c r="J344" s="33"/>
      <c r="K344" s="33"/>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spans="1:36" ht="15.6">
      <c r="A345" s="33"/>
      <c r="B345" s="33"/>
      <c r="C345" s="150"/>
      <c r="D345" s="33"/>
      <c r="E345" s="33"/>
      <c r="F345" s="33"/>
      <c r="G345" s="33"/>
      <c r="H345" s="33"/>
      <c r="I345" s="33"/>
      <c r="J345" s="33"/>
      <c r="K345" s="33"/>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spans="1:36" ht="15.6">
      <c r="A346" s="33"/>
      <c r="B346" s="33"/>
      <c r="C346" s="150"/>
      <c r="D346" s="33"/>
      <c r="E346" s="33"/>
      <c r="F346" s="33"/>
      <c r="G346" s="33"/>
      <c r="H346" s="33"/>
      <c r="I346" s="33"/>
      <c r="J346" s="33"/>
      <c r="K346" s="33"/>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spans="1:36" ht="15.6">
      <c r="A347" s="33"/>
      <c r="B347" s="33"/>
      <c r="C347" s="150"/>
      <c r="D347" s="33"/>
      <c r="E347" s="33"/>
      <c r="F347" s="33"/>
      <c r="G347" s="33"/>
      <c r="H347" s="33"/>
      <c r="I347" s="33"/>
      <c r="J347" s="33"/>
      <c r="K347" s="33"/>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spans="1:36" ht="15.6">
      <c r="A348" s="33"/>
      <c r="B348" s="33"/>
      <c r="C348" s="150"/>
      <c r="D348" s="33"/>
      <c r="E348" s="33"/>
      <c r="F348" s="33"/>
      <c r="G348" s="33"/>
      <c r="H348" s="33"/>
      <c r="I348" s="33"/>
      <c r="J348" s="33"/>
      <c r="K348" s="33"/>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spans="1:36" ht="15.6">
      <c r="A349" s="33"/>
      <c r="B349" s="33"/>
      <c r="C349" s="150"/>
      <c r="D349" s="33"/>
      <c r="E349" s="33"/>
      <c r="F349" s="33"/>
      <c r="G349" s="33"/>
      <c r="H349" s="33"/>
      <c r="I349" s="33"/>
      <c r="J349" s="33"/>
      <c r="K349" s="33"/>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spans="1:36" ht="15.6">
      <c r="A350" s="33"/>
      <c r="B350" s="33"/>
      <c r="C350" s="150"/>
      <c r="D350" s="33"/>
      <c r="E350" s="33"/>
      <c r="F350" s="33"/>
      <c r="G350" s="33"/>
      <c r="H350" s="33"/>
      <c r="I350" s="33"/>
      <c r="J350" s="33"/>
      <c r="K350" s="33"/>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spans="1:36" ht="15.6">
      <c r="A351" s="33"/>
      <c r="B351" s="33"/>
      <c r="C351" s="150"/>
      <c r="D351" s="33"/>
      <c r="E351" s="33"/>
      <c r="F351" s="33"/>
      <c r="G351" s="33"/>
      <c r="H351" s="33"/>
      <c r="I351" s="33"/>
      <c r="J351" s="33"/>
      <c r="K351" s="33"/>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spans="1:36" ht="15.6">
      <c r="A352" s="33"/>
      <c r="B352" s="33"/>
      <c r="C352" s="150"/>
      <c r="D352" s="33"/>
      <c r="E352" s="33"/>
      <c r="F352" s="33"/>
      <c r="G352" s="33"/>
      <c r="H352" s="33"/>
      <c r="I352" s="33"/>
      <c r="J352" s="33"/>
      <c r="K352" s="33"/>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spans="1:36" ht="15.6">
      <c r="A353" s="33"/>
      <c r="B353" s="33"/>
      <c r="C353" s="150"/>
      <c r="D353" s="33"/>
      <c r="E353" s="33"/>
      <c r="F353" s="33"/>
      <c r="G353" s="33"/>
      <c r="H353" s="33"/>
      <c r="I353" s="33"/>
      <c r="J353" s="33"/>
      <c r="K353" s="33"/>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spans="1:36" ht="15.6">
      <c r="A354" s="33"/>
      <c r="B354" s="33"/>
      <c r="C354" s="150"/>
      <c r="D354" s="33"/>
      <c r="E354" s="33"/>
      <c r="F354" s="33"/>
      <c r="G354" s="33"/>
      <c r="H354" s="33"/>
      <c r="I354" s="33"/>
      <c r="J354" s="33"/>
      <c r="K354" s="33"/>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spans="1:36" ht="15.6">
      <c r="A355" s="33"/>
      <c r="B355" s="33"/>
      <c r="C355" s="150"/>
      <c r="D355" s="33"/>
      <c r="E355" s="33"/>
      <c r="F355" s="33"/>
      <c r="G355" s="33"/>
      <c r="H355" s="33"/>
      <c r="I355" s="33"/>
      <c r="J355" s="33"/>
      <c r="K355" s="33"/>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spans="1:36" ht="15.6">
      <c r="A356" s="33"/>
      <c r="B356" s="33"/>
      <c r="C356" s="150"/>
      <c r="D356" s="33"/>
      <c r="E356" s="33"/>
      <c r="F356" s="33"/>
      <c r="G356" s="33"/>
      <c r="H356" s="33"/>
      <c r="I356" s="33"/>
      <c r="J356" s="33"/>
      <c r="K356" s="33"/>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spans="1:36" ht="15.6">
      <c r="A357" s="33"/>
      <c r="B357" s="33"/>
      <c r="C357" s="150"/>
      <c r="D357" s="33"/>
      <c r="E357" s="33"/>
      <c r="F357" s="33"/>
      <c r="G357" s="33"/>
      <c r="H357" s="33"/>
      <c r="I357" s="33"/>
      <c r="J357" s="33"/>
      <c r="K357" s="33"/>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spans="1:36" ht="15.6">
      <c r="A358" s="33"/>
      <c r="B358" s="33"/>
      <c r="C358" s="150"/>
      <c r="D358" s="33"/>
      <c r="E358" s="33"/>
      <c r="F358" s="33"/>
      <c r="G358" s="33"/>
      <c r="H358" s="33"/>
      <c r="I358" s="33"/>
      <c r="J358" s="33"/>
      <c r="K358" s="33"/>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spans="1:36" ht="15.6">
      <c r="A359" s="33"/>
      <c r="B359" s="33"/>
      <c r="C359" s="150"/>
      <c r="D359" s="33"/>
      <c r="E359" s="33"/>
      <c r="F359" s="33"/>
      <c r="G359" s="33"/>
      <c r="H359" s="33"/>
      <c r="I359" s="33"/>
      <c r="J359" s="33"/>
      <c r="K359" s="33"/>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spans="1:36" ht="15.6">
      <c r="A360" s="33"/>
      <c r="B360" s="33"/>
      <c r="C360" s="150"/>
      <c r="D360" s="33"/>
      <c r="E360" s="33"/>
      <c r="F360" s="33"/>
      <c r="G360" s="33"/>
      <c r="H360" s="33"/>
      <c r="I360" s="33"/>
      <c r="J360" s="33"/>
      <c r="K360" s="33"/>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spans="1:36" ht="15.6">
      <c r="A361" s="33"/>
      <c r="B361" s="33"/>
      <c r="C361" s="150"/>
      <c r="D361" s="33"/>
      <c r="E361" s="33"/>
      <c r="F361" s="33"/>
      <c r="G361" s="33"/>
      <c r="H361" s="33"/>
      <c r="I361" s="33"/>
      <c r="J361" s="33"/>
      <c r="K361" s="33"/>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spans="1:36" ht="15.6">
      <c r="A362" s="33"/>
      <c r="B362" s="33"/>
      <c r="C362" s="150"/>
      <c r="D362" s="33"/>
      <c r="E362" s="33"/>
      <c r="F362" s="33"/>
      <c r="G362" s="33"/>
      <c r="H362" s="33"/>
      <c r="I362" s="33"/>
      <c r="J362" s="33"/>
      <c r="K362" s="33"/>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spans="1:36" ht="15.6">
      <c r="A363" s="33"/>
      <c r="B363" s="33"/>
      <c r="C363" s="150"/>
      <c r="D363" s="33"/>
      <c r="E363" s="33"/>
      <c r="F363" s="33"/>
      <c r="G363" s="33"/>
      <c r="H363" s="33"/>
      <c r="I363" s="33"/>
      <c r="J363" s="33"/>
      <c r="K363" s="33"/>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spans="1:36" ht="15.6">
      <c r="A364" s="33"/>
      <c r="B364" s="33"/>
      <c r="C364" s="150"/>
      <c r="D364" s="33"/>
      <c r="E364" s="33"/>
      <c r="F364" s="33"/>
      <c r="G364" s="33"/>
      <c r="H364" s="33"/>
      <c r="I364" s="33"/>
      <c r="J364" s="33"/>
      <c r="K364" s="33"/>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spans="1:36" ht="15.6">
      <c r="A365" s="33"/>
      <c r="B365" s="33"/>
      <c r="C365" s="150"/>
      <c r="D365" s="33"/>
      <c r="E365" s="33"/>
      <c r="F365" s="33"/>
      <c r="G365" s="33"/>
      <c r="H365" s="33"/>
      <c r="I365" s="33"/>
      <c r="J365" s="33"/>
      <c r="K365" s="33"/>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spans="1:36" ht="15.6">
      <c r="A366" s="33"/>
      <c r="B366" s="33"/>
      <c r="C366" s="150"/>
      <c r="D366" s="33"/>
      <c r="E366" s="33"/>
      <c r="F366" s="33"/>
      <c r="G366" s="33"/>
      <c r="H366" s="33"/>
      <c r="I366" s="33"/>
      <c r="J366" s="33"/>
      <c r="K366" s="33"/>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spans="1:36" ht="15.6">
      <c r="A367" s="33"/>
      <c r="B367" s="33"/>
      <c r="C367" s="150"/>
      <c r="D367" s="33"/>
      <c r="E367" s="33"/>
      <c r="F367" s="33"/>
      <c r="G367" s="33"/>
      <c r="H367" s="33"/>
      <c r="I367" s="33"/>
      <c r="J367" s="33"/>
      <c r="K367" s="33"/>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spans="1:36" ht="15.6">
      <c r="A368" s="33"/>
      <c r="B368" s="33"/>
      <c r="C368" s="150"/>
      <c r="D368" s="33"/>
      <c r="E368" s="33"/>
      <c r="F368" s="33"/>
      <c r="G368" s="33"/>
      <c r="H368" s="33"/>
      <c r="I368" s="33"/>
      <c r="J368" s="33"/>
      <c r="K368" s="33"/>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spans="1:36" ht="15.6">
      <c r="A369" s="33"/>
      <c r="B369" s="33"/>
      <c r="C369" s="150"/>
      <c r="D369" s="33"/>
      <c r="E369" s="33"/>
      <c r="F369" s="33"/>
      <c r="G369" s="33"/>
      <c r="H369" s="33"/>
      <c r="I369" s="33"/>
      <c r="J369" s="33"/>
      <c r="K369" s="33"/>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spans="1:36" ht="15.6">
      <c r="A370" s="33"/>
      <c r="B370" s="33"/>
      <c r="C370" s="150"/>
      <c r="D370" s="33"/>
      <c r="E370" s="33"/>
      <c r="F370" s="33"/>
      <c r="G370" s="33"/>
      <c r="H370" s="33"/>
      <c r="I370" s="33"/>
      <c r="J370" s="33"/>
      <c r="K370" s="33"/>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spans="1:36" ht="15.6">
      <c r="A371" s="33"/>
      <c r="B371" s="33"/>
      <c r="C371" s="150"/>
      <c r="D371" s="33"/>
      <c r="E371" s="33"/>
      <c r="F371" s="33"/>
      <c r="G371" s="33"/>
      <c r="H371" s="33"/>
      <c r="I371" s="33"/>
      <c r="J371" s="33"/>
      <c r="K371" s="33"/>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spans="1:36" ht="15.6">
      <c r="A372" s="33"/>
      <c r="B372" s="33"/>
      <c r="C372" s="150"/>
      <c r="D372" s="33"/>
      <c r="E372" s="33"/>
      <c r="F372" s="33"/>
      <c r="G372" s="33"/>
      <c r="H372" s="33"/>
      <c r="I372" s="33"/>
      <c r="J372" s="33"/>
      <c r="K372" s="33"/>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spans="1:36" ht="15.6">
      <c r="A373" s="33"/>
      <c r="B373" s="33"/>
      <c r="C373" s="150"/>
      <c r="D373" s="33"/>
      <c r="E373" s="33"/>
      <c r="F373" s="33"/>
      <c r="G373" s="33"/>
      <c r="H373" s="33"/>
      <c r="I373" s="33"/>
      <c r="J373" s="33"/>
      <c r="K373" s="33"/>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spans="1:36" ht="15.6">
      <c r="A374" s="33"/>
      <c r="B374" s="33"/>
      <c r="C374" s="150"/>
      <c r="D374" s="33"/>
      <c r="E374" s="33"/>
      <c r="F374" s="33"/>
      <c r="G374" s="33"/>
      <c r="H374" s="33"/>
      <c r="I374" s="33"/>
      <c r="J374" s="33"/>
      <c r="K374" s="33"/>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spans="1:36" ht="15.6">
      <c r="A375" s="33"/>
      <c r="B375" s="33"/>
      <c r="C375" s="150"/>
      <c r="D375" s="33"/>
      <c r="E375" s="33"/>
      <c r="F375" s="33"/>
      <c r="G375" s="33"/>
      <c r="H375" s="33"/>
      <c r="I375" s="33"/>
      <c r="J375" s="33"/>
      <c r="K375" s="33"/>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spans="1:36" ht="15.6">
      <c r="A376" s="33"/>
      <c r="B376" s="33"/>
      <c r="C376" s="150"/>
      <c r="D376" s="33"/>
      <c r="E376" s="33"/>
      <c r="F376" s="33"/>
      <c r="G376" s="33"/>
      <c r="H376" s="33"/>
      <c r="I376" s="33"/>
      <c r="J376" s="33"/>
      <c r="K376" s="33"/>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spans="1:36" ht="15.6">
      <c r="A377" s="33"/>
      <c r="B377" s="33"/>
      <c r="C377" s="150"/>
      <c r="D377" s="33"/>
      <c r="E377" s="33"/>
      <c r="F377" s="33"/>
      <c r="G377" s="33"/>
      <c r="H377" s="33"/>
      <c r="I377" s="33"/>
      <c r="J377" s="33"/>
      <c r="K377" s="33"/>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spans="1:36" ht="15.6">
      <c r="A378" s="33"/>
      <c r="B378" s="33"/>
      <c r="C378" s="150"/>
      <c r="D378" s="33"/>
      <c r="E378" s="33"/>
      <c r="F378" s="33"/>
      <c r="G378" s="33"/>
      <c r="H378" s="33"/>
      <c r="I378" s="33"/>
      <c r="J378" s="33"/>
      <c r="K378" s="33"/>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spans="1:36" ht="15.6">
      <c r="A379" s="33"/>
      <c r="B379" s="33"/>
      <c r="C379" s="150"/>
      <c r="D379" s="33"/>
      <c r="E379" s="33"/>
      <c r="F379" s="33"/>
      <c r="G379" s="33"/>
      <c r="H379" s="33"/>
      <c r="I379" s="33"/>
      <c r="J379" s="33"/>
      <c r="K379" s="33"/>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spans="1:36" ht="15.6">
      <c r="A380" s="33"/>
      <c r="B380" s="33"/>
      <c r="C380" s="150"/>
      <c r="D380" s="33"/>
      <c r="E380" s="33"/>
      <c r="F380" s="33"/>
      <c r="G380" s="33"/>
      <c r="H380" s="33"/>
      <c r="I380" s="33"/>
      <c r="J380" s="33"/>
      <c r="K380" s="33"/>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spans="1:36" ht="15.6">
      <c r="A381" s="33"/>
      <c r="B381" s="33"/>
      <c r="C381" s="150"/>
      <c r="D381" s="33"/>
      <c r="E381" s="33"/>
      <c r="F381" s="33"/>
      <c r="G381" s="33"/>
      <c r="H381" s="33"/>
      <c r="I381" s="33"/>
      <c r="J381" s="33"/>
      <c r="K381" s="33"/>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spans="1:36" ht="15.6">
      <c r="A382" s="33"/>
      <c r="B382" s="33"/>
      <c r="C382" s="150"/>
      <c r="D382" s="33"/>
      <c r="E382" s="33"/>
      <c r="F382" s="33"/>
      <c r="G382" s="33"/>
      <c r="H382" s="33"/>
      <c r="I382" s="33"/>
      <c r="J382" s="33"/>
      <c r="K382" s="33"/>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spans="1:36" ht="15.6">
      <c r="A383" s="33"/>
      <c r="B383" s="33"/>
      <c r="C383" s="150"/>
      <c r="D383" s="33"/>
      <c r="E383" s="33"/>
      <c r="F383" s="33"/>
      <c r="G383" s="33"/>
      <c r="H383" s="33"/>
      <c r="I383" s="33"/>
      <c r="J383" s="33"/>
      <c r="K383" s="33"/>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spans="1:36" ht="15.6">
      <c r="A384" s="33"/>
      <c r="B384" s="33"/>
      <c r="C384" s="150"/>
      <c r="D384" s="33"/>
      <c r="E384" s="33"/>
      <c r="F384" s="33"/>
      <c r="G384" s="33"/>
      <c r="H384" s="33"/>
      <c r="I384" s="33"/>
      <c r="J384" s="33"/>
      <c r="K384" s="33"/>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spans="1:36" ht="15.6">
      <c r="A385" s="33"/>
      <c r="B385" s="33"/>
      <c r="C385" s="150"/>
      <c r="D385" s="33"/>
      <c r="E385" s="33"/>
      <c r="F385" s="33"/>
      <c r="G385" s="33"/>
      <c r="H385" s="33"/>
      <c r="I385" s="33"/>
      <c r="J385" s="33"/>
      <c r="K385" s="33"/>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spans="1:36" ht="15.6">
      <c r="A386" s="33"/>
      <c r="B386" s="33"/>
      <c r="C386" s="150"/>
      <c r="D386" s="33"/>
      <c r="E386" s="33"/>
      <c r="F386" s="33"/>
      <c r="G386" s="33"/>
      <c r="H386" s="33"/>
      <c r="I386" s="33"/>
      <c r="J386" s="33"/>
      <c r="K386" s="33"/>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spans="1:36" ht="15.6">
      <c r="A387" s="33"/>
      <c r="B387" s="33"/>
      <c r="C387" s="150"/>
      <c r="D387" s="33"/>
      <c r="E387" s="33"/>
      <c r="F387" s="33"/>
      <c r="G387" s="33"/>
      <c r="H387" s="33"/>
      <c r="I387" s="33"/>
      <c r="J387" s="33"/>
      <c r="K387" s="33"/>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spans="1:36" ht="15.6">
      <c r="A388" s="33"/>
      <c r="B388" s="33"/>
      <c r="C388" s="150"/>
      <c r="D388" s="33"/>
      <c r="E388" s="33"/>
      <c r="F388" s="33"/>
      <c r="G388" s="33"/>
      <c r="H388" s="33"/>
      <c r="I388" s="33"/>
      <c r="J388" s="33"/>
      <c r="K388" s="33"/>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spans="1:36" ht="15.6">
      <c r="A389" s="33"/>
      <c r="B389" s="33"/>
      <c r="C389" s="150"/>
      <c r="D389" s="33"/>
      <c r="E389" s="33"/>
      <c r="F389" s="33"/>
      <c r="G389" s="33"/>
      <c r="H389" s="33"/>
      <c r="I389" s="33"/>
      <c r="J389" s="33"/>
      <c r="K389" s="33"/>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spans="1:36" ht="15.6">
      <c r="A390" s="33"/>
      <c r="B390" s="33"/>
      <c r="C390" s="150"/>
      <c r="D390" s="33"/>
      <c r="E390" s="33"/>
      <c r="F390" s="33"/>
      <c r="G390" s="33"/>
      <c r="H390" s="33"/>
      <c r="I390" s="33"/>
      <c r="J390" s="33"/>
      <c r="K390" s="33"/>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spans="1:36" ht="15.6">
      <c r="A391" s="33"/>
      <c r="B391" s="33"/>
      <c r="C391" s="150"/>
      <c r="D391" s="33"/>
      <c r="E391" s="33"/>
      <c r="F391" s="33"/>
      <c r="G391" s="33"/>
      <c r="H391" s="33"/>
      <c r="I391" s="33"/>
      <c r="J391" s="33"/>
      <c r="K391" s="33"/>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spans="1:36" ht="15.6">
      <c r="A392" s="33"/>
      <c r="B392" s="33"/>
      <c r="C392" s="150"/>
      <c r="D392" s="33"/>
      <c r="E392" s="33"/>
      <c r="F392" s="33"/>
      <c r="G392" s="33"/>
      <c r="H392" s="33"/>
      <c r="I392" s="33"/>
      <c r="J392" s="33"/>
      <c r="K392" s="33"/>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spans="1:36" ht="15.6">
      <c r="A393" s="33"/>
      <c r="B393" s="33"/>
      <c r="C393" s="150"/>
      <c r="D393" s="33"/>
      <c r="E393" s="33"/>
      <c r="F393" s="33"/>
      <c r="G393" s="33"/>
      <c r="H393" s="33"/>
      <c r="I393" s="33"/>
      <c r="J393" s="33"/>
      <c r="K393" s="33"/>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spans="1:36" ht="15.6">
      <c r="A394" s="33"/>
      <c r="B394" s="33"/>
      <c r="C394" s="150"/>
      <c r="D394" s="33"/>
      <c r="E394" s="33"/>
      <c r="F394" s="33"/>
      <c r="G394" s="33"/>
      <c r="H394" s="33"/>
      <c r="I394" s="33"/>
      <c r="J394" s="33"/>
      <c r="K394" s="33"/>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spans="1:36" ht="15.6">
      <c r="A395" s="33"/>
      <c r="B395" s="33"/>
      <c r="C395" s="150"/>
      <c r="D395" s="33"/>
      <c r="E395" s="33"/>
      <c r="F395" s="33"/>
      <c r="G395" s="33"/>
      <c r="H395" s="33"/>
      <c r="I395" s="33"/>
      <c r="J395" s="33"/>
      <c r="K395" s="33"/>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spans="1:36" ht="15.6">
      <c r="A396" s="33"/>
      <c r="B396" s="33"/>
      <c r="C396" s="150"/>
      <c r="D396" s="33"/>
      <c r="E396" s="33"/>
      <c r="F396" s="33"/>
      <c r="G396" s="33"/>
      <c r="H396" s="33"/>
      <c r="I396" s="33"/>
      <c r="J396" s="33"/>
      <c r="K396" s="33"/>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spans="1:36" ht="15.6">
      <c r="A397" s="33"/>
      <c r="B397" s="33"/>
      <c r="C397" s="150"/>
      <c r="D397" s="33"/>
      <c r="E397" s="33"/>
      <c r="F397" s="33"/>
      <c r="G397" s="33"/>
      <c r="H397" s="33"/>
      <c r="I397" s="33"/>
      <c r="J397" s="33"/>
      <c r="K397" s="33"/>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spans="1:36" ht="15.6">
      <c r="A398" s="33"/>
      <c r="B398" s="33"/>
      <c r="C398" s="150"/>
      <c r="D398" s="33"/>
      <c r="E398" s="33"/>
      <c r="F398" s="33"/>
      <c r="G398" s="33"/>
      <c r="H398" s="33"/>
      <c r="I398" s="33"/>
      <c r="J398" s="33"/>
      <c r="K398" s="33"/>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spans="1:36" ht="15.6">
      <c r="A399" s="33"/>
      <c r="B399" s="33"/>
      <c r="C399" s="150"/>
      <c r="D399" s="33"/>
      <c r="E399" s="33"/>
      <c r="F399" s="33"/>
      <c r="G399" s="33"/>
      <c r="H399" s="33"/>
      <c r="I399" s="33"/>
      <c r="J399" s="33"/>
      <c r="K399" s="33"/>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spans="1:36" ht="15.6">
      <c r="A400" s="33"/>
      <c r="B400" s="33"/>
      <c r="C400" s="150"/>
      <c r="D400" s="33"/>
      <c r="E400" s="33"/>
      <c r="F400" s="33"/>
      <c r="G400" s="33"/>
      <c r="H400" s="33"/>
      <c r="I400" s="33"/>
      <c r="J400" s="33"/>
      <c r="K400" s="33"/>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spans="1:36" ht="15.6">
      <c r="A401" s="33"/>
      <c r="B401" s="33"/>
      <c r="C401" s="150"/>
      <c r="D401" s="33"/>
      <c r="E401" s="33"/>
      <c r="F401" s="33"/>
      <c r="G401" s="33"/>
      <c r="H401" s="33"/>
      <c r="I401" s="33"/>
      <c r="J401" s="33"/>
      <c r="K401" s="33"/>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spans="1:36" ht="15.6">
      <c r="A402" s="33"/>
      <c r="B402" s="33"/>
      <c r="C402" s="150"/>
      <c r="D402" s="33"/>
      <c r="E402" s="33"/>
      <c r="F402" s="33"/>
      <c r="G402" s="33"/>
      <c r="H402" s="33"/>
      <c r="I402" s="33"/>
      <c r="J402" s="33"/>
      <c r="K402" s="33"/>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spans="1:36" ht="15.6">
      <c r="A403" s="33"/>
      <c r="B403" s="33"/>
      <c r="C403" s="150"/>
      <c r="D403" s="33"/>
      <c r="E403" s="33"/>
      <c r="F403" s="33"/>
      <c r="G403" s="33"/>
      <c r="H403" s="33"/>
      <c r="I403" s="33"/>
      <c r="J403" s="33"/>
      <c r="K403" s="33"/>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spans="1:36" ht="15.6">
      <c r="A404" s="33"/>
      <c r="B404" s="33"/>
      <c r="C404" s="150"/>
      <c r="D404" s="33"/>
      <c r="E404" s="33"/>
      <c r="F404" s="33"/>
      <c r="G404" s="33"/>
      <c r="H404" s="33"/>
      <c r="I404" s="33"/>
      <c r="J404" s="33"/>
      <c r="K404" s="33"/>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spans="1:36" ht="15.6">
      <c r="A405" s="33"/>
      <c r="B405" s="33"/>
      <c r="C405" s="150"/>
      <c r="D405" s="33"/>
      <c r="E405" s="33"/>
      <c r="F405" s="33"/>
      <c r="G405" s="33"/>
      <c r="H405" s="33"/>
      <c r="I405" s="33"/>
      <c r="J405" s="33"/>
      <c r="K405" s="33"/>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spans="1:36" ht="15.6">
      <c r="A406" s="33"/>
      <c r="B406" s="33"/>
      <c r="C406" s="150"/>
      <c r="D406" s="33"/>
      <c r="E406" s="33"/>
      <c r="F406" s="33"/>
      <c r="G406" s="33"/>
      <c r="H406" s="33"/>
      <c r="I406" s="33"/>
      <c r="J406" s="33"/>
      <c r="K406" s="33"/>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spans="1:36" ht="15.6">
      <c r="A407" s="33"/>
      <c r="B407" s="33"/>
      <c r="C407" s="150"/>
      <c r="D407" s="33"/>
      <c r="E407" s="33"/>
      <c r="F407" s="33"/>
      <c r="G407" s="33"/>
      <c r="H407" s="33"/>
      <c r="I407" s="33"/>
      <c r="J407" s="33"/>
      <c r="K407" s="33"/>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spans="1:36" ht="15.6">
      <c r="A408" s="33"/>
      <c r="B408" s="33"/>
      <c r="C408" s="150"/>
      <c r="D408" s="33"/>
      <c r="E408" s="33"/>
      <c r="F408" s="33"/>
      <c r="G408" s="33"/>
      <c r="H408" s="33"/>
      <c r="I408" s="33"/>
      <c r="J408" s="33"/>
      <c r="K408" s="33"/>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spans="1:36" ht="15.6">
      <c r="A409" s="33"/>
      <c r="B409" s="33"/>
      <c r="C409" s="150"/>
      <c r="D409" s="33"/>
      <c r="E409" s="33"/>
      <c r="F409" s="33"/>
      <c r="G409" s="33"/>
      <c r="H409" s="33"/>
      <c r="I409" s="33"/>
      <c r="J409" s="33"/>
      <c r="K409" s="33"/>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spans="1:36" ht="15.6">
      <c r="A410" s="33"/>
      <c r="B410" s="33"/>
      <c r="C410" s="150"/>
      <c r="D410" s="33"/>
      <c r="E410" s="33"/>
      <c r="F410" s="33"/>
      <c r="G410" s="33"/>
      <c r="H410" s="33"/>
      <c r="I410" s="33"/>
      <c r="J410" s="33"/>
      <c r="K410" s="33"/>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spans="1:36" ht="15.6">
      <c r="A411" s="33"/>
      <c r="B411" s="33"/>
      <c r="C411" s="150"/>
      <c r="D411" s="33"/>
      <c r="E411" s="33"/>
      <c r="F411" s="33"/>
      <c r="G411" s="33"/>
      <c r="H411" s="33"/>
      <c r="I411" s="33"/>
      <c r="J411" s="33"/>
      <c r="K411" s="33"/>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spans="1:36" ht="15.6">
      <c r="A412" s="33"/>
      <c r="B412" s="33"/>
      <c r="C412" s="150"/>
      <c r="D412" s="33"/>
      <c r="E412" s="33"/>
      <c r="F412" s="33"/>
      <c r="G412" s="33"/>
      <c r="H412" s="33"/>
      <c r="I412" s="33"/>
      <c r="J412" s="33"/>
      <c r="K412" s="33"/>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spans="1:36" ht="15.6">
      <c r="A413" s="33"/>
      <c r="B413" s="33"/>
      <c r="C413" s="150"/>
      <c r="D413" s="33"/>
      <c r="E413" s="33"/>
      <c r="F413" s="33"/>
      <c r="G413" s="33"/>
      <c r="H413" s="33"/>
      <c r="I413" s="33"/>
      <c r="J413" s="33"/>
      <c r="K413" s="33"/>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spans="1:36" ht="15.6">
      <c r="A414" s="33"/>
      <c r="B414" s="33"/>
      <c r="C414" s="150"/>
      <c r="D414" s="33"/>
      <c r="E414" s="33"/>
      <c r="F414" s="33"/>
      <c r="G414" s="33"/>
      <c r="H414" s="33"/>
      <c r="I414" s="33"/>
      <c r="J414" s="33"/>
      <c r="K414" s="33"/>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spans="1:36" ht="15.6">
      <c r="A415" s="33"/>
      <c r="B415" s="33"/>
      <c r="C415" s="150"/>
      <c r="D415" s="33"/>
      <c r="E415" s="33"/>
      <c r="F415" s="33"/>
      <c r="G415" s="33"/>
      <c r="H415" s="33"/>
      <c r="I415" s="33"/>
      <c r="J415" s="33"/>
      <c r="K415" s="33"/>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spans="1:36" ht="15.6">
      <c r="A416" s="33"/>
      <c r="B416" s="33"/>
      <c r="C416" s="150"/>
      <c r="D416" s="33"/>
      <c r="E416" s="33"/>
      <c r="F416" s="33"/>
      <c r="G416" s="33"/>
      <c r="H416" s="33"/>
      <c r="I416" s="33"/>
      <c r="J416" s="33"/>
      <c r="K416" s="33"/>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spans="1:36" ht="15.6">
      <c r="A417" s="33"/>
      <c r="B417" s="33"/>
      <c r="C417" s="150"/>
      <c r="D417" s="33"/>
      <c r="E417" s="33"/>
      <c r="F417" s="33"/>
      <c r="G417" s="33"/>
      <c r="H417" s="33"/>
      <c r="I417" s="33"/>
      <c r="J417" s="33"/>
      <c r="K417" s="33"/>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spans="1:36" ht="15.6">
      <c r="A418" s="33"/>
      <c r="B418" s="33"/>
      <c r="C418" s="150"/>
      <c r="D418" s="33"/>
      <c r="E418" s="33"/>
      <c r="F418" s="33"/>
      <c r="G418" s="33"/>
      <c r="H418" s="33"/>
      <c r="I418" s="33"/>
      <c r="J418" s="33"/>
      <c r="K418" s="33"/>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spans="1:36" ht="15.6">
      <c r="A419" s="33"/>
      <c r="B419" s="33"/>
      <c r="C419" s="150"/>
      <c r="D419" s="33"/>
      <c r="E419" s="33"/>
      <c r="F419" s="33"/>
      <c r="G419" s="33"/>
      <c r="H419" s="33"/>
      <c r="I419" s="33"/>
      <c r="J419" s="33"/>
      <c r="K419" s="33"/>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spans="1:36" ht="15.6">
      <c r="A420" s="33"/>
      <c r="B420" s="33"/>
      <c r="C420" s="150"/>
      <c r="D420" s="33"/>
      <c r="E420" s="33"/>
      <c r="F420" s="33"/>
      <c r="G420" s="33"/>
      <c r="H420" s="33"/>
      <c r="I420" s="33"/>
      <c r="J420" s="33"/>
      <c r="K420" s="33"/>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spans="1:36" ht="15.6">
      <c r="A421" s="33"/>
      <c r="B421" s="33"/>
      <c r="C421" s="150"/>
      <c r="D421" s="33"/>
      <c r="E421" s="33"/>
      <c r="F421" s="33"/>
      <c r="G421" s="33"/>
      <c r="H421" s="33"/>
      <c r="I421" s="33"/>
      <c r="J421" s="33"/>
      <c r="K421" s="33"/>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spans="1:36" ht="15.6">
      <c r="A422" s="33"/>
      <c r="B422" s="33"/>
      <c r="C422" s="150"/>
      <c r="D422" s="33"/>
      <c r="E422" s="33"/>
      <c r="F422" s="33"/>
      <c r="G422" s="33"/>
      <c r="H422" s="33"/>
      <c r="I422" s="33"/>
      <c r="J422" s="33"/>
      <c r="K422" s="33"/>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spans="1:36" ht="15.6">
      <c r="A423" s="33"/>
      <c r="B423" s="33"/>
      <c r="C423" s="150"/>
      <c r="D423" s="33"/>
      <c r="E423" s="33"/>
      <c r="F423" s="33"/>
      <c r="G423" s="33"/>
      <c r="H423" s="33"/>
      <c r="I423" s="33"/>
      <c r="J423" s="33"/>
      <c r="K423" s="33"/>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spans="1:36" ht="15.6">
      <c r="A424" s="33"/>
      <c r="B424" s="33"/>
      <c r="C424" s="150"/>
      <c r="D424" s="33"/>
      <c r="E424" s="33"/>
      <c r="F424" s="33"/>
      <c r="G424" s="33"/>
      <c r="H424" s="33"/>
      <c r="I424" s="33"/>
      <c r="J424" s="33"/>
      <c r="K424" s="33"/>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spans="1:36" ht="15.6">
      <c r="A425" s="33"/>
      <c r="B425" s="33"/>
      <c r="C425" s="150"/>
      <c r="D425" s="33"/>
      <c r="E425" s="33"/>
      <c r="F425" s="33"/>
      <c r="G425" s="33"/>
      <c r="H425" s="33"/>
      <c r="I425" s="33"/>
      <c r="J425" s="33"/>
      <c r="K425" s="33"/>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spans="1:36" ht="15.6">
      <c r="A426" s="33"/>
      <c r="B426" s="33"/>
      <c r="C426" s="150"/>
      <c r="D426" s="33"/>
      <c r="E426" s="33"/>
      <c r="F426" s="33"/>
      <c r="G426" s="33"/>
      <c r="H426" s="33"/>
      <c r="I426" s="33"/>
      <c r="J426" s="33"/>
      <c r="K426" s="33"/>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spans="1:36" ht="15.6">
      <c r="A427" s="33"/>
      <c r="B427" s="33"/>
      <c r="C427" s="150"/>
      <c r="D427" s="33"/>
      <c r="E427" s="33"/>
      <c r="F427" s="33"/>
      <c r="G427" s="33"/>
      <c r="H427" s="33"/>
      <c r="I427" s="33"/>
      <c r="J427" s="33"/>
      <c r="K427" s="33"/>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spans="1:36" ht="15.6">
      <c r="A428" s="33"/>
      <c r="B428" s="33"/>
      <c r="C428" s="150"/>
      <c r="D428" s="33"/>
      <c r="E428" s="33"/>
      <c r="F428" s="33"/>
      <c r="G428" s="33"/>
      <c r="H428" s="33"/>
      <c r="I428" s="33"/>
      <c r="J428" s="33"/>
      <c r="K428" s="33"/>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spans="1:36" ht="15.6">
      <c r="A429" s="33"/>
      <c r="B429" s="33"/>
      <c r="C429" s="150"/>
      <c r="D429" s="33"/>
      <c r="E429" s="33"/>
      <c r="F429" s="33"/>
      <c r="G429" s="33"/>
      <c r="H429" s="33"/>
      <c r="I429" s="33"/>
      <c r="J429" s="33"/>
      <c r="K429" s="33"/>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spans="1:36" ht="15.6">
      <c r="A430" s="33"/>
      <c r="B430" s="33"/>
      <c r="C430" s="150"/>
      <c r="D430" s="33"/>
      <c r="E430" s="33"/>
      <c r="F430" s="33"/>
      <c r="G430" s="33"/>
      <c r="H430" s="33"/>
      <c r="I430" s="33"/>
      <c r="J430" s="33"/>
      <c r="K430" s="33"/>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spans="1:36" ht="15.6">
      <c r="A431" s="33"/>
      <c r="B431" s="33"/>
      <c r="C431" s="150"/>
      <c r="D431" s="33"/>
      <c r="E431" s="33"/>
      <c r="F431" s="33"/>
      <c r="G431" s="33"/>
      <c r="H431" s="33"/>
      <c r="I431" s="33"/>
      <c r="J431" s="33"/>
      <c r="K431" s="33"/>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spans="1:36" ht="15.6">
      <c r="A432" s="33"/>
      <c r="B432" s="33"/>
      <c r="C432" s="150"/>
      <c r="D432" s="33"/>
      <c r="E432" s="33"/>
      <c r="F432" s="33"/>
      <c r="G432" s="33"/>
      <c r="H432" s="33"/>
      <c r="I432" s="33"/>
      <c r="J432" s="33"/>
      <c r="K432" s="33"/>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spans="1:36" ht="15.6">
      <c r="A433" s="33"/>
      <c r="B433" s="33"/>
      <c r="C433" s="150"/>
      <c r="D433" s="33"/>
      <c r="E433" s="33"/>
      <c r="F433" s="33"/>
      <c r="G433" s="33"/>
      <c r="H433" s="33"/>
      <c r="I433" s="33"/>
      <c r="J433" s="33"/>
      <c r="K433" s="33"/>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spans="1:36" ht="15.6">
      <c r="A434" s="33"/>
      <c r="B434" s="33"/>
      <c r="C434" s="150"/>
      <c r="D434" s="33"/>
      <c r="E434" s="33"/>
      <c r="F434" s="33"/>
      <c r="G434" s="33"/>
      <c r="H434" s="33"/>
      <c r="I434" s="33"/>
      <c r="J434" s="33"/>
      <c r="K434" s="33"/>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spans="1:36" ht="15.6">
      <c r="A435" s="33"/>
      <c r="B435" s="33"/>
      <c r="C435" s="150"/>
      <c r="D435" s="33"/>
      <c r="E435" s="33"/>
      <c r="F435" s="33"/>
      <c r="G435" s="33"/>
      <c r="H435" s="33"/>
      <c r="I435" s="33"/>
      <c r="J435" s="33"/>
      <c r="K435" s="33"/>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spans="1:36" ht="15.6">
      <c r="A436" s="33"/>
      <c r="B436" s="33"/>
      <c r="C436" s="150"/>
      <c r="D436" s="33"/>
      <c r="E436" s="33"/>
      <c r="F436" s="33"/>
      <c r="G436" s="33"/>
      <c r="H436" s="33"/>
      <c r="I436" s="33"/>
      <c r="J436" s="33"/>
      <c r="K436" s="33"/>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spans="1:36" ht="15.6">
      <c r="A437" s="33"/>
      <c r="B437" s="33"/>
      <c r="C437" s="150"/>
      <c r="D437" s="33"/>
      <c r="E437" s="33"/>
      <c r="F437" s="33"/>
      <c r="G437" s="33"/>
      <c r="H437" s="33"/>
      <c r="I437" s="33"/>
      <c r="J437" s="33"/>
      <c r="K437" s="33"/>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spans="1:36" ht="15.6">
      <c r="A438" s="33"/>
      <c r="B438" s="33"/>
      <c r="C438" s="150"/>
      <c r="D438" s="33"/>
      <c r="E438" s="33"/>
      <c r="F438" s="33"/>
      <c r="G438" s="33"/>
      <c r="H438" s="33"/>
      <c r="I438" s="33"/>
      <c r="J438" s="33"/>
      <c r="K438" s="33"/>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spans="1:36" ht="15.6">
      <c r="A439" s="33"/>
      <c r="B439" s="33"/>
      <c r="C439" s="150"/>
      <c r="D439" s="33"/>
      <c r="E439" s="33"/>
      <c r="F439" s="33"/>
      <c r="G439" s="33"/>
      <c r="H439" s="33"/>
      <c r="I439" s="33"/>
      <c r="J439" s="33"/>
      <c r="K439" s="33"/>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spans="1:36" ht="15.6">
      <c r="A440" s="33"/>
      <c r="B440" s="33"/>
      <c r="C440" s="150"/>
      <c r="D440" s="33"/>
      <c r="E440" s="33"/>
      <c r="F440" s="33"/>
      <c r="G440" s="33"/>
      <c r="H440" s="33"/>
      <c r="I440" s="33"/>
      <c r="J440" s="33"/>
      <c r="K440" s="33"/>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spans="1:36" ht="15.6">
      <c r="A441" s="33"/>
      <c r="B441" s="33"/>
      <c r="C441" s="150"/>
      <c r="D441" s="33"/>
      <c r="E441" s="33"/>
      <c r="F441" s="33"/>
      <c r="G441" s="33"/>
      <c r="H441" s="33"/>
      <c r="I441" s="33"/>
      <c r="J441" s="33"/>
      <c r="K441" s="33"/>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spans="1:36" ht="15.6">
      <c r="A442" s="33"/>
      <c r="B442" s="33"/>
      <c r="C442" s="150"/>
      <c r="D442" s="33"/>
      <c r="E442" s="33"/>
      <c r="F442" s="33"/>
      <c r="G442" s="33"/>
      <c r="H442" s="33"/>
      <c r="I442" s="33"/>
      <c r="J442" s="33"/>
      <c r="K442" s="33"/>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spans="1:36" ht="15.6">
      <c r="A443" s="33"/>
      <c r="B443" s="33"/>
      <c r="C443" s="150"/>
      <c r="D443" s="33"/>
      <c r="E443" s="33"/>
      <c r="F443" s="33"/>
      <c r="G443" s="33"/>
      <c r="H443" s="33"/>
      <c r="I443" s="33"/>
      <c r="J443" s="33"/>
      <c r="K443" s="33"/>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spans="1:36" ht="15.6">
      <c r="A444" s="33"/>
      <c r="B444" s="33"/>
      <c r="C444" s="150"/>
      <c r="D444" s="33"/>
      <c r="E444" s="33"/>
      <c r="F444" s="33"/>
      <c r="G444" s="33"/>
      <c r="H444" s="33"/>
      <c r="I444" s="33"/>
      <c r="J444" s="33"/>
      <c r="K444" s="33"/>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spans="1:36" ht="15.6">
      <c r="A445" s="33"/>
      <c r="B445" s="33"/>
      <c r="C445" s="150"/>
      <c r="D445" s="33"/>
      <c r="E445" s="33"/>
      <c r="F445" s="33"/>
      <c r="G445" s="33"/>
      <c r="H445" s="33"/>
      <c r="I445" s="33"/>
      <c r="J445" s="33"/>
      <c r="K445" s="33"/>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spans="1:36" ht="15.6">
      <c r="A446" s="33"/>
      <c r="B446" s="33"/>
      <c r="C446" s="150"/>
      <c r="D446" s="33"/>
      <c r="E446" s="33"/>
      <c r="F446" s="33"/>
      <c r="G446" s="33"/>
      <c r="H446" s="33"/>
      <c r="I446" s="33"/>
      <c r="J446" s="33"/>
      <c r="K446" s="33"/>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spans="1:36" ht="15.6">
      <c r="A447" s="33"/>
      <c r="B447" s="33"/>
      <c r="C447" s="150"/>
      <c r="D447" s="33"/>
      <c r="E447" s="33"/>
      <c r="F447" s="33"/>
      <c r="G447" s="33"/>
      <c r="H447" s="33"/>
      <c r="I447" s="33"/>
      <c r="J447" s="33"/>
      <c r="K447" s="33"/>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spans="1:36" ht="15.6">
      <c r="A448" s="33"/>
      <c r="B448" s="33"/>
      <c r="C448" s="150"/>
      <c r="D448" s="33"/>
      <c r="E448" s="33"/>
      <c r="F448" s="33"/>
      <c r="G448" s="33"/>
      <c r="H448" s="33"/>
      <c r="I448" s="33"/>
      <c r="J448" s="33"/>
      <c r="K448" s="33"/>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spans="1:36" ht="15.6">
      <c r="A449" s="33"/>
      <c r="B449" s="33"/>
      <c r="C449" s="150"/>
      <c r="D449" s="33"/>
      <c r="E449" s="33"/>
      <c r="F449" s="33"/>
      <c r="G449" s="33"/>
      <c r="H449" s="33"/>
      <c r="I449" s="33"/>
      <c r="J449" s="33"/>
      <c r="K449" s="33"/>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spans="1:36" ht="15.6">
      <c r="A450" s="33"/>
      <c r="B450" s="33"/>
      <c r="C450" s="150"/>
      <c r="D450" s="33"/>
      <c r="E450" s="33"/>
      <c r="F450" s="33"/>
      <c r="G450" s="33"/>
      <c r="H450" s="33"/>
      <c r="I450" s="33"/>
      <c r="J450" s="33"/>
      <c r="K450" s="33"/>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spans="1:36" ht="15.6">
      <c r="A451" s="33"/>
      <c r="B451" s="33"/>
      <c r="C451" s="150"/>
      <c r="D451" s="33"/>
      <c r="E451" s="33"/>
      <c r="F451" s="33"/>
      <c r="G451" s="33"/>
      <c r="H451" s="33"/>
      <c r="I451" s="33"/>
      <c r="J451" s="33"/>
      <c r="K451" s="33"/>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spans="1:36" ht="15.6">
      <c r="A452" s="33"/>
      <c r="B452" s="33"/>
      <c r="C452" s="150"/>
      <c r="D452" s="33"/>
      <c r="E452" s="33"/>
      <c r="F452" s="33"/>
      <c r="G452" s="33"/>
      <c r="H452" s="33"/>
      <c r="I452" s="33"/>
      <c r="J452" s="33"/>
      <c r="K452" s="33"/>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spans="1:36" ht="15.6">
      <c r="A453" s="33"/>
      <c r="B453" s="33"/>
      <c r="C453" s="150"/>
      <c r="D453" s="33"/>
      <c r="E453" s="33"/>
      <c r="F453" s="33"/>
      <c r="G453" s="33"/>
      <c r="H453" s="33"/>
      <c r="I453" s="33"/>
      <c r="J453" s="33"/>
      <c r="K453" s="33"/>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spans="1:36" ht="15.6">
      <c r="A454" s="33"/>
      <c r="B454" s="33"/>
      <c r="C454" s="150"/>
      <c r="D454" s="33"/>
      <c r="E454" s="33"/>
      <c r="F454" s="33"/>
      <c r="G454" s="33"/>
      <c r="H454" s="33"/>
      <c r="I454" s="33"/>
      <c r="J454" s="33"/>
      <c r="K454" s="33"/>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spans="1:36" ht="15.6">
      <c r="A455" s="33"/>
      <c r="B455" s="33"/>
      <c r="C455" s="150"/>
      <c r="D455" s="33"/>
      <c r="E455" s="33"/>
      <c r="F455" s="33"/>
      <c r="G455" s="33"/>
      <c r="H455" s="33"/>
      <c r="I455" s="33"/>
      <c r="J455" s="33"/>
      <c r="K455" s="33"/>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spans="1:36" ht="15.6">
      <c r="A456" s="33"/>
      <c r="B456" s="33"/>
      <c r="C456" s="150"/>
      <c r="D456" s="33"/>
      <c r="E456" s="33"/>
      <c r="F456" s="33"/>
      <c r="G456" s="33"/>
      <c r="H456" s="33"/>
      <c r="I456" s="33"/>
      <c r="J456" s="33"/>
      <c r="K456" s="33"/>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spans="1:36" ht="15.6">
      <c r="A457" s="33"/>
      <c r="B457" s="33"/>
      <c r="C457" s="150"/>
      <c r="D457" s="33"/>
      <c r="E457" s="33"/>
      <c r="F457" s="33"/>
      <c r="G457" s="33"/>
      <c r="H457" s="33"/>
      <c r="I457" s="33"/>
      <c r="J457" s="33"/>
      <c r="K457" s="33"/>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spans="1:36" ht="15.6">
      <c r="A458" s="33"/>
      <c r="B458" s="33"/>
      <c r="C458" s="150"/>
      <c r="D458" s="33"/>
      <c r="E458" s="33"/>
      <c r="F458" s="33"/>
      <c r="G458" s="33"/>
      <c r="H458" s="33"/>
      <c r="I458" s="33"/>
      <c r="J458" s="33"/>
      <c r="K458" s="33"/>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spans="1:36" ht="15.6">
      <c r="A459" s="33"/>
      <c r="B459" s="33"/>
      <c r="C459" s="150"/>
      <c r="D459" s="33"/>
      <c r="E459" s="33"/>
      <c r="F459" s="33"/>
      <c r="G459" s="33"/>
      <c r="H459" s="33"/>
      <c r="I459" s="33"/>
      <c r="J459" s="33"/>
      <c r="K459" s="33"/>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spans="1:36" ht="15.6">
      <c r="A460" s="33"/>
      <c r="B460" s="33"/>
      <c r="C460" s="150"/>
      <c r="D460" s="33"/>
      <c r="E460" s="33"/>
      <c r="F460" s="33"/>
      <c r="G460" s="33"/>
      <c r="H460" s="33"/>
      <c r="I460" s="33"/>
      <c r="J460" s="33"/>
      <c r="K460" s="33"/>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spans="1:36" ht="15.6">
      <c r="A461" s="33"/>
      <c r="B461" s="33"/>
      <c r="C461" s="150"/>
      <c r="D461" s="33"/>
      <c r="E461" s="33"/>
      <c r="F461" s="33"/>
      <c r="G461" s="33"/>
      <c r="H461" s="33"/>
      <c r="I461" s="33"/>
      <c r="J461" s="33"/>
      <c r="K461" s="33"/>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spans="1:36" ht="15.6">
      <c r="A462" s="33"/>
      <c r="B462" s="33"/>
      <c r="C462" s="150"/>
      <c r="D462" s="33"/>
      <c r="E462" s="33"/>
      <c r="F462" s="33"/>
      <c r="G462" s="33"/>
      <c r="H462" s="33"/>
      <c r="I462" s="33"/>
      <c r="J462" s="33"/>
      <c r="K462" s="33"/>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spans="1:36" ht="15.6">
      <c r="A463" s="33"/>
      <c r="B463" s="33"/>
      <c r="C463" s="150"/>
      <c r="D463" s="33"/>
      <c r="E463" s="33"/>
      <c r="F463" s="33"/>
      <c r="G463" s="33"/>
      <c r="H463" s="33"/>
      <c r="I463" s="33"/>
      <c r="J463" s="33"/>
      <c r="K463" s="33"/>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spans="1:36" ht="15.6">
      <c r="A464" s="33"/>
      <c r="B464" s="33"/>
      <c r="C464" s="150"/>
      <c r="D464" s="33"/>
      <c r="E464" s="33"/>
      <c r="F464" s="33"/>
      <c r="G464" s="33"/>
      <c r="H464" s="33"/>
      <c r="I464" s="33"/>
      <c r="J464" s="33"/>
      <c r="K464" s="33"/>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spans="1:36" ht="15.6">
      <c r="A465" s="33"/>
      <c r="B465" s="33"/>
      <c r="C465" s="150"/>
      <c r="D465" s="33"/>
      <c r="E465" s="33"/>
      <c r="F465" s="33"/>
      <c r="G465" s="33"/>
      <c r="H465" s="33"/>
      <c r="I465" s="33"/>
      <c r="J465" s="33"/>
      <c r="K465" s="33"/>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spans="1:36" ht="15.6">
      <c r="A466" s="33"/>
      <c r="B466" s="33"/>
      <c r="C466" s="150"/>
      <c r="D466" s="33"/>
      <c r="E466" s="33"/>
      <c r="F466" s="33"/>
      <c r="G466" s="33"/>
      <c r="H466" s="33"/>
      <c r="I466" s="33"/>
      <c r="J466" s="33"/>
      <c r="K466" s="33"/>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spans="1:36" ht="15.6">
      <c r="A467" s="33"/>
      <c r="B467" s="33"/>
      <c r="C467" s="150"/>
      <c r="D467" s="33"/>
      <c r="E467" s="33"/>
      <c r="F467" s="33"/>
      <c r="G467" s="33"/>
      <c r="H467" s="33"/>
      <c r="I467" s="33"/>
      <c r="J467" s="33"/>
      <c r="K467" s="33"/>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spans="1:36" ht="15.6">
      <c r="A468" s="33"/>
      <c r="B468" s="33"/>
      <c r="C468" s="150"/>
      <c r="D468" s="33"/>
      <c r="E468" s="33"/>
      <c r="F468" s="33"/>
      <c r="G468" s="33"/>
      <c r="H468" s="33"/>
      <c r="I468" s="33"/>
      <c r="J468" s="33"/>
      <c r="K468" s="33"/>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spans="1:36" ht="15.6">
      <c r="A469" s="33"/>
      <c r="B469" s="33"/>
      <c r="C469" s="150"/>
      <c r="D469" s="33"/>
      <c r="E469" s="33"/>
      <c r="F469" s="33"/>
      <c r="G469" s="33"/>
      <c r="H469" s="33"/>
      <c r="I469" s="33"/>
      <c r="J469" s="33"/>
      <c r="K469" s="33"/>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spans="1:36" ht="15.6">
      <c r="A470" s="33"/>
      <c r="B470" s="33"/>
      <c r="C470" s="150"/>
      <c r="D470" s="33"/>
      <c r="E470" s="33"/>
      <c r="F470" s="33"/>
      <c r="G470" s="33"/>
      <c r="H470" s="33"/>
      <c r="I470" s="33"/>
      <c r="J470" s="33"/>
      <c r="K470" s="33"/>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spans="1:36" ht="15.6">
      <c r="A471" s="33"/>
      <c r="B471" s="33"/>
      <c r="C471" s="150"/>
      <c r="D471" s="33"/>
      <c r="E471" s="33"/>
      <c r="F471" s="33"/>
      <c r="G471" s="33"/>
      <c r="H471" s="33"/>
      <c r="I471" s="33"/>
      <c r="J471" s="33"/>
      <c r="K471" s="33"/>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spans="1:36" ht="15.6">
      <c r="A472" s="33"/>
      <c r="B472" s="33"/>
      <c r="C472" s="150"/>
      <c r="D472" s="33"/>
      <c r="E472" s="33"/>
      <c r="F472" s="33"/>
      <c r="G472" s="33"/>
      <c r="H472" s="33"/>
      <c r="I472" s="33"/>
      <c r="J472" s="33"/>
      <c r="K472" s="33"/>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spans="1:36" ht="15.6">
      <c r="A473" s="33"/>
      <c r="B473" s="33"/>
      <c r="C473" s="150"/>
      <c r="D473" s="33"/>
      <c r="E473" s="33"/>
      <c r="F473" s="33"/>
      <c r="G473" s="33"/>
      <c r="H473" s="33"/>
      <c r="I473" s="33"/>
      <c r="J473" s="33"/>
      <c r="K473" s="33"/>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spans="1:36" ht="15.6">
      <c r="A474" s="33"/>
      <c r="B474" s="33"/>
      <c r="C474" s="150"/>
      <c r="D474" s="33"/>
      <c r="E474" s="33"/>
      <c r="F474" s="33"/>
      <c r="G474" s="33"/>
      <c r="H474" s="33"/>
      <c r="I474" s="33"/>
      <c r="J474" s="33"/>
      <c r="K474" s="33"/>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spans="1:36" ht="15.6">
      <c r="A475" s="33"/>
      <c r="B475" s="33"/>
      <c r="C475" s="150"/>
      <c r="D475" s="33"/>
      <c r="E475" s="33"/>
      <c r="F475" s="33"/>
      <c r="G475" s="33"/>
      <c r="H475" s="33"/>
      <c r="I475" s="33"/>
      <c r="J475" s="33"/>
      <c r="K475" s="33"/>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spans="1:36" ht="15.6">
      <c r="A476" s="33"/>
      <c r="B476" s="33"/>
      <c r="C476" s="150"/>
      <c r="D476" s="33"/>
      <c r="E476" s="33"/>
      <c r="F476" s="33"/>
      <c r="G476" s="33"/>
      <c r="H476" s="33"/>
      <c r="I476" s="33"/>
      <c r="J476" s="33"/>
      <c r="K476" s="33"/>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spans="1:36" ht="15.6">
      <c r="A477" s="33"/>
      <c r="B477" s="33"/>
      <c r="C477" s="150"/>
      <c r="D477" s="33"/>
      <c r="E477" s="33"/>
      <c r="F477" s="33"/>
      <c r="G477" s="33"/>
      <c r="H477" s="33"/>
      <c r="I477" s="33"/>
      <c r="J477" s="33"/>
      <c r="K477" s="33"/>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spans="1:36" ht="15.6">
      <c r="A478" s="33"/>
      <c r="B478" s="33"/>
      <c r="C478" s="150"/>
      <c r="D478" s="33"/>
      <c r="E478" s="33"/>
      <c r="F478" s="33"/>
      <c r="G478" s="33"/>
      <c r="H478" s="33"/>
      <c r="I478" s="33"/>
      <c r="J478" s="33"/>
      <c r="K478" s="33"/>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spans="1:36" ht="15.6">
      <c r="A479" s="33"/>
      <c r="B479" s="33"/>
      <c r="C479" s="150"/>
      <c r="D479" s="33"/>
      <c r="E479" s="33"/>
      <c r="F479" s="33"/>
      <c r="G479" s="33"/>
      <c r="H479" s="33"/>
      <c r="I479" s="33"/>
      <c r="J479" s="33"/>
      <c r="K479" s="33"/>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spans="1:36" ht="15.6">
      <c r="A480" s="33"/>
      <c r="B480" s="33"/>
      <c r="C480" s="150"/>
      <c r="D480" s="33"/>
      <c r="E480" s="33"/>
      <c r="F480" s="33"/>
      <c r="G480" s="33"/>
      <c r="H480" s="33"/>
      <c r="I480" s="33"/>
      <c r="J480" s="33"/>
      <c r="K480" s="33"/>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spans="1:36" ht="15.6">
      <c r="A481" s="33"/>
      <c r="B481" s="33"/>
      <c r="C481" s="150"/>
      <c r="D481" s="33"/>
      <c r="E481" s="33"/>
      <c r="F481" s="33"/>
      <c r="G481" s="33"/>
      <c r="H481" s="33"/>
      <c r="I481" s="33"/>
      <c r="J481" s="33"/>
      <c r="K481" s="33"/>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spans="1:36" ht="15.6">
      <c r="A482" s="33"/>
      <c r="B482" s="33"/>
      <c r="C482" s="150"/>
      <c r="D482" s="33"/>
      <c r="E482" s="33"/>
      <c r="F482" s="33"/>
      <c r="G482" s="33"/>
      <c r="H482" s="33"/>
      <c r="I482" s="33"/>
      <c r="J482" s="33"/>
      <c r="K482" s="33"/>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spans="1:36" ht="15.6">
      <c r="A483" s="33"/>
      <c r="B483" s="33"/>
      <c r="C483" s="150"/>
      <c r="D483" s="33"/>
      <c r="E483" s="33"/>
      <c r="F483" s="33"/>
      <c r="G483" s="33"/>
      <c r="H483" s="33"/>
      <c r="I483" s="33"/>
      <c r="J483" s="33"/>
      <c r="K483" s="33"/>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spans="1:36" ht="15.6">
      <c r="A484" s="33"/>
      <c r="B484" s="33"/>
      <c r="C484" s="150"/>
      <c r="D484" s="33"/>
      <c r="E484" s="33"/>
      <c r="F484" s="33"/>
      <c r="G484" s="33"/>
      <c r="H484" s="33"/>
      <c r="I484" s="33"/>
      <c r="J484" s="33"/>
      <c r="K484" s="33"/>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spans="1:36" ht="15.6">
      <c r="A485" s="33"/>
      <c r="B485" s="33"/>
      <c r="C485" s="150"/>
      <c r="D485" s="33"/>
      <c r="E485" s="33"/>
      <c r="F485" s="33"/>
      <c r="G485" s="33"/>
      <c r="H485" s="33"/>
      <c r="I485" s="33"/>
      <c r="J485" s="33"/>
      <c r="K485" s="33"/>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spans="1:36" ht="15.6">
      <c r="A486" s="33"/>
      <c r="B486" s="33"/>
      <c r="C486" s="150"/>
      <c r="D486" s="33"/>
      <c r="E486" s="33"/>
      <c r="F486" s="33"/>
      <c r="G486" s="33"/>
      <c r="H486" s="33"/>
      <c r="I486" s="33"/>
      <c r="J486" s="33"/>
      <c r="K486" s="33"/>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spans="1:36" ht="15.6">
      <c r="A487" s="33"/>
      <c r="B487" s="33"/>
      <c r="C487" s="150"/>
      <c r="D487" s="33"/>
      <c r="E487" s="33"/>
      <c r="F487" s="33"/>
      <c r="G487" s="33"/>
      <c r="H487" s="33"/>
      <c r="I487" s="33"/>
      <c r="J487" s="33"/>
      <c r="K487" s="33"/>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spans="1:36" ht="15.6">
      <c r="A488" s="33"/>
      <c r="B488" s="33"/>
      <c r="C488" s="150"/>
      <c r="D488" s="33"/>
      <c r="E488" s="33"/>
      <c r="F488" s="33"/>
      <c r="G488" s="33"/>
      <c r="H488" s="33"/>
      <c r="I488" s="33"/>
      <c r="J488" s="33"/>
      <c r="K488" s="33"/>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spans="1:36" ht="15.6">
      <c r="A489" s="33"/>
      <c r="B489" s="33"/>
      <c r="C489" s="150"/>
      <c r="D489" s="33"/>
      <c r="E489" s="33"/>
      <c r="F489" s="33"/>
      <c r="G489" s="33"/>
      <c r="H489" s="33"/>
      <c r="I489" s="33"/>
      <c r="J489" s="33"/>
      <c r="K489" s="33"/>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spans="1:36" ht="15.6">
      <c r="A490" s="33"/>
      <c r="B490" s="33"/>
      <c r="C490" s="150"/>
      <c r="D490" s="33"/>
      <c r="E490" s="33"/>
      <c r="F490" s="33"/>
      <c r="G490" s="33"/>
      <c r="H490" s="33"/>
      <c r="I490" s="33"/>
      <c r="J490" s="33"/>
      <c r="K490" s="33"/>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spans="1:36" ht="15.6">
      <c r="A491" s="33"/>
      <c r="B491" s="33"/>
      <c r="C491" s="150"/>
      <c r="D491" s="33"/>
      <c r="E491" s="33"/>
      <c r="F491" s="33"/>
      <c r="G491" s="33"/>
      <c r="H491" s="33"/>
      <c r="I491" s="33"/>
      <c r="J491" s="33"/>
      <c r="K491" s="33"/>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spans="1:36" ht="15.6">
      <c r="A492" s="33"/>
      <c r="B492" s="33"/>
      <c r="C492" s="150"/>
      <c r="D492" s="33"/>
      <c r="E492" s="33"/>
      <c r="F492" s="33"/>
      <c r="G492" s="33"/>
      <c r="H492" s="33"/>
      <c r="I492" s="33"/>
      <c r="J492" s="33"/>
      <c r="K492" s="33"/>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spans="1:36" ht="15.6">
      <c r="A493" s="33"/>
      <c r="B493" s="33"/>
      <c r="C493" s="150"/>
      <c r="D493" s="33"/>
      <c r="E493" s="33"/>
      <c r="F493" s="33"/>
      <c r="G493" s="33"/>
      <c r="H493" s="33"/>
      <c r="I493" s="33"/>
      <c r="J493" s="33"/>
      <c r="K493" s="33"/>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spans="1:36" ht="15.6">
      <c r="A494" s="33"/>
      <c r="B494" s="33"/>
      <c r="C494" s="150"/>
      <c r="D494" s="33"/>
      <c r="E494" s="33"/>
      <c r="F494" s="33"/>
      <c r="G494" s="33"/>
      <c r="H494" s="33"/>
      <c r="I494" s="33"/>
      <c r="J494" s="33"/>
      <c r="K494" s="33"/>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spans="1:36" ht="15.6">
      <c r="A495" s="33"/>
      <c r="B495" s="33"/>
      <c r="C495" s="150"/>
      <c r="D495" s="33"/>
      <c r="E495" s="33"/>
      <c r="F495" s="33"/>
      <c r="G495" s="33"/>
      <c r="H495" s="33"/>
      <c r="I495" s="33"/>
      <c r="J495" s="33"/>
      <c r="K495" s="33"/>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spans="1:36" ht="15.6">
      <c r="A496" s="33"/>
      <c r="B496" s="33"/>
      <c r="C496" s="150"/>
      <c r="D496" s="33"/>
      <c r="E496" s="33"/>
      <c r="F496" s="33"/>
      <c r="G496" s="33"/>
      <c r="H496" s="33"/>
      <c r="I496" s="33"/>
      <c r="J496" s="33"/>
      <c r="K496" s="33"/>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spans="1:36" ht="15.6">
      <c r="A497" s="33"/>
      <c r="B497" s="33"/>
      <c r="C497" s="150"/>
      <c r="D497" s="33"/>
      <c r="E497" s="33"/>
      <c r="F497" s="33"/>
      <c r="G497" s="33"/>
      <c r="H497" s="33"/>
      <c r="I497" s="33"/>
      <c r="J497" s="33"/>
      <c r="K497" s="33"/>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spans="1:36" ht="15.6">
      <c r="A498" s="33"/>
      <c r="B498" s="33"/>
      <c r="C498" s="150"/>
      <c r="D498" s="33"/>
      <c r="E498" s="33"/>
      <c r="F498" s="33"/>
      <c r="G498" s="33"/>
      <c r="H498" s="33"/>
      <c r="I498" s="33"/>
      <c r="J498" s="33"/>
      <c r="K498" s="33"/>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spans="1:36" ht="15.6">
      <c r="A499" s="33"/>
      <c r="B499" s="33"/>
      <c r="C499" s="150"/>
      <c r="D499" s="33"/>
      <c r="E499" s="33"/>
      <c r="F499" s="33"/>
      <c r="G499" s="33"/>
      <c r="H499" s="33"/>
      <c r="I499" s="33"/>
      <c r="J499" s="33"/>
      <c r="K499" s="33"/>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spans="1:36" ht="15.6">
      <c r="A500" s="33"/>
      <c r="B500" s="33"/>
      <c r="C500" s="150"/>
      <c r="D500" s="33"/>
      <c r="E500" s="33"/>
      <c r="F500" s="33"/>
      <c r="G500" s="33"/>
      <c r="H500" s="33"/>
      <c r="I500" s="33"/>
      <c r="J500" s="33"/>
      <c r="K500" s="33"/>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spans="1:36" ht="15.6">
      <c r="A501" s="33"/>
      <c r="B501" s="33"/>
      <c r="C501" s="150"/>
      <c r="D501" s="33"/>
      <c r="E501" s="33"/>
      <c r="F501" s="33"/>
      <c r="G501" s="33"/>
      <c r="H501" s="33"/>
      <c r="I501" s="33"/>
      <c r="J501" s="33"/>
      <c r="K501" s="33"/>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spans="1:36" ht="15.6">
      <c r="A502" s="33"/>
      <c r="B502" s="33"/>
      <c r="C502" s="150"/>
      <c r="D502" s="33"/>
      <c r="E502" s="33"/>
      <c r="F502" s="33"/>
      <c r="G502" s="33"/>
      <c r="H502" s="33"/>
      <c r="I502" s="33"/>
      <c r="J502" s="33"/>
      <c r="K502" s="33"/>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spans="1:36" ht="15.6">
      <c r="A503" s="33"/>
      <c r="B503" s="33"/>
      <c r="C503" s="150"/>
      <c r="D503" s="33"/>
      <c r="E503" s="33"/>
      <c r="F503" s="33"/>
      <c r="G503" s="33"/>
      <c r="H503" s="33"/>
      <c r="I503" s="33"/>
      <c r="J503" s="33"/>
      <c r="K503" s="33"/>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spans="1:36" ht="15.6">
      <c r="A504" s="33"/>
      <c r="B504" s="33"/>
      <c r="C504" s="150"/>
      <c r="D504" s="33"/>
      <c r="E504" s="33"/>
      <c r="F504" s="33"/>
      <c r="G504" s="33"/>
      <c r="H504" s="33"/>
      <c r="I504" s="33"/>
      <c r="J504" s="33"/>
      <c r="K504" s="33"/>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spans="1:36" ht="15.6">
      <c r="A505" s="33"/>
      <c r="B505" s="33"/>
      <c r="C505" s="150"/>
      <c r="D505" s="33"/>
      <c r="E505" s="33"/>
      <c r="F505" s="33"/>
      <c r="G505" s="33"/>
      <c r="H505" s="33"/>
      <c r="I505" s="33"/>
      <c r="J505" s="33"/>
      <c r="K505" s="33"/>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spans="1:36" ht="15.6">
      <c r="A506" s="33"/>
      <c r="B506" s="33"/>
      <c r="C506" s="150"/>
      <c r="D506" s="33"/>
      <c r="E506" s="33"/>
      <c r="F506" s="33"/>
      <c r="G506" s="33"/>
      <c r="H506" s="33"/>
      <c r="I506" s="33"/>
      <c r="J506" s="33"/>
      <c r="K506" s="33"/>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spans="1:36" ht="15.6">
      <c r="A507" s="33"/>
      <c r="B507" s="33"/>
      <c r="C507" s="150"/>
      <c r="D507" s="33"/>
      <c r="E507" s="33"/>
      <c r="F507" s="33"/>
      <c r="G507" s="33"/>
      <c r="H507" s="33"/>
      <c r="I507" s="33"/>
      <c r="J507" s="33"/>
      <c r="K507" s="33"/>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spans="1:36" ht="15.6">
      <c r="A508" s="33"/>
      <c r="B508" s="33"/>
      <c r="C508" s="150"/>
      <c r="D508" s="33"/>
      <c r="E508" s="33"/>
      <c r="F508" s="33"/>
      <c r="G508" s="33"/>
      <c r="H508" s="33"/>
      <c r="I508" s="33"/>
      <c r="J508" s="33"/>
      <c r="K508" s="33"/>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spans="1:36" ht="15.6">
      <c r="A509" s="33"/>
      <c r="B509" s="33"/>
      <c r="C509" s="150"/>
      <c r="D509" s="33"/>
      <c r="E509" s="33"/>
      <c r="F509" s="33"/>
      <c r="G509" s="33"/>
      <c r="H509" s="33"/>
      <c r="I509" s="33"/>
      <c r="J509" s="33"/>
      <c r="K509" s="33"/>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spans="1:36" ht="15.6">
      <c r="A510" s="33"/>
      <c r="B510" s="33"/>
      <c r="C510" s="150"/>
      <c r="D510" s="33"/>
      <c r="E510" s="33"/>
      <c r="F510" s="33"/>
      <c r="G510" s="33"/>
      <c r="H510" s="33"/>
      <c r="I510" s="33"/>
      <c r="J510" s="33"/>
      <c r="K510" s="33"/>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spans="1:36" ht="15.6">
      <c r="A511" s="33"/>
      <c r="B511" s="33"/>
      <c r="C511" s="150"/>
      <c r="D511" s="33"/>
      <c r="E511" s="33"/>
      <c r="F511" s="33"/>
      <c r="G511" s="33"/>
      <c r="H511" s="33"/>
      <c r="I511" s="33"/>
      <c r="J511" s="33"/>
      <c r="K511" s="33"/>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spans="1:36" ht="15.6">
      <c r="A512" s="33"/>
      <c r="B512" s="33"/>
      <c r="C512" s="150"/>
      <c r="D512" s="33"/>
      <c r="E512" s="33"/>
      <c r="F512" s="33"/>
      <c r="G512" s="33"/>
      <c r="H512" s="33"/>
      <c r="I512" s="33"/>
      <c r="J512" s="33"/>
      <c r="K512" s="33"/>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spans="1:36" ht="15.6">
      <c r="A513" s="33"/>
      <c r="B513" s="33"/>
      <c r="C513" s="150"/>
      <c r="D513" s="33"/>
      <c r="E513" s="33"/>
      <c r="F513" s="33"/>
      <c r="G513" s="33"/>
      <c r="H513" s="33"/>
      <c r="I513" s="33"/>
      <c r="J513" s="33"/>
      <c r="K513" s="33"/>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spans="1:36" ht="15.6">
      <c r="A514" s="33"/>
      <c r="B514" s="33"/>
      <c r="C514" s="150"/>
      <c r="D514" s="33"/>
      <c r="E514" s="33"/>
      <c r="F514" s="33"/>
      <c r="G514" s="33"/>
      <c r="H514" s="33"/>
      <c r="I514" s="33"/>
      <c r="J514" s="33"/>
      <c r="K514" s="33"/>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spans="1:36" ht="15.6">
      <c r="A515" s="33"/>
      <c r="B515" s="33"/>
      <c r="C515" s="150"/>
      <c r="D515" s="33"/>
      <c r="E515" s="33"/>
      <c r="F515" s="33"/>
      <c r="G515" s="33"/>
      <c r="H515" s="33"/>
      <c r="I515" s="33"/>
      <c r="J515" s="33"/>
      <c r="K515" s="33"/>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spans="1:36" ht="15.6">
      <c r="A516" s="33"/>
      <c r="B516" s="33"/>
      <c r="C516" s="150"/>
      <c r="D516" s="33"/>
      <c r="E516" s="33"/>
      <c r="F516" s="33"/>
      <c r="G516" s="33"/>
      <c r="H516" s="33"/>
      <c r="I516" s="33"/>
      <c r="J516" s="33"/>
      <c r="K516" s="33"/>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spans="1:36" ht="15.6">
      <c r="A517" s="33"/>
      <c r="B517" s="33"/>
      <c r="C517" s="150"/>
      <c r="D517" s="33"/>
      <c r="E517" s="33"/>
      <c r="F517" s="33"/>
      <c r="G517" s="33"/>
      <c r="H517" s="33"/>
      <c r="I517" s="33"/>
      <c r="J517" s="33"/>
      <c r="K517" s="33"/>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spans="1:36" ht="15.6">
      <c r="A518" s="33"/>
      <c r="B518" s="33"/>
      <c r="C518" s="150"/>
      <c r="D518" s="33"/>
      <c r="E518" s="33"/>
      <c r="F518" s="33"/>
      <c r="G518" s="33"/>
      <c r="H518" s="33"/>
      <c r="I518" s="33"/>
      <c r="J518" s="33"/>
      <c r="K518" s="33"/>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spans="1:36" ht="15.6">
      <c r="A519" s="33"/>
      <c r="B519" s="33"/>
      <c r="C519" s="150"/>
      <c r="D519" s="33"/>
      <c r="E519" s="33"/>
      <c r="F519" s="33"/>
      <c r="G519" s="33"/>
      <c r="H519" s="33"/>
      <c r="I519" s="33"/>
      <c r="J519" s="33"/>
      <c r="K519" s="33"/>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spans="1:36" ht="15.6">
      <c r="A520" s="33"/>
      <c r="B520" s="33"/>
      <c r="C520" s="150"/>
      <c r="D520" s="33"/>
      <c r="E520" s="33"/>
      <c r="F520" s="33"/>
      <c r="G520" s="33"/>
      <c r="H520" s="33"/>
      <c r="I520" s="33"/>
      <c r="J520" s="33"/>
      <c r="K520" s="33"/>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spans="1:36" ht="15.6">
      <c r="A521" s="33"/>
      <c r="B521" s="33"/>
      <c r="C521" s="150"/>
      <c r="D521" s="33"/>
      <c r="E521" s="33"/>
      <c r="F521" s="33"/>
      <c r="G521" s="33"/>
      <c r="H521" s="33"/>
      <c r="I521" s="33"/>
      <c r="J521" s="33"/>
      <c r="K521" s="33"/>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spans="1:36" ht="15.6">
      <c r="A522" s="33"/>
      <c r="B522" s="33"/>
      <c r="C522" s="150"/>
      <c r="D522" s="33"/>
      <c r="E522" s="33"/>
      <c r="F522" s="33"/>
      <c r="G522" s="33"/>
      <c r="H522" s="33"/>
      <c r="I522" s="33"/>
      <c r="J522" s="33"/>
      <c r="K522" s="33"/>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spans="1:36" ht="15.6">
      <c r="A523" s="33"/>
      <c r="B523" s="33"/>
      <c r="C523" s="150"/>
      <c r="D523" s="33"/>
      <c r="E523" s="33"/>
      <c r="F523" s="33"/>
      <c r="G523" s="33"/>
      <c r="H523" s="33"/>
      <c r="I523" s="33"/>
      <c r="J523" s="33"/>
      <c r="K523" s="33"/>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spans="1:36" ht="15.6">
      <c r="A524" s="33"/>
      <c r="B524" s="33"/>
      <c r="C524" s="150"/>
      <c r="D524" s="33"/>
      <c r="E524" s="33"/>
      <c r="F524" s="33"/>
      <c r="G524" s="33"/>
      <c r="H524" s="33"/>
      <c r="I524" s="33"/>
      <c r="J524" s="33"/>
      <c r="K524" s="33"/>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spans="1:36" ht="15.6">
      <c r="A525" s="33"/>
      <c r="B525" s="33"/>
      <c r="C525" s="150"/>
      <c r="D525" s="33"/>
      <c r="E525" s="33"/>
      <c r="F525" s="33"/>
      <c r="G525" s="33"/>
      <c r="H525" s="33"/>
      <c r="I525" s="33"/>
      <c r="J525" s="33"/>
      <c r="K525" s="33"/>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spans="1:36" ht="15.6">
      <c r="A526" s="33"/>
      <c r="B526" s="33"/>
      <c r="C526" s="150"/>
      <c r="D526" s="33"/>
      <c r="E526" s="33"/>
      <c r="F526" s="33"/>
      <c r="G526" s="33"/>
      <c r="H526" s="33"/>
      <c r="I526" s="33"/>
      <c r="J526" s="33"/>
      <c r="K526" s="33"/>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spans="1:36" ht="15.6">
      <c r="A527" s="33"/>
      <c r="B527" s="33"/>
      <c r="C527" s="150"/>
      <c r="D527" s="33"/>
      <c r="E527" s="33"/>
      <c r="F527" s="33"/>
      <c r="G527" s="33"/>
      <c r="H527" s="33"/>
      <c r="I527" s="33"/>
      <c r="J527" s="33"/>
      <c r="K527" s="33"/>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spans="1:36" ht="15.6">
      <c r="A528" s="33"/>
      <c r="B528" s="33"/>
      <c r="C528" s="150"/>
      <c r="D528" s="33"/>
      <c r="E528" s="33"/>
      <c r="F528" s="33"/>
      <c r="G528" s="33"/>
      <c r="H528" s="33"/>
      <c r="I528" s="33"/>
      <c r="J528" s="33"/>
      <c r="K528" s="33"/>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spans="1:36" ht="15.6">
      <c r="A529" s="33"/>
      <c r="B529" s="33"/>
      <c r="C529" s="150"/>
      <c r="D529" s="33"/>
      <c r="E529" s="33"/>
      <c r="F529" s="33"/>
      <c r="G529" s="33"/>
      <c r="H529" s="33"/>
      <c r="I529" s="33"/>
      <c r="J529" s="33"/>
      <c r="K529" s="33"/>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spans="1:36" ht="15.6">
      <c r="A530" s="33"/>
      <c r="B530" s="33"/>
      <c r="C530" s="150"/>
      <c r="D530" s="33"/>
      <c r="E530" s="33"/>
      <c r="F530" s="33"/>
      <c r="G530" s="33"/>
      <c r="H530" s="33"/>
      <c r="I530" s="33"/>
      <c r="J530" s="33"/>
      <c r="K530" s="33"/>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spans="1:36" ht="15.6">
      <c r="A531" s="33"/>
      <c r="B531" s="33"/>
      <c r="C531" s="150"/>
      <c r="D531" s="33"/>
      <c r="E531" s="33"/>
      <c r="F531" s="33"/>
      <c r="G531" s="33"/>
      <c r="H531" s="33"/>
      <c r="I531" s="33"/>
      <c r="J531" s="33"/>
      <c r="K531" s="33"/>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spans="1:36" ht="15.6">
      <c r="A532" s="33"/>
      <c r="B532" s="33"/>
      <c r="C532" s="150"/>
      <c r="D532" s="33"/>
      <c r="E532" s="33"/>
      <c r="F532" s="33"/>
      <c r="G532" s="33"/>
      <c r="H532" s="33"/>
      <c r="I532" s="33"/>
      <c r="J532" s="33"/>
      <c r="K532" s="33"/>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spans="1:36" ht="15.6">
      <c r="A533" s="33"/>
      <c r="B533" s="33"/>
      <c r="C533" s="150"/>
      <c r="D533" s="33"/>
      <c r="E533" s="33"/>
      <c r="F533" s="33"/>
      <c r="G533" s="33"/>
      <c r="H533" s="33"/>
      <c r="I533" s="33"/>
      <c r="J533" s="33"/>
      <c r="K533" s="33"/>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spans="1:36" ht="15.6">
      <c r="A534" s="33"/>
      <c r="B534" s="33"/>
      <c r="C534" s="150"/>
      <c r="D534" s="33"/>
      <c r="E534" s="33"/>
      <c r="F534" s="33"/>
      <c r="G534" s="33"/>
      <c r="H534" s="33"/>
      <c r="I534" s="33"/>
      <c r="J534" s="33"/>
      <c r="K534" s="33"/>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spans="1:36" ht="15.6">
      <c r="A535" s="33"/>
      <c r="B535" s="33"/>
      <c r="C535" s="150"/>
      <c r="D535" s="33"/>
      <c r="E535" s="33"/>
      <c r="F535" s="33"/>
      <c r="G535" s="33"/>
      <c r="H535" s="33"/>
      <c r="I535" s="33"/>
      <c r="J535" s="33"/>
      <c r="K535" s="33"/>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spans="1:36" ht="15.6">
      <c r="A536" s="33"/>
      <c r="B536" s="33"/>
      <c r="C536" s="150"/>
      <c r="D536" s="33"/>
      <c r="E536" s="33"/>
      <c r="F536" s="33"/>
      <c r="G536" s="33"/>
      <c r="H536" s="33"/>
      <c r="I536" s="33"/>
      <c r="J536" s="33"/>
      <c r="K536" s="33"/>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spans="1:36" ht="15.6">
      <c r="A537" s="33"/>
      <c r="B537" s="33"/>
      <c r="C537" s="150"/>
      <c r="D537" s="33"/>
      <c r="E537" s="33"/>
      <c r="F537" s="33"/>
      <c r="G537" s="33"/>
      <c r="H537" s="33"/>
      <c r="I537" s="33"/>
      <c r="J537" s="33"/>
      <c r="K537" s="33"/>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spans="1:36" ht="15.6">
      <c r="A538" s="33"/>
      <c r="B538" s="33"/>
      <c r="C538" s="150"/>
      <c r="D538" s="33"/>
      <c r="E538" s="33"/>
      <c r="F538" s="33"/>
      <c r="G538" s="33"/>
      <c r="H538" s="33"/>
      <c r="I538" s="33"/>
      <c r="J538" s="33"/>
      <c r="K538" s="33"/>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spans="1:36" ht="15.6">
      <c r="A539" s="33"/>
      <c r="B539" s="33"/>
      <c r="C539" s="150"/>
      <c r="D539" s="33"/>
      <c r="E539" s="33"/>
      <c r="F539" s="33"/>
      <c r="G539" s="33"/>
      <c r="H539" s="33"/>
      <c r="I539" s="33"/>
      <c r="J539" s="33"/>
      <c r="K539" s="33"/>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spans="1:36" ht="15.6">
      <c r="A540" s="33"/>
      <c r="B540" s="33"/>
      <c r="C540" s="150"/>
      <c r="D540" s="33"/>
      <c r="E540" s="33"/>
      <c r="F540" s="33"/>
      <c r="G540" s="33"/>
      <c r="H540" s="33"/>
      <c r="I540" s="33"/>
      <c r="J540" s="33"/>
      <c r="K540" s="33"/>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spans="1:36" ht="15.6">
      <c r="A541" s="33"/>
      <c r="B541" s="33"/>
      <c r="C541" s="150"/>
      <c r="D541" s="33"/>
      <c r="E541" s="33"/>
      <c r="F541" s="33"/>
      <c r="G541" s="33"/>
      <c r="H541" s="33"/>
      <c r="I541" s="33"/>
      <c r="J541" s="33"/>
      <c r="K541" s="33"/>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spans="1:36" ht="15.6">
      <c r="A542" s="33"/>
      <c r="B542" s="33"/>
      <c r="C542" s="150"/>
      <c r="D542" s="33"/>
      <c r="E542" s="33"/>
      <c r="F542" s="33"/>
      <c r="G542" s="33"/>
      <c r="H542" s="33"/>
      <c r="I542" s="33"/>
      <c r="J542" s="33"/>
      <c r="K542" s="33"/>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spans="1:36" ht="15.6">
      <c r="A543" s="33"/>
      <c r="B543" s="33"/>
      <c r="C543" s="150"/>
      <c r="D543" s="33"/>
      <c r="E543" s="33"/>
      <c r="F543" s="33"/>
      <c r="G543" s="33"/>
      <c r="H543" s="33"/>
      <c r="I543" s="33"/>
      <c r="J543" s="33"/>
      <c r="K543" s="33"/>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spans="1:36" ht="15.6">
      <c r="A544" s="33"/>
      <c r="B544" s="33"/>
      <c r="C544" s="150"/>
      <c r="D544" s="33"/>
      <c r="E544" s="33"/>
      <c r="F544" s="33"/>
      <c r="G544" s="33"/>
      <c r="H544" s="33"/>
      <c r="I544" s="33"/>
      <c r="J544" s="33"/>
      <c r="K544" s="33"/>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spans="1:36" ht="15.6">
      <c r="A545" s="33"/>
      <c r="B545" s="33"/>
      <c r="C545" s="150"/>
      <c r="D545" s="33"/>
      <c r="E545" s="33"/>
      <c r="F545" s="33"/>
      <c r="G545" s="33"/>
      <c r="H545" s="33"/>
      <c r="I545" s="33"/>
      <c r="J545" s="33"/>
      <c r="K545" s="33"/>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spans="1:36" ht="15.6">
      <c r="A546" s="33"/>
      <c r="B546" s="33"/>
      <c r="C546" s="150"/>
      <c r="D546" s="33"/>
      <c r="E546" s="33"/>
      <c r="F546" s="33"/>
      <c r="G546" s="33"/>
      <c r="H546" s="33"/>
      <c r="I546" s="33"/>
      <c r="J546" s="33"/>
      <c r="K546" s="33"/>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spans="1:36" ht="15.6">
      <c r="A547" s="33"/>
      <c r="B547" s="33"/>
      <c r="C547" s="150"/>
      <c r="D547" s="33"/>
      <c r="E547" s="33"/>
      <c r="F547" s="33"/>
      <c r="G547" s="33"/>
      <c r="H547" s="33"/>
      <c r="I547" s="33"/>
      <c r="J547" s="33"/>
      <c r="K547" s="33"/>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spans="1:36" ht="15.6">
      <c r="A548" s="33"/>
      <c r="B548" s="33"/>
      <c r="C548" s="150"/>
      <c r="D548" s="33"/>
      <c r="E548" s="33"/>
      <c r="F548" s="33"/>
      <c r="G548" s="33"/>
      <c r="H548" s="33"/>
      <c r="I548" s="33"/>
      <c r="J548" s="33"/>
      <c r="K548" s="33"/>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spans="1:36" ht="15.6">
      <c r="A549" s="33"/>
      <c r="B549" s="33"/>
      <c r="C549" s="150"/>
      <c r="D549" s="33"/>
      <c r="E549" s="33"/>
      <c r="F549" s="33"/>
      <c r="G549" s="33"/>
      <c r="H549" s="33"/>
      <c r="I549" s="33"/>
      <c r="J549" s="33"/>
      <c r="K549" s="33"/>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spans="1:36" ht="15.6">
      <c r="A550" s="33"/>
      <c r="B550" s="33"/>
      <c r="C550" s="150"/>
      <c r="D550" s="33"/>
      <c r="E550" s="33"/>
      <c r="F550" s="33"/>
      <c r="G550" s="33"/>
      <c r="H550" s="33"/>
      <c r="I550" s="33"/>
      <c r="J550" s="33"/>
      <c r="K550" s="33"/>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spans="1:36" ht="15.6">
      <c r="A551" s="33"/>
      <c r="B551" s="33"/>
      <c r="C551" s="150"/>
      <c r="D551" s="33"/>
      <c r="E551" s="33"/>
      <c r="F551" s="33"/>
      <c r="G551" s="33"/>
      <c r="H551" s="33"/>
      <c r="I551" s="33"/>
      <c r="J551" s="33"/>
      <c r="K551" s="33"/>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spans="1:36" ht="15.6">
      <c r="A552" s="33"/>
      <c r="B552" s="33"/>
      <c r="C552" s="150"/>
      <c r="D552" s="33"/>
      <c r="E552" s="33"/>
      <c r="F552" s="33"/>
      <c r="G552" s="33"/>
      <c r="H552" s="33"/>
      <c r="I552" s="33"/>
      <c r="J552" s="33"/>
      <c r="K552" s="33"/>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spans="1:36" ht="15.6">
      <c r="A553" s="33"/>
      <c r="B553" s="33"/>
      <c r="C553" s="150"/>
      <c r="D553" s="33"/>
      <c r="E553" s="33"/>
      <c r="F553" s="33"/>
      <c r="G553" s="33"/>
      <c r="H553" s="33"/>
      <c r="I553" s="33"/>
      <c r="J553" s="33"/>
      <c r="K553" s="33"/>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spans="1:36" ht="15.6">
      <c r="A554" s="33"/>
      <c r="B554" s="33"/>
      <c r="C554" s="150"/>
      <c r="D554" s="33"/>
      <c r="E554" s="33"/>
      <c r="F554" s="33"/>
      <c r="G554" s="33"/>
      <c r="H554" s="33"/>
      <c r="I554" s="33"/>
      <c r="J554" s="33"/>
      <c r="K554" s="33"/>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spans="1:36" ht="15.6">
      <c r="A555" s="33"/>
      <c r="B555" s="33"/>
      <c r="C555" s="150"/>
      <c r="D555" s="33"/>
      <c r="E555" s="33"/>
      <c r="F555" s="33"/>
      <c r="G555" s="33"/>
      <c r="H555" s="33"/>
      <c r="I555" s="33"/>
      <c r="J555" s="33"/>
      <c r="K555" s="33"/>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spans="1:36" ht="15.6">
      <c r="A556" s="33"/>
      <c r="B556" s="33"/>
      <c r="C556" s="150"/>
      <c r="D556" s="33"/>
      <c r="E556" s="33"/>
      <c r="F556" s="33"/>
      <c r="G556" s="33"/>
      <c r="H556" s="33"/>
      <c r="I556" s="33"/>
      <c r="J556" s="33"/>
      <c r="K556" s="33"/>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spans="1:36" ht="15.6">
      <c r="A557" s="33"/>
      <c r="B557" s="33"/>
      <c r="C557" s="150"/>
      <c r="D557" s="33"/>
      <c r="E557" s="33"/>
      <c r="F557" s="33"/>
      <c r="G557" s="33"/>
      <c r="H557" s="33"/>
      <c r="I557" s="33"/>
      <c r="J557" s="33"/>
      <c r="K557" s="33"/>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spans="1:36" ht="15.6">
      <c r="A558" s="33"/>
      <c r="B558" s="33"/>
      <c r="C558" s="150"/>
      <c r="D558" s="33"/>
      <c r="E558" s="33"/>
      <c r="F558" s="33"/>
      <c r="G558" s="33"/>
      <c r="H558" s="33"/>
      <c r="I558" s="33"/>
      <c r="J558" s="33"/>
      <c r="K558" s="33"/>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spans="1:36" ht="15.6">
      <c r="A559" s="33"/>
      <c r="B559" s="33"/>
      <c r="C559" s="150"/>
      <c r="D559" s="33"/>
      <c r="E559" s="33"/>
      <c r="F559" s="33"/>
      <c r="G559" s="33"/>
      <c r="H559" s="33"/>
      <c r="I559" s="33"/>
      <c r="J559" s="33"/>
      <c r="K559" s="33"/>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spans="1:36" ht="15.6">
      <c r="A560" s="33"/>
      <c r="B560" s="33"/>
      <c r="C560" s="150"/>
      <c r="D560" s="33"/>
      <c r="E560" s="33"/>
      <c r="F560" s="33"/>
      <c r="G560" s="33"/>
      <c r="H560" s="33"/>
      <c r="I560" s="33"/>
      <c r="J560" s="33"/>
      <c r="K560" s="33"/>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spans="1:36" ht="15.6">
      <c r="A561" s="33"/>
      <c r="B561" s="33"/>
      <c r="C561" s="150"/>
      <c r="D561" s="33"/>
      <c r="E561" s="33"/>
      <c r="F561" s="33"/>
      <c r="G561" s="33"/>
      <c r="H561" s="33"/>
      <c r="I561" s="33"/>
      <c r="J561" s="33"/>
      <c r="K561" s="33"/>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spans="1:36" ht="15.6">
      <c r="A562" s="33"/>
      <c r="B562" s="33"/>
      <c r="C562" s="150"/>
      <c r="D562" s="33"/>
      <c r="E562" s="33"/>
      <c r="F562" s="33"/>
      <c r="G562" s="33"/>
      <c r="H562" s="33"/>
      <c r="I562" s="33"/>
      <c r="J562" s="33"/>
      <c r="K562" s="33"/>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spans="1:36" ht="15.6">
      <c r="A563" s="33"/>
      <c r="B563" s="33"/>
      <c r="C563" s="150"/>
      <c r="D563" s="33"/>
      <c r="E563" s="33"/>
      <c r="F563" s="33"/>
      <c r="G563" s="33"/>
      <c r="H563" s="33"/>
      <c r="I563" s="33"/>
      <c r="J563" s="33"/>
      <c r="K563" s="33"/>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spans="1:36" ht="15.6">
      <c r="A564" s="33"/>
      <c r="B564" s="33"/>
      <c r="C564" s="150"/>
      <c r="D564" s="33"/>
      <c r="E564" s="33"/>
      <c r="F564" s="33"/>
      <c r="G564" s="33"/>
      <c r="H564" s="33"/>
      <c r="I564" s="33"/>
      <c r="J564" s="33"/>
      <c r="K564" s="33"/>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spans="1:36" ht="15.6">
      <c r="A565" s="33"/>
      <c r="B565" s="33"/>
      <c r="C565" s="150"/>
      <c r="D565" s="33"/>
      <c r="E565" s="33"/>
      <c r="F565" s="33"/>
      <c r="G565" s="33"/>
      <c r="H565" s="33"/>
      <c r="I565" s="33"/>
      <c r="J565" s="33"/>
      <c r="K565" s="33"/>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spans="1:36" ht="15.6">
      <c r="A566" s="33"/>
      <c r="B566" s="33"/>
      <c r="C566" s="150"/>
      <c r="D566" s="33"/>
      <c r="E566" s="33"/>
      <c r="F566" s="33"/>
      <c r="G566" s="33"/>
      <c r="H566" s="33"/>
      <c r="I566" s="33"/>
      <c r="J566" s="33"/>
      <c r="K566" s="33"/>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spans="1:36" ht="15.6">
      <c r="A567" s="33"/>
      <c r="B567" s="33"/>
      <c r="C567" s="150"/>
      <c r="D567" s="33"/>
      <c r="E567" s="33"/>
      <c r="F567" s="33"/>
      <c r="G567" s="33"/>
      <c r="H567" s="33"/>
      <c r="I567" s="33"/>
      <c r="J567" s="33"/>
      <c r="K567" s="33"/>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spans="1:36" ht="15.6">
      <c r="A568" s="33"/>
      <c r="B568" s="33"/>
      <c r="C568" s="150"/>
      <c r="D568" s="33"/>
      <c r="E568" s="33"/>
      <c r="F568" s="33"/>
      <c r="G568" s="33"/>
      <c r="H568" s="33"/>
      <c r="I568" s="33"/>
      <c r="J568" s="33"/>
      <c r="K568" s="33"/>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spans="1:36" ht="15.6">
      <c r="A569" s="33"/>
      <c r="B569" s="33"/>
      <c r="C569" s="150"/>
      <c r="D569" s="33"/>
      <c r="E569" s="33"/>
      <c r="F569" s="33"/>
      <c r="G569" s="33"/>
      <c r="H569" s="33"/>
      <c r="I569" s="33"/>
      <c r="J569" s="33"/>
      <c r="K569" s="33"/>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spans="1:36" ht="15.6">
      <c r="A570" s="33"/>
      <c r="B570" s="33"/>
      <c r="C570" s="150"/>
      <c r="D570" s="33"/>
      <c r="E570" s="33"/>
      <c r="F570" s="33"/>
      <c r="G570" s="33"/>
      <c r="H570" s="33"/>
      <c r="I570" s="33"/>
      <c r="J570" s="33"/>
      <c r="K570" s="33"/>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spans="1:36" ht="15.6">
      <c r="A571" s="33"/>
      <c r="B571" s="33"/>
      <c r="C571" s="150"/>
      <c r="D571" s="33"/>
      <c r="E571" s="33"/>
      <c r="F571" s="33"/>
      <c r="G571" s="33"/>
      <c r="H571" s="33"/>
      <c r="I571" s="33"/>
      <c r="J571" s="33"/>
      <c r="K571" s="33"/>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spans="1:36" ht="15.6">
      <c r="A572" s="33"/>
      <c r="B572" s="33"/>
      <c r="C572" s="150"/>
      <c r="D572" s="33"/>
      <c r="E572" s="33"/>
      <c r="F572" s="33"/>
      <c r="G572" s="33"/>
      <c r="H572" s="33"/>
      <c r="I572" s="33"/>
      <c r="J572" s="33"/>
      <c r="K572" s="33"/>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spans="1:36" ht="15.6">
      <c r="A573" s="33"/>
      <c r="B573" s="33"/>
      <c r="C573" s="150"/>
      <c r="D573" s="33"/>
      <c r="E573" s="33"/>
      <c r="F573" s="33"/>
      <c r="G573" s="33"/>
      <c r="H573" s="33"/>
      <c r="I573" s="33"/>
      <c r="J573" s="33"/>
      <c r="K573" s="33"/>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spans="1:36" ht="15.6">
      <c r="A574" s="33"/>
      <c r="B574" s="33"/>
      <c r="C574" s="150"/>
      <c r="D574" s="33"/>
      <c r="E574" s="33"/>
      <c r="F574" s="33"/>
      <c r="G574" s="33"/>
      <c r="H574" s="33"/>
      <c r="I574" s="33"/>
      <c r="J574" s="33"/>
      <c r="K574" s="33"/>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spans="1:36" ht="15.6">
      <c r="A575" s="33"/>
      <c r="B575" s="33"/>
      <c r="C575" s="150"/>
      <c r="D575" s="33"/>
      <c r="E575" s="33"/>
      <c r="F575" s="33"/>
      <c r="G575" s="33"/>
      <c r="H575" s="33"/>
      <c r="I575" s="33"/>
      <c r="J575" s="33"/>
      <c r="K575" s="33"/>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spans="1:36" ht="15.6">
      <c r="A576" s="33"/>
      <c r="B576" s="33"/>
      <c r="C576" s="150"/>
      <c r="D576" s="33"/>
      <c r="E576" s="33"/>
      <c r="F576" s="33"/>
      <c r="G576" s="33"/>
      <c r="H576" s="33"/>
      <c r="I576" s="33"/>
      <c r="J576" s="33"/>
      <c r="K576" s="33"/>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spans="1:36" ht="15.6">
      <c r="A577" s="33"/>
      <c r="B577" s="33"/>
      <c r="C577" s="150"/>
      <c r="D577" s="33"/>
      <c r="E577" s="33"/>
      <c r="F577" s="33"/>
      <c r="G577" s="33"/>
      <c r="H577" s="33"/>
      <c r="I577" s="33"/>
      <c r="J577" s="33"/>
      <c r="K577" s="33"/>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spans="1:36" ht="15.6">
      <c r="A578" s="33"/>
      <c r="B578" s="33"/>
      <c r="C578" s="150"/>
      <c r="D578" s="33"/>
      <c r="E578" s="33"/>
      <c r="F578" s="33"/>
      <c r="G578" s="33"/>
      <c r="H578" s="33"/>
      <c r="I578" s="33"/>
      <c r="J578" s="33"/>
      <c r="K578" s="33"/>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spans="1:36" ht="15.6">
      <c r="A579" s="33"/>
      <c r="B579" s="33"/>
      <c r="C579" s="150"/>
      <c r="D579" s="33"/>
      <c r="E579" s="33"/>
      <c r="F579" s="33"/>
      <c r="G579" s="33"/>
      <c r="H579" s="33"/>
      <c r="I579" s="33"/>
      <c r="J579" s="33"/>
      <c r="K579" s="33"/>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spans="1:36" ht="15.6">
      <c r="A580" s="33"/>
      <c r="B580" s="33"/>
      <c r="C580" s="150"/>
      <c r="D580" s="33"/>
      <c r="E580" s="33"/>
      <c r="F580" s="33"/>
      <c r="G580" s="33"/>
      <c r="H580" s="33"/>
      <c r="I580" s="33"/>
      <c r="J580" s="33"/>
      <c r="K580" s="33"/>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spans="1:36" ht="15.6">
      <c r="A581" s="33"/>
      <c r="B581" s="33"/>
      <c r="C581" s="150"/>
      <c r="D581" s="33"/>
      <c r="E581" s="33"/>
      <c r="F581" s="33"/>
      <c r="G581" s="33"/>
      <c r="H581" s="33"/>
      <c r="I581" s="33"/>
      <c r="J581" s="33"/>
      <c r="K581" s="33"/>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spans="1:36" ht="15.6">
      <c r="A582" s="33"/>
      <c r="B582" s="33"/>
      <c r="C582" s="150"/>
      <c r="D582" s="33"/>
      <c r="E582" s="33"/>
      <c r="F582" s="33"/>
      <c r="G582" s="33"/>
      <c r="H582" s="33"/>
      <c r="I582" s="33"/>
      <c r="J582" s="33"/>
      <c r="K582" s="33"/>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spans="1:36" ht="15.6">
      <c r="A583" s="33"/>
      <c r="B583" s="33"/>
      <c r="C583" s="150"/>
      <c r="D583" s="33"/>
      <c r="E583" s="33"/>
      <c r="F583" s="33"/>
      <c r="G583" s="33"/>
      <c r="H583" s="33"/>
      <c r="I583" s="33"/>
      <c r="J583" s="33"/>
      <c r="K583" s="33"/>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spans="1:36" ht="15.6">
      <c r="A584" s="33"/>
      <c r="B584" s="33"/>
      <c r="C584" s="150"/>
      <c r="D584" s="33"/>
      <c r="E584" s="33"/>
      <c r="F584" s="33"/>
      <c r="G584" s="33"/>
      <c r="H584" s="33"/>
      <c r="I584" s="33"/>
      <c r="J584" s="33"/>
      <c r="K584" s="33"/>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spans="1:36" ht="15.6">
      <c r="A585" s="33"/>
      <c r="B585" s="33"/>
      <c r="C585" s="150"/>
      <c r="D585" s="33"/>
      <c r="E585" s="33"/>
      <c r="F585" s="33"/>
      <c r="G585" s="33"/>
      <c r="H585" s="33"/>
      <c r="I585" s="33"/>
      <c r="J585" s="33"/>
      <c r="K585" s="33"/>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spans="1:36" ht="15.6">
      <c r="A586" s="33"/>
      <c r="B586" s="33"/>
      <c r="C586" s="150"/>
      <c r="D586" s="33"/>
      <c r="E586" s="33"/>
      <c r="F586" s="33"/>
      <c r="G586" s="33"/>
      <c r="H586" s="33"/>
      <c r="I586" s="33"/>
      <c r="J586" s="33"/>
      <c r="K586" s="33"/>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spans="1:36" ht="15.6">
      <c r="A587" s="33"/>
      <c r="B587" s="33"/>
      <c r="C587" s="150"/>
      <c r="D587" s="33"/>
      <c r="E587" s="33"/>
      <c r="F587" s="33"/>
      <c r="G587" s="33"/>
      <c r="H587" s="33"/>
      <c r="I587" s="33"/>
      <c r="J587" s="33"/>
      <c r="K587" s="33"/>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spans="1:36" ht="15.6">
      <c r="A588" s="33"/>
      <c r="B588" s="33"/>
      <c r="C588" s="150"/>
      <c r="D588" s="33"/>
      <c r="E588" s="33"/>
      <c r="F588" s="33"/>
      <c r="G588" s="33"/>
      <c r="H588" s="33"/>
      <c r="I588" s="33"/>
      <c r="J588" s="33"/>
      <c r="K588" s="33"/>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spans="1:36" ht="15.6">
      <c r="A589" s="33"/>
      <c r="B589" s="33"/>
      <c r="C589" s="150"/>
      <c r="D589" s="33"/>
      <c r="E589" s="33"/>
      <c r="F589" s="33"/>
      <c r="G589" s="33"/>
      <c r="H589" s="33"/>
      <c r="I589" s="33"/>
      <c r="J589" s="33"/>
      <c r="K589" s="33"/>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spans="1:36" ht="15.6">
      <c r="A590" s="33"/>
      <c r="B590" s="33"/>
      <c r="C590" s="150"/>
      <c r="D590" s="33"/>
      <c r="E590" s="33"/>
      <c r="F590" s="33"/>
      <c r="G590" s="33"/>
      <c r="H590" s="33"/>
      <c r="I590" s="33"/>
      <c r="J590" s="33"/>
      <c r="K590" s="33"/>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spans="1:36" ht="15.6">
      <c r="A591" s="33"/>
      <c r="B591" s="33"/>
      <c r="C591" s="150"/>
      <c r="D591" s="33"/>
      <c r="E591" s="33"/>
      <c r="F591" s="33"/>
      <c r="G591" s="33"/>
      <c r="H591" s="33"/>
      <c r="I591" s="33"/>
      <c r="J591" s="33"/>
      <c r="K591" s="33"/>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spans="1:36" ht="15.6">
      <c r="A592" s="33"/>
      <c r="B592" s="33"/>
      <c r="C592" s="150"/>
      <c r="D592" s="33"/>
      <c r="E592" s="33"/>
      <c r="F592" s="33"/>
      <c r="G592" s="33"/>
      <c r="H592" s="33"/>
      <c r="I592" s="33"/>
      <c r="J592" s="33"/>
      <c r="K592" s="33"/>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spans="1:36" ht="15.6">
      <c r="A593" s="33"/>
      <c r="B593" s="33"/>
      <c r="C593" s="150"/>
      <c r="D593" s="33"/>
      <c r="E593" s="33"/>
      <c r="F593" s="33"/>
      <c r="G593" s="33"/>
      <c r="H593" s="33"/>
      <c r="I593" s="33"/>
      <c r="J593" s="33"/>
      <c r="K593" s="33"/>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spans="1:36" ht="15.6">
      <c r="A594" s="33"/>
      <c r="B594" s="33"/>
      <c r="C594" s="150"/>
      <c r="D594" s="33"/>
      <c r="E594" s="33"/>
      <c r="F594" s="33"/>
      <c r="G594" s="33"/>
      <c r="H594" s="33"/>
      <c r="I594" s="33"/>
      <c r="J594" s="33"/>
      <c r="K594" s="33"/>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spans="1:36" ht="15.6">
      <c r="A595" s="33"/>
      <c r="B595" s="33"/>
      <c r="C595" s="150"/>
      <c r="D595" s="33"/>
      <c r="E595" s="33"/>
      <c r="F595" s="33"/>
      <c r="G595" s="33"/>
      <c r="H595" s="33"/>
      <c r="I595" s="33"/>
      <c r="J595" s="33"/>
      <c r="K595" s="33"/>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spans="1:36" ht="15.6">
      <c r="A596" s="33"/>
      <c r="B596" s="33"/>
      <c r="C596" s="150"/>
      <c r="D596" s="33"/>
      <c r="E596" s="33"/>
      <c r="F596" s="33"/>
      <c r="G596" s="33"/>
      <c r="H596" s="33"/>
      <c r="I596" s="33"/>
      <c r="J596" s="33"/>
      <c r="K596" s="33"/>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spans="1:36" ht="15.6">
      <c r="A597" s="33"/>
      <c r="B597" s="33"/>
      <c r="C597" s="150"/>
      <c r="D597" s="33"/>
      <c r="E597" s="33"/>
      <c r="F597" s="33"/>
      <c r="G597" s="33"/>
      <c r="H597" s="33"/>
      <c r="I597" s="33"/>
      <c r="J597" s="33"/>
      <c r="K597" s="33"/>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spans="1:36" ht="15.6">
      <c r="A598" s="33"/>
      <c r="B598" s="33"/>
      <c r="C598" s="150"/>
      <c r="D598" s="33"/>
      <c r="E598" s="33"/>
      <c r="F598" s="33"/>
      <c r="G598" s="33"/>
      <c r="H598" s="33"/>
      <c r="I598" s="33"/>
      <c r="J598" s="33"/>
      <c r="K598" s="33"/>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spans="1:36" ht="15.6">
      <c r="A599" s="33"/>
      <c r="B599" s="33"/>
      <c r="C599" s="150"/>
      <c r="D599" s="33"/>
      <c r="E599" s="33"/>
      <c r="F599" s="33"/>
      <c r="G599" s="33"/>
      <c r="H599" s="33"/>
      <c r="I599" s="33"/>
      <c r="J599" s="33"/>
      <c r="K599" s="33"/>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spans="1:36" ht="15.6">
      <c r="A600" s="33"/>
      <c r="B600" s="33"/>
      <c r="C600" s="150"/>
      <c r="D600" s="33"/>
      <c r="E600" s="33"/>
      <c r="F600" s="33"/>
      <c r="G600" s="33"/>
      <c r="H600" s="33"/>
      <c r="I600" s="33"/>
      <c r="J600" s="33"/>
      <c r="K600" s="33"/>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spans="1:36" ht="15.6">
      <c r="A601" s="33"/>
      <c r="B601" s="33"/>
      <c r="C601" s="150"/>
      <c r="D601" s="33"/>
      <c r="E601" s="33"/>
      <c r="F601" s="33"/>
      <c r="G601" s="33"/>
      <c r="H601" s="33"/>
      <c r="I601" s="33"/>
      <c r="J601" s="33"/>
      <c r="K601" s="33"/>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spans="1:36" ht="15.6">
      <c r="A602" s="33"/>
      <c r="B602" s="33"/>
      <c r="C602" s="150"/>
      <c r="D602" s="33"/>
      <c r="E602" s="33"/>
      <c r="F602" s="33"/>
      <c r="G602" s="33"/>
      <c r="H602" s="33"/>
      <c r="I602" s="33"/>
      <c r="J602" s="33"/>
      <c r="K602" s="33"/>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spans="1:36" ht="15.6">
      <c r="A603" s="33"/>
      <c r="B603" s="33"/>
      <c r="C603" s="150"/>
      <c r="D603" s="33"/>
      <c r="E603" s="33"/>
      <c r="F603" s="33"/>
      <c r="G603" s="33"/>
      <c r="H603" s="33"/>
      <c r="I603" s="33"/>
      <c r="J603" s="33"/>
      <c r="K603" s="33"/>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spans="1:36" ht="15.6">
      <c r="A604" s="33"/>
      <c r="B604" s="33"/>
      <c r="C604" s="150"/>
      <c r="D604" s="33"/>
      <c r="E604" s="33"/>
      <c r="F604" s="33"/>
      <c r="G604" s="33"/>
      <c r="H604" s="33"/>
      <c r="I604" s="33"/>
      <c r="J604" s="33"/>
      <c r="K604" s="33"/>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spans="1:36" ht="15.6">
      <c r="A605" s="33"/>
      <c r="B605" s="33"/>
      <c r="C605" s="150"/>
      <c r="D605" s="33"/>
      <c r="E605" s="33"/>
      <c r="F605" s="33"/>
      <c r="G605" s="33"/>
      <c r="H605" s="33"/>
      <c r="I605" s="33"/>
      <c r="J605" s="33"/>
      <c r="K605" s="33"/>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spans="1:36" ht="15.6">
      <c r="A606" s="33"/>
      <c r="B606" s="33"/>
      <c r="C606" s="150"/>
      <c r="D606" s="33"/>
      <c r="E606" s="33"/>
      <c r="F606" s="33"/>
      <c r="G606" s="33"/>
      <c r="H606" s="33"/>
      <c r="I606" s="33"/>
      <c r="J606" s="33"/>
      <c r="K606" s="33"/>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spans="1:36" ht="15.6">
      <c r="A607" s="33"/>
      <c r="B607" s="33"/>
      <c r="C607" s="150"/>
      <c r="D607" s="33"/>
      <c r="E607" s="33"/>
      <c r="F607" s="33"/>
      <c r="G607" s="33"/>
      <c r="H607" s="33"/>
      <c r="I607" s="33"/>
      <c r="J607" s="33"/>
      <c r="K607" s="33"/>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spans="1:36" ht="15.6">
      <c r="A608" s="33"/>
      <c r="B608" s="33"/>
      <c r="C608" s="150"/>
      <c r="D608" s="33"/>
      <c r="E608" s="33"/>
      <c r="F608" s="33"/>
      <c r="G608" s="33"/>
      <c r="H608" s="33"/>
      <c r="I608" s="33"/>
      <c r="J608" s="33"/>
      <c r="K608" s="33"/>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spans="1:36" ht="15.6">
      <c r="A609" s="33"/>
      <c r="B609" s="33"/>
      <c r="C609" s="150"/>
      <c r="D609" s="33"/>
      <c r="E609" s="33"/>
      <c r="F609" s="33"/>
      <c r="G609" s="33"/>
      <c r="H609" s="33"/>
      <c r="I609" s="33"/>
      <c r="J609" s="33"/>
      <c r="K609" s="33"/>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spans="1:36" ht="15.6">
      <c r="A610" s="33"/>
      <c r="B610" s="33"/>
      <c r="C610" s="150"/>
      <c r="D610" s="33"/>
      <c r="E610" s="33"/>
      <c r="F610" s="33"/>
      <c r="G610" s="33"/>
      <c r="H610" s="33"/>
      <c r="I610" s="33"/>
      <c r="J610" s="33"/>
      <c r="K610" s="33"/>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spans="1:36" ht="15.6">
      <c r="A611" s="33"/>
      <c r="B611" s="33"/>
      <c r="C611" s="150"/>
      <c r="D611" s="33"/>
      <c r="E611" s="33"/>
      <c r="F611" s="33"/>
      <c r="G611" s="33"/>
      <c r="H611" s="33"/>
      <c r="I611" s="33"/>
      <c r="J611" s="33"/>
      <c r="K611" s="33"/>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spans="1:36" ht="15.6">
      <c r="A612" s="33"/>
      <c r="B612" s="33"/>
      <c r="C612" s="150"/>
      <c r="D612" s="33"/>
      <c r="E612" s="33"/>
      <c r="F612" s="33"/>
      <c r="G612" s="33"/>
      <c r="H612" s="33"/>
      <c r="I612" s="33"/>
      <c r="J612" s="33"/>
      <c r="K612" s="33"/>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spans="1:36" ht="15.6">
      <c r="A613" s="33"/>
      <c r="B613" s="33"/>
      <c r="C613" s="150"/>
      <c r="D613" s="33"/>
      <c r="E613" s="33"/>
      <c r="F613" s="33"/>
      <c r="G613" s="33"/>
      <c r="H613" s="33"/>
      <c r="I613" s="33"/>
      <c r="J613" s="33"/>
      <c r="K613" s="33"/>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spans="1:36" ht="15.6">
      <c r="A614" s="33"/>
      <c r="B614" s="33"/>
      <c r="C614" s="150"/>
      <c r="D614" s="33"/>
      <c r="E614" s="33"/>
      <c r="F614" s="33"/>
      <c r="G614" s="33"/>
      <c r="H614" s="33"/>
      <c r="I614" s="33"/>
      <c r="J614" s="33"/>
      <c r="K614" s="33"/>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spans="1:36" ht="15.6">
      <c r="A615" s="33"/>
      <c r="B615" s="33"/>
      <c r="C615" s="150"/>
      <c r="D615" s="33"/>
      <c r="E615" s="33"/>
      <c r="F615" s="33"/>
      <c r="G615" s="33"/>
      <c r="H615" s="33"/>
      <c r="I615" s="33"/>
      <c r="J615" s="33"/>
      <c r="K615" s="33"/>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spans="1:36" ht="15.6">
      <c r="A616" s="33"/>
      <c r="B616" s="33"/>
      <c r="C616" s="150"/>
      <c r="D616" s="33"/>
      <c r="E616" s="33"/>
      <c r="F616" s="33"/>
      <c r="G616" s="33"/>
      <c r="H616" s="33"/>
      <c r="I616" s="33"/>
      <c r="J616" s="33"/>
      <c r="K616" s="33"/>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spans="1:36" ht="15.6">
      <c r="A617" s="33"/>
      <c r="B617" s="33"/>
      <c r="C617" s="150"/>
      <c r="D617" s="33"/>
      <c r="E617" s="33"/>
      <c r="F617" s="33"/>
      <c r="G617" s="33"/>
      <c r="H617" s="33"/>
      <c r="I617" s="33"/>
      <c r="J617" s="33"/>
      <c r="K617" s="33"/>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spans="1:36" ht="15.6">
      <c r="A618" s="33"/>
      <c r="B618" s="33"/>
      <c r="C618" s="150"/>
      <c r="D618" s="33"/>
      <c r="E618" s="33"/>
      <c r="F618" s="33"/>
      <c r="G618" s="33"/>
      <c r="H618" s="33"/>
      <c r="I618" s="33"/>
      <c r="J618" s="33"/>
      <c r="K618" s="33"/>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spans="1:36" ht="15.6">
      <c r="A619" s="33"/>
      <c r="B619" s="33"/>
      <c r="C619" s="150"/>
      <c r="D619" s="33"/>
      <c r="E619" s="33"/>
      <c r="F619" s="33"/>
      <c r="G619" s="33"/>
      <c r="H619" s="33"/>
      <c r="I619" s="33"/>
      <c r="J619" s="33"/>
      <c r="K619" s="33"/>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spans="1:36" ht="15.6">
      <c r="A620" s="33"/>
      <c r="B620" s="33"/>
      <c r="C620" s="150"/>
      <c r="D620" s="33"/>
      <c r="E620" s="33"/>
      <c r="F620" s="33"/>
      <c r="G620" s="33"/>
      <c r="H620" s="33"/>
      <c r="I620" s="33"/>
      <c r="J620" s="33"/>
      <c r="K620" s="33"/>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spans="1:36" ht="15.6">
      <c r="A621" s="33"/>
      <c r="B621" s="33"/>
      <c r="C621" s="150"/>
      <c r="D621" s="33"/>
      <c r="E621" s="33"/>
      <c r="F621" s="33"/>
      <c r="G621" s="33"/>
      <c r="H621" s="33"/>
      <c r="I621" s="33"/>
      <c r="J621" s="33"/>
      <c r="K621" s="33"/>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spans="1:36" ht="15.6">
      <c r="A622" s="33"/>
      <c r="B622" s="33"/>
      <c r="C622" s="150"/>
      <c r="D622" s="33"/>
      <c r="E622" s="33"/>
      <c r="F622" s="33"/>
      <c r="G622" s="33"/>
      <c r="H622" s="33"/>
      <c r="I622" s="33"/>
      <c r="J622" s="33"/>
      <c r="K622" s="33"/>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spans="1:36" ht="15.6">
      <c r="A623" s="33"/>
      <c r="B623" s="33"/>
      <c r="C623" s="150"/>
      <c r="D623" s="33"/>
      <c r="E623" s="33"/>
      <c r="F623" s="33"/>
      <c r="G623" s="33"/>
      <c r="H623" s="33"/>
      <c r="I623" s="33"/>
      <c r="J623" s="33"/>
      <c r="K623" s="33"/>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spans="1:36" ht="15.6">
      <c r="A624" s="33"/>
      <c r="B624" s="33"/>
      <c r="C624" s="150"/>
      <c r="D624" s="33"/>
      <c r="E624" s="33"/>
      <c r="F624" s="33"/>
      <c r="G624" s="33"/>
      <c r="H624" s="33"/>
      <c r="I624" s="33"/>
      <c r="J624" s="33"/>
      <c r="K624" s="33"/>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spans="1:36" ht="15.6">
      <c r="A625" s="33"/>
      <c r="B625" s="33"/>
      <c r="C625" s="150"/>
      <c r="D625" s="33"/>
      <c r="E625" s="33"/>
      <c r="F625" s="33"/>
      <c r="G625" s="33"/>
      <c r="H625" s="33"/>
      <c r="I625" s="33"/>
      <c r="J625" s="33"/>
      <c r="K625" s="33"/>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spans="1:36" ht="15.6">
      <c r="A626" s="33"/>
      <c r="B626" s="33"/>
      <c r="C626" s="150"/>
      <c r="D626" s="33"/>
      <c r="E626" s="33"/>
      <c r="F626" s="33"/>
      <c r="G626" s="33"/>
      <c r="H626" s="33"/>
      <c r="I626" s="33"/>
      <c r="J626" s="33"/>
      <c r="K626" s="33"/>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spans="1:36" ht="15.6">
      <c r="A627" s="33"/>
      <c r="B627" s="33"/>
      <c r="C627" s="150"/>
      <c r="D627" s="33"/>
      <c r="E627" s="33"/>
      <c r="F627" s="33"/>
      <c r="G627" s="33"/>
      <c r="H627" s="33"/>
      <c r="I627" s="33"/>
      <c r="J627" s="33"/>
      <c r="K627" s="33"/>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spans="1:36" ht="15.6">
      <c r="A628" s="33"/>
      <c r="B628" s="33"/>
      <c r="C628" s="150"/>
      <c r="D628" s="33"/>
      <c r="E628" s="33"/>
      <c r="F628" s="33"/>
      <c r="G628" s="33"/>
      <c r="H628" s="33"/>
      <c r="I628" s="33"/>
      <c r="J628" s="33"/>
      <c r="K628" s="33"/>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spans="1:36" ht="15.6">
      <c r="A629" s="33"/>
      <c r="B629" s="33"/>
      <c r="C629" s="150"/>
      <c r="D629" s="33"/>
      <c r="E629" s="33"/>
      <c r="F629" s="33"/>
      <c r="G629" s="33"/>
      <c r="H629" s="33"/>
      <c r="I629" s="33"/>
      <c r="J629" s="33"/>
      <c r="K629" s="33"/>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spans="1:36" ht="15.6">
      <c r="A630" s="33"/>
      <c r="B630" s="33"/>
      <c r="C630" s="150"/>
      <c r="D630" s="33"/>
      <c r="E630" s="33"/>
      <c r="F630" s="33"/>
      <c r="G630" s="33"/>
      <c r="H630" s="33"/>
      <c r="I630" s="33"/>
      <c r="J630" s="33"/>
      <c r="K630" s="33"/>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spans="1:36" ht="15.6">
      <c r="A631" s="33"/>
      <c r="B631" s="33"/>
      <c r="C631" s="150"/>
      <c r="D631" s="33"/>
      <c r="E631" s="33"/>
      <c r="F631" s="33"/>
      <c r="G631" s="33"/>
      <c r="H631" s="33"/>
      <c r="I631" s="33"/>
      <c r="J631" s="33"/>
      <c r="K631" s="33"/>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spans="1:36" ht="15.6">
      <c r="A632" s="33"/>
      <c r="B632" s="33"/>
      <c r="C632" s="150"/>
      <c r="D632" s="33"/>
      <c r="E632" s="33"/>
      <c r="F632" s="33"/>
      <c r="G632" s="33"/>
      <c r="H632" s="33"/>
      <c r="I632" s="33"/>
      <c r="J632" s="33"/>
      <c r="K632" s="33"/>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spans="1:36" ht="15.6">
      <c r="A633" s="33"/>
      <c r="B633" s="33"/>
      <c r="C633" s="150"/>
      <c r="D633" s="33"/>
      <c r="E633" s="33"/>
      <c r="F633" s="33"/>
      <c r="G633" s="33"/>
      <c r="H633" s="33"/>
      <c r="I633" s="33"/>
      <c r="J633" s="33"/>
      <c r="K633" s="33"/>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spans="1:36" ht="15.6">
      <c r="A634" s="33"/>
      <c r="B634" s="33"/>
      <c r="C634" s="150"/>
      <c r="D634" s="33"/>
      <c r="E634" s="33"/>
      <c r="F634" s="33"/>
      <c r="G634" s="33"/>
      <c r="H634" s="33"/>
      <c r="I634" s="33"/>
      <c r="J634" s="33"/>
      <c r="K634" s="33"/>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spans="1:36" ht="15.6">
      <c r="A635" s="33"/>
      <c r="B635" s="33"/>
      <c r="C635" s="150"/>
      <c r="D635" s="33"/>
      <c r="E635" s="33"/>
      <c r="F635" s="33"/>
      <c r="G635" s="33"/>
      <c r="H635" s="33"/>
      <c r="I635" s="33"/>
      <c r="J635" s="33"/>
      <c r="K635" s="33"/>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spans="1:36" ht="15.6">
      <c r="A636" s="33"/>
      <c r="B636" s="33"/>
      <c r="C636" s="150"/>
      <c r="D636" s="33"/>
      <c r="E636" s="33"/>
      <c r="F636" s="33"/>
      <c r="G636" s="33"/>
      <c r="H636" s="33"/>
      <c r="I636" s="33"/>
      <c r="J636" s="33"/>
      <c r="K636" s="33"/>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spans="1:36" ht="15.6">
      <c r="A637" s="33"/>
      <c r="B637" s="33"/>
      <c r="C637" s="150"/>
      <c r="D637" s="33"/>
      <c r="E637" s="33"/>
      <c r="F637" s="33"/>
      <c r="G637" s="33"/>
      <c r="H637" s="33"/>
      <c r="I637" s="33"/>
      <c r="J637" s="33"/>
      <c r="K637" s="33"/>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spans="1:36" ht="15.6">
      <c r="A638" s="33"/>
      <c r="B638" s="33"/>
      <c r="C638" s="150"/>
      <c r="D638" s="33"/>
      <c r="E638" s="33"/>
      <c r="F638" s="33"/>
      <c r="G638" s="33"/>
      <c r="H638" s="33"/>
      <c r="I638" s="33"/>
      <c r="J638" s="33"/>
      <c r="K638" s="33"/>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spans="1:36" ht="15.6">
      <c r="A639" s="33"/>
      <c r="B639" s="33"/>
      <c r="C639" s="150"/>
      <c r="D639" s="33"/>
      <c r="E639" s="33"/>
      <c r="F639" s="33"/>
      <c r="G639" s="33"/>
      <c r="H639" s="33"/>
      <c r="I639" s="33"/>
      <c r="J639" s="33"/>
      <c r="K639" s="33"/>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spans="1:36" ht="15.6">
      <c r="A640" s="33"/>
      <c r="B640" s="33"/>
      <c r="C640" s="150"/>
      <c r="D640" s="33"/>
      <c r="E640" s="33"/>
      <c r="F640" s="33"/>
      <c r="G640" s="33"/>
      <c r="H640" s="33"/>
      <c r="I640" s="33"/>
      <c r="J640" s="33"/>
      <c r="K640" s="33"/>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spans="1:36" ht="15.6">
      <c r="A641" s="33"/>
      <c r="B641" s="33"/>
      <c r="C641" s="150"/>
      <c r="D641" s="33"/>
      <c r="E641" s="33"/>
      <c r="F641" s="33"/>
      <c r="G641" s="33"/>
      <c r="H641" s="33"/>
      <c r="I641" s="33"/>
      <c r="J641" s="33"/>
      <c r="K641" s="33"/>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spans="1:36" ht="15.6">
      <c r="A642" s="33"/>
      <c r="B642" s="33"/>
      <c r="C642" s="150"/>
      <c r="D642" s="33"/>
      <c r="E642" s="33"/>
      <c r="F642" s="33"/>
      <c r="G642" s="33"/>
      <c r="H642" s="33"/>
      <c r="I642" s="33"/>
      <c r="J642" s="33"/>
      <c r="K642" s="33"/>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spans="1:36" ht="15.6">
      <c r="A643" s="33"/>
      <c r="B643" s="33"/>
      <c r="C643" s="150"/>
      <c r="D643" s="33"/>
      <c r="E643" s="33"/>
      <c r="F643" s="33"/>
      <c r="G643" s="33"/>
      <c r="H643" s="33"/>
      <c r="I643" s="33"/>
      <c r="J643" s="33"/>
      <c r="K643" s="33"/>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spans="1:36" ht="15.6">
      <c r="A644" s="33"/>
      <c r="B644" s="33"/>
      <c r="C644" s="150"/>
      <c r="D644" s="33"/>
      <c r="E644" s="33"/>
      <c r="F644" s="33"/>
      <c r="G644" s="33"/>
      <c r="H644" s="33"/>
      <c r="I644" s="33"/>
      <c r="J644" s="33"/>
      <c r="K644" s="33"/>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spans="1:36" ht="15.6">
      <c r="A645" s="33"/>
      <c r="B645" s="33"/>
      <c r="C645" s="150"/>
      <c r="D645" s="33"/>
      <c r="E645" s="33"/>
      <c r="F645" s="33"/>
      <c r="G645" s="33"/>
      <c r="H645" s="33"/>
      <c r="I645" s="33"/>
      <c r="J645" s="33"/>
      <c r="K645" s="33"/>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spans="1:36" ht="15.6">
      <c r="A646" s="33"/>
      <c r="B646" s="33"/>
      <c r="C646" s="150"/>
      <c r="D646" s="33"/>
      <c r="E646" s="33"/>
      <c r="F646" s="33"/>
      <c r="G646" s="33"/>
      <c r="H646" s="33"/>
      <c r="I646" s="33"/>
      <c r="J646" s="33"/>
      <c r="K646" s="33"/>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spans="1:36" ht="15.6">
      <c r="A647" s="33"/>
      <c r="B647" s="33"/>
      <c r="C647" s="150"/>
      <c r="D647" s="33"/>
      <c r="E647" s="33"/>
      <c r="F647" s="33"/>
      <c r="G647" s="33"/>
      <c r="H647" s="33"/>
      <c r="I647" s="33"/>
      <c r="J647" s="33"/>
      <c r="K647" s="33"/>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spans="1:36" ht="15.6">
      <c r="A648" s="33"/>
      <c r="B648" s="33"/>
      <c r="C648" s="150"/>
      <c r="D648" s="33"/>
      <c r="E648" s="33"/>
      <c r="F648" s="33"/>
      <c r="G648" s="33"/>
      <c r="H648" s="33"/>
      <c r="I648" s="33"/>
      <c r="J648" s="33"/>
      <c r="K648" s="33"/>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spans="1:36" ht="15.6">
      <c r="A649" s="33"/>
      <c r="B649" s="33"/>
      <c r="C649" s="150"/>
      <c r="D649" s="33"/>
      <c r="E649" s="33"/>
      <c r="F649" s="33"/>
      <c r="G649" s="33"/>
      <c r="H649" s="33"/>
      <c r="I649" s="33"/>
      <c r="J649" s="33"/>
      <c r="K649" s="33"/>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spans="1:36" ht="15.6">
      <c r="A650" s="33"/>
      <c r="B650" s="33"/>
      <c r="C650" s="150"/>
      <c r="D650" s="33"/>
      <c r="E650" s="33"/>
      <c r="F650" s="33"/>
      <c r="G650" s="33"/>
      <c r="H650" s="33"/>
      <c r="I650" s="33"/>
      <c r="J650" s="33"/>
      <c r="K650" s="33"/>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spans="1:36" ht="15.6">
      <c r="A651" s="33"/>
      <c r="B651" s="33"/>
      <c r="C651" s="150"/>
      <c r="D651" s="33"/>
      <c r="E651" s="33"/>
      <c r="F651" s="33"/>
      <c r="G651" s="33"/>
      <c r="H651" s="33"/>
      <c r="I651" s="33"/>
      <c r="J651" s="33"/>
      <c r="K651" s="33"/>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spans="1:36" ht="15.6">
      <c r="A652" s="33"/>
      <c r="B652" s="33"/>
      <c r="C652" s="150"/>
      <c r="D652" s="33"/>
      <c r="E652" s="33"/>
      <c r="F652" s="33"/>
      <c r="G652" s="33"/>
      <c r="H652" s="33"/>
      <c r="I652" s="33"/>
      <c r="J652" s="33"/>
      <c r="K652" s="33"/>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spans="1:36" ht="15.6">
      <c r="A653" s="33"/>
      <c r="B653" s="33"/>
      <c r="C653" s="150"/>
      <c r="D653" s="33"/>
      <c r="E653" s="33"/>
      <c r="F653" s="33"/>
      <c r="G653" s="33"/>
      <c r="H653" s="33"/>
      <c r="I653" s="33"/>
      <c r="J653" s="33"/>
      <c r="K653" s="33"/>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spans="1:36" ht="15.6">
      <c r="A654" s="33"/>
      <c r="B654" s="33"/>
      <c r="C654" s="150"/>
      <c r="D654" s="33"/>
      <c r="E654" s="33"/>
      <c r="F654" s="33"/>
      <c r="G654" s="33"/>
      <c r="H654" s="33"/>
      <c r="I654" s="33"/>
      <c r="J654" s="33"/>
      <c r="K654" s="33"/>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spans="1:36" ht="15.6">
      <c r="A655" s="33"/>
      <c r="B655" s="33"/>
      <c r="C655" s="150"/>
      <c r="D655" s="33"/>
      <c r="E655" s="33"/>
      <c r="F655" s="33"/>
      <c r="G655" s="33"/>
      <c r="H655" s="33"/>
      <c r="I655" s="33"/>
      <c r="J655" s="33"/>
      <c r="K655" s="33"/>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spans="1:36" ht="15.6">
      <c r="A656" s="33"/>
      <c r="B656" s="33"/>
      <c r="C656" s="150"/>
      <c r="D656" s="33"/>
      <c r="E656" s="33"/>
      <c r="F656" s="33"/>
      <c r="G656" s="33"/>
      <c r="H656" s="33"/>
      <c r="I656" s="33"/>
      <c r="J656" s="33"/>
      <c r="K656" s="33"/>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spans="1:36" ht="15.6">
      <c r="A657" s="33"/>
      <c r="B657" s="33"/>
      <c r="C657" s="150"/>
      <c r="D657" s="33"/>
      <c r="E657" s="33"/>
      <c r="F657" s="33"/>
      <c r="G657" s="33"/>
      <c r="H657" s="33"/>
      <c r="I657" s="33"/>
      <c r="J657" s="33"/>
      <c r="K657" s="33"/>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spans="1:36" ht="15.6">
      <c r="A658" s="33"/>
      <c r="B658" s="33"/>
      <c r="C658" s="150"/>
      <c r="D658" s="33"/>
      <c r="E658" s="33"/>
      <c r="F658" s="33"/>
      <c r="G658" s="33"/>
      <c r="H658" s="33"/>
      <c r="I658" s="33"/>
      <c r="J658" s="33"/>
      <c r="K658" s="33"/>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spans="1:36" ht="15.6">
      <c r="A659" s="33"/>
      <c r="B659" s="33"/>
      <c r="C659" s="150"/>
      <c r="D659" s="33"/>
      <c r="E659" s="33"/>
      <c r="F659" s="33"/>
      <c r="G659" s="33"/>
      <c r="H659" s="33"/>
      <c r="I659" s="33"/>
      <c r="J659" s="33"/>
      <c r="K659" s="33"/>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spans="1:36" ht="15.6">
      <c r="A660" s="33"/>
      <c r="B660" s="33"/>
      <c r="C660" s="150"/>
      <c r="D660" s="33"/>
      <c r="E660" s="33"/>
      <c r="F660" s="33"/>
      <c r="G660" s="33"/>
      <c r="H660" s="33"/>
      <c r="I660" s="33"/>
      <c r="J660" s="33"/>
      <c r="K660" s="33"/>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spans="1:36" ht="15.6">
      <c r="A661" s="33"/>
      <c r="B661" s="33"/>
      <c r="C661" s="150"/>
      <c r="D661" s="33"/>
      <c r="E661" s="33"/>
      <c r="F661" s="33"/>
      <c r="G661" s="33"/>
      <c r="H661" s="33"/>
      <c r="I661" s="33"/>
      <c r="J661" s="33"/>
      <c r="K661" s="33"/>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spans="1:36" ht="15.6">
      <c r="A662" s="33"/>
      <c r="B662" s="33"/>
      <c r="C662" s="150"/>
      <c r="D662" s="33"/>
      <c r="E662" s="33"/>
      <c r="F662" s="33"/>
      <c r="G662" s="33"/>
      <c r="H662" s="33"/>
      <c r="I662" s="33"/>
      <c r="J662" s="33"/>
      <c r="K662" s="33"/>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spans="1:36" ht="15.6">
      <c r="A663" s="33"/>
      <c r="B663" s="33"/>
      <c r="C663" s="150"/>
      <c r="D663" s="33"/>
      <c r="E663" s="33"/>
      <c r="F663" s="33"/>
      <c r="G663" s="33"/>
      <c r="H663" s="33"/>
      <c r="I663" s="33"/>
      <c r="J663" s="33"/>
      <c r="K663" s="33"/>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spans="1:36" ht="15.6">
      <c r="A664" s="33"/>
      <c r="B664" s="33"/>
      <c r="C664" s="150"/>
      <c r="D664" s="33"/>
      <c r="E664" s="33"/>
      <c r="F664" s="33"/>
      <c r="G664" s="33"/>
      <c r="H664" s="33"/>
      <c r="I664" s="33"/>
      <c r="J664" s="33"/>
      <c r="K664" s="33"/>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spans="1:36" ht="15.6">
      <c r="A665" s="33"/>
      <c r="B665" s="33"/>
      <c r="C665" s="150"/>
      <c r="D665" s="33"/>
      <c r="E665" s="33"/>
      <c r="F665" s="33"/>
      <c r="G665" s="33"/>
      <c r="H665" s="33"/>
      <c r="I665" s="33"/>
      <c r="J665" s="33"/>
      <c r="K665" s="33"/>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spans="1:36" ht="15.6">
      <c r="A666" s="33"/>
      <c r="B666" s="33"/>
      <c r="C666" s="150"/>
      <c r="D666" s="33"/>
      <c r="E666" s="33"/>
      <c r="F666" s="33"/>
      <c r="G666" s="33"/>
      <c r="H666" s="33"/>
      <c r="I666" s="33"/>
      <c r="J666" s="33"/>
      <c r="K666" s="33"/>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spans="1:36" ht="15.6">
      <c r="A667" s="33"/>
      <c r="B667" s="33"/>
      <c r="C667" s="150"/>
      <c r="D667" s="33"/>
      <c r="E667" s="33"/>
      <c r="F667" s="33"/>
      <c r="G667" s="33"/>
      <c r="H667" s="33"/>
      <c r="I667" s="33"/>
      <c r="J667" s="33"/>
      <c r="K667" s="33"/>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spans="1:36" ht="15.6">
      <c r="A668" s="33"/>
      <c r="B668" s="33"/>
      <c r="C668" s="150"/>
      <c r="D668" s="33"/>
      <c r="E668" s="33"/>
      <c r="F668" s="33"/>
      <c r="G668" s="33"/>
      <c r="H668" s="33"/>
      <c r="I668" s="33"/>
      <c r="J668" s="33"/>
      <c r="K668" s="33"/>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spans="1:36" ht="15.6">
      <c r="A669" s="33"/>
      <c r="B669" s="33"/>
      <c r="C669" s="150"/>
      <c r="D669" s="33"/>
      <c r="E669" s="33"/>
      <c r="F669" s="33"/>
      <c r="G669" s="33"/>
      <c r="H669" s="33"/>
      <c r="I669" s="33"/>
      <c r="J669" s="33"/>
      <c r="K669" s="33"/>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spans="1:36" ht="15.6">
      <c r="A670" s="33"/>
      <c r="B670" s="33"/>
      <c r="C670" s="150"/>
      <c r="D670" s="33"/>
      <c r="E670" s="33"/>
      <c r="F670" s="33"/>
      <c r="G670" s="33"/>
      <c r="H670" s="33"/>
      <c r="I670" s="33"/>
      <c r="J670" s="33"/>
      <c r="K670" s="33"/>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spans="1:36" ht="15.6">
      <c r="A671" s="33"/>
      <c r="B671" s="33"/>
      <c r="C671" s="150"/>
      <c r="D671" s="33"/>
      <c r="E671" s="33"/>
      <c r="F671" s="33"/>
      <c r="G671" s="33"/>
      <c r="H671" s="33"/>
      <c r="I671" s="33"/>
      <c r="J671" s="33"/>
      <c r="K671" s="33"/>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spans="1:36" ht="15.6">
      <c r="A672" s="33"/>
      <c r="B672" s="33"/>
      <c r="C672" s="150"/>
      <c r="D672" s="33"/>
      <c r="E672" s="33"/>
      <c r="F672" s="33"/>
      <c r="G672" s="33"/>
      <c r="H672" s="33"/>
      <c r="I672" s="33"/>
      <c r="J672" s="33"/>
      <c r="K672" s="33"/>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spans="1:36" ht="15.6">
      <c r="A673" s="33"/>
      <c r="B673" s="33"/>
      <c r="C673" s="150"/>
      <c r="D673" s="33"/>
      <c r="E673" s="33"/>
      <c r="F673" s="33"/>
      <c r="G673" s="33"/>
      <c r="H673" s="33"/>
      <c r="I673" s="33"/>
      <c r="J673" s="33"/>
      <c r="K673" s="33"/>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spans="1:36" ht="15.6">
      <c r="A674" s="33"/>
      <c r="B674" s="33"/>
      <c r="C674" s="150"/>
      <c r="D674" s="33"/>
      <c r="E674" s="33"/>
      <c r="F674" s="33"/>
      <c r="G674" s="33"/>
      <c r="H674" s="33"/>
      <c r="I674" s="33"/>
      <c r="J674" s="33"/>
      <c r="K674" s="33"/>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spans="1:36" ht="15.6">
      <c r="A675" s="33"/>
      <c r="B675" s="33"/>
      <c r="C675" s="150"/>
      <c r="D675" s="33"/>
      <c r="E675" s="33"/>
      <c r="F675" s="33"/>
      <c r="G675" s="33"/>
      <c r="H675" s="33"/>
      <c r="I675" s="33"/>
      <c r="J675" s="33"/>
      <c r="K675" s="33"/>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spans="1:36" ht="15.6">
      <c r="A676" s="33"/>
      <c r="B676" s="33"/>
      <c r="C676" s="150"/>
      <c r="D676" s="33"/>
      <c r="E676" s="33"/>
      <c r="F676" s="33"/>
      <c r="G676" s="33"/>
      <c r="H676" s="33"/>
      <c r="I676" s="33"/>
      <c r="J676" s="33"/>
      <c r="K676" s="33"/>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spans="1:36" ht="15.6">
      <c r="A677" s="33"/>
      <c r="B677" s="33"/>
      <c r="C677" s="150"/>
      <c r="D677" s="33"/>
      <c r="E677" s="33"/>
      <c r="F677" s="33"/>
      <c r="G677" s="33"/>
      <c r="H677" s="33"/>
      <c r="I677" s="33"/>
      <c r="J677" s="33"/>
      <c r="K677" s="33"/>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spans="1:36" ht="15.6">
      <c r="A678" s="33"/>
      <c r="B678" s="33"/>
      <c r="C678" s="150"/>
      <c r="D678" s="33"/>
      <c r="E678" s="33"/>
      <c r="F678" s="33"/>
      <c r="G678" s="33"/>
      <c r="H678" s="33"/>
      <c r="I678" s="33"/>
      <c r="J678" s="33"/>
      <c r="K678" s="33"/>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spans="1:36" ht="15.6">
      <c r="A679" s="33"/>
      <c r="B679" s="33"/>
      <c r="C679" s="150"/>
      <c r="D679" s="33"/>
      <c r="E679" s="33"/>
      <c r="F679" s="33"/>
      <c r="G679" s="33"/>
      <c r="H679" s="33"/>
      <c r="I679" s="33"/>
      <c r="J679" s="33"/>
      <c r="K679" s="33"/>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spans="1:36" ht="15.6">
      <c r="A680" s="33"/>
      <c r="B680" s="33"/>
      <c r="C680" s="150"/>
      <c r="D680" s="33"/>
      <c r="E680" s="33"/>
      <c r="F680" s="33"/>
      <c r="G680" s="33"/>
      <c r="H680" s="33"/>
      <c r="I680" s="33"/>
      <c r="J680" s="33"/>
      <c r="K680" s="33"/>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spans="1:36" ht="15.6">
      <c r="A681" s="33"/>
      <c r="B681" s="33"/>
      <c r="C681" s="150"/>
      <c r="D681" s="33"/>
      <c r="E681" s="33"/>
      <c r="F681" s="33"/>
      <c r="G681" s="33"/>
      <c r="H681" s="33"/>
      <c r="I681" s="33"/>
      <c r="J681" s="33"/>
      <c r="K681" s="33"/>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spans="1:36" ht="15.6">
      <c r="A682" s="33"/>
      <c r="B682" s="33"/>
      <c r="C682" s="150"/>
      <c r="D682" s="33"/>
      <c r="E682" s="33"/>
      <c r="F682" s="33"/>
      <c r="G682" s="33"/>
      <c r="H682" s="33"/>
      <c r="I682" s="33"/>
      <c r="J682" s="33"/>
      <c r="K682" s="33"/>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spans="1:36" ht="15.6">
      <c r="A683" s="33"/>
      <c r="B683" s="33"/>
      <c r="C683" s="150"/>
      <c r="D683" s="33"/>
      <c r="E683" s="33"/>
      <c r="F683" s="33"/>
      <c r="G683" s="33"/>
      <c r="H683" s="33"/>
      <c r="I683" s="33"/>
      <c r="J683" s="33"/>
      <c r="K683" s="33"/>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spans="1:36" ht="15.6">
      <c r="A684" s="33"/>
      <c r="B684" s="33"/>
      <c r="C684" s="150"/>
      <c r="D684" s="33"/>
      <c r="E684" s="33"/>
      <c r="F684" s="33"/>
      <c r="G684" s="33"/>
      <c r="H684" s="33"/>
      <c r="I684" s="33"/>
      <c r="J684" s="33"/>
      <c r="K684" s="33"/>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spans="1:36" ht="15.6">
      <c r="A685" s="33"/>
      <c r="B685" s="33"/>
      <c r="C685" s="150"/>
      <c r="D685" s="33"/>
      <c r="E685" s="33"/>
      <c r="F685" s="33"/>
      <c r="G685" s="33"/>
      <c r="H685" s="33"/>
      <c r="I685" s="33"/>
      <c r="J685" s="33"/>
      <c r="K685" s="33"/>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spans="1:36" ht="15.6">
      <c r="A686" s="33"/>
      <c r="B686" s="33"/>
      <c r="C686" s="150"/>
      <c r="D686" s="33"/>
      <c r="E686" s="33"/>
      <c r="F686" s="33"/>
      <c r="G686" s="33"/>
      <c r="H686" s="33"/>
      <c r="I686" s="33"/>
      <c r="J686" s="33"/>
      <c r="K686" s="33"/>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spans="1:36" ht="15.6">
      <c r="A687" s="33"/>
      <c r="B687" s="33"/>
      <c r="C687" s="150"/>
      <c r="D687" s="33"/>
      <c r="E687" s="33"/>
      <c r="F687" s="33"/>
      <c r="G687" s="33"/>
      <c r="H687" s="33"/>
      <c r="I687" s="33"/>
      <c r="J687" s="33"/>
      <c r="K687" s="33"/>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spans="1:36" ht="15.6">
      <c r="A688" s="33"/>
      <c r="B688" s="33"/>
      <c r="C688" s="150"/>
      <c r="D688" s="33"/>
      <c r="E688" s="33"/>
      <c r="F688" s="33"/>
      <c r="G688" s="33"/>
      <c r="H688" s="33"/>
      <c r="I688" s="33"/>
      <c r="J688" s="33"/>
      <c r="K688" s="33"/>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spans="1:36" ht="15.6">
      <c r="A689" s="33"/>
      <c r="B689" s="33"/>
      <c r="C689" s="150"/>
      <c r="D689" s="33"/>
      <c r="E689" s="33"/>
      <c r="F689" s="33"/>
      <c r="G689" s="33"/>
      <c r="H689" s="33"/>
      <c r="I689" s="33"/>
      <c r="J689" s="33"/>
      <c r="K689" s="33"/>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spans="1:36" ht="15.6">
      <c r="A690" s="33"/>
      <c r="B690" s="33"/>
      <c r="C690" s="150"/>
      <c r="D690" s="33"/>
      <c r="E690" s="33"/>
      <c r="F690" s="33"/>
      <c r="G690" s="33"/>
      <c r="H690" s="33"/>
      <c r="I690" s="33"/>
      <c r="J690" s="33"/>
      <c r="K690" s="33"/>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spans="1:36" ht="15.6">
      <c r="A691" s="33"/>
      <c r="B691" s="33"/>
      <c r="C691" s="150"/>
      <c r="D691" s="33"/>
      <c r="E691" s="33"/>
      <c r="F691" s="33"/>
      <c r="G691" s="33"/>
      <c r="H691" s="33"/>
      <c r="I691" s="33"/>
      <c r="J691" s="33"/>
      <c r="K691" s="33"/>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spans="1:36" ht="15.6">
      <c r="A692" s="33"/>
      <c r="B692" s="33"/>
      <c r="C692" s="150"/>
      <c r="D692" s="33"/>
      <c r="E692" s="33"/>
      <c r="F692" s="33"/>
      <c r="G692" s="33"/>
      <c r="H692" s="33"/>
      <c r="I692" s="33"/>
      <c r="J692" s="33"/>
      <c r="K692" s="33"/>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spans="1:36" ht="15.6">
      <c r="A693" s="33"/>
      <c r="B693" s="33"/>
      <c r="C693" s="150"/>
      <c r="D693" s="33"/>
      <c r="E693" s="33"/>
      <c r="F693" s="33"/>
      <c r="G693" s="33"/>
      <c r="H693" s="33"/>
      <c r="I693" s="33"/>
      <c r="J693" s="33"/>
      <c r="K693" s="33"/>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spans="1:36" ht="15.6">
      <c r="A694" s="33"/>
      <c r="B694" s="33"/>
      <c r="C694" s="150"/>
      <c r="D694" s="33"/>
      <c r="E694" s="33"/>
      <c r="F694" s="33"/>
      <c r="G694" s="33"/>
      <c r="H694" s="33"/>
      <c r="I694" s="33"/>
      <c r="J694" s="33"/>
      <c r="K694" s="33"/>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spans="1:36" ht="15.6">
      <c r="A695" s="33"/>
      <c r="B695" s="33"/>
      <c r="C695" s="150"/>
      <c r="D695" s="33"/>
      <c r="E695" s="33"/>
      <c r="F695" s="33"/>
      <c r="G695" s="33"/>
      <c r="H695" s="33"/>
      <c r="I695" s="33"/>
      <c r="J695" s="33"/>
      <c r="K695" s="33"/>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spans="1:36" ht="15.6">
      <c r="A696" s="33"/>
      <c r="B696" s="33"/>
      <c r="C696" s="150"/>
      <c r="D696" s="33"/>
      <c r="E696" s="33"/>
      <c r="F696" s="33"/>
      <c r="G696" s="33"/>
      <c r="H696" s="33"/>
      <c r="I696" s="33"/>
      <c r="J696" s="33"/>
      <c r="K696" s="33"/>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spans="1:36" ht="15.6">
      <c r="A697" s="33"/>
      <c r="B697" s="33"/>
      <c r="C697" s="150"/>
      <c r="D697" s="33"/>
      <c r="E697" s="33"/>
      <c r="F697" s="33"/>
      <c r="G697" s="33"/>
      <c r="H697" s="33"/>
      <c r="I697" s="33"/>
      <c r="J697" s="33"/>
      <c r="K697" s="33"/>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spans="1:36" ht="15.6">
      <c r="A698" s="33"/>
      <c r="B698" s="33"/>
      <c r="C698" s="150"/>
      <c r="D698" s="33"/>
      <c r="E698" s="33"/>
      <c r="F698" s="33"/>
      <c r="G698" s="33"/>
      <c r="H698" s="33"/>
      <c r="I698" s="33"/>
      <c r="J698" s="33"/>
      <c r="K698" s="33"/>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spans="1:36" ht="15.6">
      <c r="A699" s="33"/>
      <c r="B699" s="33"/>
      <c r="C699" s="150"/>
      <c r="D699" s="33"/>
      <c r="E699" s="33"/>
      <c r="F699" s="33"/>
      <c r="G699" s="33"/>
      <c r="H699" s="33"/>
      <c r="I699" s="33"/>
      <c r="J699" s="33"/>
      <c r="K699" s="33"/>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spans="1:36" ht="15.6">
      <c r="A700" s="33"/>
      <c r="B700" s="33"/>
      <c r="C700" s="150"/>
      <c r="D700" s="33"/>
      <c r="E700" s="33"/>
      <c r="F700" s="33"/>
      <c r="G700" s="33"/>
      <c r="H700" s="33"/>
      <c r="I700" s="33"/>
      <c r="J700" s="33"/>
      <c r="K700" s="33"/>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spans="1:36" ht="15.6">
      <c r="A701" s="33"/>
      <c r="B701" s="33"/>
      <c r="C701" s="150"/>
      <c r="D701" s="33"/>
      <c r="E701" s="33"/>
      <c r="F701" s="33"/>
      <c r="G701" s="33"/>
      <c r="H701" s="33"/>
      <c r="I701" s="33"/>
      <c r="J701" s="33"/>
      <c r="K701" s="33"/>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spans="1:36" ht="15.6">
      <c r="A702" s="33"/>
      <c r="B702" s="33"/>
      <c r="C702" s="150"/>
      <c r="D702" s="33"/>
      <c r="E702" s="33"/>
      <c r="F702" s="33"/>
      <c r="G702" s="33"/>
      <c r="H702" s="33"/>
      <c r="I702" s="33"/>
      <c r="J702" s="33"/>
      <c r="K702" s="33"/>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spans="1:36" ht="15.6">
      <c r="A703" s="33"/>
      <c r="B703" s="33"/>
      <c r="C703" s="150"/>
      <c r="D703" s="33"/>
      <c r="E703" s="33"/>
      <c r="F703" s="33"/>
      <c r="G703" s="33"/>
      <c r="H703" s="33"/>
      <c r="I703" s="33"/>
      <c r="J703" s="33"/>
      <c r="K703" s="33"/>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spans="1:36" ht="15.6">
      <c r="A704" s="33"/>
      <c r="B704" s="33"/>
      <c r="C704" s="150"/>
      <c r="D704" s="33"/>
      <c r="E704" s="33"/>
      <c r="F704" s="33"/>
      <c r="G704" s="33"/>
      <c r="H704" s="33"/>
      <c r="I704" s="33"/>
      <c r="J704" s="33"/>
      <c r="K704" s="33"/>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spans="1:36" ht="15.6">
      <c r="A705" s="33"/>
      <c r="B705" s="33"/>
      <c r="C705" s="150"/>
      <c r="D705" s="33"/>
      <c r="E705" s="33"/>
      <c r="F705" s="33"/>
      <c r="G705" s="33"/>
      <c r="H705" s="33"/>
      <c r="I705" s="33"/>
      <c r="J705" s="33"/>
      <c r="K705" s="33"/>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spans="1:36" ht="15.6">
      <c r="A706" s="33"/>
      <c r="B706" s="33"/>
      <c r="C706" s="150"/>
      <c r="D706" s="33"/>
      <c r="E706" s="33"/>
      <c r="F706" s="33"/>
      <c r="G706" s="33"/>
      <c r="H706" s="33"/>
      <c r="I706" s="33"/>
      <c r="J706" s="33"/>
      <c r="K706" s="33"/>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spans="1:36" ht="15.6">
      <c r="A707" s="33"/>
      <c r="B707" s="33"/>
      <c r="C707" s="150"/>
      <c r="D707" s="33"/>
      <c r="E707" s="33"/>
      <c r="F707" s="33"/>
      <c r="G707" s="33"/>
      <c r="H707" s="33"/>
      <c r="I707" s="33"/>
      <c r="J707" s="33"/>
      <c r="K707" s="33"/>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spans="1:36" ht="15.6">
      <c r="A708" s="33"/>
      <c r="B708" s="33"/>
      <c r="C708" s="150"/>
      <c r="D708" s="33"/>
      <c r="E708" s="33"/>
      <c r="F708" s="33"/>
      <c r="G708" s="33"/>
      <c r="H708" s="33"/>
      <c r="I708" s="33"/>
      <c r="J708" s="33"/>
      <c r="K708" s="33"/>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spans="1:36" ht="15.6">
      <c r="A709" s="33"/>
      <c r="B709" s="33"/>
      <c r="C709" s="150"/>
      <c r="D709" s="33"/>
      <c r="E709" s="33"/>
      <c r="F709" s="33"/>
      <c r="G709" s="33"/>
      <c r="H709" s="33"/>
      <c r="I709" s="33"/>
      <c r="J709" s="33"/>
      <c r="K709" s="33"/>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spans="1:36" ht="15.6">
      <c r="A710" s="33"/>
      <c r="B710" s="33"/>
      <c r="C710" s="150"/>
      <c r="D710" s="33"/>
      <c r="E710" s="33"/>
      <c r="F710" s="33"/>
      <c r="G710" s="33"/>
      <c r="H710" s="33"/>
      <c r="I710" s="33"/>
      <c r="J710" s="33"/>
      <c r="K710" s="33"/>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spans="1:36" ht="15.6">
      <c r="A711" s="33"/>
      <c r="B711" s="33"/>
      <c r="C711" s="150"/>
      <c r="D711" s="33"/>
      <c r="E711" s="33"/>
      <c r="F711" s="33"/>
      <c r="G711" s="33"/>
      <c r="H711" s="33"/>
      <c r="I711" s="33"/>
      <c r="J711" s="33"/>
      <c r="K711" s="33"/>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spans="1:36" ht="15.6">
      <c r="A712" s="33"/>
      <c r="B712" s="33"/>
      <c r="C712" s="150"/>
      <c r="D712" s="33"/>
      <c r="E712" s="33"/>
      <c r="F712" s="33"/>
      <c r="G712" s="33"/>
      <c r="H712" s="33"/>
      <c r="I712" s="33"/>
      <c r="J712" s="33"/>
      <c r="K712" s="33"/>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spans="1:36" ht="15.6">
      <c r="A713" s="33"/>
      <c r="B713" s="33"/>
      <c r="C713" s="150"/>
      <c r="D713" s="33"/>
      <c r="E713" s="33"/>
      <c r="F713" s="33"/>
      <c r="G713" s="33"/>
      <c r="H713" s="33"/>
      <c r="I713" s="33"/>
      <c r="J713" s="33"/>
      <c r="K713" s="33"/>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spans="1:36" ht="15.6">
      <c r="A714" s="33"/>
      <c r="B714" s="33"/>
      <c r="C714" s="150"/>
      <c r="D714" s="33"/>
      <c r="E714" s="33"/>
      <c r="F714" s="33"/>
      <c r="G714" s="33"/>
      <c r="H714" s="33"/>
      <c r="I714" s="33"/>
      <c r="J714" s="33"/>
      <c r="K714" s="33"/>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spans="1:36" ht="15.6">
      <c r="A715" s="33"/>
      <c r="B715" s="33"/>
      <c r="C715" s="150"/>
      <c r="D715" s="33"/>
      <c r="E715" s="33"/>
      <c r="F715" s="33"/>
      <c r="G715" s="33"/>
      <c r="H715" s="33"/>
      <c r="I715" s="33"/>
      <c r="J715" s="33"/>
      <c r="K715" s="33"/>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spans="1:36" ht="15.6">
      <c r="A716" s="33"/>
      <c r="B716" s="33"/>
      <c r="C716" s="150"/>
      <c r="D716" s="33"/>
      <c r="E716" s="33"/>
      <c r="F716" s="33"/>
      <c r="G716" s="33"/>
      <c r="H716" s="33"/>
      <c r="I716" s="33"/>
      <c r="J716" s="33"/>
      <c r="K716" s="33"/>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spans="1:36" ht="15.6">
      <c r="A717" s="33"/>
      <c r="B717" s="33"/>
      <c r="C717" s="150"/>
      <c r="D717" s="33"/>
      <c r="E717" s="33"/>
      <c r="F717" s="33"/>
      <c r="G717" s="33"/>
      <c r="H717" s="33"/>
      <c r="I717" s="33"/>
      <c r="J717" s="33"/>
      <c r="K717" s="33"/>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spans="1:36" ht="15.6">
      <c r="A718" s="33"/>
      <c r="B718" s="33"/>
      <c r="C718" s="150"/>
      <c r="D718" s="33"/>
      <c r="E718" s="33"/>
      <c r="F718" s="33"/>
      <c r="G718" s="33"/>
      <c r="H718" s="33"/>
      <c r="I718" s="33"/>
      <c r="J718" s="33"/>
      <c r="K718" s="33"/>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spans="1:36" ht="15.6">
      <c r="A719" s="33"/>
      <c r="B719" s="33"/>
      <c r="C719" s="150"/>
      <c r="D719" s="33"/>
      <c r="E719" s="33"/>
      <c r="F719" s="33"/>
      <c r="G719" s="33"/>
      <c r="H719" s="33"/>
      <c r="I719" s="33"/>
      <c r="J719" s="33"/>
      <c r="K719" s="33"/>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spans="1:36" ht="15.6">
      <c r="A720" s="33"/>
      <c r="B720" s="33"/>
      <c r="C720" s="150"/>
      <c r="D720" s="33"/>
      <c r="E720" s="33"/>
      <c r="F720" s="33"/>
      <c r="G720" s="33"/>
      <c r="H720" s="33"/>
      <c r="I720" s="33"/>
      <c r="J720" s="33"/>
      <c r="K720" s="33"/>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spans="1:36" ht="15.6">
      <c r="A721" s="33"/>
      <c r="B721" s="33"/>
      <c r="C721" s="150"/>
      <c r="D721" s="33"/>
      <c r="E721" s="33"/>
      <c r="F721" s="33"/>
      <c r="G721" s="33"/>
      <c r="H721" s="33"/>
      <c r="I721" s="33"/>
      <c r="J721" s="33"/>
      <c r="K721" s="33"/>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spans="1:36" ht="15.6">
      <c r="A722" s="33"/>
      <c r="B722" s="33"/>
      <c r="C722" s="150"/>
      <c r="D722" s="33"/>
      <c r="E722" s="33"/>
      <c r="F722" s="33"/>
      <c r="G722" s="33"/>
      <c r="H722" s="33"/>
      <c r="I722" s="33"/>
      <c r="J722" s="33"/>
      <c r="K722" s="33"/>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spans="1:36" ht="15.6">
      <c r="A723" s="33"/>
      <c r="B723" s="33"/>
      <c r="C723" s="150"/>
      <c r="D723" s="33"/>
      <c r="E723" s="33"/>
      <c r="F723" s="33"/>
      <c r="G723" s="33"/>
      <c r="H723" s="33"/>
      <c r="I723" s="33"/>
      <c r="J723" s="33"/>
      <c r="K723" s="33"/>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spans="1:36" ht="15.6">
      <c r="A724" s="33"/>
      <c r="B724" s="33"/>
      <c r="C724" s="150"/>
      <c r="D724" s="33"/>
      <c r="E724" s="33"/>
      <c r="F724" s="33"/>
      <c r="G724" s="33"/>
      <c r="H724" s="33"/>
      <c r="I724" s="33"/>
      <c r="J724" s="33"/>
      <c r="K724" s="33"/>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spans="1:36" ht="15.6">
      <c r="A725" s="33"/>
      <c r="B725" s="33"/>
      <c r="C725" s="150"/>
      <c r="D725" s="33"/>
      <c r="E725" s="33"/>
      <c r="F725" s="33"/>
      <c r="G725" s="33"/>
      <c r="H725" s="33"/>
      <c r="I725" s="33"/>
      <c r="J725" s="33"/>
      <c r="K725" s="33"/>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spans="1:36" ht="15.6">
      <c r="A726" s="33"/>
      <c r="B726" s="33"/>
      <c r="C726" s="150"/>
      <c r="D726" s="33"/>
      <c r="E726" s="33"/>
      <c r="F726" s="33"/>
      <c r="G726" s="33"/>
      <c r="H726" s="33"/>
      <c r="I726" s="33"/>
      <c r="J726" s="33"/>
      <c r="K726" s="33"/>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spans="1:36" ht="15.6">
      <c r="A727" s="33"/>
      <c r="B727" s="33"/>
      <c r="C727" s="150"/>
      <c r="D727" s="33"/>
      <c r="E727" s="33"/>
      <c r="F727" s="33"/>
      <c r="G727" s="33"/>
      <c r="H727" s="33"/>
      <c r="I727" s="33"/>
      <c r="J727" s="33"/>
      <c r="K727" s="33"/>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spans="1:36" ht="15.6">
      <c r="A728" s="33"/>
      <c r="B728" s="33"/>
      <c r="C728" s="150"/>
      <c r="D728" s="33"/>
      <c r="E728" s="33"/>
      <c r="F728" s="33"/>
      <c r="G728" s="33"/>
      <c r="H728" s="33"/>
      <c r="I728" s="33"/>
      <c r="J728" s="33"/>
      <c r="K728" s="33"/>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spans="1:36" ht="15.6">
      <c r="A729" s="33"/>
      <c r="B729" s="33"/>
      <c r="C729" s="150"/>
      <c r="D729" s="33"/>
      <c r="E729" s="33"/>
      <c r="F729" s="33"/>
      <c r="G729" s="33"/>
      <c r="H729" s="33"/>
      <c r="I729" s="33"/>
      <c r="J729" s="33"/>
      <c r="K729" s="33"/>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spans="1:36" ht="15.6">
      <c r="A730" s="33"/>
      <c r="B730" s="33"/>
      <c r="C730" s="150"/>
      <c r="D730" s="33"/>
      <c r="E730" s="33"/>
      <c r="F730" s="33"/>
      <c r="G730" s="33"/>
      <c r="H730" s="33"/>
      <c r="I730" s="33"/>
      <c r="J730" s="33"/>
      <c r="K730" s="33"/>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spans="1:36" ht="15.6">
      <c r="A731" s="33"/>
      <c r="B731" s="33"/>
      <c r="C731" s="150"/>
      <c r="D731" s="33"/>
      <c r="E731" s="33"/>
      <c r="F731" s="33"/>
      <c r="G731" s="33"/>
      <c r="H731" s="33"/>
      <c r="I731" s="33"/>
      <c r="J731" s="33"/>
      <c r="K731" s="33"/>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spans="1:36" ht="15.6">
      <c r="A732" s="33"/>
      <c r="B732" s="33"/>
      <c r="C732" s="150"/>
      <c r="D732" s="33"/>
      <c r="E732" s="33"/>
      <c r="F732" s="33"/>
      <c r="G732" s="33"/>
      <c r="H732" s="33"/>
      <c r="I732" s="33"/>
      <c r="J732" s="33"/>
      <c r="K732" s="33"/>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spans="1:36" ht="15.6">
      <c r="A733" s="33"/>
      <c r="B733" s="33"/>
      <c r="C733" s="150"/>
      <c r="D733" s="33"/>
      <c r="E733" s="33"/>
      <c r="F733" s="33"/>
      <c r="G733" s="33"/>
      <c r="H733" s="33"/>
      <c r="I733" s="33"/>
      <c r="J733" s="33"/>
      <c r="K733" s="33"/>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spans="1:36" ht="15.6">
      <c r="A734" s="33"/>
      <c r="B734" s="33"/>
      <c r="C734" s="150"/>
      <c r="D734" s="33"/>
      <c r="E734" s="33"/>
      <c r="F734" s="33"/>
      <c r="G734" s="33"/>
      <c r="H734" s="33"/>
      <c r="I734" s="33"/>
      <c r="J734" s="33"/>
      <c r="K734" s="33"/>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spans="1:36" ht="15.6">
      <c r="A735" s="33"/>
      <c r="B735" s="33"/>
      <c r="C735" s="150"/>
      <c r="D735" s="33"/>
      <c r="E735" s="33"/>
      <c r="F735" s="33"/>
      <c r="G735" s="33"/>
      <c r="H735" s="33"/>
      <c r="I735" s="33"/>
      <c r="J735" s="33"/>
      <c r="K735" s="33"/>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spans="1:36" ht="15.6">
      <c r="A736" s="33"/>
      <c r="B736" s="33"/>
      <c r="C736" s="150"/>
      <c r="D736" s="33"/>
      <c r="E736" s="33"/>
      <c r="F736" s="33"/>
      <c r="G736" s="33"/>
      <c r="H736" s="33"/>
      <c r="I736" s="33"/>
      <c r="J736" s="33"/>
      <c r="K736" s="33"/>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spans="1:36" ht="15.6">
      <c r="A737" s="33"/>
      <c r="B737" s="33"/>
      <c r="C737" s="150"/>
      <c r="D737" s="33"/>
      <c r="E737" s="33"/>
      <c r="F737" s="33"/>
      <c r="G737" s="33"/>
      <c r="H737" s="33"/>
      <c r="I737" s="33"/>
      <c r="J737" s="33"/>
      <c r="K737" s="33"/>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spans="1:36" ht="15.6">
      <c r="A738" s="33"/>
      <c r="B738" s="33"/>
      <c r="C738" s="150"/>
      <c r="D738" s="33"/>
      <c r="E738" s="33"/>
      <c r="F738" s="33"/>
      <c r="G738" s="33"/>
      <c r="H738" s="33"/>
      <c r="I738" s="33"/>
      <c r="J738" s="33"/>
      <c r="K738" s="33"/>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spans="1:36" ht="15.6">
      <c r="A739" s="33"/>
      <c r="B739" s="33"/>
      <c r="C739" s="150"/>
      <c r="D739" s="33"/>
      <c r="E739" s="33"/>
      <c r="F739" s="33"/>
      <c r="G739" s="33"/>
      <c r="H739" s="33"/>
      <c r="I739" s="33"/>
      <c r="J739" s="33"/>
      <c r="K739" s="33"/>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spans="1:36" ht="15.6">
      <c r="A740" s="33"/>
      <c r="B740" s="33"/>
      <c r="C740" s="150"/>
      <c r="D740" s="33"/>
      <c r="E740" s="33"/>
      <c r="F740" s="33"/>
      <c r="G740" s="33"/>
      <c r="H740" s="33"/>
      <c r="I740" s="33"/>
      <c r="J740" s="33"/>
      <c r="K740" s="33"/>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spans="1:36" ht="15.6">
      <c r="A741" s="33"/>
      <c r="B741" s="33"/>
      <c r="C741" s="150"/>
      <c r="D741" s="33"/>
      <c r="E741" s="33"/>
      <c r="F741" s="33"/>
      <c r="G741" s="33"/>
      <c r="H741" s="33"/>
      <c r="I741" s="33"/>
      <c r="J741" s="33"/>
      <c r="K741" s="33"/>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spans="1:36" ht="15.6">
      <c r="A742" s="33"/>
      <c r="B742" s="33"/>
      <c r="C742" s="150"/>
      <c r="D742" s="33"/>
      <c r="E742" s="33"/>
      <c r="F742" s="33"/>
      <c r="G742" s="33"/>
      <c r="H742" s="33"/>
      <c r="I742" s="33"/>
      <c r="J742" s="33"/>
      <c r="K742" s="33"/>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spans="1:36" ht="15.6">
      <c r="A743" s="33"/>
      <c r="B743" s="33"/>
      <c r="C743" s="150"/>
      <c r="D743" s="33"/>
      <c r="E743" s="33"/>
      <c r="F743" s="33"/>
      <c r="G743" s="33"/>
      <c r="H743" s="33"/>
      <c r="I743" s="33"/>
      <c r="J743" s="33"/>
      <c r="K743" s="33"/>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spans="1:36" ht="15.6">
      <c r="A744" s="33"/>
      <c r="B744" s="33"/>
      <c r="C744" s="150"/>
      <c r="D744" s="33"/>
      <c r="E744" s="33"/>
      <c r="F744" s="33"/>
      <c r="G744" s="33"/>
      <c r="H744" s="33"/>
      <c r="I744" s="33"/>
      <c r="J744" s="33"/>
      <c r="K744" s="33"/>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spans="1:36" ht="15.6">
      <c r="A745" s="33"/>
      <c r="B745" s="33"/>
      <c r="C745" s="150"/>
      <c r="D745" s="33"/>
      <c r="E745" s="33"/>
      <c r="F745" s="33"/>
      <c r="G745" s="33"/>
      <c r="H745" s="33"/>
      <c r="I745" s="33"/>
      <c r="J745" s="33"/>
      <c r="K745" s="33"/>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spans="1:36" ht="15.6">
      <c r="A746" s="33"/>
      <c r="B746" s="33"/>
      <c r="C746" s="150"/>
      <c r="D746" s="33"/>
      <c r="E746" s="33"/>
      <c r="F746" s="33"/>
      <c r="G746" s="33"/>
      <c r="H746" s="33"/>
      <c r="I746" s="33"/>
      <c r="J746" s="33"/>
      <c r="K746" s="33"/>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spans="1:36" ht="15.6">
      <c r="A747" s="33"/>
      <c r="B747" s="33"/>
      <c r="C747" s="150"/>
      <c r="D747" s="33"/>
      <c r="E747" s="33"/>
      <c r="F747" s="33"/>
      <c r="G747" s="33"/>
      <c r="H747" s="33"/>
      <c r="I747" s="33"/>
      <c r="J747" s="33"/>
      <c r="K747" s="33"/>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spans="1:36" ht="15.6">
      <c r="A748" s="33"/>
      <c r="B748" s="33"/>
      <c r="C748" s="150"/>
      <c r="D748" s="33"/>
      <c r="E748" s="33"/>
      <c r="F748" s="33"/>
      <c r="G748" s="33"/>
      <c r="H748" s="33"/>
      <c r="I748" s="33"/>
      <c r="J748" s="33"/>
      <c r="K748" s="33"/>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spans="1:36" ht="15.6">
      <c r="A749" s="33"/>
      <c r="B749" s="33"/>
      <c r="C749" s="150"/>
      <c r="D749" s="33"/>
      <c r="E749" s="33"/>
      <c r="F749" s="33"/>
      <c r="G749" s="33"/>
      <c r="H749" s="33"/>
      <c r="I749" s="33"/>
      <c r="J749" s="33"/>
      <c r="K749" s="33"/>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spans="1:36" ht="15.6">
      <c r="A750" s="33"/>
      <c r="B750" s="33"/>
      <c r="C750" s="150"/>
      <c r="D750" s="33"/>
      <c r="E750" s="33"/>
      <c r="F750" s="33"/>
      <c r="G750" s="33"/>
      <c r="H750" s="33"/>
      <c r="I750" s="33"/>
      <c r="J750" s="33"/>
      <c r="K750" s="33"/>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spans="1:36" ht="15.6">
      <c r="A751" s="33"/>
      <c r="B751" s="33"/>
      <c r="C751" s="150"/>
      <c r="D751" s="33"/>
      <c r="E751" s="33"/>
      <c r="F751" s="33"/>
      <c r="G751" s="33"/>
      <c r="H751" s="33"/>
      <c r="I751" s="33"/>
      <c r="J751" s="33"/>
      <c r="K751" s="33"/>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spans="1:36" ht="15.6">
      <c r="A752" s="33"/>
      <c r="B752" s="33"/>
      <c r="C752" s="150"/>
      <c r="D752" s="33"/>
      <c r="E752" s="33"/>
      <c r="F752" s="33"/>
      <c r="G752" s="33"/>
      <c r="H752" s="33"/>
      <c r="I752" s="33"/>
      <c r="J752" s="33"/>
      <c r="K752" s="33"/>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spans="1:36" ht="15.6">
      <c r="A753" s="33"/>
      <c r="B753" s="33"/>
      <c r="C753" s="150"/>
      <c r="D753" s="33"/>
      <c r="E753" s="33"/>
      <c r="F753" s="33"/>
      <c r="G753" s="33"/>
      <c r="H753" s="33"/>
      <c r="I753" s="33"/>
      <c r="J753" s="33"/>
      <c r="K753" s="33"/>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spans="1:36" ht="15.6">
      <c r="A754" s="33"/>
      <c r="B754" s="33"/>
      <c r="C754" s="150"/>
      <c r="D754" s="33"/>
      <c r="E754" s="33"/>
      <c r="F754" s="33"/>
      <c r="G754" s="33"/>
      <c r="H754" s="33"/>
      <c r="I754" s="33"/>
      <c r="J754" s="33"/>
      <c r="K754" s="33"/>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spans="1:36" ht="15.6">
      <c r="A755" s="33"/>
      <c r="B755" s="33"/>
      <c r="C755" s="150"/>
      <c r="D755" s="33"/>
      <c r="E755" s="33"/>
      <c r="F755" s="33"/>
      <c r="G755" s="33"/>
      <c r="H755" s="33"/>
      <c r="I755" s="33"/>
      <c r="J755" s="33"/>
      <c r="K755" s="33"/>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spans="1:36" ht="15.6">
      <c r="A756" s="33"/>
      <c r="B756" s="33"/>
      <c r="C756" s="150"/>
      <c r="D756" s="33"/>
      <c r="E756" s="33"/>
      <c r="F756" s="33"/>
      <c r="G756" s="33"/>
      <c r="H756" s="33"/>
      <c r="I756" s="33"/>
      <c r="J756" s="33"/>
      <c r="K756" s="33"/>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spans="1:36" ht="15.6">
      <c r="A757" s="33"/>
      <c r="B757" s="33"/>
      <c r="C757" s="150"/>
      <c r="D757" s="33"/>
      <c r="E757" s="33"/>
      <c r="F757" s="33"/>
      <c r="G757" s="33"/>
      <c r="H757" s="33"/>
      <c r="I757" s="33"/>
      <c r="J757" s="33"/>
      <c r="K757" s="33"/>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spans="1:36" ht="15.6">
      <c r="A758" s="33"/>
      <c r="B758" s="33"/>
      <c r="C758" s="150"/>
      <c r="D758" s="33"/>
      <c r="E758" s="33"/>
      <c r="F758" s="33"/>
      <c r="G758" s="33"/>
      <c r="H758" s="33"/>
      <c r="I758" s="33"/>
      <c r="J758" s="33"/>
      <c r="K758" s="33"/>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spans="1:36" ht="15.6">
      <c r="A759" s="33"/>
      <c r="B759" s="33"/>
      <c r="C759" s="150"/>
      <c r="D759" s="33"/>
      <c r="E759" s="33"/>
      <c r="F759" s="33"/>
      <c r="G759" s="33"/>
      <c r="H759" s="33"/>
      <c r="I759" s="33"/>
      <c r="J759" s="33"/>
      <c r="K759" s="33"/>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spans="1:36" ht="15.6">
      <c r="A760" s="33"/>
      <c r="B760" s="33"/>
      <c r="C760" s="150"/>
      <c r="D760" s="33"/>
      <c r="E760" s="33"/>
      <c r="F760" s="33"/>
      <c r="G760" s="33"/>
      <c r="H760" s="33"/>
      <c r="I760" s="33"/>
      <c r="J760" s="33"/>
      <c r="K760" s="33"/>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spans="1:36" ht="15.6">
      <c r="A761" s="33"/>
      <c r="B761" s="33"/>
      <c r="C761" s="150"/>
      <c r="D761" s="33"/>
      <c r="E761" s="33"/>
      <c r="F761" s="33"/>
      <c r="G761" s="33"/>
      <c r="H761" s="33"/>
      <c r="I761" s="33"/>
      <c r="J761" s="33"/>
      <c r="K761" s="33"/>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spans="1:36" ht="15.6">
      <c r="A762" s="33"/>
      <c r="B762" s="33"/>
      <c r="C762" s="150"/>
      <c r="D762" s="33"/>
      <c r="E762" s="33"/>
      <c r="F762" s="33"/>
      <c r="G762" s="33"/>
      <c r="H762" s="33"/>
      <c r="I762" s="33"/>
      <c r="J762" s="33"/>
      <c r="K762" s="33"/>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spans="1:36" ht="15.6">
      <c r="A763" s="33"/>
      <c r="B763" s="33"/>
      <c r="C763" s="150"/>
      <c r="D763" s="33"/>
      <c r="E763" s="33"/>
      <c r="F763" s="33"/>
      <c r="G763" s="33"/>
      <c r="H763" s="33"/>
      <c r="I763" s="33"/>
      <c r="J763" s="33"/>
      <c r="K763" s="33"/>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spans="1:36" ht="15.6">
      <c r="A764" s="33"/>
      <c r="B764" s="33"/>
      <c r="C764" s="150"/>
      <c r="D764" s="33"/>
      <c r="E764" s="33"/>
      <c r="F764" s="33"/>
      <c r="G764" s="33"/>
      <c r="H764" s="33"/>
      <c r="I764" s="33"/>
      <c r="J764" s="33"/>
      <c r="K764" s="33"/>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spans="1:36" ht="15.6">
      <c r="A765" s="33"/>
      <c r="B765" s="33"/>
      <c r="C765" s="150"/>
      <c r="D765" s="33"/>
      <c r="E765" s="33"/>
      <c r="F765" s="33"/>
      <c r="G765" s="33"/>
      <c r="H765" s="33"/>
      <c r="I765" s="33"/>
      <c r="J765" s="33"/>
      <c r="K765" s="33"/>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spans="1:36" ht="15.6">
      <c r="A766" s="33"/>
      <c r="B766" s="33"/>
      <c r="C766" s="150"/>
      <c r="D766" s="33"/>
      <c r="E766" s="33"/>
      <c r="F766" s="33"/>
      <c r="G766" s="33"/>
      <c r="H766" s="33"/>
      <c r="I766" s="33"/>
      <c r="J766" s="33"/>
      <c r="K766" s="33"/>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spans="1:36" ht="15.6">
      <c r="A767" s="33"/>
      <c r="B767" s="33"/>
      <c r="C767" s="150"/>
      <c r="D767" s="33"/>
      <c r="E767" s="33"/>
      <c r="F767" s="33"/>
      <c r="G767" s="33"/>
      <c r="H767" s="33"/>
      <c r="I767" s="33"/>
      <c r="J767" s="33"/>
      <c r="K767" s="33"/>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spans="1:36" ht="15.6">
      <c r="A768" s="33"/>
      <c r="B768" s="33"/>
      <c r="C768" s="150"/>
      <c r="D768" s="33"/>
      <c r="E768" s="33"/>
      <c r="F768" s="33"/>
      <c r="G768" s="33"/>
      <c r="H768" s="33"/>
      <c r="I768" s="33"/>
      <c r="J768" s="33"/>
      <c r="K768" s="33"/>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spans="1:36" ht="15.6">
      <c r="A769" s="33"/>
      <c r="B769" s="33"/>
      <c r="C769" s="150"/>
      <c r="D769" s="33"/>
      <c r="E769" s="33"/>
      <c r="F769" s="33"/>
      <c r="G769" s="33"/>
      <c r="H769" s="33"/>
      <c r="I769" s="33"/>
      <c r="J769" s="33"/>
      <c r="K769" s="33"/>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spans="1:36" ht="15.6">
      <c r="A770" s="33"/>
      <c r="B770" s="33"/>
      <c r="C770" s="150"/>
      <c r="D770" s="33"/>
      <c r="E770" s="33"/>
      <c r="F770" s="33"/>
      <c r="G770" s="33"/>
      <c r="H770" s="33"/>
      <c r="I770" s="33"/>
      <c r="J770" s="33"/>
      <c r="K770" s="33"/>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spans="1:36" ht="15.6">
      <c r="A771" s="33"/>
      <c r="B771" s="33"/>
      <c r="C771" s="150"/>
      <c r="D771" s="33"/>
      <c r="E771" s="33"/>
      <c r="F771" s="33"/>
      <c r="G771" s="33"/>
      <c r="H771" s="33"/>
      <c r="I771" s="33"/>
      <c r="J771" s="33"/>
      <c r="K771" s="33"/>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spans="1:36" ht="15.6">
      <c r="A772" s="33"/>
      <c r="B772" s="33"/>
      <c r="C772" s="150"/>
      <c r="D772" s="33"/>
      <c r="E772" s="33"/>
      <c r="F772" s="33"/>
      <c r="G772" s="33"/>
      <c r="H772" s="33"/>
      <c r="I772" s="33"/>
      <c r="J772" s="33"/>
      <c r="K772" s="33"/>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spans="1:36" ht="15.6">
      <c r="A773" s="33"/>
      <c r="B773" s="33"/>
      <c r="C773" s="150"/>
      <c r="D773" s="33"/>
      <c r="E773" s="33"/>
      <c r="F773" s="33"/>
      <c r="G773" s="33"/>
      <c r="H773" s="33"/>
      <c r="I773" s="33"/>
      <c r="J773" s="33"/>
      <c r="K773" s="33"/>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spans="1:36" ht="15.6">
      <c r="A774" s="33"/>
      <c r="B774" s="33"/>
      <c r="C774" s="150"/>
      <c r="D774" s="33"/>
      <c r="E774" s="33"/>
      <c r="F774" s="33"/>
      <c r="G774" s="33"/>
      <c r="H774" s="33"/>
      <c r="I774" s="33"/>
      <c r="J774" s="33"/>
      <c r="K774" s="33"/>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spans="1:36" ht="15.6">
      <c r="A775" s="33"/>
      <c r="B775" s="33"/>
      <c r="C775" s="150"/>
      <c r="D775" s="33"/>
      <c r="E775" s="33"/>
      <c r="F775" s="33"/>
      <c r="G775" s="33"/>
      <c r="H775" s="33"/>
      <c r="I775" s="33"/>
      <c r="J775" s="33"/>
      <c r="K775" s="33"/>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spans="1:36" ht="15.6">
      <c r="A776" s="33"/>
      <c r="B776" s="33"/>
      <c r="C776" s="150"/>
      <c r="D776" s="33"/>
      <c r="E776" s="33"/>
      <c r="F776" s="33"/>
      <c r="G776" s="33"/>
      <c r="H776" s="33"/>
      <c r="I776" s="33"/>
      <c r="J776" s="33"/>
      <c r="K776" s="33"/>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spans="1:36" ht="15.6">
      <c r="A777" s="33"/>
      <c r="B777" s="33"/>
      <c r="C777" s="150"/>
      <c r="D777" s="33"/>
      <c r="E777" s="33"/>
      <c r="F777" s="33"/>
      <c r="G777" s="33"/>
      <c r="H777" s="33"/>
      <c r="I777" s="33"/>
      <c r="J777" s="33"/>
      <c r="K777" s="33"/>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spans="1:36" ht="15.6">
      <c r="A778" s="33"/>
      <c r="B778" s="33"/>
      <c r="C778" s="150"/>
      <c r="D778" s="33"/>
      <c r="E778" s="33"/>
      <c r="F778" s="33"/>
      <c r="G778" s="33"/>
      <c r="H778" s="33"/>
      <c r="I778" s="33"/>
      <c r="J778" s="33"/>
      <c r="K778" s="33"/>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spans="1:36" ht="15.6">
      <c r="A779" s="33"/>
      <c r="B779" s="33"/>
      <c r="C779" s="150"/>
      <c r="D779" s="33"/>
      <c r="E779" s="33"/>
      <c r="F779" s="33"/>
      <c r="G779" s="33"/>
      <c r="H779" s="33"/>
      <c r="I779" s="33"/>
      <c r="J779" s="33"/>
      <c r="K779" s="33"/>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spans="1:36" ht="15.6">
      <c r="A780" s="33"/>
      <c r="B780" s="33"/>
      <c r="C780" s="150"/>
      <c r="D780" s="33"/>
      <c r="E780" s="33"/>
      <c r="F780" s="33"/>
      <c r="G780" s="33"/>
      <c r="H780" s="33"/>
      <c r="I780" s="33"/>
      <c r="J780" s="33"/>
      <c r="K780" s="33"/>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spans="1:36" ht="15.6">
      <c r="A781" s="33"/>
      <c r="B781" s="33"/>
      <c r="C781" s="150"/>
      <c r="D781" s="33"/>
      <c r="E781" s="33"/>
      <c r="F781" s="33"/>
      <c r="G781" s="33"/>
      <c r="H781" s="33"/>
      <c r="I781" s="33"/>
      <c r="J781" s="33"/>
      <c r="K781" s="33"/>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spans="1:36" ht="15.6">
      <c r="A782" s="33"/>
      <c r="B782" s="33"/>
      <c r="C782" s="150"/>
      <c r="D782" s="33"/>
      <c r="E782" s="33"/>
      <c r="F782" s="33"/>
      <c r="G782" s="33"/>
      <c r="H782" s="33"/>
      <c r="I782" s="33"/>
      <c r="J782" s="33"/>
      <c r="K782" s="33"/>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spans="1:36" ht="15.6">
      <c r="A783" s="33"/>
      <c r="B783" s="33"/>
      <c r="C783" s="150"/>
      <c r="D783" s="33"/>
      <c r="E783" s="33"/>
      <c r="F783" s="33"/>
      <c r="G783" s="33"/>
      <c r="H783" s="33"/>
      <c r="I783" s="33"/>
      <c r="J783" s="33"/>
      <c r="K783" s="33"/>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spans="1:36" ht="15.6">
      <c r="A784" s="33"/>
      <c r="B784" s="33"/>
      <c r="C784" s="150"/>
      <c r="D784" s="33"/>
      <c r="E784" s="33"/>
      <c r="F784" s="33"/>
      <c r="G784" s="33"/>
      <c r="H784" s="33"/>
      <c r="I784" s="33"/>
      <c r="J784" s="33"/>
      <c r="K784" s="33"/>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spans="1:36" ht="15.6">
      <c r="A785" s="33"/>
      <c r="B785" s="33"/>
      <c r="C785" s="150"/>
      <c r="D785" s="33"/>
      <c r="E785" s="33"/>
      <c r="F785" s="33"/>
      <c r="G785" s="33"/>
      <c r="H785" s="33"/>
      <c r="I785" s="33"/>
      <c r="J785" s="33"/>
      <c r="K785" s="33"/>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spans="1:36" ht="15.6">
      <c r="A786" s="33"/>
      <c r="B786" s="33"/>
      <c r="C786" s="150"/>
      <c r="D786" s="33"/>
      <c r="E786" s="33"/>
      <c r="F786" s="33"/>
      <c r="G786" s="33"/>
      <c r="H786" s="33"/>
      <c r="I786" s="33"/>
      <c r="J786" s="33"/>
      <c r="K786" s="33"/>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spans="1:36" ht="15.6">
      <c r="A787" s="33"/>
      <c r="B787" s="33"/>
      <c r="C787" s="150"/>
      <c r="D787" s="33"/>
      <c r="E787" s="33"/>
      <c r="F787" s="33"/>
      <c r="G787" s="33"/>
      <c r="H787" s="33"/>
      <c r="I787" s="33"/>
      <c r="J787" s="33"/>
      <c r="K787" s="33"/>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spans="1:36" ht="15.6">
      <c r="A788" s="33"/>
      <c r="B788" s="33"/>
      <c r="C788" s="150"/>
      <c r="D788" s="33"/>
      <c r="E788" s="33"/>
      <c r="F788" s="33"/>
      <c r="G788" s="33"/>
      <c r="H788" s="33"/>
      <c r="I788" s="33"/>
      <c r="J788" s="33"/>
      <c r="K788" s="33"/>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spans="1:36" ht="15.6">
      <c r="A789" s="33"/>
      <c r="B789" s="33"/>
      <c r="C789" s="150"/>
      <c r="D789" s="33"/>
      <c r="E789" s="33"/>
      <c r="F789" s="33"/>
      <c r="G789" s="33"/>
      <c r="H789" s="33"/>
      <c r="I789" s="33"/>
      <c r="J789" s="33"/>
      <c r="K789" s="33"/>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spans="1:36" ht="15.6">
      <c r="A790" s="33"/>
      <c r="B790" s="33"/>
      <c r="C790" s="150"/>
      <c r="D790" s="33"/>
      <c r="E790" s="33"/>
      <c r="F790" s="33"/>
      <c r="G790" s="33"/>
      <c r="H790" s="33"/>
      <c r="I790" s="33"/>
      <c r="J790" s="33"/>
      <c r="K790" s="33"/>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spans="1:36" ht="15.6">
      <c r="A791" s="33"/>
      <c r="B791" s="33"/>
      <c r="C791" s="150"/>
      <c r="D791" s="33"/>
      <c r="E791" s="33"/>
      <c r="F791" s="33"/>
      <c r="G791" s="33"/>
      <c r="H791" s="33"/>
      <c r="I791" s="33"/>
      <c r="J791" s="33"/>
      <c r="K791" s="33"/>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spans="1:36" ht="15.6">
      <c r="A792" s="33"/>
      <c r="B792" s="33"/>
      <c r="C792" s="150"/>
      <c r="D792" s="33"/>
      <c r="E792" s="33"/>
      <c r="F792" s="33"/>
      <c r="G792" s="33"/>
      <c r="H792" s="33"/>
      <c r="I792" s="33"/>
      <c r="J792" s="33"/>
      <c r="K792" s="33"/>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spans="1:36" ht="15.6">
      <c r="A793" s="33"/>
      <c r="B793" s="33"/>
      <c r="C793" s="150"/>
      <c r="D793" s="33"/>
      <c r="E793" s="33"/>
      <c r="F793" s="33"/>
      <c r="G793" s="33"/>
      <c r="H793" s="33"/>
      <c r="I793" s="33"/>
      <c r="J793" s="33"/>
      <c r="K793" s="33"/>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spans="1:36" ht="15.6">
      <c r="A794" s="33"/>
      <c r="B794" s="33"/>
      <c r="C794" s="150"/>
      <c r="D794" s="33"/>
      <c r="E794" s="33"/>
      <c r="F794" s="33"/>
      <c r="G794" s="33"/>
      <c r="H794" s="33"/>
      <c r="I794" s="33"/>
      <c r="J794" s="33"/>
      <c r="K794" s="33"/>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spans="1:36" ht="15.6">
      <c r="A795" s="33"/>
      <c r="B795" s="33"/>
      <c r="C795" s="150"/>
      <c r="D795" s="33"/>
      <c r="E795" s="33"/>
      <c r="F795" s="33"/>
      <c r="G795" s="33"/>
      <c r="H795" s="33"/>
      <c r="I795" s="33"/>
      <c r="J795" s="33"/>
      <c r="K795" s="33"/>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spans="1:36" ht="15.6">
      <c r="A796" s="33"/>
      <c r="B796" s="33"/>
      <c r="C796" s="150"/>
      <c r="D796" s="33"/>
      <c r="E796" s="33"/>
      <c r="F796" s="33"/>
      <c r="G796" s="33"/>
      <c r="H796" s="33"/>
      <c r="I796" s="33"/>
      <c r="J796" s="33"/>
      <c r="K796" s="33"/>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spans="1:36" ht="15.6">
      <c r="A797" s="33"/>
      <c r="B797" s="33"/>
      <c r="C797" s="150"/>
      <c r="D797" s="33"/>
      <c r="E797" s="33"/>
      <c r="F797" s="33"/>
      <c r="G797" s="33"/>
      <c r="H797" s="33"/>
      <c r="I797" s="33"/>
      <c r="J797" s="33"/>
      <c r="K797" s="33"/>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spans="1:36" ht="15.6">
      <c r="A798" s="33"/>
      <c r="B798" s="33"/>
      <c r="C798" s="150"/>
      <c r="D798" s="33"/>
      <c r="E798" s="33"/>
      <c r="F798" s="33"/>
      <c r="G798" s="33"/>
      <c r="H798" s="33"/>
      <c r="I798" s="33"/>
      <c r="J798" s="33"/>
      <c r="K798" s="33"/>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spans="1:36" ht="15.6">
      <c r="A799" s="33"/>
      <c r="B799" s="33"/>
      <c r="C799" s="150"/>
      <c r="D799" s="33"/>
      <c r="E799" s="33"/>
      <c r="F799" s="33"/>
      <c r="G799" s="33"/>
      <c r="H799" s="33"/>
      <c r="I799" s="33"/>
      <c r="J799" s="33"/>
      <c r="K799" s="33"/>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spans="1:36" ht="15.6">
      <c r="A800" s="33"/>
      <c r="B800" s="33"/>
      <c r="C800" s="150"/>
      <c r="D800" s="33"/>
      <c r="E800" s="33"/>
      <c r="F800" s="33"/>
      <c r="G800" s="33"/>
      <c r="H800" s="33"/>
      <c r="I800" s="33"/>
      <c r="J800" s="33"/>
      <c r="K800" s="33"/>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spans="1:36" ht="15.6">
      <c r="A801" s="33"/>
      <c r="B801" s="33"/>
      <c r="C801" s="150"/>
      <c r="D801" s="33"/>
      <c r="E801" s="33"/>
      <c r="F801" s="33"/>
      <c r="G801" s="33"/>
      <c r="H801" s="33"/>
      <c r="I801" s="33"/>
      <c r="J801" s="33"/>
      <c r="K801" s="33"/>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spans="1:36" ht="15.6">
      <c r="A802" s="33"/>
      <c r="B802" s="33"/>
      <c r="C802" s="150"/>
      <c r="D802" s="33"/>
      <c r="E802" s="33"/>
      <c r="F802" s="33"/>
      <c r="G802" s="33"/>
      <c r="H802" s="33"/>
      <c r="I802" s="33"/>
      <c r="J802" s="33"/>
      <c r="K802" s="33"/>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spans="1:36" ht="15.6">
      <c r="A803" s="33"/>
      <c r="B803" s="33"/>
      <c r="C803" s="150"/>
      <c r="D803" s="33"/>
      <c r="E803" s="33"/>
      <c r="F803" s="33"/>
      <c r="G803" s="33"/>
      <c r="H803" s="33"/>
      <c r="I803" s="33"/>
      <c r="J803" s="33"/>
      <c r="K803" s="33"/>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spans="1:36" ht="15.6">
      <c r="A804" s="33"/>
      <c r="B804" s="33"/>
      <c r="C804" s="150"/>
      <c r="D804" s="33"/>
      <c r="E804" s="33"/>
      <c r="F804" s="33"/>
      <c r="G804" s="33"/>
      <c r="H804" s="33"/>
      <c r="I804" s="33"/>
      <c r="J804" s="33"/>
      <c r="K804" s="33"/>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spans="1:36" ht="15.6">
      <c r="A805" s="33"/>
      <c r="B805" s="33"/>
      <c r="C805" s="150"/>
      <c r="D805" s="33"/>
      <c r="E805" s="33"/>
      <c r="F805" s="33"/>
      <c r="G805" s="33"/>
      <c r="H805" s="33"/>
      <c r="I805" s="33"/>
      <c r="J805" s="33"/>
      <c r="K805" s="33"/>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spans="1:36" ht="15.6">
      <c r="A806" s="33"/>
      <c r="B806" s="33"/>
      <c r="C806" s="150"/>
      <c r="D806" s="33"/>
      <c r="E806" s="33"/>
      <c r="F806" s="33"/>
      <c r="G806" s="33"/>
      <c r="H806" s="33"/>
      <c r="I806" s="33"/>
      <c r="J806" s="33"/>
      <c r="K806" s="33"/>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spans="1:36" ht="15.6">
      <c r="A807" s="33"/>
      <c r="B807" s="33"/>
      <c r="C807" s="150"/>
      <c r="D807" s="33"/>
      <c r="E807" s="33"/>
      <c r="F807" s="33"/>
      <c r="G807" s="33"/>
      <c r="H807" s="33"/>
      <c r="I807" s="33"/>
      <c r="J807" s="33"/>
      <c r="K807" s="33"/>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spans="1:36" ht="15.6">
      <c r="A808" s="33"/>
      <c r="B808" s="33"/>
      <c r="C808" s="150"/>
      <c r="D808" s="33"/>
      <c r="E808" s="33"/>
      <c r="F808" s="33"/>
      <c r="G808" s="33"/>
      <c r="H808" s="33"/>
      <c r="I808" s="33"/>
      <c r="J808" s="33"/>
      <c r="K808" s="33"/>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spans="1:36" ht="15.6">
      <c r="A809" s="33"/>
      <c r="B809" s="33"/>
      <c r="C809" s="150"/>
      <c r="D809" s="33"/>
      <c r="E809" s="33"/>
      <c r="F809" s="33"/>
      <c r="G809" s="33"/>
      <c r="H809" s="33"/>
      <c r="I809" s="33"/>
      <c r="J809" s="33"/>
      <c r="K809" s="33"/>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spans="1:36" ht="15.6">
      <c r="A810" s="33"/>
      <c r="B810" s="33"/>
      <c r="C810" s="150"/>
      <c r="D810" s="33"/>
      <c r="E810" s="33"/>
      <c r="F810" s="33"/>
      <c r="G810" s="33"/>
      <c r="H810" s="33"/>
      <c r="I810" s="33"/>
      <c r="J810" s="33"/>
      <c r="K810" s="33"/>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spans="1:36" ht="15.6">
      <c r="A811" s="33"/>
      <c r="B811" s="33"/>
      <c r="C811" s="150"/>
      <c r="D811" s="33"/>
      <c r="E811" s="33"/>
      <c r="F811" s="33"/>
      <c r="G811" s="33"/>
      <c r="H811" s="33"/>
      <c r="I811" s="33"/>
      <c r="J811" s="33"/>
      <c r="K811" s="33"/>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spans="1:36" ht="15.6">
      <c r="A812" s="33"/>
      <c r="B812" s="33"/>
      <c r="C812" s="150"/>
      <c r="D812" s="33"/>
      <c r="E812" s="33"/>
      <c r="F812" s="33"/>
      <c r="G812" s="33"/>
      <c r="H812" s="33"/>
      <c r="I812" s="33"/>
      <c r="J812" s="33"/>
      <c r="K812" s="33"/>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spans="1:36" ht="15.6">
      <c r="A813" s="33"/>
      <c r="B813" s="33"/>
      <c r="C813" s="150"/>
      <c r="D813" s="33"/>
      <c r="E813" s="33"/>
      <c r="F813" s="33"/>
      <c r="G813" s="33"/>
      <c r="H813" s="33"/>
      <c r="I813" s="33"/>
      <c r="J813" s="33"/>
      <c r="K813" s="33"/>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spans="1:36" ht="15.6">
      <c r="A814" s="33"/>
      <c r="B814" s="33"/>
      <c r="C814" s="150"/>
      <c r="D814" s="33"/>
      <c r="E814" s="33"/>
      <c r="F814" s="33"/>
      <c r="G814" s="33"/>
      <c r="H814" s="33"/>
      <c r="I814" s="33"/>
      <c r="J814" s="33"/>
      <c r="K814" s="33"/>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spans="1:36" ht="15.6">
      <c r="A815" s="33"/>
      <c r="B815" s="33"/>
      <c r="C815" s="150"/>
      <c r="D815" s="33"/>
      <c r="E815" s="33"/>
      <c r="F815" s="33"/>
      <c r="G815" s="33"/>
      <c r="H815" s="33"/>
      <c r="I815" s="33"/>
      <c r="J815" s="33"/>
      <c r="K815" s="33"/>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spans="1:36" ht="15.6">
      <c r="A816" s="33"/>
      <c r="B816" s="33"/>
      <c r="C816" s="150"/>
      <c r="D816" s="33"/>
      <c r="E816" s="33"/>
      <c r="F816" s="33"/>
      <c r="G816" s="33"/>
      <c r="H816" s="33"/>
      <c r="I816" s="33"/>
      <c r="J816" s="33"/>
      <c r="K816" s="33"/>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spans="1:36" ht="15.6">
      <c r="A817" s="33"/>
      <c r="B817" s="33"/>
      <c r="C817" s="150"/>
      <c r="D817" s="33"/>
      <c r="E817" s="33"/>
      <c r="F817" s="33"/>
      <c r="G817" s="33"/>
      <c r="H817" s="33"/>
      <c r="I817" s="33"/>
      <c r="J817" s="33"/>
      <c r="K817" s="33"/>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spans="1:36" ht="15.6">
      <c r="A818" s="33"/>
      <c r="B818" s="33"/>
      <c r="C818" s="150"/>
      <c r="D818" s="33"/>
      <c r="E818" s="33"/>
      <c r="F818" s="33"/>
      <c r="G818" s="33"/>
      <c r="H818" s="33"/>
      <c r="I818" s="33"/>
      <c r="J818" s="33"/>
      <c r="K818" s="33"/>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spans="1:36" ht="15.6">
      <c r="A819" s="33"/>
      <c r="B819" s="33"/>
      <c r="C819" s="150"/>
      <c r="D819" s="33"/>
      <c r="E819" s="33"/>
      <c r="F819" s="33"/>
      <c r="G819" s="33"/>
      <c r="H819" s="33"/>
      <c r="I819" s="33"/>
      <c r="J819" s="33"/>
      <c r="K819" s="33"/>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spans="1:36" ht="15.6">
      <c r="A820" s="33"/>
      <c r="B820" s="33"/>
      <c r="C820" s="150"/>
      <c r="D820" s="33"/>
      <c r="E820" s="33"/>
      <c r="F820" s="33"/>
      <c r="G820" s="33"/>
      <c r="H820" s="33"/>
      <c r="I820" s="33"/>
      <c r="J820" s="33"/>
      <c r="K820" s="33"/>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spans="1:36" ht="15.6">
      <c r="A821" s="33"/>
      <c r="B821" s="33"/>
      <c r="C821" s="150"/>
      <c r="D821" s="33"/>
      <c r="E821" s="33"/>
      <c r="F821" s="33"/>
      <c r="G821" s="33"/>
      <c r="H821" s="33"/>
      <c r="I821" s="33"/>
      <c r="J821" s="33"/>
      <c r="K821" s="33"/>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spans="1:36" ht="15.6">
      <c r="A822" s="33"/>
      <c r="B822" s="33"/>
      <c r="C822" s="150"/>
      <c r="D822" s="33"/>
      <c r="E822" s="33"/>
      <c r="F822" s="33"/>
      <c r="G822" s="33"/>
      <c r="H822" s="33"/>
      <c r="I822" s="33"/>
      <c r="J822" s="33"/>
      <c r="K822" s="33"/>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spans="1:36" ht="15.6">
      <c r="A823" s="33"/>
      <c r="B823" s="33"/>
      <c r="C823" s="150"/>
      <c r="D823" s="33"/>
      <c r="E823" s="33"/>
      <c r="F823" s="33"/>
      <c r="G823" s="33"/>
      <c r="H823" s="33"/>
      <c r="I823" s="33"/>
      <c r="J823" s="33"/>
      <c r="K823" s="33"/>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spans="1:36" ht="15.6">
      <c r="A824" s="33"/>
      <c r="B824" s="33"/>
      <c r="C824" s="150"/>
      <c r="D824" s="33"/>
      <c r="E824" s="33"/>
      <c r="F824" s="33"/>
      <c r="G824" s="33"/>
      <c r="H824" s="33"/>
      <c r="I824" s="33"/>
      <c r="J824" s="33"/>
      <c r="K824" s="33"/>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spans="1:36" ht="15.6">
      <c r="A825" s="33"/>
      <c r="B825" s="33"/>
      <c r="C825" s="150"/>
      <c r="D825" s="33"/>
      <c r="E825" s="33"/>
      <c r="F825" s="33"/>
      <c r="G825" s="33"/>
      <c r="H825" s="33"/>
      <c r="I825" s="33"/>
      <c r="J825" s="33"/>
      <c r="K825" s="33"/>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spans="1:36" ht="15.6">
      <c r="A826" s="33"/>
      <c r="B826" s="33"/>
      <c r="C826" s="150"/>
      <c r="D826" s="33"/>
      <c r="E826" s="33"/>
      <c r="F826" s="33"/>
      <c r="G826" s="33"/>
      <c r="H826" s="33"/>
      <c r="I826" s="33"/>
      <c r="J826" s="33"/>
      <c r="K826" s="33"/>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spans="1:36" ht="15.6">
      <c r="A827" s="33"/>
      <c r="B827" s="33"/>
      <c r="C827" s="150"/>
      <c r="D827" s="33"/>
      <c r="E827" s="33"/>
      <c r="F827" s="33"/>
      <c r="G827" s="33"/>
      <c r="H827" s="33"/>
      <c r="I827" s="33"/>
      <c r="J827" s="33"/>
      <c r="K827" s="33"/>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spans="1:36" ht="15.6">
      <c r="A828" s="33"/>
      <c r="B828" s="33"/>
      <c r="C828" s="150"/>
      <c r="D828" s="33"/>
      <c r="E828" s="33"/>
      <c r="F828" s="33"/>
      <c r="G828" s="33"/>
      <c r="H828" s="33"/>
      <c r="I828" s="33"/>
      <c r="J828" s="33"/>
      <c r="K828" s="33"/>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spans="1:36" ht="15.6">
      <c r="A829" s="33"/>
      <c r="B829" s="33"/>
      <c r="C829" s="150"/>
      <c r="D829" s="33"/>
      <c r="E829" s="33"/>
      <c r="F829" s="33"/>
      <c r="G829" s="33"/>
      <c r="H829" s="33"/>
      <c r="I829" s="33"/>
      <c r="J829" s="33"/>
      <c r="K829" s="33"/>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spans="1:36" ht="15.6">
      <c r="A830" s="33"/>
      <c r="B830" s="33"/>
      <c r="C830" s="150"/>
      <c r="D830" s="33"/>
      <c r="E830" s="33"/>
      <c r="F830" s="33"/>
      <c r="G830" s="33"/>
      <c r="H830" s="33"/>
      <c r="I830" s="33"/>
      <c r="J830" s="33"/>
      <c r="K830" s="33"/>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spans="1:36" ht="15.6">
      <c r="A831" s="33"/>
      <c r="B831" s="33"/>
      <c r="C831" s="150"/>
      <c r="D831" s="33"/>
      <c r="E831" s="33"/>
      <c r="F831" s="33"/>
      <c r="G831" s="33"/>
      <c r="H831" s="33"/>
      <c r="I831" s="33"/>
      <c r="J831" s="33"/>
      <c r="K831" s="33"/>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spans="1:36" ht="15.6">
      <c r="A832" s="33"/>
      <c r="B832" s="33"/>
      <c r="C832" s="150"/>
      <c r="D832" s="33"/>
      <c r="E832" s="33"/>
      <c r="F832" s="33"/>
      <c r="G832" s="33"/>
      <c r="H832" s="33"/>
      <c r="I832" s="33"/>
      <c r="J832" s="33"/>
      <c r="K832" s="33"/>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spans="1:36" ht="15.6">
      <c r="A833" s="33"/>
      <c r="B833" s="33"/>
      <c r="C833" s="150"/>
      <c r="D833" s="33"/>
      <c r="E833" s="33"/>
      <c r="F833" s="33"/>
      <c r="G833" s="33"/>
      <c r="H833" s="33"/>
      <c r="I833" s="33"/>
      <c r="J833" s="33"/>
      <c r="K833" s="33"/>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spans="1:36" ht="15.6">
      <c r="A834" s="33"/>
      <c r="B834" s="33"/>
      <c r="C834" s="150"/>
      <c r="D834" s="33"/>
      <c r="E834" s="33"/>
      <c r="F834" s="33"/>
      <c r="G834" s="33"/>
      <c r="H834" s="33"/>
      <c r="I834" s="33"/>
      <c r="J834" s="33"/>
      <c r="K834" s="33"/>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spans="1:36" ht="15.6">
      <c r="A835" s="33"/>
      <c r="B835" s="33"/>
      <c r="C835" s="150"/>
      <c r="D835" s="33"/>
      <c r="E835" s="33"/>
      <c r="F835" s="33"/>
      <c r="G835" s="33"/>
      <c r="H835" s="33"/>
      <c r="I835" s="33"/>
      <c r="J835" s="33"/>
      <c r="K835" s="33"/>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spans="1:36" ht="15.6">
      <c r="A836" s="33"/>
      <c r="B836" s="33"/>
      <c r="C836" s="150"/>
      <c r="D836" s="33"/>
      <c r="E836" s="33"/>
      <c r="F836" s="33"/>
      <c r="G836" s="33"/>
      <c r="H836" s="33"/>
      <c r="I836" s="33"/>
      <c r="J836" s="33"/>
      <c r="K836" s="33"/>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spans="1:36" ht="15.6">
      <c r="A837" s="33"/>
      <c r="B837" s="33"/>
      <c r="C837" s="150"/>
      <c r="D837" s="33"/>
      <c r="E837" s="33"/>
      <c r="F837" s="33"/>
      <c r="G837" s="33"/>
      <c r="H837" s="33"/>
      <c r="I837" s="33"/>
      <c r="J837" s="33"/>
      <c r="K837" s="33"/>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spans="1:36" ht="15.6">
      <c r="A838" s="33"/>
      <c r="B838" s="33"/>
      <c r="C838" s="150"/>
      <c r="D838" s="33"/>
      <c r="E838" s="33"/>
      <c r="F838" s="33"/>
      <c r="G838" s="33"/>
      <c r="H838" s="33"/>
      <c r="I838" s="33"/>
      <c r="J838" s="33"/>
      <c r="K838" s="33"/>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spans="1:36" ht="15.6">
      <c r="A839" s="33"/>
      <c r="B839" s="33"/>
      <c r="C839" s="150"/>
      <c r="D839" s="33"/>
      <c r="E839" s="33"/>
      <c r="F839" s="33"/>
      <c r="G839" s="33"/>
      <c r="H839" s="33"/>
      <c r="I839" s="33"/>
      <c r="J839" s="33"/>
      <c r="K839" s="33"/>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spans="1:36" ht="15.6">
      <c r="A840" s="33"/>
      <c r="B840" s="33"/>
      <c r="C840" s="150"/>
      <c r="D840" s="33"/>
      <c r="E840" s="33"/>
      <c r="F840" s="33"/>
      <c r="G840" s="33"/>
      <c r="H840" s="33"/>
      <c r="I840" s="33"/>
      <c r="J840" s="33"/>
      <c r="K840" s="33"/>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spans="1:36" ht="15.6">
      <c r="A841" s="33"/>
      <c r="B841" s="33"/>
      <c r="C841" s="150"/>
      <c r="D841" s="33"/>
      <c r="E841" s="33"/>
      <c r="F841" s="33"/>
      <c r="G841" s="33"/>
      <c r="H841" s="33"/>
      <c r="I841" s="33"/>
      <c r="J841" s="33"/>
      <c r="K841" s="33"/>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spans="1:36" ht="15.6">
      <c r="A842" s="33"/>
      <c r="B842" s="33"/>
      <c r="C842" s="150"/>
      <c r="D842" s="33"/>
      <c r="E842" s="33"/>
      <c r="F842" s="33"/>
      <c r="G842" s="33"/>
      <c r="H842" s="33"/>
      <c r="I842" s="33"/>
      <c r="J842" s="33"/>
      <c r="K842" s="33"/>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spans="1:36" ht="15.6">
      <c r="A843" s="33"/>
      <c r="B843" s="33"/>
      <c r="C843" s="150"/>
      <c r="D843" s="33"/>
      <c r="E843" s="33"/>
      <c r="F843" s="33"/>
      <c r="G843" s="33"/>
      <c r="H843" s="33"/>
      <c r="I843" s="33"/>
      <c r="J843" s="33"/>
      <c r="K843" s="33"/>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spans="1:36" ht="15.6">
      <c r="A844" s="33"/>
      <c r="B844" s="33"/>
      <c r="C844" s="150"/>
      <c r="D844" s="33"/>
      <c r="E844" s="33"/>
      <c r="F844" s="33"/>
      <c r="G844" s="33"/>
      <c r="H844" s="33"/>
      <c r="I844" s="33"/>
      <c r="J844" s="33"/>
      <c r="K844" s="33"/>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spans="1:36" ht="15.6">
      <c r="A845" s="33"/>
      <c r="B845" s="33"/>
      <c r="C845" s="150"/>
      <c r="D845" s="33"/>
      <c r="E845" s="33"/>
      <c r="F845" s="33"/>
      <c r="G845" s="33"/>
      <c r="H845" s="33"/>
      <c r="I845" s="33"/>
      <c r="J845" s="33"/>
      <c r="K845" s="33"/>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spans="1:36" ht="15.6">
      <c r="A846" s="33"/>
      <c r="B846" s="33"/>
      <c r="C846" s="150"/>
      <c r="D846" s="33"/>
      <c r="E846" s="33"/>
      <c r="F846" s="33"/>
      <c r="G846" s="33"/>
      <c r="H846" s="33"/>
      <c r="I846" s="33"/>
      <c r="J846" s="33"/>
      <c r="K846" s="33"/>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spans="1:36" ht="15.6">
      <c r="A847" s="33"/>
      <c r="B847" s="33"/>
      <c r="C847" s="150"/>
      <c r="D847" s="33"/>
      <c r="E847" s="33"/>
      <c r="F847" s="33"/>
      <c r="G847" s="33"/>
      <c r="H847" s="33"/>
      <c r="I847" s="33"/>
      <c r="J847" s="33"/>
      <c r="K847" s="33"/>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spans="1:36" ht="15.6">
      <c r="A848" s="33"/>
      <c r="B848" s="33"/>
      <c r="C848" s="150"/>
      <c r="D848" s="33"/>
      <c r="E848" s="33"/>
      <c r="F848" s="33"/>
      <c r="G848" s="33"/>
      <c r="H848" s="33"/>
      <c r="I848" s="33"/>
      <c r="J848" s="33"/>
      <c r="K848" s="33"/>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spans="1:36" ht="15.6">
      <c r="A849" s="33"/>
      <c r="B849" s="33"/>
      <c r="C849" s="150"/>
      <c r="D849" s="33"/>
      <c r="E849" s="33"/>
      <c r="F849" s="33"/>
      <c r="G849" s="33"/>
      <c r="H849" s="33"/>
      <c r="I849" s="33"/>
      <c r="J849" s="33"/>
      <c r="K849" s="33"/>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spans="1:36" ht="15.6">
      <c r="A850" s="33"/>
      <c r="B850" s="33"/>
      <c r="C850" s="150"/>
      <c r="D850" s="33"/>
      <c r="E850" s="33"/>
      <c r="F850" s="33"/>
      <c r="G850" s="33"/>
      <c r="H850" s="33"/>
      <c r="I850" s="33"/>
      <c r="J850" s="33"/>
      <c r="K850" s="33"/>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spans="1:36" ht="15.6">
      <c r="A851" s="33"/>
      <c r="B851" s="33"/>
      <c r="C851" s="150"/>
      <c r="D851" s="33"/>
      <c r="E851" s="33"/>
      <c r="F851" s="33"/>
      <c r="G851" s="33"/>
      <c r="H851" s="33"/>
      <c r="I851" s="33"/>
      <c r="J851" s="33"/>
      <c r="K851" s="33"/>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spans="1:36" ht="15.6">
      <c r="A852" s="33"/>
      <c r="B852" s="33"/>
      <c r="C852" s="150"/>
      <c r="D852" s="33"/>
      <c r="E852" s="33"/>
      <c r="F852" s="33"/>
      <c r="G852" s="33"/>
      <c r="H852" s="33"/>
      <c r="I852" s="33"/>
      <c r="J852" s="33"/>
      <c r="K852" s="33"/>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spans="1:36" ht="15.6">
      <c r="A853" s="33"/>
      <c r="B853" s="33"/>
      <c r="C853" s="150"/>
      <c r="D853" s="33"/>
      <c r="E853" s="33"/>
      <c r="F853" s="33"/>
      <c r="G853" s="33"/>
      <c r="H853" s="33"/>
      <c r="I853" s="33"/>
      <c r="J853" s="33"/>
      <c r="K853" s="33"/>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spans="1:36" ht="15.6">
      <c r="A854" s="33"/>
      <c r="B854" s="33"/>
      <c r="C854" s="150"/>
      <c r="D854" s="33"/>
      <c r="E854" s="33"/>
      <c r="F854" s="33"/>
      <c r="G854" s="33"/>
      <c r="H854" s="33"/>
      <c r="I854" s="33"/>
      <c r="J854" s="33"/>
      <c r="K854" s="33"/>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spans="1:36" ht="15.6">
      <c r="A855" s="33"/>
      <c r="B855" s="33"/>
      <c r="C855" s="150"/>
      <c r="D855" s="33"/>
      <c r="E855" s="33"/>
      <c r="F855" s="33"/>
      <c r="G855" s="33"/>
      <c r="H855" s="33"/>
      <c r="I855" s="33"/>
      <c r="J855" s="33"/>
      <c r="K855" s="33"/>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spans="1:36" ht="15.6">
      <c r="A856" s="33"/>
      <c r="B856" s="33"/>
      <c r="C856" s="150"/>
      <c r="D856" s="33"/>
      <c r="E856" s="33"/>
      <c r="F856" s="33"/>
      <c r="G856" s="33"/>
      <c r="H856" s="33"/>
      <c r="I856" s="33"/>
      <c r="J856" s="33"/>
      <c r="K856" s="33"/>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spans="1:36" ht="15.6">
      <c r="A857" s="33"/>
      <c r="B857" s="33"/>
      <c r="C857" s="150"/>
      <c r="D857" s="33"/>
      <c r="E857" s="33"/>
      <c r="F857" s="33"/>
      <c r="G857" s="33"/>
      <c r="H857" s="33"/>
      <c r="I857" s="33"/>
      <c r="J857" s="33"/>
      <c r="K857" s="33"/>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spans="1:36" ht="15.6">
      <c r="A858" s="33"/>
      <c r="B858" s="33"/>
      <c r="C858" s="150"/>
      <c r="D858" s="33"/>
      <c r="E858" s="33"/>
      <c r="F858" s="33"/>
      <c r="G858" s="33"/>
      <c r="H858" s="33"/>
      <c r="I858" s="33"/>
      <c r="J858" s="33"/>
      <c r="K858" s="33"/>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spans="1:36" ht="15.6">
      <c r="A859" s="33"/>
      <c r="B859" s="33"/>
      <c r="C859" s="150"/>
      <c r="D859" s="33"/>
      <c r="E859" s="33"/>
      <c r="F859" s="33"/>
      <c r="G859" s="33"/>
      <c r="H859" s="33"/>
      <c r="I859" s="33"/>
      <c r="J859" s="33"/>
      <c r="K859" s="33"/>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spans="1:36" ht="15.6">
      <c r="A860" s="33"/>
      <c r="B860" s="33"/>
      <c r="C860" s="150"/>
      <c r="D860" s="33"/>
      <c r="E860" s="33"/>
      <c r="F860" s="33"/>
      <c r="G860" s="33"/>
      <c r="H860" s="33"/>
      <c r="I860" s="33"/>
      <c r="J860" s="33"/>
      <c r="K860" s="33"/>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spans="1:36" ht="15.6">
      <c r="A861" s="33"/>
      <c r="B861" s="33"/>
      <c r="C861" s="150"/>
      <c r="D861" s="33"/>
      <c r="E861" s="33"/>
      <c r="F861" s="33"/>
      <c r="G861" s="33"/>
      <c r="H861" s="33"/>
      <c r="I861" s="33"/>
      <c r="J861" s="33"/>
      <c r="K861" s="33"/>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spans="1:36" ht="15.6">
      <c r="A862" s="33"/>
      <c r="B862" s="33"/>
      <c r="C862" s="150"/>
      <c r="D862" s="33"/>
      <c r="E862" s="33"/>
      <c r="F862" s="33"/>
      <c r="G862" s="33"/>
      <c r="H862" s="33"/>
      <c r="I862" s="33"/>
      <c r="J862" s="33"/>
      <c r="K862" s="33"/>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spans="1:36" ht="15.6">
      <c r="A863" s="33"/>
      <c r="B863" s="33"/>
      <c r="C863" s="150"/>
      <c r="D863" s="33"/>
      <c r="E863" s="33"/>
      <c r="F863" s="33"/>
      <c r="G863" s="33"/>
      <c r="H863" s="33"/>
      <c r="I863" s="33"/>
      <c r="J863" s="33"/>
      <c r="K863" s="33"/>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spans="1:36" ht="15.6">
      <c r="A864" s="33"/>
      <c r="B864" s="33"/>
      <c r="C864" s="150"/>
      <c r="D864" s="33"/>
      <c r="E864" s="33"/>
      <c r="F864" s="33"/>
      <c r="G864" s="33"/>
      <c r="H864" s="33"/>
      <c r="I864" s="33"/>
      <c r="J864" s="33"/>
      <c r="K864" s="33"/>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spans="1:36" ht="15.6">
      <c r="A865" s="33"/>
      <c r="B865" s="33"/>
      <c r="C865" s="150"/>
      <c r="D865" s="33"/>
      <c r="E865" s="33"/>
      <c r="F865" s="33"/>
      <c r="G865" s="33"/>
      <c r="H865" s="33"/>
      <c r="I865" s="33"/>
      <c r="J865" s="33"/>
      <c r="K865" s="33"/>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spans="1:36" ht="15.6">
      <c r="A866" s="33"/>
      <c r="B866" s="33"/>
      <c r="C866" s="150"/>
      <c r="D866" s="33"/>
      <c r="E866" s="33"/>
      <c r="F866" s="33"/>
      <c r="G866" s="33"/>
      <c r="H866" s="33"/>
      <c r="I866" s="33"/>
      <c r="J866" s="33"/>
      <c r="K866" s="33"/>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spans="1:36" ht="15.6">
      <c r="A867" s="33"/>
      <c r="B867" s="33"/>
      <c r="C867" s="150"/>
      <c r="D867" s="33"/>
      <c r="E867" s="33"/>
      <c r="F867" s="33"/>
      <c r="G867" s="33"/>
      <c r="H867" s="33"/>
      <c r="I867" s="33"/>
      <c r="J867" s="33"/>
      <c r="K867" s="33"/>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spans="1:36" ht="15.6">
      <c r="A868" s="33"/>
      <c r="B868" s="33"/>
      <c r="C868" s="150"/>
      <c r="D868" s="33"/>
      <c r="E868" s="33"/>
      <c r="F868" s="33"/>
      <c r="G868" s="33"/>
      <c r="H868" s="33"/>
      <c r="I868" s="33"/>
      <c r="J868" s="33"/>
      <c r="K868" s="33"/>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spans="1:36" ht="15.6">
      <c r="A869" s="33"/>
      <c r="B869" s="33"/>
      <c r="C869" s="150"/>
      <c r="D869" s="33"/>
      <c r="E869" s="33"/>
      <c r="F869" s="33"/>
      <c r="G869" s="33"/>
      <c r="H869" s="33"/>
      <c r="I869" s="33"/>
      <c r="J869" s="33"/>
      <c r="K869" s="33"/>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spans="1:36" ht="15.6">
      <c r="A870" s="33"/>
      <c r="B870" s="33"/>
      <c r="C870" s="150"/>
      <c r="D870" s="33"/>
      <c r="E870" s="33"/>
      <c r="F870" s="33"/>
      <c r="G870" s="33"/>
      <c r="H870" s="33"/>
      <c r="I870" s="33"/>
      <c r="J870" s="33"/>
      <c r="K870" s="33"/>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spans="1:36" ht="15.6">
      <c r="A871" s="33"/>
      <c r="B871" s="33"/>
      <c r="C871" s="150"/>
      <c r="D871" s="33"/>
      <c r="E871" s="33"/>
      <c r="F871" s="33"/>
      <c r="G871" s="33"/>
      <c r="H871" s="33"/>
      <c r="I871" s="33"/>
      <c r="J871" s="33"/>
      <c r="K871" s="33"/>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spans="1:36" ht="15.6">
      <c r="A872" s="33"/>
      <c r="B872" s="33"/>
      <c r="C872" s="150"/>
      <c r="D872" s="33"/>
      <c r="E872" s="33"/>
      <c r="F872" s="33"/>
      <c r="G872" s="33"/>
      <c r="H872" s="33"/>
      <c r="I872" s="33"/>
      <c r="J872" s="33"/>
      <c r="K872" s="33"/>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spans="1:36" ht="15.6">
      <c r="A873" s="33"/>
      <c r="B873" s="33"/>
      <c r="C873" s="150"/>
      <c r="D873" s="33"/>
      <c r="E873" s="33"/>
      <c r="F873" s="33"/>
      <c r="G873" s="33"/>
      <c r="H873" s="33"/>
      <c r="I873" s="33"/>
      <c r="J873" s="33"/>
      <c r="K873" s="33"/>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spans="1:36" ht="15.6">
      <c r="A874" s="33"/>
      <c r="B874" s="33"/>
      <c r="C874" s="150"/>
      <c r="D874" s="33"/>
      <c r="E874" s="33"/>
      <c r="F874" s="33"/>
      <c r="G874" s="33"/>
      <c r="H874" s="33"/>
      <c r="I874" s="33"/>
      <c r="J874" s="33"/>
      <c r="K874" s="33"/>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spans="1:36" ht="15.6">
      <c r="A875" s="33"/>
      <c r="B875" s="33"/>
      <c r="C875" s="150"/>
      <c r="D875" s="33"/>
      <c r="E875" s="33"/>
      <c r="F875" s="33"/>
      <c r="G875" s="33"/>
      <c r="H875" s="33"/>
      <c r="I875" s="33"/>
      <c r="J875" s="33"/>
      <c r="K875" s="33"/>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spans="1:36" ht="15.6">
      <c r="A876" s="33"/>
      <c r="B876" s="33"/>
      <c r="C876" s="150"/>
      <c r="D876" s="33"/>
      <c r="E876" s="33"/>
      <c r="F876" s="33"/>
      <c r="G876" s="33"/>
      <c r="H876" s="33"/>
      <c r="I876" s="33"/>
      <c r="J876" s="33"/>
      <c r="K876" s="33"/>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spans="1:36" ht="15.6">
      <c r="A877" s="33"/>
      <c r="B877" s="33"/>
      <c r="C877" s="150"/>
      <c r="D877" s="33"/>
      <c r="E877" s="33"/>
      <c r="F877" s="33"/>
      <c r="G877" s="33"/>
      <c r="H877" s="33"/>
      <c r="I877" s="33"/>
      <c r="J877" s="33"/>
      <c r="K877" s="33"/>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spans="1:36" ht="15.6">
      <c r="A878" s="33"/>
      <c r="B878" s="33"/>
      <c r="C878" s="150"/>
      <c r="D878" s="33"/>
      <c r="E878" s="33"/>
      <c r="F878" s="33"/>
      <c r="G878" s="33"/>
      <c r="H878" s="33"/>
      <c r="I878" s="33"/>
      <c r="J878" s="33"/>
      <c r="K878" s="33"/>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spans="1:36" ht="15.6">
      <c r="A879" s="33"/>
      <c r="B879" s="33"/>
      <c r="C879" s="150"/>
      <c r="D879" s="33"/>
      <c r="E879" s="33"/>
      <c r="F879" s="33"/>
      <c r="G879" s="33"/>
      <c r="H879" s="33"/>
      <c r="I879" s="33"/>
      <c r="J879" s="33"/>
      <c r="K879" s="33"/>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spans="1:36" ht="15.6">
      <c r="A880" s="33"/>
      <c r="B880" s="33"/>
      <c r="C880" s="150"/>
      <c r="D880" s="33"/>
      <c r="E880" s="33"/>
      <c r="F880" s="33"/>
      <c r="G880" s="33"/>
      <c r="H880" s="33"/>
      <c r="I880" s="33"/>
      <c r="J880" s="33"/>
      <c r="K880" s="33"/>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spans="1:36" ht="15.6">
      <c r="A881" s="33"/>
      <c r="B881" s="33"/>
      <c r="C881" s="150"/>
      <c r="D881" s="33"/>
      <c r="E881" s="33"/>
      <c r="F881" s="33"/>
      <c r="G881" s="33"/>
      <c r="H881" s="33"/>
      <c r="I881" s="33"/>
      <c r="J881" s="33"/>
      <c r="K881" s="33"/>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spans="1:36" ht="15.6">
      <c r="A882" s="33"/>
      <c r="B882" s="33"/>
      <c r="C882" s="150"/>
      <c r="D882" s="33"/>
      <c r="E882" s="33"/>
      <c r="F882" s="33"/>
      <c r="G882" s="33"/>
      <c r="H882" s="33"/>
      <c r="I882" s="33"/>
      <c r="J882" s="33"/>
      <c r="K882" s="33"/>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spans="1:36" ht="15.6">
      <c r="A883" s="33"/>
      <c r="B883" s="33"/>
      <c r="C883" s="150"/>
      <c r="D883" s="33"/>
      <c r="E883" s="33"/>
      <c r="F883" s="33"/>
      <c r="G883" s="33"/>
      <c r="H883" s="33"/>
      <c r="I883" s="33"/>
      <c r="J883" s="33"/>
      <c r="K883" s="33"/>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spans="1:36" ht="15.6">
      <c r="A884" s="33"/>
      <c r="B884" s="33"/>
      <c r="C884" s="150"/>
      <c r="D884" s="33"/>
      <c r="E884" s="33"/>
      <c r="F884" s="33"/>
      <c r="G884" s="33"/>
      <c r="H884" s="33"/>
      <c r="I884" s="33"/>
      <c r="J884" s="33"/>
      <c r="K884" s="33"/>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spans="1:36" ht="15.6">
      <c r="A885" s="33"/>
      <c r="B885" s="33"/>
      <c r="C885" s="150"/>
      <c r="D885" s="33"/>
      <c r="E885" s="33"/>
      <c r="F885" s="33"/>
      <c r="G885" s="33"/>
      <c r="H885" s="33"/>
      <c r="I885" s="33"/>
      <c r="J885" s="33"/>
      <c r="K885" s="33"/>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spans="1:36" ht="15.6">
      <c r="A886" s="33"/>
      <c r="B886" s="33"/>
      <c r="C886" s="150"/>
      <c r="D886" s="33"/>
      <c r="E886" s="33"/>
      <c r="F886" s="33"/>
      <c r="G886" s="33"/>
      <c r="H886" s="33"/>
      <c r="I886" s="33"/>
      <c r="J886" s="33"/>
      <c r="K886" s="33"/>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spans="1:36" ht="15.6">
      <c r="A887" s="33"/>
      <c r="B887" s="33"/>
      <c r="C887" s="150"/>
      <c r="D887" s="33"/>
      <c r="E887" s="33"/>
      <c r="F887" s="33"/>
      <c r="G887" s="33"/>
      <c r="H887" s="33"/>
      <c r="I887" s="33"/>
      <c r="J887" s="33"/>
      <c r="K887" s="33"/>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spans="1:36" ht="15.6">
      <c r="A888" s="33"/>
      <c r="B888" s="33"/>
      <c r="C888" s="150"/>
      <c r="D888" s="33"/>
      <c r="E888" s="33"/>
      <c r="F888" s="33"/>
      <c r="G888" s="33"/>
      <c r="H888" s="33"/>
      <c r="I888" s="33"/>
      <c r="J888" s="33"/>
      <c r="K888" s="33"/>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spans="1:36" ht="15.6">
      <c r="A889" s="33"/>
      <c r="B889" s="33"/>
      <c r="C889" s="150"/>
      <c r="D889" s="33"/>
      <c r="E889" s="33"/>
      <c r="F889" s="33"/>
      <c r="G889" s="33"/>
      <c r="H889" s="33"/>
      <c r="I889" s="33"/>
      <c r="J889" s="33"/>
      <c r="K889" s="33"/>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spans="1:36" ht="15.6">
      <c r="A890" s="33"/>
      <c r="B890" s="33"/>
      <c r="C890" s="150"/>
      <c r="D890" s="33"/>
      <c r="E890" s="33"/>
      <c r="F890" s="33"/>
      <c r="G890" s="33"/>
      <c r="H890" s="33"/>
      <c r="I890" s="33"/>
      <c r="J890" s="33"/>
      <c r="K890" s="33"/>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spans="1:36" ht="15.6">
      <c r="A891" s="33"/>
      <c r="B891" s="33"/>
      <c r="C891" s="150"/>
      <c r="D891" s="33"/>
      <c r="E891" s="33"/>
      <c r="F891" s="33"/>
      <c r="G891" s="33"/>
      <c r="H891" s="33"/>
      <c r="I891" s="33"/>
      <c r="J891" s="33"/>
      <c r="K891" s="33"/>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spans="1:36" ht="15.6">
      <c r="A892" s="33"/>
      <c r="B892" s="33"/>
      <c r="C892" s="150"/>
      <c r="D892" s="33"/>
      <c r="E892" s="33"/>
      <c r="F892" s="33"/>
      <c r="G892" s="33"/>
      <c r="H892" s="33"/>
      <c r="I892" s="33"/>
      <c r="J892" s="33"/>
      <c r="K892" s="33"/>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spans="1:36" ht="15.6">
      <c r="A893" s="33"/>
      <c r="B893" s="33"/>
      <c r="C893" s="150"/>
      <c r="D893" s="33"/>
      <c r="E893" s="33"/>
      <c r="F893" s="33"/>
      <c r="G893" s="33"/>
      <c r="H893" s="33"/>
      <c r="I893" s="33"/>
      <c r="J893" s="33"/>
      <c r="K893" s="33"/>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spans="1:36" ht="15.6">
      <c r="A894" s="33"/>
      <c r="B894" s="33"/>
      <c r="C894" s="150"/>
      <c r="D894" s="33"/>
      <c r="E894" s="33"/>
      <c r="F894" s="33"/>
      <c r="G894" s="33"/>
      <c r="H894" s="33"/>
      <c r="I894" s="33"/>
      <c r="J894" s="33"/>
      <c r="K894" s="33"/>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spans="1:36" ht="15.6">
      <c r="A895" s="33"/>
      <c r="B895" s="33"/>
      <c r="C895" s="150"/>
      <c r="D895" s="33"/>
      <c r="E895" s="33"/>
      <c r="F895" s="33"/>
      <c r="G895" s="33"/>
      <c r="H895" s="33"/>
      <c r="I895" s="33"/>
      <c r="J895" s="33"/>
      <c r="K895" s="33"/>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spans="1:36" ht="15.6">
      <c r="A896" s="33"/>
      <c r="B896" s="33"/>
      <c r="C896" s="150"/>
      <c r="D896" s="33"/>
      <c r="E896" s="33"/>
      <c r="F896" s="33"/>
      <c r="G896" s="33"/>
      <c r="H896" s="33"/>
      <c r="I896" s="33"/>
      <c r="J896" s="33"/>
      <c r="K896" s="33"/>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spans="1:36" ht="15.6">
      <c r="A897" s="33"/>
      <c r="B897" s="33"/>
      <c r="C897" s="150"/>
      <c r="D897" s="33"/>
      <c r="E897" s="33"/>
      <c r="F897" s="33"/>
      <c r="G897" s="33"/>
      <c r="H897" s="33"/>
      <c r="I897" s="33"/>
      <c r="J897" s="33"/>
      <c r="K897" s="33"/>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spans="1:36" ht="15.6">
      <c r="A898" s="33"/>
      <c r="B898" s="33"/>
      <c r="C898" s="150"/>
      <c r="D898" s="33"/>
      <c r="E898" s="33"/>
      <c r="F898" s="33"/>
      <c r="G898" s="33"/>
      <c r="H898" s="33"/>
      <c r="I898" s="33"/>
      <c r="J898" s="33"/>
      <c r="K898" s="33"/>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spans="1:36" ht="15.6">
      <c r="A899" s="33"/>
      <c r="B899" s="33"/>
      <c r="C899" s="150"/>
      <c r="D899" s="33"/>
      <c r="E899" s="33"/>
      <c r="F899" s="33"/>
      <c r="G899" s="33"/>
      <c r="H899" s="33"/>
      <c r="I899" s="33"/>
      <c r="J899" s="33"/>
      <c r="K899" s="33"/>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spans="1:36" ht="15.6">
      <c r="A900" s="33"/>
      <c r="B900" s="33"/>
      <c r="C900" s="150"/>
      <c r="D900" s="33"/>
      <c r="E900" s="33"/>
      <c r="F900" s="33"/>
      <c r="G900" s="33"/>
      <c r="H900" s="33"/>
      <c r="I900" s="33"/>
      <c r="J900" s="33"/>
      <c r="K900" s="33"/>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spans="1:36" ht="15.6">
      <c r="A901" s="33"/>
      <c r="B901" s="33"/>
      <c r="C901" s="150"/>
      <c r="D901" s="33"/>
      <c r="E901" s="33"/>
      <c r="F901" s="33"/>
      <c r="G901" s="33"/>
      <c r="H901" s="33"/>
      <c r="I901" s="33"/>
      <c r="J901" s="33"/>
      <c r="K901" s="33"/>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spans="1:36" ht="15.6">
      <c r="A902" s="33"/>
      <c r="B902" s="33"/>
      <c r="C902" s="150"/>
      <c r="D902" s="33"/>
      <c r="E902" s="33"/>
      <c r="F902" s="33"/>
      <c r="G902" s="33"/>
      <c r="H902" s="33"/>
      <c r="I902" s="33"/>
      <c r="J902" s="33"/>
      <c r="K902" s="33"/>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spans="1:36" ht="15.6">
      <c r="A903" s="33"/>
      <c r="B903" s="33"/>
      <c r="C903" s="150"/>
      <c r="D903" s="33"/>
      <c r="E903" s="33"/>
      <c r="F903" s="33"/>
      <c r="G903" s="33"/>
      <c r="H903" s="33"/>
      <c r="I903" s="33"/>
      <c r="J903" s="33"/>
      <c r="K903" s="33"/>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spans="1:36" ht="15.6">
      <c r="A904" s="33"/>
      <c r="B904" s="33"/>
      <c r="C904" s="150"/>
      <c r="D904" s="33"/>
      <c r="E904" s="33"/>
      <c r="F904" s="33"/>
      <c r="G904" s="33"/>
      <c r="H904" s="33"/>
      <c r="I904" s="33"/>
      <c r="J904" s="33"/>
      <c r="K904" s="33"/>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spans="1:36" ht="15.6">
      <c r="A905" s="33"/>
      <c r="B905" s="33"/>
      <c r="C905" s="150"/>
      <c r="D905" s="33"/>
      <c r="E905" s="33"/>
      <c r="F905" s="33"/>
      <c r="G905" s="33"/>
      <c r="H905" s="33"/>
      <c r="I905" s="33"/>
      <c r="J905" s="33"/>
      <c r="K905" s="33"/>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spans="1:36" ht="15.6">
      <c r="A906" s="33"/>
      <c r="B906" s="33"/>
      <c r="C906" s="150"/>
      <c r="D906" s="33"/>
      <c r="E906" s="33"/>
      <c r="F906" s="33"/>
      <c r="G906" s="33"/>
      <c r="H906" s="33"/>
      <c r="I906" s="33"/>
      <c r="J906" s="33"/>
      <c r="K906" s="33"/>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spans="1:36" ht="15.6">
      <c r="A907" s="33"/>
      <c r="B907" s="33"/>
      <c r="C907" s="150"/>
      <c r="D907" s="33"/>
      <c r="E907" s="33"/>
      <c r="F907" s="33"/>
      <c r="G907" s="33"/>
      <c r="H907" s="33"/>
      <c r="I907" s="33"/>
      <c r="J907" s="33"/>
      <c r="K907" s="33"/>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spans="1:36" ht="15.6">
      <c r="A908" s="33"/>
      <c r="B908" s="33"/>
      <c r="C908" s="150"/>
      <c r="D908" s="33"/>
      <c r="E908" s="33"/>
      <c r="F908" s="33"/>
      <c r="G908" s="33"/>
      <c r="H908" s="33"/>
      <c r="I908" s="33"/>
      <c r="J908" s="33"/>
      <c r="K908" s="33"/>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spans="1:36" ht="15.6">
      <c r="A909" s="33"/>
      <c r="B909" s="33"/>
      <c r="C909" s="150"/>
      <c r="D909" s="33"/>
      <c r="E909" s="33"/>
      <c r="F909" s="33"/>
      <c r="G909" s="33"/>
      <c r="H909" s="33"/>
      <c r="I909" s="33"/>
      <c r="J909" s="33"/>
      <c r="K909" s="33"/>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spans="1:36" ht="15.6">
      <c r="A910" s="33"/>
      <c r="B910" s="33"/>
      <c r="C910" s="150"/>
      <c r="D910" s="33"/>
      <c r="E910" s="33"/>
      <c r="F910" s="33"/>
      <c r="G910" s="33"/>
      <c r="H910" s="33"/>
      <c r="I910" s="33"/>
      <c r="J910" s="33"/>
      <c r="K910" s="33"/>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spans="1:36" ht="15.6">
      <c r="A911" s="33"/>
      <c r="B911" s="33"/>
      <c r="C911" s="150"/>
      <c r="D911" s="33"/>
      <c r="E911" s="33"/>
      <c r="F911" s="33"/>
      <c r="G911" s="33"/>
      <c r="H911" s="33"/>
      <c r="I911" s="33"/>
      <c r="J911" s="33"/>
      <c r="K911" s="33"/>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spans="1:36" ht="15.6">
      <c r="A912" s="33"/>
      <c r="B912" s="33"/>
      <c r="C912" s="150"/>
      <c r="D912" s="33"/>
      <c r="E912" s="33"/>
      <c r="F912" s="33"/>
      <c r="G912" s="33"/>
      <c r="H912" s="33"/>
      <c r="I912" s="33"/>
      <c r="J912" s="33"/>
      <c r="K912" s="33"/>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spans="1:36" ht="15.6">
      <c r="A913" s="33"/>
      <c r="B913" s="33"/>
      <c r="C913" s="150"/>
      <c r="D913" s="33"/>
      <c r="E913" s="33"/>
      <c r="F913" s="33"/>
      <c r="G913" s="33"/>
      <c r="H913" s="33"/>
      <c r="I913" s="33"/>
      <c r="J913" s="33"/>
      <c r="K913" s="33"/>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spans="1:36" ht="15.6">
      <c r="A914" s="33"/>
      <c r="B914" s="33"/>
      <c r="C914" s="150"/>
      <c r="D914" s="33"/>
      <c r="E914" s="33"/>
      <c r="F914" s="33"/>
      <c r="G914" s="33"/>
      <c r="H914" s="33"/>
      <c r="I914" s="33"/>
      <c r="J914" s="33"/>
      <c r="K914" s="33"/>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spans="1:36" ht="15.6">
      <c r="A915" s="33"/>
      <c r="B915" s="33"/>
      <c r="C915" s="150"/>
      <c r="D915" s="33"/>
      <c r="E915" s="33"/>
      <c r="F915" s="33"/>
      <c r="G915" s="33"/>
      <c r="H915" s="33"/>
      <c r="I915" s="33"/>
      <c r="J915" s="33"/>
      <c r="K915" s="33"/>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spans="1:36" ht="15.6">
      <c r="A916" s="33"/>
      <c r="B916" s="33"/>
      <c r="C916" s="150"/>
      <c r="D916" s="33"/>
      <c r="E916" s="33"/>
      <c r="F916" s="33"/>
      <c r="G916" s="33"/>
      <c r="H916" s="33"/>
      <c r="I916" s="33"/>
      <c r="J916" s="33"/>
      <c r="K916" s="33"/>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spans="1:36" ht="15.6">
      <c r="A917" s="33"/>
      <c r="B917" s="33"/>
      <c r="C917" s="150"/>
      <c r="D917" s="33"/>
      <c r="E917" s="33"/>
      <c r="F917" s="33"/>
      <c r="G917" s="33"/>
      <c r="H917" s="33"/>
      <c r="I917" s="33"/>
      <c r="J917" s="33"/>
      <c r="K917" s="33"/>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spans="1:36" ht="15.6">
      <c r="A918" s="33"/>
      <c r="B918" s="33"/>
      <c r="C918" s="150"/>
      <c r="D918" s="33"/>
      <c r="E918" s="33"/>
      <c r="F918" s="33"/>
      <c r="G918" s="33"/>
      <c r="H918" s="33"/>
      <c r="I918" s="33"/>
      <c r="J918" s="33"/>
      <c r="K918" s="33"/>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spans="1:36" ht="15.6">
      <c r="A919" s="33"/>
      <c r="B919" s="33"/>
      <c r="C919" s="150"/>
      <c r="D919" s="33"/>
      <c r="E919" s="33"/>
      <c r="F919" s="33"/>
      <c r="G919" s="33"/>
      <c r="H919" s="33"/>
      <c r="I919" s="33"/>
      <c r="J919" s="33"/>
      <c r="K919" s="33"/>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spans="1:36" ht="15.6">
      <c r="A920" s="33"/>
      <c r="B920" s="33"/>
      <c r="C920" s="150"/>
      <c r="D920" s="33"/>
      <c r="E920" s="33"/>
      <c r="F920" s="33"/>
      <c r="G920" s="33"/>
      <c r="H920" s="33"/>
      <c r="I920" s="33"/>
      <c r="J920" s="33"/>
      <c r="K920" s="33"/>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spans="1:36" ht="15.6">
      <c r="A921" s="33"/>
      <c r="B921" s="33"/>
      <c r="C921" s="150"/>
      <c r="D921" s="33"/>
      <c r="E921" s="33"/>
      <c r="F921" s="33"/>
      <c r="G921" s="33"/>
      <c r="H921" s="33"/>
      <c r="I921" s="33"/>
      <c r="J921" s="33"/>
      <c r="K921" s="33"/>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spans="1:36" ht="15.6">
      <c r="A922" s="33"/>
      <c r="B922" s="33"/>
      <c r="C922" s="150"/>
      <c r="D922" s="33"/>
      <c r="E922" s="33"/>
      <c r="F922" s="33"/>
      <c r="G922" s="33"/>
      <c r="H922" s="33"/>
      <c r="I922" s="33"/>
      <c r="J922" s="33"/>
      <c r="K922" s="33"/>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spans="1:36" ht="15.6">
      <c r="A923" s="33"/>
      <c r="B923" s="33"/>
      <c r="C923" s="150"/>
      <c r="D923" s="33"/>
      <c r="E923" s="33"/>
      <c r="F923" s="33"/>
      <c r="G923" s="33"/>
      <c r="H923" s="33"/>
      <c r="I923" s="33"/>
      <c r="J923" s="33"/>
      <c r="K923" s="33"/>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spans="1:36" ht="15.6">
      <c r="A924" s="33"/>
      <c r="B924" s="33"/>
      <c r="C924" s="150"/>
      <c r="D924" s="33"/>
      <c r="E924" s="33"/>
      <c r="F924" s="33"/>
      <c r="G924" s="33"/>
      <c r="H924" s="33"/>
      <c r="I924" s="33"/>
      <c r="J924" s="33"/>
      <c r="K924" s="33"/>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spans="1:36" ht="15.6">
      <c r="A925" s="33"/>
      <c r="B925" s="33"/>
      <c r="C925" s="150"/>
      <c r="D925" s="33"/>
      <c r="E925" s="33"/>
      <c r="F925" s="33"/>
      <c r="G925" s="33"/>
      <c r="H925" s="33"/>
      <c r="I925" s="33"/>
      <c r="J925" s="33"/>
      <c r="K925" s="33"/>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spans="1:36" ht="15.6">
      <c r="A926" s="33"/>
      <c r="B926" s="33"/>
      <c r="C926" s="150"/>
      <c r="D926" s="33"/>
      <c r="E926" s="33"/>
      <c r="F926" s="33"/>
      <c r="G926" s="33"/>
      <c r="H926" s="33"/>
      <c r="I926" s="33"/>
      <c r="J926" s="33"/>
      <c r="K926" s="33"/>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spans="1:36" ht="15.6">
      <c r="A927" s="33"/>
      <c r="B927" s="33"/>
      <c r="C927" s="150"/>
      <c r="D927" s="33"/>
      <c r="E927" s="33"/>
      <c r="F927" s="33"/>
      <c r="G927" s="33"/>
      <c r="H927" s="33"/>
      <c r="I927" s="33"/>
      <c r="J927" s="33"/>
      <c r="K927" s="33"/>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spans="1:36" ht="15.6">
      <c r="A928" s="33"/>
      <c r="B928" s="33"/>
      <c r="C928" s="150"/>
      <c r="D928" s="33"/>
      <c r="E928" s="33"/>
      <c r="F928" s="33"/>
      <c r="G928" s="33"/>
      <c r="H928" s="33"/>
      <c r="I928" s="33"/>
      <c r="J928" s="33"/>
      <c r="K928" s="33"/>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spans="1:36" ht="15.6">
      <c r="A929" s="33"/>
      <c r="B929" s="33"/>
      <c r="C929" s="150"/>
      <c r="D929" s="33"/>
      <c r="E929" s="33"/>
      <c r="F929" s="33"/>
      <c r="G929" s="33"/>
      <c r="H929" s="33"/>
      <c r="I929" s="33"/>
      <c r="J929" s="33"/>
      <c r="K929" s="33"/>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spans="1:36" ht="15.6">
      <c r="A930" s="33"/>
      <c r="B930" s="33"/>
      <c r="C930" s="150"/>
      <c r="D930" s="33"/>
      <c r="E930" s="33"/>
      <c r="F930" s="33"/>
      <c r="G930" s="33"/>
      <c r="H930" s="33"/>
      <c r="I930" s="33"/>
      <c r="J930" s="33"/>
      <c r="K930" s="33"/>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spans="1:36" ht="15.6">
      <c r="A931" s="33"/>
      <c r="B931" s="33"/>
      <c r="C931" s="150"/>
      <c r="D931" s="33"/>
      <c r="E931" s="33"/>
      <c r="F931" s="33"/>
      <c r="G931" s="33"/>
      <c r="H931" s="33"/>
      <c r="I931" s="33"/>
      <c r="J931" s="33"/>
      <c r="K931" s="33"/>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spans="1:36" ht="15.6">
      <c r="A932" s="33"/>
      <c r="B932" s="33"/>
      <c r="C932" s="150"/>
      <c r="D932" s="33"/>
      <c r="E932" s="33"/>
      <c r="F932" s="33"/>
      <c r="G932" s="33"/>
      <c r="H932" s="33"/>
      <c r="I932" s="33"/>
      <c r="J932" s="33"/>
      <c r="K932" s="33"/>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spans="1:36" ht="15.6">
      <c r="A933" s="33"/>
      <c r="B933" s="33"/>
      <c r="C933" s="150"/>
      <c r="D933" s="33"/>
      <c r="E933" s="33"/>
      <c r="F933" s="33"/>
      <c r="G933" s="33"/>
      <c r="H933" s="33"/>
      <c r="I933" s="33"/>
      <c r="J933" s="33"/>
      <c r="K933" s="33"/>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spans="1:36" ht="15.6">
      <c r="A934" s="33"/>
      <c r="B934" s="33"/>
      <c r="C934" s="150"/>
      <c r="D934" s="33"/>
      <c r="E934" s="33"/>
      <c r="F934" s="33"/>
      <c r="G934" s="33"/>
      <c r="H934" s="33"/>
      <c r="I934" s="33"/>
      <c r="J934" s="33"/>
      <c r="K934" s="33"/>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spans="1:36" ht="15.6">
      <c r="A935" s="33"/>
      <c r="B935" s="33"/>
      <c r="C935" s="150"/>
      <c r="D935" s="33"/>
      <c r="E935" s="33"/>
      <c r="F935" s="33"/>
      <c r="G935" s="33"/>
      <c r="H935" s="33"/>
      <c r="I935" s="33"/>
      <c r="J935" s="33"/>
      <c r="K935" s="33"/>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spans="1:36" ht="15.6">
      <c r="A936" s="33"/>
      <c r="B936" s="33"/>
      <c r="C936" s="150"/>
      <c r="D936" s="33"/>
      <c r="E936" s="33"/>
      <c r="F936" s="33"/>
      <c r="G936" s="33"/>
      <c r="H936" s="33"/>
      <c r="I936" s="33"/>
      <c r="J936" s="33"/>
      <c r="K936" s="33"/>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spans="1:36" ht="15.6">
      <c r="A937" s="33"/>
      <c r="B937" s="33"/>
      <c r="C937" s="150"/>
      <c r="D937" s="33"/>
      <c r="E937" s="33"/>
      <c r="F937" s="33"/>
      <c r="G937" s="33"/>
      <c r="H937" s="33"/>
      <c r="I937" s="33"/>
      <c r="J937" s="33"/>
      <c r="K937" s="33"/>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spans="1:36" ht="15.6">
      <c r="A938" s="33"/>
      <c r="B938" s="33"/>
      <c r="C938" s="150"/>
      <c r="D938" s="33"/>
      <c r="E938" s="33"/>
      <c r="F938" s="33"/>
      <c r="G938" s="33"/>
      <c r="H938" s="33"/>
      <c r="I938" s="33"/>
      <c r="J938" s="33"/>
      <c r="K938" s="33"/>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spans="1:36" ht="15.6">
      <c r="A939" s="33"/>
      <c r="B939" s="33"/>
      <c r="C939" s="150"/>
      <c r="D939" s="33"/>
      <c r="E939" s="33"/>
      <c r="F939" s="33"/>
      <c r="G939" s="33"/>
      <c r="H939" s="33"/>
      <c r="I939" s="33"/>
      <c r="J939" s="33"/>
      <c r="K939" s="33"/>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spans="1:36" ht="15.6">
      <c r="A940" s="33"/>
      <c r="B940" s="33"/>
      <c r="C940" s="150"/>
      <c r="D940" s="33"/>
      <c r="E940" s="33"/>
      <c r="F940" s="33"/>
      <c r="G940" s="33"/>
      <c r="H940" s="33"/>
      <c r="I940" s="33"/>
      <c r="J940" s="33"/>
      <c r="K940" s="33"/>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spans="1:36" ht="15.6">
      <c r="A941" s="33"/>
      <c r="B941" s="33"/>
      <c r="C941" s="150"/>
      <c r="D941" s="33"/>
      <c r="E941" s="33"/>
      <c r="F941" s="33"/>
      <c r="G941" s="33"/>
      <c r="H941" s="33"/>
      <c r="I941" s="33"/>
      <c r="J941" s="33"/>
      <c r="K941" s="33"/>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spans="1:36" ht="15.6">
      <c r="A942" s="33"/>
      <c r="B942" s="33"/>
      <c r="C942" s="150"/>
      <c r="D942" s="33"/>
      <c r="E942" s="33"/>
      <c r="F942" s="33"/>
      <c r="G942" s="33"/>
      <c r="H942" s="33"/>
      <c r="I942" s="33"/>
      <c r="J942" s="33"/>
      <c r="K942" s="33"/>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spans="1:36" ht="15.6">
      <c r="A943" s="33"/>
      <c r="B943" s="33"/>
      <c r="C943" s="150"/>
      <c r="D943" s="33"/>
      <c r="E943" s="33"/>
      <c r="F943" s="33"/>
      <c r="G943" s="33"/>
      <c r="H943" s="33"/>
      <c r="I943" s="33"/>
      <c r="J943" s="33"/>
      <c r="K943" s="33"/>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spans="1:36" ht="15.6">
      <c r="A944" s="33"/>
      <c r="B944" s="33"/>
      <c r="C944" s="150"/>
      <c r="D944" s="33"/>
      <c r="E944" s="33"/>
      <c r="F944" s="33"/>
      <c r="G944" s="33"/>
      <c r="H944" s="33"/>
      <c r="I944" s="33"/>
      <c r="J944" s="33"/>
      <c r="K944" s="33"/>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spans="1:36" ht="15.6">
      <c r="A945" s="33"/>
      <c r="B945" s="33"/>
      <c r="C945" s="150"/>
      <c r="D945" s="33"/>
      <c r="E945" s="33"/>
      <c r="F945" s="33"/>
      <c r="G945" s="33"/>
      <c r="H945" s="33"/>
      <c r="I945" s="33"/>
      <c r="J945" s="33"/>
      <c r="K945" s="33"/>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spans="1:36" ht="15.6">
      <c r="A946" s="33"/>
      <c r="B946" s="33"/>
      <c r="C946" s="150"/>
      <c r="D946" s="33"/>
      <c r="E946" s="33"/>
      <c r="F946" s="33"/>
      <c r="G946" s="33"/>
      <c r="H946" s="33"/>
      <c r="I946" s="33"/>
      <c r="J946" s="33"/>
      <c r="K946" s="33"/>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spans="1:36" ht="15.6">
      <c r="A947" s="33"/>
      <c r="B947" s="33"/>
      <c r="C947" s="150"/>
      <c r="D947" s="33"/>
      <c r="E947" s="33"/>
      <c r="F947" s="33"/>
      <c r="G947" s="33"/>
      <c r="H947" s="33"/>
      <c r="I947" s="33"/>
      <c r="J947" s="33"/>
      <c r="K947" s="33"/>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spans="1:36" ht="15.6">
      <c r="A948" s="33"/>
      <c r="B948" s="33"/>
      <c r="C948" s="150"/>
      <c r="D948" s="33"/>
      <c r="E948" s="33"/>
      <c r="F948" s="33"/>
      <c r="G948" s="33"/>
      <c r="H948" s="33"/>
      <c r="I948" s="33"/>
      <c r="J948" s="33"/>
      <c r="K948" s="33"/>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spans="1:36" ht="15.6">
      <c r="A949" s="33"/>
      <c r="B949" s="33"/>
      <c r="C949" s="150"/>
      <c r="D949" s="33"/>
      <c r="E949" s="33"/>
      <c r="F949" s="33"/>
      <c r="G949" s="33"/>
      <c r="H949" s="33"/>
      <c r="I949" s="33"/>
      <c r="J949" s="33"/>
      <c r="K949" s="33"/>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spans="1:36" ht="15.6">
      <c r="A950" s="33"/>
      <c r="B950" s="33"/>
      <c r="C950" s="150"/>
      <c r="D950" s="33"/>
      <c r="E950" s="33"/>
      <c r="F950" s="33"/>
      <c r="G950" s="33"/>
      <c r="H950" s="33"/>
      <c r="I950" s="33"/>
      <c r="J950" s="33"/>
      <c r="K950" s="33"/>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spans="1:36" ht="15.6">
      <c r="A951" s="33"/>
      <c r="B951" s="33"/>
      <c r="C951" s="150"/>
      <c r="D951" s="33"/>
      <c r="E951" s="33"/>
      <c r="F951" s="33"/>
      <c r="G951" s="33"/>
      <c r="H951" s="33"/>
      <c r="I951" s="33"/>
      <c r="J951" s="33"/>
      <c r="K951" s="33"/>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spans="1:36" ht="15.6">
      <c r="A952" s="33"/>
      <c r="B952" s="33"/>
      <c r="C952" s="150"/>
      <c r="D952" s="33"/>
      <c r="E952" s="33"/>
      <c r="F952" s="33"/>
      <c r="G952" s="33"/>
      <c r="H952" s="33"/>
      <c r="I952" s="33"/>
      <c r="J952" s="33"/>
      <c r="K952" s="33"/>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spans="1:36" ht="15.6">
      <c r="A953" s="33"/>
      <c r="B953" s="33"/>
      <c r="C953" s="150"/>
      <c r="D953" s="33"/>
      <c r="E953" s="33"/>
      <c r="F953" s="33"/>
      <c r="G953" s="33"/>
      <c r="H953" s="33"/>
      <c r="I953" s="33"/>
      <c r="J953" s="33"/>
      <c r="K953" s="33"/>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spans="1:36" ht="15.6">
      <c r="A954" s="33"/>
      <c r="B954" s="33"/>
      <c r="C954" s="150"/>
      <c r="D954" s="33"/>
      <c r="E954" s="33"/>
      <c r="F954" s="33"/>
      <c r="G954" s="33"/>
      <c r="H954" s="33"/>
      <c r="I954" s="33"/>
      <c r="J954" s="33"/>
      <c r="K954" s="33"/>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spans="1:36" ht="15.6">
      <c r="A955" s="33"/>
      <c r="B955" s="33"/>
      <c r="C955" s="150"/>
      <c r="D955" s="33"/>
      <c r="E955" s="33"/>
      <c r="F955" s="33"/>
      <c r="G955" s="33"/>
      <c r="H955" s="33"/>
      <c r="I955" s="33"/>
      <c r="J955" s="33"/>
      <c r="K955" s="33"/>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spans="1:36" ht="15.6">
      <c r="A956" s="33"/>
      <c r="B956" s="33"/>
      <c r="C956" s="150"/>
      <c r="D956" s="33"/>
      <c r="E956" s="33"/>
      <c r="F956" s="33"/>
      <c r="G956" s="33"/>
      <c r="H956" s="33"/>
      <c r="I956" s="33"/>
      <c r="J956" s="33"/>
      <c r="K956" s="33"/>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spans="1:36" ht="15.6">
      <c r="A957" s="33"/>
      <c r="B957" s="33"/>
      <c r="C957" s="150"/>
      <c r="D957" s="33"/>
      <c r="E957" s="33"/>
      <c r="F957" s="33"/>
      <c r="G957" s="33"/>
      <c r="H957" s="33"/>
      <c r="I957" s="33"/>
      <c r="J957" s="33"/>
      <c r="K957" s="33"/>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spans="1:36" ht="15.6">
      <c r="A958" s="33"/>
      <c r="B958" s="33"/>
      <c r="C958" s="150"/>
      <c r="D958" s="33"/>
      <c r="E958" s="33"/>
      <c r="F958" s="33"/>
      <c r="G958" s="33"/>
      <c r="H958" s="33"/>
      <c r="I958" s="33"/>
      <c r="J958" s="33"/>
      <c r="K958" s="33"/>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spans="1:36" ht="15.6">
      <c r="A959" s="33"/>
      <c r="B959" s="33"/>
      <c r="C959" s="150"/>
      <c r="D959" s="33"/>
      <c r="E959" s="33"/>
      <c r="F959" s="33"/>
      <c r="G959" s="33"/>
      <c r="H959" s="33"/>
      <c r="I959" s="33"/>
      <c r="J959" s="33"/>
      <c r="K959" s="33"/>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spans="1:36" ht="15.6">
      <c r="A960" s="33"/>
      <c r="B960" s="33"/>
      <c r="C960" s="150"/>
      <c r="D960" s="33"/>
      <c r="E960" s="33"/>
      <c r="F960" s="33"/>
      <c r="G960" s="33"/>
      <c r="H960" s="33"/>
      <c r="I960" s="33"/>
      <c r="J960" s="33"/>
      <c r="K960" s="33"/>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spans="1:36" ht="15.6">
      <c r="A961" s="33"/>
      <c r="B961" s="33"/>
      <c r="C961" s="150"/>
      <c r="D961" s="33"/>
      <c r="E961" s="33"/>
      <c r="F961" s="33"/>
      <c r="G961" s="33"/>
      <c r="H961" s="33"/>
      <c r="I961" s="33"/>
      <c r="J961" s="33"/>
      <c r="K961" s="33"/>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spans="1:36" ht="15.6">
      <c r="A962" s="33"/>
      <c r="B962" s="33"/>
      <c r="C962" s="150"/>
      <c r="D962" s="33"/>
      <c r="E962" s="33"/>
      <c r="F962" s="33"/>
      <c r="G962" s="33"/>
      <c r="H962" s="33"/>
      <c r="I962" s="33"/>
      <c r="J962" s="33"/>
      <c r="K962" s="33"/>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spans="1:36" ht="15.6">
      <c r="A963" s="33"/>
      <c r="B963" s="33"/>
      <c r="C963" s="150"/>
      <c r="D963" s="33"/>
      <c r="E963" s="33"/>
      <c r="F963" s="33"/>
      <c r="G963" s="33"/>
      <c r="H963" s="33"/>
      <c r="I963" s="33"/>
      <c r="J963" s="33"/>
      <c r="K963" s="33"/>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spans="1:36" ht="15.6">
      <c r="A964" s="33"/>
      <c r="B964" s="33"/>
      <c r="C964" s="150"/>
      <c r="D964" s="33"/>
      <c r="E964" s="33"/>
      <c r="F964" s="33"/>
      <c r="G964" s="33"/>
      <c r="H964" s="33"/>
      <c r="I964" s="33"/>
      <c r="J964" s="33"/>
      <c r="K964" s="33"/>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spans="1:36" ht="15.6">
      <c r="A965" s="33"/>
      <c r="B965" s="33"/>
      <c r="C965" s="150"/>
      <c r="D965" s="33"/>
      <c r="E965" s="33"/>
      <c r="F965" s="33"/>
      <c r="G965" s="33"/>
      <c r="H965" s="33"/>
      <c r="I965" s="33"/>
      <c r="J965" s="33"/>
      <c r="K965" s="33"/>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spans="1:36" ht="15.6">
      <c r="A966" s="33"/>
      <c r="B966" s="33"/>
      <c r="C966" s="150"/>
      <c r="D966" s="33"/>
      <c r="E966" s="33"/>
      <c r="F966" s="33"/>
      <c r="G966" s="33"/>
      <c r="H966" s="33"/>
      <c r="I966" s="33"/>
      <c r="J966" s="33"/>
      <c r="K966" s="33"/>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spans="1:36" ht="15.6">
      <c r="A967" s="33"/>
      <c r="B967" s="33"/>
      <c r="C967" s="150"/>
      <c r="D967" s="33"/>
      <c r="E967" s="33"/>
      <c r="F967" s="33"/>
      <c r="G967" s="33"/>
      <c r="H967" s="33"/>
      <c r="I967" s="33"/>
      <c r="J967" s="33"/>
      <c r="K967" s="33"/>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spans="1:36" ht="15.6">
      <c r="A968" s="33"/>
      <c r="B968" s="33"/>
      <c r="C968" s="150"/>
      <c r="D968" s="33"/>
      <c r="E968" s="33"/>
      <c r="F968" s="33"/>
      <c r="G968" s="33"/>
      <c r="H968" s="33"/>
      <c r="I968" s="33"/>
      <c r="J968" s="33"/>
      <c r="K968" s="33"/>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spans="1:36" ht="15.6">
      <c r="A969" s="33"/>
      <c r="B969" s="33"/>
      <c r="C969" s="150"/>
      <c r="D969" s="33"/>
      <c r="E969" s="33"/>
      <c r="F969" s="33"/>
      <c r="G969" s="33"/>
      <c r="H969" s="33"/>
      <c r="I969" s="33"/>
      <c r="J969" s="33"/>
      <c r="K969" s="33"/>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spans="1:36" ht="15.6">
      <c r="A970" s="33"/>
      <c r="B970" s="33"/>
      <c r="C970" s="150"/>
      <c r="D970" s="33"/>
      <c r="E970" s="33"/>
      <c r="F970" s="33"/>
      <c r="G970" s="33"/>
      <c r="H970" s="33"/>
      <c r="I970" s="33"/>
      <c r="J970" s="33"/>
      <c r="K970" s="33"/>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spans="1:36" ht="15.6">
      <c r="A971" s="33"/>
      <c r="B971" s="33"/>
      <c r="C971" s="150"/>
      <c r="D971" s="33"/>
      <c r="E971" s="33"/>
      <c r="F971" s="33"/>
      <c r="G971" s="33"/>
      <c r="H971" s="33"/>
      <c r="I971" s="33"/>
      <c r="J971" s="33"/>
      <c r="K971" s="33"/>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spans="1:36" ht="15.6">
      <c r="A972" s="33"/>
      <c r="B972" s="33"/>
      <c r="C972" s="150"/>
      <c r="D972" s="33"/>
      <c r="E972" s="33"/>
      <c r="F972" s="33"/>
      <c r="G972" s="33"/>
      <c r="H972" s="33"/>
      <c r="I972" s="33"/>
      <c r="J972" s="33"/>
      <c r="K972" s="33"/>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spans="1:36" ht="15.6">
      <c r="A973" s="33"/>
      <c r="B973" s="33"/>
      <c r="C973" s="150"/>
      <c r="D973" s="33"/>
      <c r="E973" s="33"/>
      <c r="F973" s="33"/>
      <c r="G973" s="33"/>
      <c r="H973" s="33"/>
      <c r="I973" s="33"/>
      <c r="J973" s="33"/>
      <c r="K973" s="33"/>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spans="1:36" ht="15.6">
      <c r="A974" s="33"/>
      <c r="B974" s="33"/>
      <c r="C974" s="150"/>
      <c r="D974" s="33"/>
      <c r="E974" s="33"/>
      <c r="F974" s="33"/>
      <c r="G974" s="33"/>
      <c r="H974" s="33"/>
      <c r="I974" s="33"/>
      <c r="J974" s="33"/>
      <c r="K974" s="33"/>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spans="1:36" ht="15.6">
      <c r="A975" s="33"/>
      <c r="B975" s="33"/>
      <c r="C975" s="150"/>
      <c r="D975" s="33"/>
      <c r="E975" s="33"/>
      <c r="F975" s="33"/>
      <c r="G975" s="33"/>
      <c r="H975" s="33"/>
      <c r="I975" s="33"/>
      <c r="J975" s="33"/>
      <c r="K975" s="33"/>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spans="1:36" ht="15.6">
      <c r="A976" s="33"/>
      <c r="B976" s="33"/>
      <c r="C976" s="150"/>
      <c r="D976" s="33"/>
      <c r="E976" s="33"/>
      <c r="F976" s="33"/>
      <c r="G976" s="33"/>
      <c r="H976" s="33"/>
      <c r="I976" s="33"/>
      <c r="J976" s="33"/>
      <c r="K976" s="33"/>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spans="1:36" ht="15.6">
      <c r="A977" s="33"/>
      <c r="B977" s="33"/>
      <c r="C977" s="150"/>
      <c r="D977" s="33"/>
      <c r="E977" s="33"/>
      <c r="F977" s="33"/>
      <c r="G977" s="33"/>
      <c r="H977" s="33"/>
      <c r="I977" s="33"/>
      <c r="J977" s="33"/>
      <c r="K977" s="33"/>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spans="1:36" ht="15.6">
      <c r="A978" s="33"/>
      <c r="B978" s="33"/>
      <c r="C978" s="150"/>
      <c r="D978" s="33"/>
      <c r="E978" s="33"/>
      <c r="F978" s="33"/>
      <c r="G978" s="33"/>
      <c r="H978" s="33"/>
      <c r="I978" s="33"/>
      <c r="J978" s="33"/>
      <c r="K978" s="33"/>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spans="1:36" ht="15.6">
      <c r="A979" s="33"/>
      <c r="B979" s="33"/>
      <c r="C979" s="150"/>
      <c r="D979" s="33"/>
      <c r="E979" s="33"/>
      <c r="F979" s="33"/>
      <c r="G979" s="33"/>
      <c r="H979" s="33"/>
      <c r="I979" s="33"/>
      <c r="J979" s="33"/>
      <c r="K979" s="33"/>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spans="1:36" ht="15.6">
      <c r="A980" s="33"/>
      <c r="B980" s="33"/>
      <c r="C980" s="150"/>
      <c r="D980" s="33"/>
      <c r="E980" s="33"/>
      <c r="F980" s="33"/>
      <c r="G980" s="33"/>
      <c r="H980" s="33"/>
      <c r="I980" s="33"/>
      <c r="J980" s="33"/>
      <c r="K980" s="33"/>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spans="1:36" ht="15.6">
      <c r="A981" s="33"/>
      <c r="B981" s="33"/>
      <c r="C981" s="150"/>
      <c r="D981" s="33"/>
      <c r="E981" s="33"/>
      <c r="F981" s="33"/>
      <c r="G981" s="33"/>
      <c r="H981" s="33"/>
      <c r="I981" s="33"/>
      <c r="J981" s="33"/>
      <c r="K981" s="33"/>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spans="1:36" ht="15.6">
      <c r="A982" s="33"/>
      <c r="B982" s="33"/>
      <c r="C982" s="150"/>
      <c r="D982" s="33"/>
      <c r="E982" s="33"/>
      <c r="F982" s="33"/>
      <c r="G982" s="33"/>
      <c r="H982" s="33"/>
      <c r="I982" s="33"/>
      <c r="J982" s="33"/>
      <c r="K982" s="33"/>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spans="1:36" ht="15.6">
      <c r="A983" s="33"/>
      <c r="B983" s="33"/>
      <c r="C983" s="150"/>
      <c r="D983" s="33"/>
      <c r="E983" s="33"/>
      <c r="F983" s="33"/>
      <c r="G983" s="33"/>
      <c r="H983" s="33"/>
      <c r="I983" s="33"/>
      <c r="J983" s="33"/>
      <c r="K983" s="33"/>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spans="1:36" ht="15.6">
      <c r="A984" s="33"/>
      <c r="B984" s="33"/>
      <c r="C984" s="150"/>
      <c r="D984" s="33"/>
      <c r="E984" s="33"/>
      <c r="F984" s="33"/>
      <c r="G984" s="33"/>
      <c r="H984" s="33"/>
      <c r="I984" s="33"/>
      <c r="J984" s="33"/>
      <c r="K984" s="33"/>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spans="1:36" ht="15.6">
      <c r="A985" s="33"/>
      <c r="B985" s="33"/>
      <c r="C985" s="150"/>
      <c r="D985" s="33"/>
      <c r="E985" s="33"/>
      <c r="F985" s="33"/>
      <c r="G985" s="33"/>
      <c r="H985" s="33"/>
      <c r="I985" s="33"/>
      <c r="J985" s="33"/>
      <c r="K985" s="33"/>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spans="1:36" ht="15.6">
      <c r="A986" s="33"/>
      <c r="B986" s="33"/>
      <c r="C986" s="150"/>
      <c r="D986" s="33"/>
      <c r="E986" s="33"/>
      <c r="F986" s="33"/>
      <c r="G986" s="33"/>
      <c r="H986" s="33"/>
      <c r="I986" s="33"/>
      <c r="J986" s="33"/>
      <c r="K986" s="33"/>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spans="1:36" ht="15.6">
      <c r="A987" s="33"/>
      <c r="B987" s="33"/>
      <c r="C987" s="150"/>
      <c r="D987" s="33"/>
      <c r="E987" s="33"/>
      <c r="F987" s="33"/>
      <c r="G987" s="33"/>
      <c r="H987" s="33"/>
      <c r="I987" s="33"/>
      <c r="J987" s="33"/>
      <c r="K987" s="33"/>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spans="1:36" ht="15.6">
      <c r="A988" s="33"/>
      <c r="B988" s="33"/>
      <c r="C988" s="150"/>
      <c r="D988" s="33"/>
      <c r="E988" s="33"/>
      <c r="F988" s="33"/>
      <c r="G988" s="33"/>
      <c r="H988" s="33"/>
      <c r="I988" s="33"/>
      <c r="J988" s="33"/>
      <c r="K988" s="33"/>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spans="1:36" ht="15.6">
      <c r="A989" s="33"/>
      <c r="B989" s="33"/>
      <c r="C989" s="150"/>
      <c r="D989" s="33"/>
      <c r="E989" s="33"/>
      <c r="F989" s="33"/>
      <c r="G989" s="33"/>
      <c r="H989" s="33"/>
      <c r="I989" s="33"/>
      <c r="J989" s="33"/>
      <c r="K989" s="33"/>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spans="1:36" ht="15.6">
      <c r="A990" s="33"/>
      <c r="B990" s="33"/>
      <c r="C990" s="150"/>
      <c r="D990" s="33"/>
      <c r="E990" s="33"/>
      <c r="F990" s="33"/>
      <c r="G990" s="33"/>
      <c r="H990" s="33"/>
      <c r="I990" s="33"/>
      <c r="J990" s="33"/>
      <c r="K990" s="33"/>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spans="1:36" ht="15.6">
      <c r="A991" s="33"/>
      <c r="B991" s="33"/>
      <c r="C991" s="150"/>
      <c r="D991" s="33"/>
      <c r="E991" s="33"/>
      <c r="F991" s="33"/>
      <c r="G991" s="33"/>
      <c r="H991" s="33"/>
      <c r="I991" s="33"/>
      <c r="J991" s="33"/>
      <c r="K991" s="33"/>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spans="1:36" ht="15.6">
      <c r="A992" s="33"/>
      <c r="B992" s="33"/>
      <c r="C992" s="150"/>
      <c r="D992" s="33"/>
      <c r="E992" s="33"/>
      <c r="F992" s="33"/>
      <c r="G992" s="33"/>
      <c r="H992" s="33"/>
      <c r="I992" s="33"/>
      <c r="J992" s="33"/>
      <c r="K992" s="33"/>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spans="1:36" ht="15.6">
      <c r="A993" s="33"/>
      <c r="B993" s="33"/>
      <c r="C993" s="150"/>
      <c r="D993" s="33"/>
      <c r="E993" s="33"/>
      <c r="F993" s="33"/>
      <c r="G993" s="33"/>
      <c r="H993" s="33"/>
      <c r="I993" s="33"/>
      <c r="J993" s="33"/>
      <c r="K993" s="33"/>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spans="1:36" ht="15.6">
      <c r="A994" s="33"/>
      <c r="B994" s="33"/>
      <c r="C994" s="150"/>
      <c r="D994" s="33"/>
      <c r="E994" s="33"/>
      <c r="F994" s="33"/>
      <c r="G994" s="33"/>
      <c r="H994" s="33"/>
      <c r="I994" s="33"/>
      <c r="J994" s="33"/>
      <c r="K994" s="33"/>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spans="1:36" ht="15.6">
      <c r="A995" s="33"/>
      <c r="B995" s="33"/>
      <c r="C995" s="150"/>
      <c r="D995" s="33"/>
      <c r="E995" s="33"/>
      <c r="F995" s="33"/>
      <c r="G995" s="33"/>
      <c r="H995" s="33"/>
      <c r="I995" s="33"/>
      <c r="J995" s="33"/>
      <c r="K995" s="33"/>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spans="1:36" ht="15.6">
      <c r="A996" s="33"/>
      <c r="B996" s="33"/>
      <c r="C996" s="150"/>
      <c r="D996" s="33"/>
      <c r="E996" s="33"/>
      <c r="F996" s="33"/>
      <c r="G996" s="33"/>
      <c r="H996" s="33"/>
      <c r="I996" s="33"/>
      <c r="J996" s="33"/>
      <c r="K996" s="33"/>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spans="1:36" ht="15.6">
      <c r="A997" s="33"/>
      <c r="B997" s="33"/>
      <c r="C997" s="150"/>
      <c r="D997" s="33"/>
      <c r="E997" s="33"/>
      <c r="F997" s="33"/>
      <c r="G997" s="33"/>
      <c r="H997" s="33"/>
      <c r="I997" s="33"/>
      <c r="J997" s="33"/>
      <c r="K997" s="33"/>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spans="1:36" ht="15.6">
      <c r="A998" s="33"/>
      <c r="B998" s="33"/>
      <c r="C998" s="150"/>
      <c r="D998" s="33"/>
      <c r="E998" s="33"/>
      <c r="F998" s="33"/>
      <c r="G998" s="33"/>
      <c r="H998" s="33"/>
      <c r="I998" s="33"/>
      <c r="J998" s="33"/>
      <c r="K998" s="33"/>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spans="1:36" ht="15.6">
      <c r="A999" s="33"/>
      <c r="B999" s="33"/>
      <c r="C999" s="150"/>
      <c r="D999" s="33"/>
      <c r="E999" s="33"/>
      <c r="F999" s="33"/>
      <c r="G999" s="33"/>
      <c r="H999" s="33"/>
      <c r="I999" s="33"/>
      <c r="J999" s="33"/>
      <c r="K999" s="33"/>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spans="1:36" ht="15.6">
      <c r="A1000" s="33"/>
      <c r="B1000" s="33"/>
      <c r="C1000" s="150"/>
      <c r="D1000" s="33"/>
      <c r="E1000" s="33"/>
      <c r="F1000" s="33"/>
      <c r="G1000" s="33"/>
      <c r="H1000" s="33"/>
      <c r="I1000" s="33"/>
      <c r="J1000" s="33"/>
      <c r="K1000" s="33"/>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mergeCells count="15">
    <mergeCell ref="M2:O2"/>
    <mergeCell ref="A3:J3"/>
    <mergeCell ref="A4:A5"/>
    <mergeCell ref="B4:B5"/>
    <mergeCell ref="H4:H5"/>
    <mergeCell ref="I4:I5"/>
    <mergeCell ref="J4:J5"/>
    <mergeCell ref="A1:K1"/>
    <mergeCell ref="B2:J2"/>
    <mergeCell ref="K2:K6"/>
    <mergeCell ref="C4:C5"/>
    <mergeCell ref="D4:D5"/>
    <mergeCell ref="E4:E5"/>
    <mergeCell ref="F4:F5"/>
    <mergeCell ref="G4:G5"/>
  </mergeCells>
  <pageMargins left="0.7" right="0.7" top="0.75" bottom="0.75" header="0" footer="0"/>
  <pageSetup orientation="landscape"/>
  <rowBreaks count="1" manualBreakCount="1">
    <brk id="10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1000"/>
  <sheetViews>
    <sheetView workbookViewId="0">
      <pane ySplit="6" topLeftCell="A115" activePane="bottomLeft" state="frozen"/>
      <selection pane="bottomLeft" activeCell="I123" sqref="I123"/>
    </sheetView>
  </sheetViews>
  <sheetFormatPr defaultColWidth="14.44140625" defaultRowHeight="15" customHeight="1"/>
  <cols>
    <col min="1" max="1" width="11" customWidth="1"/>
    <col min="2" max="2" width="18.109375" customWidth="1"/>
    <col min="3" max="3" width="42.6640625" customWidth="1"/>
    <col min="4" max="4" width="9" customWidth="1"/>
    <col min="5" max="6" width="8.6640625" customWidth="1"/>
    <col min="7" max="7" width="8.109375" customWidth="1"/>
    <col min="8" max="9" width="7.5546875" customWidth="1"/>
    <col min="10" max="10" width="12" customWidth="1"/>
    <col min="11" max="14" width="9.109375" customWidth="1"/>
    <col min="15" max="15" width="10.88671875" customWidth="1"/>
    <col min="16" max="18" width="9.109375" customWidth="1"/>
    <col min="19" max="19" width="10.88671875" customWidth="1"/>
    <col min="20" max="35" width="9.109375" customWidth="1"/>
  </cols>
  <sheetData>
    <row r="1" spans="1:35" ht="15" customHeight="1">
      <c r="A1" s="384" t="str">
        <f>'CO-PO Mapping'!A1:N1</f>
        <v xml:space="preserve">Robotics </v>
      </c>
      <c r="B1" s="356"/>
      <c r="C1" s="356"/>
      <c r="D1" s="356"/>
      <c r="E1" s="356"/>
      <c r="F1" s="356"/>
      <c r="G1" s="356"/>
      <c r="H1" s="356"/>
      <c r="I1" s="356"/>
      <c r="J1" s="356"/>
      <c r="K1" s="356"/>
      <c r="L1" s="9"/>
      <c r="M1" s="9"/>
      <c r="N1" s="9"/>
      <c r="O1" s="9"/>
      <c r="P1" s="9"/>
      <c r="Q1" s="9"/>
      <c r="R1" s="9"/>
      <c r="S1" s="9"/>
      <c r="T1" s="9"/>
      <c r="U1" s="9"/>
      <c r="V1" s="9"/>
      <c r="W1" s="9"/>
      <c r="X1" s="9"/>
      <c r="Y1" s="9"/>
      <c r="Z1" s="9"/>
      <c r="AA1" s="9"/>
      <c r="AB1" s="9"/>
      <c r="AC1" s="9"/>
      <c r="AD1" s="9"/>
      <c r="AE1" s="9"/>
      <c r="AF1" s="9"/>
      <c r="AG1" s="9"/>
      <c r="AH1" s="9"/>
      <c r="AI1" s="9"/>
    </row>
    <row r="2" spans="1:35" ht="15" customHeight="1">
      <c r="A2" s="121">
        <f>'CO-PO Mapping'!A2</f>
        <v>3110002</v>
      </c>
      <c r="B2" s="383" t="str">
        <f>'CO-PO Mapping'!B2</f>
        <v>English</v>
      </c>
      <c r="C2" s="342"/>
      <c r="D2" s="342"/>
      <c r="E2" s="342"/>
      <c r="F2" s="342"/>
      <c r="G2" s="342"/>
      <c r="H2" s="342"/>
      <c r="I2" s="342"/>
      <c r="J2" s="340"/>
      <c r="K2" s="382" t="s">
        <v>100</v>
      </c>
      <c r="L2" s="9"/>
      <c r="M2" s="386" t="s">
        <v>101</v>
      </c>
      <c r="N2" s="342"/>
      <c r="O2" s="340"/>
      <c r="P2" s="9"/>
      <c r="Q2" s="9"/>
      <c r="R2" s="9"/>
      <c r="S2" s="9"/>
      <c r="T2" s="9"/>
      <c r="U2" s="9"/>
      <c r="V2" s="9"/>
      <c r="W2" s="9"/>
      <c r="X2" s="9"/>
      <c r="Y2" s="9"/>
      <c r="Z2" s="9"/>
      <c r="AA2" s="9"/>
      <c r="AB2" s="9"/>
      <c r="AC2" s="9"/>
      <c r="AD2" s="9"/>
      <c r="AE2" s="9"/>
      <c r="AF2" s="9"/>
      <c r="AG2" s="9"/>
      <c r="AH2" s="9"/>
      <c r="AI2" s="9"/>
    </row>
    <row r="3" spans="1:35" ht="28.5" customHeight="1">
      <c r="A3" s="383" t="s">
        <v>117</v>
      </c>
      <c r="B3" s="342"/>
      <c r="C3" s="342"/>
      <c r="D3" s="342"/>
      <c r="E3" s="342"/>
      <c r="F3" s="342"/>
      <c r="G3" s="342"/>
      <c r="H3" s="342"/>
      <c r="I3" s="342"/>
      <c r="J3" s="340"/>
      <c r="K3" s="385"/>
      <c r="L3" s="9"/>
      <c r="M3" s="122" t="s">
        <v>100</v>
      </c>
      <c r="N3" s="123" t="s">
        <v>103</v>
      </c>
      <c r="O3" s="101" t="s">
        <v>104</v>
      </c>
      <c r="P3" s="9"/>
      <c r="Q3" s="9"/>
      <c r="R3" s="9"/>
      <c r="S3" s="9"/>
      <c r="T3" s="9"/>
      <c r="U3" s="9"/>
      <c r="V3" s="9"/>
      <c r="W3" s="9"/>
      <c r="X3" s="9"/>
      <c r="Y3" s="9"/>
      <c r="Z3" s="9"/>
      <c r="AA3" s="9"/>
      <c r="AB3" s="9"/>
      <c r="AC3" s="9"/>
      <c r="AD3" s="9"/>
      <c r="AE3" s="9"/>
      <c r="AF3" s="9"/>
      <c r="AG3" s="9"/>
      <c r="AH3" s="9"/>
      <c r="AI3" s="9"/>
    </row>
    <row r="4" spans="1:35" ht="15" customHeight="1">
      <c r="A4" s="382" t="s">
        <v>40</v>
      </c>
      <c r="B4" s="382" t="s">
        <v>67</v>
      </c>
      <c r="C4" s="382" t="s">
        <v>81</v>
      </c>
      <c r="D4" s="382" t="s">
        <v>29</v>
      </c>
      <c r="E4" s="382" t="s">
        <v>30</v>
      </c>
      <c r="F4" s="382" t="s">
        <v>32</v>
      </c>
      <c r="G4" s="382" t="s">
        <v>35</v>
      </c>
      <c r="H4" s="382" t="s">
        <v>36</v>
      </c>
      <c r="I4" s="382" t="s">
        <v>37</v>
      </c>
      <c r="J4" s="382" t="s">
        <v>105</v>
      </c>
      <c r="K4" s="385"/>
      <c r="L4" s="9"/>
      <c r="M4" s="124"/>
      <c r="N4" s="123">
        <v>100</v>
      </c>
      <c r="O4" s="151">
        <f>'CO-PO Mapping'!G17</f>
        <v>0</v>
      </c>
      <c r="P4" s="9"/>
      <c r="Q4" s="9"/>
      <c r="R4" s="9"/>
      <c r="S4" s="9"/>
      <c r="T4" s="9"/>
      <c r="U4" s="9"/>
      <c r="V4" s="9"/>
      <c r="W4" s="9"/>
      <c r="X4" s="9"/>
      <c r="Y4" s="9"/>
      <c r="Z4" s="9"/>
      <c r="AA4" s="9"/>
      <c r="AB4" s="9"/>
      <c r="AC4" s="9"/>
      <c r="AD4" s="9"/>
      <c r="AE4" s="9"/>
      <c r="AF4" s="9"/>
      <c r="AG4" s="9"/>
      <c r="AH4" s="9"/>
      <c r="AI4" s="9"/>
    </row>
    <row r="5" spans="1:35" ht="15" customHeight="1">
      <c r="A5" s="346"/>
      <c r="B5" s="346"/>
      <c r="C5" s="346"/>
      <c r="D5" s="346"/>
      <c r="E5" s="346"/>
      <c r="F5" s="346"/>
      <c r="G5" s="346"/>
      <c r="H5" s="346"/>
      <c r="I5" s="346"/>
      <c r="J5" s="346"/>
      <c r="K5" s="385"/>
      <c r="L5" s="9"/>
      <c r="M5" s="124" t="s">
        <v>106</v>
      </c>
      <c r="N5" s="125">
        <v>92.5</v>
      </c>
      <c r="O5" s="126">
        <f t="shared" ref="O5:O12" si="0">N5%*$O$4</f>
        <v>0</v>
      </c>
      <c r="P5" s="9"/>
      <c r="Q5" s="9"/>
      <c r="R5" s="9"/>
      <c r="S5" s="9"/>
      <c r="T5" s="9"/>
      <c r="U5" s="9"/>
      <c r="V5" s="9"/>
      <c r="W5" s="9"/>
      <c r="X5" s="9"/>
      <c r="Y5" s="9"/>
      <c r="Z5" s="9"/>
      <c r="AA5" s="9"/>
      <c r="AB5" s="9"/>
      <c r="AC5" s="9"/>
      <c r="AD5" s="9"/>
      <c r="AE5" s="9"/>
      <c r="AF5" s="9"/>
      <c r="AG5" s="9"/>
      <c r="AH5" s="9"/>
      <c r="AI5" s="9"/>
    </row>
    <row r="6" spans="1:35" ht="15" customHeight="1">
      <c r="A6" s="15"/>
      <c r="B6" s="15"/>
      <c r="C6" s="78" t="s">
        <v>84</v>
      </c>
      <c r="D6" s="306" t="str">
        <f>IF('CO-PO Mapping'!G17="","",IF(O19=0,"",O19))</f>
        <v/>
      </c>
      <c r="E6" s="306" t="str">
        <f>IF('CO-PO Mapping'!G17="","",IF(O20=0,"",O20))</f>
        <v/>
      </c>
      <c r="F6" s="306" t="str">
        <f>IF('CO-PO Mapping'!G17="","",IF(O21=0,"",O21))</f>
        <v/>
      </c>
      <c r="G6" s="306" t="str">
        <f>IF('CO-PO Mapping'!G17="","",IF(O22=0,"",O22))</f>
        <v/>
      </c>
      <c r="H6" s="306" t="str">
        <f>IF('CO-PO Mapping'!G17="","",IF(O23=0,"",O23))</f>
        <v/>
      </c>
      <c r="I6" s="306" t="str">
        <f>IF('CO-PO Mapping'!G17="","",IF(O24=0,"",O24))</f>
        <v/>
      </c>
      <c r="J6" s="307">
        <f>SUM(D6:H6)</f>
        <v>0</v>
      </c>
      <c r="K6" s="385"/>
      <c r="L6" s="9"/>
      <c r="M6" s="124" t="s">
        <v>107</v>
      </c>
      <c r="N6" s="125">
        <v>80</v>
      </c>
      <c r="O6" s="126">
        <f t="shared" si="0"/>
        <v>0</v>
      </c>
      <c r="P6" s="9"/>
      <c r="Q6" s="9"/>
      <c r="R6" s="9"/>
      <c r="S6" s="9"/>
      <c r="T6" s="9"/>
      <c r="U6" s="9"/>
      <c r="V6" s="9"/>
      <c r="W6" s="9"/>
      <c r="X6" s="9"/>
      <c r="Y6" s="9"/>
      <c r="Z6" s="9"/>
      <c r="AA6" s="9"/>
      <c r="AB6" s="9"/>
      <c r="AC6" s="9"/>
      <c r="AD6" s="9"/>
      <c r="AE6" s="9"/>
      <c r="AF6" s="9"/>
      <c r="AG6" s="9"/>
      <c r="AH6" s="9"/>
      <c r="AI6" s="9"/>
    </row>
    <row r="7" spans="1:35" ht="15" customHeight="1">
      <c r="A7" s="62">
        <f>'Students Details'!A7</f>
        <v>1</v>
      </c>
      <c r="B7" s="128" t="str">
        <f>IF('Students Details'!B7="","",'Students Details'!B7)</f>
        <v/>
      </c>
      <c r="C7" s="305" t="str">
        <f>IF('Students Details'!C7="","",'Students Details'!C7)</f>
        <v/>
      </c>
      <c r="D7" s="311" t="str">
        <f t="shared" ref="D7:D61" si="1">IF(K7="","",$N$19%*J7)</f>
        <v/>
      </c>
      <c r="E7" s="311" t="str">
        <f t="shared" ref="E7:E61" si="2">IF(K7="","",$N$20%*J7)</f>
        <v/>
      </c>
      <c r="F7" s="311" t="str">
        <f t="shared" ref="F7:F61" si="3">IF(K7="","",$N$21%*J7)</f>
        <v/>
      </c>
      <c r="G7" s="311" t="str">
        <f t="shared" ref="G7:G61" si="4">IF($N$22="","",IF(K7="","",$N$22%*J7))</f>
        <v/>
      </c>
      <c r="H7" s="311" t="str">
        <f t="shared" ref="H7:H61" si="5">IF($N$23="","",IF(K7="","",$N$23%*J7))</f>
        <v/>
      </c>
      <c r="I7" s="311" t="str">
        <f t="shared" ref="I7:I61" si="6">IF($N$24="","",IF(K7="","",$N$24%*J7))</f>
        <v/>
      </c>
      <c r="J7" s="312" t="str">
        <f t="shared" ref="J7:J61" si="7">IF(K7="","",LOOKUP(K7,$M$5:$M$12,$O$5:$O$12))</f>
        <v/>
      </c>
      <c r="K7" s="313"/>
      <c r="L7" s="9"/>
      <c r="M7" s="124" t="s">
        <v>108</v>
      </c>
      <c r="N7" s="125">
        <v>70</v>
      </c>
      <c r="O7" s="126">
        <f t="shared" si="0"/>
        <v>0</v>
      </c>
      <c r="P7" s="9"/>
      <c r="Q7" s="9"/>
      <c r="R7" s="9"/>
      <c r="S7" s="9"/>
      <c r="T7" s="9"/>
      <c r="U7" s="9"/>
      <c r="V7" s="9"/>
      <c r="W7" s="9"/>
      <c r="X7" s="9"/>
      <c r="Y7" s="9"/>
      <c r="Z7" s="9"/>
      <c r="AA7" s="9"/>
      <c r="AB7" s="9"/>
      <c r="AC7" s="9"/>
      <c r="AD7" s="9"/>
      <c r="AE7" s="9"/>
      <c r="AF7" s="9"/>
      <c r="AG7" s="9"/>
      <c r="AH7" s="9"/>
      <c r="AI7" s="9"/>
    </row>
    <row r="8" spans="1:35" ht="15" customHeight="1">
      <c r="A8" s="62">
        <f>'Students Details'!A8</f>
        <v>2</v>
      </c>
      <c r="B8" s="128" t="str">
        <f>IF('Students Details'!B8="","",'Students Details'!B8)</f>
        <v/>
      </c>
      <c r="C8" s="305" t="str">
        <f>IF('Students Details'!C8="","",'Students Details'!C8)</f>
        <v/>
      </c>
      <c r="D8" s="311" t="str">
        <f t="shared" si="1"/>
        <v/>
      </c>
      <c r="E8" s="311" t="str">
        <f t="shared" si="2"/>
        <v/>
      </c>
      <c r="F8" s="311" t="str">
        <f t="shared" si="3"/>
        <v/>
      </c>
      <c r="G8" s="311" t="str">
        <f t="shared" si="4"/>
        <v/>
      </c>
      <c r="H8" s="311" t="str">
        <f t="shared" si="5"/>
        <v/>
      </c>
      <c r="I8" s="311" t="str">
        <f t="shared" si="6"/>
        <v/>
      </c>
      <c r="J8" s="312" t="str">
        <f t="shared" si="7"/>
        <v/>
      </c>
      <c r="K8" s="313"/>
      <c r="L8" s="133"/>
      <c r="M8" s="124" t="s">
        <v>109</v>
      </c>
      <c r="N8" s="125">
        <v>60</v>
      </c>
      <c r="O8" s="126">
        <f t="shared" si="0"/>
        <v>0</v>
      </c>
      <c r="P8" s="9"/>
      <c r="Q8" s="9"/>
      <c r="R8" s="9"/>
      <c r="S8" s="9"/>
      <c r="T8" s="9"/>
      <c r="U8" s="9"/>
      <c r="V8" s="9"/>
      <c r="W8" s="9"/>
      <c r="X8" s="9"/>
      <c r="Y8" s="9"/>
      <c r="Z8" s="9"/>
      <c r="AA8" s="9"/>
      <c r="AB8" s="9"/>
      <c r="AC8" s="9"/>
      <c r="AD8" s="9"/>
      <c r="AE8" s="9"/>
      <c r="AF8" s="9"/>
      <c r="AG8" s="9"/>
      <c r="AH8" s="9"/>
      <c r="AI8" s="9"/>
    </row>
    <row r="9" spans="1:35" ht="15" customHeight="1">
      <c r="A9" s="62">
        <f>'Students Details'!A9</f>
        <v>3</v>
      </c>
      <c r="B9" s="128" t="str">
        <f>IF('Students Details'!B9="","",'Students Details'!B9)</f>
        <v/>
      </c>
      <c r="C9" s="305" t="str">
        <f>IF('Students Details'!C9="","",'Students Details'!C9)</f>
        <v/>
      </c>
      <c r="D9" s="311" t="str">
        <f t="shared" si="1"/>
        <v/>
      </c>
      <c r="E9" s="311" t="str">
        <f t="shared" si="2"/>
        <v/>
      </c>
      <c r="F9" s="311" t="str">
        <f t="shared" si="3"/>
        <v/>
      </c>
      <c r="G9" s="311" t="str">
        <f t="shared" si="4"/>
        <v/>
      </c>
      <c r="H9" s="311" t="str">
        <f t="shared" si="5"/>
        <v/>
      </c>
      <c r="I9" s="311" t="str">
        <f t="shared" si="6"/>
        <v/>
      </c>
      <c r="J9" s="312" t="str">
        <f t="shared" si="7"/>
        <v/>
      </c>
      <c r="K9" s="313"/>
      <c r="L9" s="133"/>
      <c r="M9" s="124" t="s">
        <v>110</v>
      </c>
      <c r="N9" s="125">
        <v>50</v>
      </c>
      <c r="O9" s="126">
        <f t="shared" si="0"/>
        <v>0</v>
      </c>
      <c r="P9" s="9"/>
      <c r="Q9" s="9"/>
      <c r="R9" s="9"/>
      <c r="S9" s="9"/>
      <c r="T9" s="9"/>
      <c r="U9" s="9"/>
      <c r="V9" s="9"/>
      <c r="W9" s="9"/>
      <c r="X9" s="9"/>
      <c r="Y9" s="9"/>
      <c r="Z9" s="9"/>
      <c r="AA9" s="9"/>
      <c r="AB9" s="9"/>
      <c r="AC9" s="9"/>
      <c r="AD9" s="9"/>
      <c r="AE9" s="9"/>
      <c r="AF9" s="9"/>
      <c r="AG9" s="9"/>
      <c r="AH9" s="9"/>
      <c r="AI9" s="9"/>
    </row>
    <row r="10" spans="1:35" ht="15" customHeight="1">
      <c r="A10" s="62">
        <f>'Students Details'!A10</f>
        <v>4</v>
      </c>
      <c r="B10" s="128" t="str">
        <f>IF('Students Details'!B10="","",'Students Details'!B10)</f>
        <v/>
      </c>
      <c r="C10" s="305" t="str">
        <f>IF('Students Details'!C10="","",'Students Details'!C10)</f>
        <v/>
      </c>
      <c r="D10" s="311" t="str">
        <f t="shared" si="1"/>
        <v/>
      </c>
      <c r="E10" s="311" t="str">
        <f t="shared" si="2"/>
        <v/>
      </c>
      <c r="F10" s="311" t="str">
        <f t="shared" si="3"/>
        <v/>
      </c>
      <c r="G10" s="311" t="str">
        <f t="shared" si="4"/>
        <v/>
      </c>
      <c r="H10" s="311" t="str">
        <f t="shared" si="5"/>
        <v/>
      </c>
      <c r="I10" s="311" t="str">
        <f t="shared" si="6"/>
        <v/>
      </c>
      <c r="J10" s="312" t="str">
        <f t="shared" si="7"/>
        <v/>
      </c>
      <c r="K10" s="313"/>
      <c r="L10" s="133"/>
      <c r="M10" s="124" t="s">
        <v>111</v>
      </c>
      <c r="N10" s="125">
        <v>42</v>
      </c>
      <c r="O10" s="126">
        <f t="shared" si="0"/>
        <v>0</v>
      </c>
      <c r="P10" s="9"/>
      <c r="Q10" s="9"/>
      <c r="R10" s="9"/>
      <c r="S10" s="9"/>
      <c r="T10" s="9"/>
      <c r="U10" s="9"/>
      <c r="V10" s="9"/>
      <c r="W10" s="9"/>
      <c r="X10" s="9"/>
      <c r="Y10" s="9"/>
      <c r="Z10" s="9"/>
      <c r="AA10" s="9"/>
      <c r="AB10" s="9"/>
      <c r="AC10" s="9"/>
      <c r="AD10" s="9"/>
      <c r="AE10" s="9"/>
      <c r="AF10" s="9"/>
      <c r="AG10" s="9"/>
      <c r="AH10" s="9"/>
      <c r="AI10" s="9"/>
    </row>
    <row r="11" spans="1:35" ht="15" customHeight="1">
      <c r="A11" s="62">
        <f>'Students Details'!A11</f>
        <v>5</v>
      </c>
      <c r="B11" s="128" t="str">
        <f>IF('Students Details'!B11="","",'Students Details'!B11)</f>
        <v/>
      </c>
      <c r="C11" s="305" t="str">
        <f>IF('Students Details'!C11="","",'Students Details'!C11)</f>
        <v/>
      </c>
      <c r="D11" s="311" t="str">
        <f t="shared" si="1"/>
        <v/>
      </c>
      <c r="E11" s="311" t="str">
        <f t="shared" si="2"/>
        <v/>
      </c>
      <c r="F11" s="311" t="str">
        <f t="shared" si="3"/>
        <v/>
      </c>
      <c r="G11" s="311" t="str">
        <f t="shared" si="4"/>
        <v/>
      </c>
      <c r="H11" s="311" t="str">
        <f t="shared" si="5"/>
        <v/>
      </c>
      <c r="I11" s="311" t="str">
        <f t="shared" si="6"/>
        <v/>
      </c>
      <c r="J11" s="312" t="str">
        <f t="shared" si="7"/>
        <v/>
      </c>
      <c r="K11" s="313"/>
      <c r="L11" s="133"/>
      <c r="M11" s="124" t="s">
        <v>112</v>
      </c>
      <c r="N11" s="125">
        <v>40</v>
      </c>
      <c r="O11" s="126">
        <f t="shared" si="0"/>
        <v>0</v>
      </c>
      <c r="P11" s="9"/>
      <c r="Q11" s="9"/>
      <c r="R11" s="9"/>
      <c r="S11" s="9"/>
      <c r="T11" s="9"/>
      <c r="U11" s="9"/>
      <c r="V11" s="9"/>
      <c r="W11" s="9"/>
      <c r="X11" s="9"/>
      <c r="Y11" s="9"/>
      <c r="Z11" s="9"/>
      <c r="AA11" s="9"/>
      <c r="AB11" s="9"/>
      <c r="AC11" s="9"/>
      <c r="AD11" s="9"/>
      <c r="AE11" s="9"/>
      <c r="AF11" s="9"/>
      <c r="AG11" s="9"/>
      <c r="AH11" s="9"/>
      <c r="AI11" s="9"/>
    </row>
    <row r="12" spans="1:35" ht="15" customHeight="1">
      <c r="A12" s="62">
        <f>'Students Details'!A12</f>
        <v>6</v>
      </c>
      <c r="B12" s="128" t="str">
        <f>IF('Students Details'!B12="","",'Students Details'!B12)</f>
        <v/>
      </c>
      <c r="C12" s="305" t="str">
        <f>IF('Students Details'!C12="","",'Students Details'!C12)</f>
        <v/>
      </c>
      <c r="D12" s="311" t="str">
        <f t="shared" si="1"/>
        <v/>
      </c>
      <c r="E12" s="311" t="str">
        <f t="shared" si="2"/>
        <v/>
      </c>
      <c r="F12" s="311" t="str">
        <f t="shared" si="3"/>
        <v/>
      </c>
      <c r="G12" s="311" t="str">
        <f t="shared" si="4"/>
        <v/>
      </c>
      <c r="H12" s="311" t="str">
        <f t="shared" si="5"/>
        <v/>
      </c>
      <c r="I12" s="311" t="str">
        <f t="shared" si="6"/>
        <v/>
      </c>
      <c r="J12" s="312" t="str">
        <f t="shared" si="7"/>
        <v/>
      </c>
      <c r="K12" s="313"/>
      <c r="L12" s="133"/>
      <c r="M12" s="124" t="s">
        <v>113</v>
      </c>
      <c r="N12" s="125">
        <v>32</v>
      </c>
      <c r="O12" s="126">
        <f t="shared" si="0"/>
        <v>0</v>
      </c>
      <c r="P12" s="9"/>
      <c r="Q12" s="9"/>
      <c r="R12" s="9"/>
      <c r="S12" s="9"/>
      <c r="T12" s="9"/>
      <c r="U12" s="9"/>
      <c r="V12" s="9"/>
      <c r="W12" s="9"/>
      <c r="X12" s="9"/>
      <c r="Y12" s="9"/>
      <c r="Z12" s="9"/>
      <c r="AA12" s="9"/>
      <c r="AB12" s="9"/>
      <c r="AC12" s="9"/>
      <c r="AD12" s="9"/>
      <c r="AE12" s="9"/>
      <c r="AF12" s="9"/>
      <c r="AG12" s="9"/>
      <c r="AH12" s="9"/>
      <c r="AI12" s="9"/>
    </row>
    <row r="13" spans="1:35" ht="15" customHeight="1">
      <c r="A13" s="62">
        <f>'Students Details'!A13</f>
        <v>7</v>
      </c>
      <c r="B13" s="128" t="str">
        <f>IF('Students Details'!B13="","",'Students Details'!B13)</f>
        <v/>
      </c>
      <c r="C13" s="305" t="str">
        <f>IF('Students Details'!C13="","",'Students Details'!C13)</f>
        <v/>
      </c>
      <c r="D13" s="311" t="str">
        <f t="shared" si="1"/>
        <v/>
      </c>
      <c r="E13" s="311" t="str">
        <f t="shared" si="2"/>
        <v/>
      </c>
      <c r="F13" s="311" t="str">
        <f t="shared" si="3"/>
        <v/>
      </c>
      <c r="G13" s="311" t="str">
        <f t="shared" si="4"/>
        <v/>
      </c>
      <c r="H13" s="311" t="str">
        <f t="shared" si="5"/>
        <v/>
      </c>
      <c r="I13" s="311" t="str">
        <f t="shared" si="6"/>
        <v/>
      </c>
      <c r="J13" s="312" t="str">
        <f t="shared" si="7"/>
        <v/>
      </c>
      <c r="K13" s="313"/>
      <c r="L13" s="133"/>
      <c r="M13" s="9"/>
      <c r="N13" s="9"/>
      <c r="O13" s="9"/>
      <c r="P13" s="9"/>
      <c r="Q13" s="9"/>
      <c r="R13" s="9"/>
      <c r="S13" s="9"/>
      <c r="T13" s="9"/>
      <c r="U13" s="9"/>
      <c r="V13" s="9"/>
      <c r="W13" s="9"/>
      <c r="X13" s="9"/>
      <c r="Y13" s="9"/>
      <c r="Z13" s="9"/>
      <c r="AA13" s="9"/>
      <c r="AB13" s="9"/>
      <c r="AC13" s="9"/>
      <c r="AD13" s="9"/>
      <c r="AE13" s="9"/>
      <c r="AF13" s="9"/>
      <c r="AG13" s="9"/>
      <c r="AH13" s="9"/>
      <c r="AI13" s="9"/>
    </row>
    <row r="14" spans="1:35" ht="15" customHeight="1">
      <c r="A14" s="62">
        <f>'Students Details'!A14</f>
        <v>8</v>
      </c>
      <c r="B14" s="128" t="str">
        <f>IF('Students Details'!B14="","",'Students Details'!B14)</f>
        <v/>
      </c>
      <c r="C14" s="305" t="str">
        <f>IF('Students Details'!C14="","",'Students Details'!C14)</f>
        <v/>
      </c>
      <c r="D14" s="311" t="str">
        <f t="shared" si="1"/>
        <v/>
      </c>
      <c r="E14" s="311" t="str">
        <f t="shared" si="2"/>
        <v/>
      </c>
      <c r="F14" s="311" t="str">
        <f t="shared" si="3"/>
        <v/>
      </c>
      <c r="G14" s="311" t="str">
        <f t="shared" si="4"/>
        <v/>
      </c>
      <c r="H14" s="311" t="str">
        <f t="shared" si="5"/>
        <v/>
      </c>
      <c r="I14" s="311" t="str">
        <f t="shared" si="6"/>
        <v/>
      </c>
      <c r="J14" s="312" t="str">
        <f t="shared" si="7"/>
        <v/>
      </c>
      <c r="K14" s="313"/>
      <c r="L14" s="133"/>
      <c r="M14" s="9"/>
      <c r="N14" s="9"/>
      <c r="O14" s="9"/>
      <c r="P14" s="9"/>
      <c r="Q14" s="9"/>
      <c r="R14" s="9"/>
      <c r="S14" s="9"/>
      <c r="T14" s="9"/>
      <c r="U14" s="9"/>
      <c r="V14" s="9"/>
      <c r="W14" s="9"/>
      <c r="X14" s="9"/>
      <c r="Y14" s="9"/>
      <c r="Z14" s="9"/>
      <c r="AA14" s="9"/>
      <c r="AB14" s="9"/>
      <c r="AC14" s="9"/>
      <c r="AD14" s="9"/>
      <c r="AE14" s="9"/>
      <c r="AF14" s="9"/>
      <c r="AG14" s="9"/>
      <c r="AH14" s="9"/>
      <c r="AI14" s="9"/>
    </row>
    <row r="15" spans="1:35" ht="15" customHeight="1">
      <c r="A15" s="62">
        <f>'Students Details'!A15</f>
        <v>9</v>
      </c>
      <c r="B15" s="128" t="str">
        <f>IF('Students Details'!B15="","",'Students Details'!B15)</f>
        <v/>
      </c>
      <c r="C15" s="305" t="str">
        <f>IF('Students Details'!C15="","",'Students Details'!C15)</f>
        <v/>
      </c>
      <c r="D15" s="311" t="str">
        <f t="shared" si="1"/>
        <v/>
      </c>
      <c r="E15" s="311" t="str">
        <f t="shared" si="2"/>
        <v/>
      </c>
      <c r="F15" s="311" t="str">
        <f t="shared" si="3"/>
        <v/>
      </c>
      <c r="G15" s="311" t="str">
        <f t="shared" si="4"/>
        <v/>
      </c>
      <c r="H15" s="311" t="str">
        <f t="shared" si="5"/>
        <v/>
      </c>
      <c r="I15" s="311" t="str">
        <f t="shared" si="6"/>
        <v/>
      </c>
      <c r="J15" s="312" t="str">
        <f t="shared" si="7"/>
        <v/>
      </c>
      <c r="K15" s="313"/>
      <c r="L15" s="133"/>
      <c r="M15" s="9"/>
      <c r="N15" s="9"/>
      <c r="O15" s="9"/>
      <c r="P15" s="9"/>
      <c r="Q15" s="9"/>
      <c r="R15" s="9"/>
      <c r="S15" s="9"/>
      <c r="T15" s="9"/>
      <c r="U15" s="9"/>
      <c r="V15" s="9"/>
      <c r="W15" s="9"/>
      <c r="X15" s="9"/>
      <c r="Y15" s="9"/>
      <c r="Z15" s="9"/>
      <c r="AA15" s="9"/>
      <c r="AB15" s="9"/>
      <c r="AC15" s="9"/>
      <c r="AD15" s="9"/>
      <c r="AE15" s="9"/>
      <c r="AF15" s="9"/>
      <c r="AG15" s="9"/>
      <c r="AH15" s="9"/>
      <c r="AI15" s="9"/>
    </row>
    <row r="16" spans="1:35" ht="15" customHeight="1">
      <c r="A16" s="62">
        <f>'Students Details'!A16</f>
        <v>10</v>
      </c>
      <c r="B16" s="128" t="str">
        <f>IF('Students Details'!B16="","",'Students Details'!B16)</f>
        <v/>
      </c>
      <c r="C16" s="305" t="str">
        <f>IF('Students Details'!C16="","",'Students Details'!C16)</f>
        <v/>
      </c>
      <c r="D16" s="311" t="str">
        <f t="shared" si="1"/>
        <v/>
      </c>
      <c r="E16" s="311" t="str">
        <f t="shared" si="2"/>
        <v/>
      </c>
      <c r="F16" s="311" t="str">
        <f t="shared" si="3"/>
        <v/>
      </c>
      <c r="G16" s="311" t="str">
        <f t="shared" si="4"/>
        <v/>
      </c>
      <c r="H16" s="311" t="str">
        <f t="shared" si="5"/>
        <v/>
      </c>
      <c r="I16" s="311" t="str">
        <f t="shared" si="6"/>
        <v/>
      </c>
      <c r="J16" s="312" t="str">
        <f t="shared" si="7"/>
        <v/>
      </c>
      <c r="K16" s="313"/>
      <c r="L16" s="133"/>
      <c r="M16" s="348" t="s">
        <v>118</v>
      </c>
      <c r="N16" s="387"/>
      <c r="O16" s="349"/>
      <c r="P16" s="9"/>
      <c r="Q16" s="9"/>
      <c r="R16" s="9"/>
      <c r="S16" s="9"/>
      <c r="T16" s="9"/>
      <c r="U16" s="9"/>
      <c r="V16" s="9"/>
      <c r="W16" s="9"/>
      <c r="X16" s="9"/>
      <c r="Y16" s="9"/>
      <c r="Z16" s="9"/>
      <c r="AA16" s="9"/>
      <c r="AB16" s="9"/>
      <c r="AC16" s="9"/>
      <c r="AD16" s="9"/>
      <c r="AE16" s="9"/>
      <c r="AF16" s="9"/>
      <c r="AG16" s="9"/>
      <c r="AH16" s="9"/>
      <c r="AI16" s="9"/>
    </row>
    <row r="17" spans="1:35" ht="15" customHeight="1">
      <c r="A17" s="62">
        <f>'Students Details'!A17</f>
        <v>11</v>
      </c>
      <c r="B17" s="128" t="str">
        <f>IF('Students Details'!B17="","",'Students Details'!B17)</f>
        <v/>
      </c>
      <c r="C17" s="305" t="str">
        <f>IF('Students Details'!C17="","",'Students Details'!C17)</f>
        <v/>
      </c>
      <c r="D17" s="311" t="str">
        <f t="shared" si="1"/>
        <v/>
      </c>
      <c r="E17" s="311" t="str">
        <f t="shared" si="2"/>
        <v/>
      </c>
      <c r="F17" s="311" t="str">
        <f t="shared" si="3"/>
        <v/>
      </c>
      <c r="G17" s="311" t="str">
        <f t="shared" si="4"/>
        <v/>
      </c>
      <c r="H17" s="311" t="str">
        <f t="shared" si="5"/>
        <v/>
      </c>
      <c r="I17" s="311" t="str">
        <f t="shared" si="6"/>
        <v/>
      </c>
      <c r="J17" s="312" t="str">
        <f t="shared" si="7"/>
        <v/>
      </c>
      <c r="K17" s="313"/>
      <c r="L17" s="133"/>
      <c r="M17" s="352"/>
      <c r="N17" s="356"/>
      <c r="O17" s="353"/>
      <c r="P17" s="9"/>
      <c r="Q17" s="9"/>
      <c r="R17" s="9"/>
      <c r="S17" s="9"/>
      <c r="T17" s="9"/>
      <c r="U17" s="9"/>
      <c r="V17" s="9"/>
      <c r="W17" s="9"/>
      <c r="X17" s="9"/>
      <c r="Y17" s="9"/>
      <c r="Z17" s="9"/>
      <c r="AA17" s="9"/>
      <c r="AB17" s="9"/>
      <c r="AC17" s="9"/>
      <c r="AD17" s="9"/>
      <c r="AE17" s="9"/>
      <c r="AF17" s="9"/>
      <c r="AG17" s="9"/>
      <c r="AH17" s="9"/>
      <c r="AI17" s="9"/>
    </row>
    <row r="18" spans="1:35" ht="15" customHeight="1">
      <c r="A18" s="62">
        <f>'Students Details'!A18</f>
        <v>12</v>
      </c>
      <c r="B18" s="128" t="str">
        <f>IF('Students Details'!B18="","",'Students Details'!B18)</f>
        <v/>
      </c>
      <c r="C18" s="305" t="str">
        <f>IF('Students Details'!C18="","",'Students Details'!C18)</f>
        <v/>
      </c>
      <c r="D18" s="311" t="str">
        <f t="shared" si="1"/>
        <v/>
      </c>
      <c r="E18" s="311" t="str">
        <f t="shared" si="2"/>
        <v/>
      </c>
      <c r="F18" s="311" t="str">
        <f t="shared" si="3"/>
        <v/>
      </c>
      <c r="G18" s="311" t="str">
        <f t="shared" si="4"/>
        <v/>
      </c>
      <c r="H18" s="311" t="str">
        <f t="shared" si="5"/>
        <v/>
      </c>
      <c r="I18" s="311" t="str">
        <f t="shared" si="6"/>
        <v/>
      </c>
      <c r="J18" s="312" t="str">
        <f t="shared" si="7"/>
        <v/>
      </c>
      <c r="K18" s="313"/>
      <c r="L18" s="133"/>
      <c r="M18" s="134"/>
      <c r="N18" s="62" t="s">
        <v>103</v>
      </c>
      <c r="O18" s="62" t="s">
        <v>84</v>
      </c>
      <c r="P18" s="9"/>
      <c r="Q18" s="9"/>
      <c r="R18" s="9"/>
      <c r="S18" s="9"/>
      <c r="T18" s="9"/>
      <c r="U18" s="9"/>
      <c r="V18" s="9"/>
      <c r="W18" s="9"/>
      <c r="X18" s="9"/>
      <c r="Y18" s="9"/>
      <c r="Z18" s="9"/>
      <c r="AA18" s="9"/>
      <c r="AB18" s="9"/>
      <c r="AC18" s="9"/>
      <c r="AD18" s="9"/>
      <c r="AE18" s="9"/>
      <c r="AF18" s="9"/>
      <c r="AG18" s="9"/>
      <c r="AH18" s="9"/>
      <c r="AI18" s="9"/>
    </row>
    <row r="19" spans="1:35" ht="15" customHeight="1">
      <c r="A19" s="62">
        <f>'Students Details'!A19</f>
        <v>13</v>
      </c>
      <c r="B19" s="128" t="str">
        <f>IF('Students Details'!B19="","",'Students Details'!B19)</f>
        <v/>
      </c>
      <c r="C19" s="305" t="str">
        <f>IF('Students Details'!C19="","",'Students Details'!C19)</f>
        <v/>
      </c>
      <c r="D19" s="311" t="str">
        <f t="shared" si="1"/>
        <v/>
      </c>
      <c r="E19" s="311" t="str">
        <f t="shared" si="2"/>
        <v/>
      </c>
      <c r="F19" s="311" t="str">
        <f t="shared" si="3"/>
        <v/>
      </c>
      <c r="G19" s="311" t="str">
        <f t="shared" si="4"/>
        <v/>
      </c>
      <c r="H19" s="311" t="str">
        <f t="shared" si="5"/>
        <v/>
      </c>
      <c r="I19" s="311" t="str">
        <f t="shared" si="6"/>
        <v/>
      </c>
      <c r="J19" s="312" t="str">
        <f t="shared" si="7"/>
        <v/>
      </c>
      <c r="K19" s="313"/>
      <c r="L19" s="133"/>
      <c r="M19" s="134" t="s">
        <v>29</v>
      </c>
      <c r="N19" s="44">
        <v>10</v>
      </c>
      <c r="O19" s="132">
        <f t="shared" ref="O19:O21" si="8">N19%*$O$4</f>
        <v>0</v>
      </c>
      <c r="P19" s="9"/>
      <c r="Q19" s="9"/>
      <c r="R19" s="9"/>
      <c r="S19" s="9"/>
      <c r="T19" s="9"/>
      <c r="U19" s="9"/>
      <c r="V19" s="9"/>
      <c r="W19" s="9"/>
      <c r="X19" s="9"/>
      <c r="Y19" s="9"/>
      <c r="Z19" s="9"/>
      <c r="AA19" s="9"/>
      <c r="AB19" s="9"/>
      <c r="AC19" s="9"/>
      <c r="AD19" s="9"/>
      <c r="AE19" s="9"/>
      <c r="AF19" s="9"/>
      <c r="AG19" s="9"/>
      <c r="AH19" s="9"/>
      <c r="AI19" s="9"/>
    </row>
    <row r="20" spans="1:35" ht="15" customHeight="1">
      <c r="A20" s="62">
        <f>'Students Details'!A20</f>
        <v>14</v>
      </c>
      <c r="B20" s="128" t="str">
        <f>IF('Students Details'!B20="","",'Students Details'!B20)</f>
        <v/>
      </c>
      <c r="C20" s="305" t="str">
        <f>IF('Students Details'!C20="","",'Students Details'!C20)</f>
        <v/>
      </c>
      <c r="D20" s="311" t="str">
        <f t="shared" si="1"/>
        <v/>
      </c>
      <c r="E20" s="311" t="str">
        <f t="shared" si="2"/>
        <v/>
      </c>
      <c r="F20" s="311" t="str">
        <f t="shared" si="3"/>
        <v/>
      </c>
      <c r="G20" s="311" t="str">
        <f t="shared" si="4"/>
        <v/>
      </c>
      <c r="H20" s="311" t="str">
        <f t="shared" si="5"/>
        <v/>
      </c>
      <c r="I20" s="311" t="str">
        <f t="shared" si="6"/>
        <v/>
      </c>
      <c r="J20" s="312" t="str">
        <f t="shared" si="7"/>
        <v/>
      </c>
      <c r="K20" s="313"/>
      <c r="L20" s="133"/>
      <c r="M20" s="134" t="s">
        <v>30</v>
      </c>
      <c r="N20" s="44">
        <v>30</v>
      </c>
      <c r="O20" s="132">
        <f t="shared" si="8"/>
        <v>0</v>
      </c>
      <c r="P20" s="9"/>
      <c r="Q20" s="9"/>
      <c r="R20" s="9"/>
      <c r="S20" s="9"/>
      <c r="T20" s="9"/>
      <c r="U20" s="9"/>
      <c r="V20" s="9"/>
      <c r="W20" s="9"/>
      <c r="X20" s="9"/>
      <c r="Y20" s="9"/>
      <c r="Z20" s="9"/>
      <c r="AA20" s="9"/>
      <c r="AB20" s="9"/>
      <c r="AC20" s="9"/>
      <c r="AD20" s="9"/>
      <c r="AE20" s="9"/>
      <c r="AF20" s="9"/>
      <c r="AG20" s="9"/>
      <c r="AH20" s="9"/>
      <c r="AI20" s="9"/>
    </row>
    <row r="21" spans="1:35" ht="15" customHeight="1">
      <c r="A21" s="62">
        <f>'Students Details'!A21</f>
        <v>15</v>
      </c>
      <c r="B21" s="128" t="str">
        <f>IF('Students Details'!B21="","",'Students Details'!B21)</f>
        <v/>
      </c>
      <c r="C21" s="305" t="str">
        <f>IF('Students Details'!C21="","",'Students Details'!C21)</f>
        <v/>
      </c>
      <c r="D21" s="311" t="str">
        <f t="shared" si="1"/>
        <v/>
      </c>
      <c r="E21" s="311" t="str">
        <f t="shared" si="2"/>
        <v/>
      </c>
      <c r="F21" s="311" t="str">
        <f t="shared" si="3"/>
        <v/>
      </c>
      <c r="G21" s="311" t="str">
        <f t="shared" si="4"/>
        <v/>
      </c>
      <c r="H21" s="311" t="str">
        <f t="shared" si="5"/>
        <v/>
      </c>
      <c r="I21" s="311" t="str">
        <f t="shared" si="6"/>
        <v/>
      </c>
      <c r="J21" s="312" t="str">
        <f t="shared" si="7"/>
        <v/>
      </c>
      <c r="K21" s="313"/>
      <c r="L21" s="133"/>
      <c r="M21" s="134" t="s">
        <v>32</v>
      </c>
      <c r="N21" s="44">
        <v>20</v>
      </c>
      <c r="O21" s="132">
        <f t="shared" si="8"/>
        <v>0</v>
      </c>
      <c r="P21" s="9"/>
      <c r="Q21" s="9"/>
      <c r="R21" s="9"/>
      <c r="S21" s="9"/>
      <c r="T21" s="9"/>
      <c r="U21" s="9"/>
      <c r="V21" s="9"/>
      <c r="W21" s="9"/>
      <c r="X21" s="9"/>
      <c r="Y21" s="9"/>
      <c r="Z21" s="9"/>
      <c r="AA21" s="9"/>
      <c r="AB21" s="9"/>
      <c r="AC21" s="9"/>
      <c r="AD21" s="9"/>
      <c r="AE21" s="9"/>
      <c r="AF21" s="9"/>
      <c r="AG21" s="9"/>
      <c r="AH21" s="9"/>
      <c r="AI21" s="9"/>
    </row>
    <row r="22" spans="1:35" ht="15" customHeight="1">
      <c r="A22" s="62">
        <f>'Students Details'!A22</f>
        <v>16</v>
      </c>
      <c r="B22" s="128" t="str">
        <f>IF('Students Details'!B22="","",'Students Details'!B22)</f>
        <v/>
      </c>
      <c r="C22" s="305" t="str">
        <f>IF('Students Details'!C22="","",'Students Details'!C22)</f>
        <v/>
      </c>
      <c r="D22" s="311" t="str">
        <f t="shared" si="1"/>
        <v/>
      </c>
      <c r="E22" s="311" t="str">
        <f t="shared" si="2"/>
        <v/>
      </c>
      <c r="F22" s="311" t="str">
        <f t="shared" si="3"/>
        <v/>
      </c>
      <c r="G22" s="311" t="str">
        <f t="shared" si="4"/>
        <v/>
      </c>
      <c r="H22" s="311" t="str">
        <f t="shared" si="5"/>
        <v/>
      </c>
      <c r="I22" s="311" t="str">
        <f t="shared" si="6"/>
        <v/>
      </c>
      <c r="J22" s="312" t="str">
        <f t="shared" si="7"/>
        <v/>
      </c>
      <c r="K22" s="313"/>
      <c r="L22" s="133"/>
      <c r="M22" s="134" t="s">
        <v>35</v>
      </c>
      <c r="N22" s="44">
        <v>20</v>
      </c>
      <c r="O22" s="132">
        <f>IF('CO-PO Mapping'!A10="",0,N22%*$O$4)</f>
        <v>0</v>
      </c>
      <c r="P22" s="9"/>
      <c r="Q22" s="9"/>
      <c r="R22" s="9"/>
      <c r="S22" s="9"/>
      <c r="T22" s="9"/>
      <c r="U22" s="9"/>
      <c r="V22" s="9"/>
      <c r="W22" s="9"/>
      <c r="X22" s="9"/>
      <c r="Y22" s="9"/>
      <c r="Z22" s="9"/>
      <c r="AA22" s="9"/>
      <c r="AB22" s="9"/>
      <c r="AC22" s="9"/>
      <c r="AD22" s="9"/>
      <c r="AE22" s="9"/>
      <c r="AF22" s="9"/>
      <c r="AG22" s="9"/>
      <c r="AH22" s="9"/>
      <c r="AI22" s="9"/>
    </row>
    <row r="23" spans="1:35" ht="15" customHeight="1">
      <c r="A23" s="62">
        <f>'Students Details'!A23</f>
        <v>17</v>
      </c>
      <c r="B23" s="128" t="str">
        <f>IF('Students Details'!B23="","",'Students Details'!B23)</f>
        <v/>
      </c>
      <c r="C23" s="305" t="str">
        <f>IF('Students Details'!C23="","",'Students Details'!C23)</f>
        <v/>
      </c>
      <c r="D23" s="311" t="str">
        <f t="shared" si="1"/>
        <v/>
      </c>
      <c r="E23" s="311" t="str">
        <f t="shared" si="2"/>
        <v/>
      </c>
      <c r="F23" s="311" t="str">
        <f t="shared" si="3"/>
        <v/>
      </c>
      <c r="G23" s="311" t="str">
        <f t="shared" si="4"/>
        <v/>
      </c>
      <c r="H23" s="311" t="str">
        <f t="shared" si="5"/>
        <v/>
      </c>
      <c r="I23" s="311" t="str">
        <f t="shared" si="6"/>
        <v/>
      </c>
      <c r="J23" s="312" t="str">
        <f t="shared" si="7"/>
        <v/>
      </c>
      <c r="K23" s="313"/>
      <c r="L23" s="133"/>
      <c r="M23" s="134" t="s">
        <v>36</v>
      </c>
      <c r="N23" s="44">
        <v>20</v>
      </c>
      <c r="O23" s="132">
        <f>IF('CO-PO Mapping'!A11="",0,N23%*$O$4)</f>
        <v>0</v>
      </c>
      <c r="P23" s="9"/>
      <c r="Q23" s="9"/>
      <c r="R23" s="9"/>
      <c r="S23" s="9"/>
      <c r="T23" s="9"/>
      <c r="U23" s="9"/>
      <c r="V23" s="9"/>
      <c r="W23" s="9"/>
      <c r="X23" s="9"/>
      <c r="Y23" s="9"/>
      <c r="Z23" s="9"/>
      <c r="AA23" s="9"/>
      <c r="AB23" s="9"/>
      <c r="AC23" s="9"/>
      <c r="AD23" s="9"/>
      <c r="AE23" s="9"/>
      <c r="AF23" s="9"/>
      <c r="AG23" s="9"/>
      <c r="AH23" s="9"/>
      <c r="AI23" s="9"/>
    </row>
    <row r="24" spans="1:35" ht="15" customHeight="1">
      <c r="A24" s="62">
        <f>'Students Details'!A24</f>
        <v>18</v>
      </c>
      <c r="B24" s="128" t="str">
        <f>IF('Students Details'!B24="","",'Students Details'!B24)</f>
        <v/>
      </c>
      <c r="C24" s="305" t="str">
        <f>IF('Students Details'!C24="","",'Students Details'!C24)</f>
        <v/>
      </c>
      <c r="D24" s="311" t="str">
        <f t="shared" si="1"/>
        <v/>
      </c>
      <c r="E24" s="311" t="str">
        <f t="shared" si="2"/>
        <v/>
      </c>
      <c r="F24" s="311" t="str">
        <f t="shared" si="3"/>
        <v/>
      </c>
      <c r="G24" s="311" t="str">
        <f t="shared" si="4"/>
        <v/>
      </c>
      <c r="H24" s="311" t="str">
        <f t="shared" si="5"/>
        <v/>
      </c>
      <c r="I24" s="311" t="str">
        <f t="shared" si="6"/>
        <v/>
      </c>
      <c r="J24" s="312" t="str">
        <f t="shared" si="7"/>
        <v/>
      </c>
      <c r="K24" s="313"/>
      <c r="L24" s="133"/>
      <c r="M24" s="134" t="s">
        <v>37</v>
      </c>
      <c r="N24" s="44"/>
      <c r="O24" s="132">
        <f>IF('CO-PO Mapping'!A12="",0,N24%*$O$4)</f>
        <v>0</v>
      </c>
      <c r="P24" s="9"/>
      <c r="Q24" s="9"/>
      <c r="R24" s="9"/>
      <c r="S24" s="9"/>
      <c r="T24" s="9"/>
      <c r="U24" s="9"/>
      <c r="V24" s="9"/>
      <c r="W24" s="9"/>
      <c r="X24" s="9"/>
      <c r="Y24" s="9"/>
      <c r="Z24" s="9"/>
      <c r="AA24" s="9"/>
      <c r="AB24" s="9"/>
      <c r="AC24" s="9"/>
      <c r="AD24" s="9"/>
      <c r="AE24" s="9"/>
      <c r="AF24" s="9"/>
      <c r="AG24" s="9"/>
      <c r="AH24" s="9"/>
      <c r="AI24" s="9"/>
    </row>
    <row r="25" spans="1:35" ht="15" customHeight="1">
      <c r="A25" s="62">
        <f>'Students Details'!A25</f>
        <v>19</v>
      </c>
      <c r="B25" s="128" t="str">
        <f>IF('Students Details'!B25="","",'Students Details'!B25)</f>
        <v/>
      </c>
      <c r="C25" s="305" t="str">
        <f>IF('Students Details'!C25="","",'Students Details'!C25)</f>
        <v/>
      </c>
      <c r="D25" s="311" t="str">
        <f t="shared" si="1"/>
        <v/>
      </c>
      <c r="E25" s="311" t="str">
        <f t="shared" si="2"/>
        <v/>
      </c>
      <c r="F25" s="311" t="str">
        <f t="shared" si="3"/>
        <v/>
      </c>
      <c r="G25" s="311" t="str">
        <f t="shared" si="4"/>
        <v/>
      </c>
      <c r="H25" s="311" t="str">
        <f t="shared" si="5"/>
        <v/>
      </c>
      <c r="I25" s="311" t="str">
        <f t="shared" si="6"/>
        <v/>
      </c>
      <c r="J25" s="312" t="str">
        <f t="shared" si="7"/>
        <v/>
      </c>
      <c r="K25" s="313"/>
      <c r="L25" s="133"/>
      <c r="M25" s="134" t="s">
        <v>73</v>
      </c>
      <c r="N25" s="91">
        <f t="shared" ref="N25:O25" si="9">SUM(N19:N24)</f>
        <v>100</v>
      </c>
      <c r="O25" s="91">
        <f t="shared" si="9"/>
        <v>0</v>
      </c>
      <c r="P25" s="9"/>
      <c r="Q25" s="9"/>
      <c r="R25" s="9"/>
      <c r="S25" s="9"/>
      <c r="T25" s="9"/>
      <c r="U25" s="9"/>
      <c r="V25" s="9"/>
      <c r="W25" s="9"/>
      <c r="X25" s="9"/>
      <c r="Y25" s="9"/>
      <c r="Z25" s="9"/>
      <c r="AA25" s="9"/>
      <c r="AB25" s="9"/>
      <c r="AC25" s="9"/>
      <c r="AD25" s="9"/>
      <c r="AE25" s="9"/>
      <c r="AF25" s="9"/>
      <c r="AG25" s="9"/>
      <c r="AH25" s="9"/>
      <c r="AI25" s="9"/>
    </row>
    <row r="26" spans="1:35" ht="15" customHeight="1">
      <c r="A26" s="62">
        <f>'Students Details'!A26</f>
        <v>20</v>
      </c>
      <c r="B26" s="128" t="str">
        <f>IF('Students Details'!B26="","",'Students Details'!B26)</f>
        <v/>
      </c>
      <c r="C26" s="305" t="str">
        <f>IF('Students Details'!C26="","",'Students Details'!C26)</f>
        <v/>
      </c>
      <c r="D26" s="311" t="str">
        <f t="shared" si="1"/>
        <v/>
      </c>
      <c r="E26" s="311" t="str">
        <f t="shared" si="2"/>
        <v/>
      </c>
      <c r="F26" s="311" t="str">
        <f t="shared" si="3"/>
        <v/>
      </c>
      <c r="G26" s="311" t="str">
        <f t="shared" si="4"/>
        <v/>
      </c>
      <c r="H26" s="311" t="str">
        <f t="shared" si="5"/>
        <v/>
      </c>
      <c r="I26" s="311" t="str">
        <f t="shared" si="6"/>
        <v/>
      </c>
      <c r="J26" s="312" t="str">
        <f t="shared" si="7"/>
        <v/>
      </c>
      <c r="K26" s="313"/>
      <c r="L26" s="133"/>
      <c r="M26" s="9"/>
      <c r="N26" s="9"/>
      <c r="O26" s="9"/>
      <c r="P26" s="9"/>
      <c r="Q26" s="9"/>
      <c r="R26" s="9"/>
      <c r="S26" s="9"/>
      <c r="T26" s="9"/>
      <c r="U26" s="9"/>
      <c r="V26" s="9"/>
      <c r="W26" s="9"/>
      <c r="X26" s="9"/>
      <c r="Y26" s="9"/>
      <c r="Z26" s="9"/>
      <c r="AA26" s="9"/>
      <c r="AB26" s="9"/>
      <c r="AC26" s="9"/>
      <c r="AD26" s="9"/>
      <c r="AE26" s="9"/>
      <c r="AF26" s="9"/>
      <c r="AG26" s="9"/>
      <c r="AH26" s="9"/>
      <c r="AI26" s="9"/>
    </row>
    <row r="27" spans="1:35" ht="15" customHeight="1">
      <c r="A27" s="62">
        <f>'Students Details'!A27</f>
        <v>21</v>
      </c>
      <c r="B27" s="128" t="str">
        <f>IF('Students Details'!B27="","",'Students Details'!B27)</f>
        <v/>
      </c>
      <c r="C27" s="305" t="str">
        <f>IF('Students Details'!C27="","",'Students Details'!C27)</f>
        <v/>
      </c>
      <c r="D27" s="311" t="str">
        <f t="shared" si="1"/>
        <v/>
      </c>
      <c r="E27" s="311" t="str">
        <f t="shared" si="2"/>
        <v/>
      </c>
      <c r="F27" s="311" t="str">
        <f t="shared" si="3"/>
        <v/>
      </c>
      <c r="G27" s="311" t="str">
        <f t="shared" si="4"/>
        <v/>
      </c>
      <c r="H27" s="311" t="str">
        <f t="shared" si="5"/>
        <v/>
      </c>
      <c r="I27" s="311" t="str">
        <f t="shared" si="6"/>
        <v/>
      </c>
      <c r="J27" s="312" t="str">
        <f t="shared" si="7"/>
        <v/>
      </c>
      <c r="K27" s="313"/>
      <c r="L27" s="133"/>
      <c r="M27" s="9"/>
      <c r="N27" s="9"/>
      <c r="O27" s="9"/>
      <c r="P27" s="9"/>
      <c r="Q27" s="9"/>
      <c r="R27" s="9"/>
      <c r="S27" s="9"/>
      <c r="T27" s="9"/>
      <c r="U27" s="9"/>
      <c r="V27" s="9"/>
      <c r="W27" s="9"/>
      <c r="X27" s="9"/>
      <c r="Y27" s="9"/>
      <c r="Z27" s="9"/>
      <c r="AA27" s="9"/>
      <c r="AB27" s="9"/>
      <c r="AC27" s="9"/>
      <c r="AD27" s="9"/>
      <c r="AE27" s="9"/>
      <c r="AF27" s="9"/>
      <c r="AG27" s="9"/>
      <c r="AH27" s="9"/>
      <c r="AI27" s="9"/>
    </row>
    <row r="28" spans="1:35" ht="15" customHeight="1">
      <c r="A28" s="62">
        <f>'Students Details'!A28</f>
        <v>22</v>
      </c>
      <c r="B28" s="128" t="str">
        <f>IF('Students Details'!B28="","",'Students Details'!B28)</f>
        <v/>
      </c>
      <c r="C28" s="305" t="str">
        <f>IF('Students Details'!C28="","",'Students Details'!C28)</f>
        <v/>
      </c>
      <c r="D28" s="311" t="str">
        <f t="shared" si="1"/>
        <v/>
      </c>
      <c r="E28" s="311" t="str">
        <f t="shared" si="2"/>
        <v/>
      </c>
      <c r="F28" s="311" t="str">
        <f t="shared" si="3"/>
        <v/>
      </c>
      <c r="G28" s="311" t="str">
        <f t="shared" si="4"/>
        <v/>
      </c>
      <c r="H28" s="311" t="str">
        <f t="shared" si="5"/>
        <v/>
      </c>
      <c r="I28" s="311" t="str">
        <f t="shared" si="6"/>
        <v/>
      </c>
      <c r="J28" s="312" t="str">
        <f t="shared" si="7"/>
        <v/>
      </c>
      <c r="K28" s="313"/>
      <c r="L28" s="133"/>
      <c r="M28" s="9"/>
      <c r="N28" s="9"/>
      <c r="O28" s="9"/>
      <c r="P28" s="9"/>
      <c r="Q28" s="9"/>
      <c r="R28" s="9"/>
      <c r="S28" s="9"/>
      <c r="T28" s="9"/>
      <c r="U28" s="9"/>
      <c r="V28" s="9"/>
      <c r="W28" s="9"/>
      <c r="X28" s="9"/>
      <c r="Y28" s="9"/>
      <c r="Z28" s="9"/>
      <c r="AA28" s="9"/>
      <c r="AB28" s="9"/>
      <c r="AC28" s="9"/>
      <c r="AD28" s="9"/>
      <c r="AE28" s="9"/>
      <c r="AF28" s="9"/>
      <c r="AG28" s="9"/>
      <c r="AH28" s="9"/>
      <c r="AI28" s="9"/>
    </row>
    <row r="29" spans="1:35" ht="15" customHeight="1">
      <c r="A29" s="62">
        <f>'Students Details'!A29</f>
        <v>23</v>
      </c>
      <c r="B29" s="128" t="str">
        <f>IF('Students Details'!B29="","",'Students Details'!B29)</f>
        <v/>
      </c>
      <c r="C29" s="305" t="str">
        <f>IF('Students Details'!C29="","",'Students Details'!C29)</f>
        <v/>
      </c>
      <c r="D29" s="311" t="str">
        <f t="shared" si="1"/>
        <v/>
      </c>
      <c r="E29" s="311" t="str">
        <f t="shared" si="2"/>
        <v/>
      </c>
      <c r="F29" s="311" t="str">
        <f t="shared" si="3"/>
        <v/>
      </c>
      <c r="G29" s="311" t="str">
        <f t="shared" si="4"/>
        <v/>
      </c>
      <c r="H29" s="311" t="str">
        <f t="shared" si="5"/>
        <v/>
      </c>
      <c r="I29" s="311" t="str">
        <f t="shared" si="6"/>
        <v/>
      </c>
      <c r="J29" s="312" t="str">
        <f t="shared" si="7"/>
        <v/>
      </c>
      <c r="K29" s="313"/>
      <c r="L29" s="133"/>
      <c r="M29" s="9"/>
      <c r="N29" s="9"/>
      <c r="O29" s="9"/>
      <c r="P29" s="9"/>
      <c r="Q29" s="9"/>
      <c r="R29" s="9"/>
      <c r="S29" s="9"/>
      <c r="T29" s="9"/>
      <c r="U29" s="9"/>
      <c r="V29" s="9"/>
      <c r="W29" s="9"/>
      <c r="X29" s="9"/>
      <c r="Y29" s="9"/>
      <c r="Z29" s="9"/>
      <c r="AA29" s="9"/>
      <c r="AB29" s="9"/>
      <c r="AC29" s="9"/>
      <c r="AD29" s="9"/>
      <c r="AE29" s="9"/>
      <c r="AF29" s="9"/>
      <c r="AG29" s="9"/>
      <c r="AH29" s="9"/>
      <c r="AI29" s="9"/>
    </row>
    <row r="30" spans="1:35" ht="15" customHeight="1">
      <c r="A30" s="62">
        <f>'Students Details'!A30</f>
        <v>24</v>
      </c>
      <c r="B30" s="128" t="str">
        <f>IF('Students Details'!B30="","",'Students Details'!B30)</f>
        <v/>
      </c>
      <c r="C30" s="305" t="str">
        <f>IF('Students Details'!C30="","",'Students Details'!C30)</f>
        <v/>
      </c>
      <c r="D30" s="311" t="str">
        <f t="shared" si="1"/>
        <v/>
      </c>
      <c r="E30" s="311" t="str">
        <f t="shared" si="2"/>
        <v/>
      </c>
      <c r="F30" s="311" t="str">
        <f t="shared" si="3"/>
        <v/>
      </c>
      <c r="G30" s="311" t="str">
        <f t="shared" si="4"/>
        <v/>
      </c>
      <c r="H30" s="311" t="str">
        <f t="shared" si="5"/>
        <v/>
      </c>
      <c r="I30" s="311" t="str">
        <f t="shared" si="6"/>
        <v/>
      </c>
      <c r="J30" s="312" t="str">
        <f t="shared" si="7"/>
        <v/>
      </c>
      <c r="K30" s="313"/>
      <c r="L30" s="133"/>
      <c r="M30" s="9"/>
      <c r="N30" s="9"/>
      <c r="O30" s="9"/>
      <c r="P30" s="9"/>
      <c r="Q30" s="9"/>
      <c r="R30" s="9"/>
      <c r="S30" s="9"/>
      <c r="T30" s="9"/>
      <c r="U30" s="9"/>
      <c r="V30" s="9"/>
      <c r="W30" s="9"/>
      <c r="X30" s="9"/>
      <c r="Y30" s="9"/>
      <c r="Z30" s="9"/>
      <c r="AA30" s="9"/>
      <c r="AB30" s="9"/>
      <c r="AC30" s="9"/>
      <c r="AD30" s="9"/>
      <c r="AE30" s="9"/>
      <c r="AF30" s="9"/>
      <c r="AG30" s="9"/>
      <c r="AH30" s="9"/>
      <c r="AI30" s="9"/>
    </row>
    <row r="31" spans="1:35" ht="15" customHeight="1">
      <c r="A31" s="62">
        <f>'Students Details'!A31</f>
        <v>25</v>
      </c>
      <c r="B31" s="128" t="str">
        <f>IF('Students Details'!B31="","",'Students Details'!B31)</f>
        <v/>
      </c>
      <c r="C31" s="305" t="str">
        <f>IF('Students Details'!C31="","",'Students Details'!C31)</f>
        <v/>
      </c>
      <c r="D31" s="311" t="str">
        <f t="shared" si="1"/>
        <v/>
      </c>
      <c r="E31" s="311" t="str">
        <f t="shared" si="2"/>
        <v/>
      </c>
      <c r="F31" s="311" t="str">
        <f t="shared" si="3"/>
        <v/>
      </c>
      <c r="G31" s="311" t="str">
        <f t="shared" si="4"/>
        <v/>
      </c>
      <c r="H31" s="311" t="str">
        <f t="shared" si="5"/>
        <v/>
      </c>
      <c r="I31" s="311" t="str">
        <f t="shared" si="6"/>
        <v/>
      </c>
      <c r="J31" s="312" t="str">
        <f t="shared" si="7"/>
        <v/>
      </c>
      <c r="K31" s="313"/>
      <c r="L31" s="133"/>
      <c r="M31" s="9"/>
      <c r="N31" s="9"/>
      <c r="O31" s="9"/>
      <c r="P31" s="9"/>
      <c r="Q31" s="9"/>
      <c r="R31" s="9"/>
      <c r="S31" s="9"/>
      <c r="T31" s="9"/>
      <c r="U31" s="9"/>
      <c r="V31" s="9"/>
      <c r="W31" s="9"/>
      <c r="X31" s="9"/>
      <c r="Y31" s="9"/>
      <c r="Z31" s="9"/>
      <c r="AA31" s="9"/>
      <c r="AB31" s="9"/>
      <c r="AC31" s="9"/>
      <c r="AD31" s="9"/>
      <c r="AE31" s="9"/>
      <c r="AF31" s="9"/>
      <c r="AG31" s="9"/>
      <c r="AH31" s="9"/>
      <c r="AI31" s="9"/>
    </row>
    <row r="32" spans="1:35" ht="15" customHeight="1">
      <c r="A32" s="62">
        <f>'Students Details'!A32</f>
        <v>26</v>
      </c>
      <c r="B32" s="128" t="str">
        <f>IF('Students Details'!B32="","",'Students Details'!B32)</f>
        <v/>
      </c>
      <c r="C32" s="305" t="str">
        <f>IF('Students Details'!C32="","",'Students Details'!C32)</f>
        <v/>
      </c>
      <c r="D32" s="311" t="str">
        <f t="shared" si="1"/>
        <v/>
      </c>
      <c r="E32" s="311" t="str">
        <f t="shared" si="2"/>
        <v/>
      </c>
      <c r="F32" s="311" t="str">
        <f t="shared" si="3"/>
        <v/>
      </c>
      <c r="G32" s="311" t="str">
        <f t="shared" si="4"/>
        <v/>
      </c>
      <c r="H32" s="311" t="str">
        <f t="shared" si="5"/>
        <v/>
      </c>
      <c r="I32" s="311" t="str">
        <f t="shared" si="6"/>
        <v/>
      </c>
      <c r="J32" s="312" t="str">
        <f t="shared" si="7"/>
        <v/>
      </c>
      <c r="K32" s="313"/>
      <c r="L32" s="133"/>
      <c r="M32" s="9"/>
      <c r="N32" s="9"/>
      <c r="O32" s="9"/>
      <c r="P32" s="9"/>
      <c r="Q32" s="9"/>
      <c r="R32" s="9"/>
      <c r="S32" s="9"/>
      <c r="T32" s="9"/>
      <c r="U32" s="9"/>
      <c r="V32" s="9"/>
      <c r="W32" s="9"/>
      <c r="X32" s="9"/>
      <c r="Y32" s="9"/>
      <c r="Z32" s="9"/>
      <c r="AA32" s="9"/>
      <c r="AB32" s="9"/>
      <c r="AC32" s="9"/>
      <c r="AD32" s="9"/>
      <c r="AE32" s="9"/>
      <c r="AF32" s="9"/>
      <c r="AG32" s="9"/>
      <c r="AH32" s="9"/>
      <c r="AI32" s="9"/>
    </row>
    <row r="33" spans="1:35" ht="15" customHeight="1">
      <c r="A33" s="62">
        <f>'Students Details'!A33</f>
        <v>27</v>
      </c>
      <c r="B33" s="128" t="str">
        <f>IF('Students Details'!B33="","",'Students Details'!B33)</f>
        <v/>
      </c>
      <c r="C33" s="305" t="str">
        <f>IF('Students Details'!C33="","",'Students Details'!C33)</f>
        <v/>
      </c>
      <c r="D33" s="311" t="str">
        <f t="shared" si="1"/>
        <v/>
      </c>
      <c r="E33" s="311" t="str">
        <f t="shared" si="2"/>
        <v/>
      </c>
      <c r="F33" s="311" t="str">
        <f t="shared" si="3"/>
        <v/>
      </c>
      <c r="G33" s="311" t="str">
        <f t="shared" si="4"/>
        <v/>
      </c>
      <c r="H33" s="311" t="str">
        <f t="shared" si="5"/>
        <v/>
      </c>
      <c r="I33" s="311" t="str">
        <f t="shared" si="6"/>
        <v/>
      </c>
      <c r="J33" s="312" t="str">
        <f t="shared" si="7"/>
        <v/>
      </c>
      <c r="K33" s="313"/>
      <c r="L33" s="133"/>
      <c r="M33" s="9"/>
      <c r="N33" s="9"/>
      <c r="O33" s="9"/>
      <c r="P33" s="9"/>
      <c r="Q33" s="9"/>
      <c r="R33" s="9"/>
      <c r="S33" s="9"/>
      <c r="T33" s="9"/>
      <c r="U33" s="9"/>
      <c r="V33" s="9"/>
      <c r="W33" s="9"/>
      <c r="X33" s="9"/>
      <c r="Y33" s="9"/>
      <c r="Z33" s="9"/>
      <c r="AA33" s="9"/>
      <c r="AB33" s="9"/>
      <c r="AC33" s="9"/>
      <c r="AD33" s="9"/>
      <c r="AE33" s="9"/>
      <c r="AF33" s="9"/>
      <c r="AG33" s="9"/>
      <c r="AH33" s="9"/>
      <c r="AI33" s="9"/>
    </row>
    <row r="34" spans="1:35" ht="15" customHeight="1">
      <c r="A34" s="62">
        <f>'Students Details'!A34</f>
        <v>28</v>
      </c>
      <c r="B34" s="128" t="str">
        <f>IF('Students Details'!B34="","",'Students Details'!B34)</f>
        <v/>
      </c>
      <c r="C34" s="305" t="str">
        <f>IF('Students Details'!C34="","",'Students Details'!C34)</f>
        <v/>
      </c>
      <c r="D34" s="311" t="str">
        <f t="shared" si="1"/>
        <v/>
      </c>
      <c r="E34" s="311" t="str">
        <f t="shared" si="2"/>
        <v/>
      </c>
      <c r="F34" s="311" t="str">
        <f t="shared" si="3"/>
        <v/>
      </c>
      <c r="G34" s="311" t="str">
        <f t="shared" si="4"/>
        <v/>
      </c>
      <c r="H34" s="311" t="str">
        <f t="shared" si="5"/>
        <v/>
      </c>
      <c r="I34" s="311" t="str">
        <f t="shared" si="6"/>
        <v/>
      </c>
      <c r="J34" s="312" t="str">
        <f t="shared" si="7"/>
        <v/>
      </c>
      <c r="K34" s="313"/>
      <c r="L34" s="133"/>
      <c r="M34" s="9"/>
      <c r="N34" s="9"/>
      <c r="O34" s="9"/>
      <c r="P34" s="9"/>
      <c r="Q34" s="9"/>
      <c r="R34" s="9"/>
      <c r="S34" s="9"/>
      <c r="T34" s="9"/>
      <c r="U34" s="9"/>
      <c r="V34" s="9"/>
      <c r="W34" s="9"/>
      <c r="X34" s="9"/>
      <c r="Y34" s="9"/>
      <c r="Z34" s="9"/>
      <c r="AA34" s="9"/>
      <c r="AB34" s="9"/>
      <c r="AC34" s="9"/>
      <c r="AD34" s="9"/>
      <c r="AE34" s="9"/>
      <c r="AF34" s="9"/>
      <c r="AG34" s="9"/>
      <c r="AH34" s="9"/>
      <c r="AI34" s="9"/>
    </row>
    <row r="35" spans="1:35" ht="15" customHeight="1">
      <c r="A35" s="62">
        <f>'Students Details'!A35</f>
        <v>29</v>
      </c>
      <c r="B35" s="128" t="str">
        <f>IF('Students Details'!B35="","",'Students Details'!B35)</f>
        <v/>
      </c>
      <c r="C35" s="305" t="str">
        <f>IF('Students Details'!C35="","",'Students Details'!C35)</f>
        <v/>
      </c>
      <c r="D35" s="311" t="str">
        <f t="shared" si="1"/>
        <v/>
      </c>
      <c r="E35" s="311" t="str">
        <f t="shared" si="2"/>
        <v/>
      </c>
      <c r="F35" s="311" t="str">
        <f t="shared" si="3"/>
        <v/>
      </c>
      <c r="G35" s="311" t="str">
        <f t="shared" si="4"/>
        <v/>
      </c>
      <c r="H35" s="311" t="str">
        <f t="shared" si="5"/>
        <v/>
      </c>
      <c r="I35" s="311" t="str">
        <f t="shared" si="6"/>
        <v/>
      </c>
      <c r="J35" s="312" t="str">
        <f t="shared" si="7"/>
        <v/>
      </c>
      <c r="K35" s="313"/>
      <c r="L35" s="133"/>
      <c r="M35" s="9"/>
      <c r="N35" s="9"/>
      <c r="O35" s="9"/>
      <c r="P35" s="9"/>
      <c r="Q35" s="9"/>
      <c r="R35" s="9"/>
      <c r="S35" s="9"/>
      <c r="T35" s="9"/>
      <c r="U35" s="9"/>
      <c r="V35" s="9"/>
      <c r="W35" s="9"/>
      <c r="X35" s="9"/>
      <c r="Y35" s="9"/>
      <c r="Z35" s="9"/>
      <c r="AA35" s="9"/>
      <c r="AB35" s="9"/>
      <c r="AC35" s="9"/>
      <c r="AD35" s="9"/>
      <c r="AE35" s="9"/>
      <c r="AF35" s="9"/>
      <c r="AG35" s="9"/>
      <c r="AH35" s="9"/>
      <c r="AI35" s="9"/>
    </row>
    <row r="36" spans="1:35" ht="15" customHeight="1">
      <c r="A36" s="62">
        <f>'Students Details'!A36</f>
        <v>30</v>
      </c>
      <c r="B36" s="128" t="str">
        <f>IF('Students Details'!B36="","",'Students Details'!B36)</f>
        <v/>
      </c>
      <c r="C36" s="305" t="str">
        <f>IF('Students Details'!C36="","",'Students Details'!C36)</f>
        <v/>
      </c>
      <c r="D36" s="311" t="str">
        <f t="shared" si="1"/>
        <v/>
      </c>
      <c r="E36" s="311" t="str">
        <f t="shared" si="2"/>
        <v/>
      </c>
      <c r="F36" s="311" t="str">
        <f t="shared" si="3"/>
        <v/>
      </c>
      <c r="G36" s="311" t="str">
        <f t="shared" si="4"/>
        <v/>
      </c>
      <c r="H36" s="311" t="str">
        <f t="shared" si="5"/>
        <v/>
      </c>
      <c r="I36" s="311" t="str">
        <f t="shared" si="6"/>
        <v/>
      </c>
      <c r="J36" s="312" t="str">
        <f t="shared" si="7"/>
        <v/>
      </c>
      <c r="K36" s="313"/>
      <c r="L36" s="133"/>
      <c r="M36" s="9"/>
      <c r="N36" s="9"/>
      <c r="O36" s="9"/>
      <c r="P36" s="9"/>
      <c r="Q36" s="9"/>
      <c r="R36" s="9"/>
      <c r="S36" s="9"/>
      <c r="T36" s="9"/>
      <c r="U36" s="9"/>
      <c r="V36" s="9"/>
      <c r="W36" s="9"/>
      <c r="X36" s="9"/>
      <c r="Y36" s="9"/>
      <c r="Z36" s="9"/>
      <c r="AA36" s="9"/>
      <c r="AB36" s="9"/>
      <c r="AC36" s="9"/>
      <c r="AD36" s="9"/>
      <c r="AE36" s="9"/>
      <c r="AF36" s="9"/>
      <c r="AG36" s="9"/>
      <c r="AH36" s="9"/>
      <c r="AI36" s="9"/>
    </row>
    <row r="37" spans="1:35" ht="15" customHeight="1">
      <c r="A37" s="62">
        <f>'Students Details'!A37</f>
        <v>31</v>
      </c>
      <c r="B37" s="128" t="str">
        <f>IF('Students Details'!B37="","",'Students Details'!B37)</f>
        <v/>
      </c>
      <c r="C37" s="305" t="str">
        <f>IF('Students Details'!C37="","",'Students Details'!C37)</f>
        <v/>
      </c>
      <c r="D37" s="311" t="str">
        <f t="shared" si="1"/>
        <v/>
      </c>
      <c r="E37" s="311" t="str">
        <f t="shared" si="2"/>
        <v/>
      </c>
      <c r="F37" s="311" t="str">
        <f t="shared" si="3"/>
        <v/>
      </c>
      <c r="G37" s="311" t="str">
        <f t="shared" si="4"/>
        <v/>
      </c>
      <c r="H37" s="311" t="str">
        <f t="shared" si="5"/>
        <v/>
      </c>
      <c r="I37" s="311" t="str">
        <f t="shared" si="6"/>
        <v/>
      </c>
      <c r="J37" s="312" t="str">
        <f t="shared" si="7"/>
        <v/>
      </c>
      <c r="K37" s="313"/>
      <c r="L37" s="133"/>
      <c r="M37" s="9"/>
      <c r="N37" s="9"/>
      <c r="O37" s="9"/>
      <c r="P37" s="9"/>
      <c r="Q37" s="9"/>
      <c r="R37" s="9"/>
      <c r="S37" s="9"/>
      <c r="T37" s="9"/>
      <c r="U37" s="9"/>
      <c r="V37" s="9"/>
      <c r="W37" s="9"/>
      <c r="X37" s="9"/>
      <c r="Y37" s="9"/>
      <c r="Z37" s="9"/>
      <c r="AA37" s="9"/>
      <c r="AB37" s="9"/>
      <c r="AC37" s="9"/>
      <c r="AD37" s="9"/>
      <c r="AE37" s="9"/>
      <c r="AF37" s="9"/>
      <c r="AG37" s="9"/>
      <c r="AH37" s="9"/>
      <c r="AI37" s="9"/>
    </row>
    <row r="38" spans="1:35" ht="15" customHeight="1">
      <c r="A38" s="62">
        <f>'Students Details'!A38</f>
        <v>32</v>
      </c>
      <c r="B38" s="128" t="str">
        <f>IF('Students Details'!B38="","",'Students Details'!B38)</f>
        <v/>
      </c>
      <c r="C38" s="305" t="str">
        <f>IF('Students Details'!C38="","",'Students Details'!C38)</f>
        <v/>
      </c>
      <c r="D38" s="311" t="str">
        <f t="shared" si="1"/>
        <v/>
      </c>
      <c r="E38" s="311" t="str">
        <f t="shared" si="2"/>
        <v/>
      </c>
      <c r="F38" s="311" t="str">
        <f t="shared" si="3"/>
        <v/>
      </c>
      <c r="G38" s="311" t="str">
        <f t="shared" si="4"/>
        <v/>
      </c>
      <c r="H38" s="311" t="str">
        <f t="shared" si="5"/>
        <v/>
      </c>
      <c r="I38" s="311" t="str">
        <f t="shared" si="6"/>
        <v/>
      </c>
      <c r="J38" s="312" t="str">
        <f t="shared" si="7"/>
        <v/>
      </c>
      <c r="K38" s="313"/>
      <c r="L38" s="133"/>
      <c r="M38" s="9"/>
      <c r="N38" s="9"/>
      <c r="O38" s="9"/>
      <c r="P38" s="9"/>
      <c r="Q38" s="9"/>
      <c r="R38" s="9"/>
      <c r="S38" s="9"/>
      <c r="T38" s="9"/>
      <c r="U38" s="9"/>
      <c r="V38" s="9"/>
      <c r="W38" s="9"/>
      <c r="X38" s="9"/>
      <c r="Y38" s="9"/>
      <c r="Z38" s="9"/>
      <c r="AA38" s="9"/>
      <c r="AB38" s="9"/>
      <c r="AC38" s="9"/>
      <c r="AD38" s="9"/>
      <c r="AE38" s="9"/>
      <c r="AF38" s="9"/>
      <c r="AG38" s="9"/>
      <c r="AH38" s="9"/>
      <c r="AI38" s="9"/>
    </row>
    <row r="39" spans="1:35" ht="15" customHeight="1">
      <c r="A39" s="62">
        <f>'Students Details'!A39</f>
        <v>33</v>
      </c>
      <c r="B39" s="128" t="str">
        <f>IF('Students Details'!B39="","",'Students Details'!B39)</f>
        <v/>
      </c>
      <c r="C39" s="305" t="str">
        <f>IF('Students Details'!C39="","",'Students Details'!C39)</f>
        <v/>
      </c>
      <c r="D39" s="311" t="str">
        <f t="shared" si="1"/>
        <v/>
      </c>
      <c r="E39" s="311" t="str">
        <f t="shared" si="2"/>
        <v/>
      </c>
      <c r="F39" s="311" t="str">
        <f t="shared" si="3"/>
        <v/>
      </c>
      <c r="G39" s="311" t="str">
        <f t="shared" si="4"/>
        <v/>
      </c>
      <c r="H39" s="311" t="str">
        <f t="shared" si="5"/>
        <v/>
      </c>
      <c r="I39" s="311" t="str">
        <f t="shared" si="6"/>
        <v/>
      </c>
      <c r="J39" s="312" t="str">
        <f t="shared" si="7"/>
        <v/>
      </c>
      <c r="K39" s="313"/>
      <c r="L39" s="133"/>
      <c r="M39" s="9"/>
      <c r="N39" s="9"/>
      <c r="O39" s="9"/>
      <c r="P39" s="9"/>
      <c r="Q39" s="9"/>
      <c r="R39" s="9"/>
      <c r="S39" s="9"/>
      <c r="T39" s="9"/>
      <c r="U39" s="9"/>
      <c r="V39" s="9"/>
      <c r="W39" s="9"/>
      <c r="X39" s="9"/>
      <c r="Y39" s="9"/>
      <c r="Z39" s="9"/>
      <c r="AA39" s="9"/>
      <c r="AB39" s="9"/>
      <c r="AC39" s="9"/>
      <c r="AD39" s="9"/>
      <c r="AE39" s="9"/>
      <c r="AF39" s="9"/>
      <c r="AG39" s="9"/>
      <c r="AH39" s="9"/>
      <c r="AI39" s="9"/>
    </row>
    <row r="40" spans="1:35" ht="15" customHeight="1">
      <c r="A40" s="62">
        <f>'Students Details'!A40</f>
        <v>34</v>
      </c>
      <c r="B40" s="128" t="str">
        <f>IF('Students Details'!B40="","",'Students Details'!B40)</f>
        <v/>
      </c>
      <c r="C40" s="305" t="str">
        <f>IF('Students Details'!C40="","",'Students Details'!C40)</f>
        <v/>
      </c>
      <c r="D40" s="311" t="str">
        <f t="shared" si="1"/>
        <v/>
      </c>
      <c r="E40" s="311" t="str">
        <f t="shared" si="2"/>
        <v/>
      </c>
      <c r="F40" s="311" t="str">
        <f t="shared" si="3"/>
        <v/>
      </c>
      <c r="G40" s="311" t="str">
        <f t="shared" si="4"/>
        <v/>
      </c>
      <c r="H40" s="311" t="str">
        <f t="shared" si="5"/>
        <v/>
      </c>
      <c r="I40" s="311" t="str">
        <f t="shared" si="6"/>
        <v/>
      </c>
      <c r="J40" s="312" t="str">
        <f t="shared" si="7"/>
        <v/>
      </c>
      <c r="K40" s="313"/>
      <c r="L40" s="133"/>
      <c r="M40" s="9"/>
      <c r="N40" s="9"/>
      <c r="O40" s="9"/>
      <c r="P40" s="9"/>
      <c r="Q40" s="9"/>
      <c r="R40" s="9"/>
      <c r="S40" s="9"/>
      <c r="T40" s="9"/>
      <c r="U40" s="9"/>
      <c r="V40" s="9"/>
      <c r="W40" s="9"/>
      <c r="X40" s="9"/>
      <c r="Y40" s="9"/>
      <c r="Z40" s="9"/>
      <c r="AA40" s="9"/>
      <c r="AB40" s="9"/>
      <c r="AC40" s="9"/>
      <c r="AD40" s="9"/>
      <c r="AE40" s="9"/>
      <c r="AF40" s="9"/>
      <c r="AG40" s="9"/>
      <c r="AH40" s="9"/>
      <c r="AI40" s="9"/>
    </row>
    <row r="41" spans="1:35" ht="15" customHeight="1">
      <c r="A41" s="62">
        <f>'Students Details'!A41</f>
        <v>35</v>
      </c>
      <c r="B41" s="128" t="str">
        <f>IF('Students Details'!B41="","",'Students Details'!B41)</f>
        <v/>
      </c>
      <c r="C41" s="305" t="str">
        <f>IF('Students Details'!C41="","",'Students Details'!C41)</f>
        <v/>
      </c>
      <c r="D41" s="311" t="str">
        <f t="shared" si="1"/>
        <v/>
      </c>
      <c r="E41" s="311" t="str">
        <f t="shared" si="2"/>
        <v/>
      </c>
      <c r="F41" s="311" t="str">
        <f t="shared" si="3"/>
        <v/>
      </c>
      <c r="G41" s="311" t="str">
        <f t="shared" si="4"/>
        <v/>
      </c>
      <c r="H41" s="311" t="str">
        <f t="shared" si="5"/>
        <v/>
      </c>
      <c r="I41" s="311" t="str">
        <f t="shared" si="6"/>
        <v/>
      </c>
      <c r="J41" s="312" t="str">
        <f t="shared" si="7"/>
        <v/>
      </c>
      <c r="K41" s="313"/>
      <c r="L41" s="133"/>
      <c r="M41" s="9"/>
      <c r="N41" s="9"/>
      <c r="O41" s="9"/>
      <c r="P41" s="9"/>
      <c r="Q41" s="9"/>
      <c r="R41" s="9"/>
      <c r="S41" s="9"/>
      <c r="T41" s="9"/>
      <c r="U41" s="9"/>
      <c r="V41" s="9"/>
      <c r="W41" s="9"/>
      <c r="X41" s="9"/>
      <c r="Y41" s="9"/>
      <c r="Z41" s="9"/>
      <c r="AA41" s="9"/>
      <c r="AB41" s="9"/>
      <c r="AC41" s="9"/>
      <c r="AD41" s="9"/>
      <c r="AE41" s="9"/>
      <c r="AF41" s="9"/>
      <c r="AG41" s="9"/>
      <c r="AH41" s="9"/>
      <c r="AI41" s="9"/>
    </row>
    <row r="42" spans="1:35" ht="15" customHeight="1">
      <c r="A42" s="62">
        <f>'Students Details'!A42</f>
        <v>36</v>
      </c>
      <c r="B42" s="128" t="str">
        <f>IF('Students Details'!B42="","",'Students Details'!B42)</f>
        <v/>
      </c>
      <c r="C42" s="305" t="str">
        <f>IF('Students Details'!C42="","",'Students Details'!C42)</f>
        <v/>
      </c>
      <c r="D42" s="311" t="str">
        <f t="shared" si="1"/>
        <v/>
      </c>
      <c r="E42" s="311" t="str">
        <f t="shared" si="2"/>
        <v/>
      </c>
      <c r="F42" s="311" t="str">
        <f t="shared" si="3"/>
        <v/>
      </c>
      <c r="G42" s="311" t="str">
        <f t="shared" si="4"/>
        <v/>
      </c>
      <c r="H42" s="311" t="str">
        <f t="shared" si="5"/>
        <v/>
      </c>
      <c r="I42" s="311" t="str">
        <f t="shared" si="6"/>
        <v/>
      </c>
      <c r="J42" s="312" t="str">
        <f t="shared" si="7"/>
        <v/>
      </c>
      <c r="K42" s="313"/>
      <c r="L42" s="133"/>
      <c r="M42" s="9"/>
      <c r="N42" s="9"/>
      <c r="O42" s="9"/>
      <c r="P42" s="9"/>
      <c r="Q42" s="9"/>
      <c r="R42" s="9"/>
      <c r="S42" s="9"/>
      <c r="T42" s="9"/>
      <c r="U42" s="9"/>
      <c r="V42" s="9"/>
      <c r="W42" s="9"/>
      <c r="X42" s="9"/>
      <c r="Y42" s="9"/>
      <c r="Z42" s="9"/>
      <c r="AA42" s="9"/>
      <c r="AB42" s="9"/>
      <c r="AC42" s="9"/>
      <c r="AD42" s="9"/>
      <c r="AE42" s="9"/>
      <c r="AF42" s="9"/>
      <c r="AG42" s="9"/>
      <c r="AH42" s="9"/>
      <c r="AI42" s="9"/>
    </row>
    <row r="43" spans="1:35" ht="15" customHeight="1">
      <c r="A43" s="62">
        <f>'Students Details'!A43</f>
        <v>37</v>
      </c>
      <c r="B43" s="128" t="str">
        <f>IF('Students Details'!B43="","",'Students Details'!B43)</f>
        <v/>
      </c>
      <c r="C43" s="305" t="str">
        <f>IF('Students Details'!C43="","",'Students Details'!C43)</f>
        <v/>
      </c>
      <c r="D43" s="311" t="str">
        <f t="shared" si="1"/>
        <v/>
      </c>
      <c r="E43" s="311" t="str">
        <f t="shared" si="2"/>
        <v/>
      </c>
      <c r="F43" s="311" t="str">
        <f t="shared" si="3"/>
        <v/>
      </c>
      <c r="G43" s="311" t="str">
        <f t="shared" si="4"/>
        <v/>
      </c>
      <c r="H43" s="311" t="str">
        <f t="shared" si="5"/>
        <v/>
      </c>
      <c r="I43" s="311" t="str">
        <f t="shared" si="6"/>
        <v/>
      </c>
      <c r="J43" s="312" t="str">
        <f t="shared" si="7"/>
        <v/>
      </c>
      <c r="K43" s="313"/>
      <c r="L43" s="133"/>
      <c r="M43" s="9"/>
      <c r="N43" s="9"/>
      <c r="O43" s="9"/>
      <c r="P43" s="9"/>
      <c r="Q43" s="9"/>
      <c r="R43" s="9"/>
      <c r="S43" s="9"/>
      <c r="T43" s="9"/>
      <c r="U43" s="9"/>
      <c r="V43" s="9"/>
      <c r="W43" s="9"/>
      <c r="X43" s="9"/>
      <c r="Y43" s="9"/>
      <c r="Z43" s="9"/>
      <c r="AA43" s="9"/>
      <c r="AB43" s="9"/>
      <c r="AC43" s="9"/>
      <c r="AD43" s="9"/>
      <c r="AE43" s="9"/>
      <c r="AF43" s="9"/>
      <c r="AG43" s="9"/>
      <c r="AH43" s="9"/>
      <c r="AI43" s="9"/>
    </row>
    <row r="44" spans="1:35" ht="15" customHeight="1">
      <c r="A44" s="62">
        <f>'Students Details'!A44</f>
        <v>38</v>
      </c>
      <c r="B44" s="128" t="str">
        <f>IF('Students Details'!B44="","",'Students Details'!B44)</f>
        <v/>
      </c>
      <c r="C44" s="305" t="str">
        <f>IF('Students Details'!C44="","",'Students Details'!C44)</f>
        <v/>
      </c>
      <c r="D44" s="311" t="str">
        <f t="shared" si="1"/>
        <v/>
      </c>
      <c r="E44" s="311" t="str">
        <f t="shared" si="2"/>
        <v/>
      </c>
      <c r="F44" s="311" t="str">
        <f t="shared" si="3"/>
        <v/>
      </c>
      <c r="G44" s="311" t="str">
        <f t="shared" si="4"/>
        <v/>
      </c>
      <c r="H44" s="311" t="str">
        <f t="shared" si="5"/>
        <v/>
      </c>
      <c r="I44" s="311" t="str">
        <f t="shared" si="6"/>
        <v/>
      </c>
      <c r="J44" s="312" t="str">
        <f t="shared" si="7"/>
        <v/>
      </c>
      <c r="K44" s="313"/>
      <c r="L44" s="133"/>
      <c r="M44" s="9"/>
      <c r="N44" s="9"/>
      <c r="O44" s="9"/>
      <c r="P44" s="9"/>
      <c r="Q44" s="9"/>
      <c r="R44" s="9"/>
      <c r="S44" s="9"/>
      <c r="T44" s="9"/>
      <c r="U44" s="9"/>
      <c r="V44" s="9"/>
      <c r="W44" s="9"/>
      <c r="X44" s="9"/>
      <c r="Y44" s="9"/>
      <c r="Z44" s="9"/>
      <c r="AA44" s="9"/>
      <c r="AB44" s="9"/>
      <c r="AC44" s="9"/>
      <c r="AD44" s="9"/>
      <c r="AE44" s="9"/>
      <c r="AF44" s="9"/>
      <c r="AG44" s="9"/>
      <c r="AH44" s="9"/>
      <c r="AI44" s="9"/>
    </row>
    <row r="45" spans="1:35" ht="15" customHeight="1">
      <c r="A45" s="62">
        <f>'Students Details'!A45</f>
        <v>39</v>
      </c>
      <c r="B45" s="128" t="str">
        <f>IF('Students Details'!B45="","",'Students Details'!B45)</f>
        <v/>
      </c>
      <c r="C45" s="305" t="str">
        <f>IF('Students Details'!C45="","",'Students Details'!C45)</f>
        <v/>
      </c>
      <c r="D45" s="311" t="str">
        <f t="shared" si="1"/>
        <v/>
      </c>
      <c r="E45" s="311" t="str">
        <f t="shared" si="2"/>
        <v/>
      </c>
      <c r="F45" s="311" t="str">
        <f t="shared" si="3"/>
        <v/>
      </c>
      <c r="G45" s="311" t="str">
        <f t="shared" si="4"/>
        <v/>
      </c>
      <c r="H45" s="311" t="str">
        <f t="shared" si="5"/>
        <v/>
      </c>
      <c r="I45" s="311" t="str">
        <f t="shared" si="6"/>
        <v/>
      </c>
      <c r="J45" s="312" t="str">
        <f t="shared" si="7"/>
        <v/>
      </c>
      <c r="K45" s="313"/>
      <c r="L45" s="133"/>
      <c r="M45" s="9"/>
      <c r="N45" s="9"/>
      <c r="O45" s="9"/>
      <c r="P45" s="9"/>
      <c r="Q45" s="9"/>
      <c r="R45" s="9"/>
      <c r="S45" s="9"/>
      <c r="T45" s="9"/>
      <c r="U45" s="9"/>
      <c r="V45" s="9"/>
      <c r="W45" s="9"/>
      <c r="X45" s="9"/>
      <c r="Y45" s="9"/>
      <c r="Z45" s="9"/>
      <c r="AA45" s="9"/>
      <c r="AB45" s="9"/>
      <c r="AC45" s="9"/>
      <c r="AD45" s="9"/>
      <c r="AE45" s="9"/>
      <c r="AF45" s="9"/>
      <c r="AG45" s="9"/>
      <c r="AH45" s="9"/>
      <c r="AI45" s="9"/>
    </row>
    <row r="46" spans="1:35" ht="15" customHeight="1">
      <c r="A46" s="62">
        <f>'Students Details'!A46</f>
        <v>40</v>
      </c>
      <c r="B46" s="128" t="str">
        <f>IF('Students Details'!B46="","",'Students Details'!B46)</f>
        <v/>
      </c>
      <c r="C46" s="305" t="str">
        <f>IF('Students Details'!C46="","",'Students Details'!C46)</f>
        <v/>
      </c>
      <c r="D46" s="311" t="str">
        <f t="shared" si="1"/>
        <v/>
      </c>
      <c r="E46" s="311" t="str">
        <f t="shared" si="2"/>
        <v/>
      </c>
      <c r="F46" s="311" t="str">
        <f t="shared" si="3"/>
        <v/>
      </c>
      <c r="G46" s="311" t="str">
        <f t="shared" si="4"/>
        <v/>
      </c>
      <c r="H46" s="311" t="str">
        <f t="shared" si="5"/>
        <v/>
      </c>
      <c r="I46" s="311" t="str">
        <f t="shared" si="6"/>
        <v/>
      </c>
      <c r="J46" s="312" t="str">
        <f t="shared" si="7"/>
        <v/>
      </c>
      <c r="K46" s="313"/>
      <c r="L46" s="133"/>
      <c r="M46" s="9"/>
      <c r="N46" s="9"/>
      <c r="O46" s="9"/>
      <c r="P46" s="9"/>
      <c r="Q46" s="9"/>
      <c r="R46" s="9"/>
      <c r="S46" s="9"/>
      <c r="T46" s="9"/>
      <c r="U46" s="9"/>
      <c r="V46" s="9"/>
      <c r="W46" s="9"/>
      <c r="X46" s="9"/>
      <c r="Y46" s="9"/>
      <c r="Z46" s="9"/>
      <c r="AA46" s="9"/>
      <c r="AB46" s="9"/>
      <c r="AC46" s="9"/>
      <c r="AD46" s="9"/>
      <c r="AE46" s="9"/>
      <c r="AF46" s="9"/>
      <c r="AG46" s="9"/>
      <c r="AH46" s="9"/>
      <c r="AI46" s="9"/>
    </row>
    <row r="47" spans="1:35" ht="15" customHeight="1">
      <c r="A47" s="62">
        <f>'Students Details'!A47</f>
        <v>41</v>
      </c>
      <c r="B47" s="128" t="str">
        <f>IF('Students Details'!B47="","",'Students Details'!B47)</f>
        <v/>
      </c>
      <c r="C47" s="305" t="str">
        <f>IF('Students Details'!C47="","",'Students Details'!C47)</f>
        <v/>
      </c>
      <c r="D47" s="311" t="str">
        <f t="shared" si="1"/>
        <v/>
      </c>
      <c r="E47" s="311" t="str">
        <f t="shared" si="2"/>
        <v/>
      </c>
      <c r="F47" s="311" t="str">
        <f t="shared" si="3"/>
        <v/>
      </c>
      <c r="G47" s="311" t="str">
        <f t="shared" si="4"/>
        <v/>
      </c>
      <c r="H47" s="311" t="str">
        <f t="shared" si="5"/>
        <v/>
      </c>
      <c r="I47" s="311" t="str">
        <f t="shared" si="6"/>
        <v/>
      </c>
      <c r="J47" s="312" t="str">
        <f t="shared" si="7"/>
        <v/>
      </c>
      <c r="K47" s="313"/>
      <c r="L47" s="133"/>
      <c r="M47" s="9"/>
      <c r="N47" s="9"/>
      <c r="O47" s="9"/>
      <c r="P47" s="9"/>
      <c r="Q47" s="9"/>
      <c r="R47" s="9"/>
      <c r="S47" s="9"/>
      <c r="T47" s="9"/>
      <c r="U47" s="9"/>
      <c r="V47" s="9"/>
      <c r="W47" s="9"/>
      <c r="X47" s="9"/>
      <c r="Y47" s="9"/>
      <c r="Z47" s="9"/>
      <c r="AA47" s="9"/>
      <c r="AB47" s="9"/>
      <c r="AC47" s="9"/>
      <c r="AD47" s="9"/>
      <c r="AE47" s="9"/>
      <c r="AF47" s="9"/>
      <c r="AG47" s="9"/>
      <c r="AH47" s="9"/>
      <c r="AI47" s="9"/>
    </row>
    <row r="48" spans="1:35" ht="15" customHeight="1">
      <c r="A48" s="62">
        <f>'Students Details'!A48</f>
        <v>42</v>
      </c>
      <c r="B48" s="128" t="str">
        <f>IF('Students Details'!B48="","",'Students Details'!B48)</f>
        <v/>
      </c>
      <c r="C48" s="305" t="str">
        <f>IF('Students Details'!C48="","",'Students Details'!C48)</f>
        <v/>
      </c>
      <c r="D48" s="311" t="str">
        <f t="shared" si="1"/>
        <v/>
      </c>
      <c r="E48" s="311" t="str">
        <f t="shared" si="2"/>
        <v/>
      </c>
      <c r="F48" s="311" t="str">
        <f t="shared" si="3"/>
        <v/>
      </c>
      <c r="G48" s="311" t="str">
        <f t="shared" si="4"/>
        <v/>
      </c>
      <c r="H48" s="311" t="str">
        <f t="shared" si="5"/>
        <v/>
      </c>
      <c r="I48" s="311" t="str">
        <f t="shared" si="6"/>
        <v/>
      </c>
      <c r="J48" s="312" t="str">
        <f t="shared" si="7"/>
        <v/>
      </c>
      <c r="K48" s="313"/>
      <c r="L48" s="133"/>
      <c r="M48" s="9"/>
      <c r="N48" s="9"/>
      <c r="O48" s="9"/>
      <c r="P48" s="9"/>
      <c r="Q48" s="9"/>
      <c r="R48" s="9"/>
      <c r="S48" s="9"/>
      <c r="T48" s="9"/>
      <c r="U48" s="9"/>
      <c r="V48" s="9"/>
      <c r="W48" s="9"/>
      <c r="X48" s="9"/>
      <c r="Y48" s="9"/>
      <c r="Z48" s="9"/>
      <c r="AA48" s="9"/>
      <c r="AB48" s="9"/>
      <c r="AC48" s="9"/>
      <c r="AD48" s="9"/>
      <c r="AE48" s="9"/>
      <c r="AF48" s="9"/>
      <c r="AG48" s="9"/>
      <c r="AH48" s="9"/>
      <c r="AI48" s="9"/>
    </row>
    <row r="49" spans="1:35" ht="15" customHeight="1">
      <c r="A49" s="62">
        <f>'Students Details'!A49</f>
        <v>43</v>
      </c>
      <c r="B49" s="128" t="str">
        <f>IF('Students Details'!B49="","",'Students Details'!B49)</f>
        <v/>
      </c>
      <c r="C49" s="305" t="str">
        <f>IF('Students Details'!C49="","",'Students Details'!C49)</f>
        <v/>
      </c>
      <c r="D49" s="311" t="str">
        <f t="shared" si="1"/>
        <v/>
      </c>
      <c r="E49" s="311" t="str">
        <f t="shared" si="2"/>
        <v/>
      </c>
      <c r="F49" s="311" t="str">
        <f t="shared" si="3"/>
        <v/>
      </c>
      <c r="G49" s="311" t="str">
        <f t="shared" si="4"/>
        <v/>
      </c>
      <c r="H49" s="311" t="str">
        <f t="shared" si="5"/>
        <v/>
      </c>
      <c r="I49" s="311" t="str">
        <f t="shared" si="6"/>
        <v/>
      </c>
      <c r="J49" s="312" t="str">
        <f t="shared" si="7"/>
        <v/>
      </c>
      <c r="K49" s="313"/>
      <c r="L49" s="133"/>
      <c r="M49" s="9"/>
      <c r="N49" s="9"/>
      <c r="O49" s="9"/>
      <c r="P49" s="9"/>
      <c r="Q49" s="9"/>
      <c r="R49" s="9"/>
      <c r="S49" s="9"/>
      <c r="T49" s="9"/>
      <c r="U49" s="9"/>
      <c r="V49" s="9"/>
      <c r="W49" s="9"/>
      <c r="X49" s="9"/>
      <c r="Y49" s="9"/>
      <c r="Z49" s="9"/>
      <c r="AA49" s="9"/>
      <c r="AB49" s="9"/>
      <c r="AC49" s="9"/>
      <c r="AD49" s="9"/>
      <c r="AE49" s="9"/>
      <c r="AF49" s="9"/>
      <c r="AG49" s="9"/>
      <c r="AH49" s="9"/>
      <c r="AI49" s="9"/>
    </row>
    <row r="50" spans="1:35" ht="15" customHeight="1">
      <c r="A50" s="62">
        <f>'Students Details'!A50</f>
        <v>44</v>
      </c>
      <c r="B50" s="128" t="str">
        <f>IF('Students Details'!B50="","",'Students Details'!B50)</f>
        <v/>
      </c>
      <c r="C50" s="305" t="str">
        <f>IF('Students Details'!C50="","",'Students Details'!C50)</f>
        <v/>
      </c>
      <c r="D50" s="311" t="str">
        <f t="shared" si="1"/>
        <v/>
      </c>
      <c r="E50" s="311" t="str">
        <f t="shared" si="2"/>
        <v/>
      </c>
      <c r="F50" s="311" t="str">
        <f t="shared" si="3"/>
        <v/>
      </c>
      <c r="G50" s="311" t="str">
        <f t="shared" si="4"/>
        <v/>
      </c>
      <c r="H50" s="311" t="str">
        <f t="shared" si="5"/>
        <v/>
      </c>
      <c r="I50" s="311" t="str">
        <f t="shared" si="6"/>
        <v/>
      </c>
      <c r="J50" s="312" t="str">
        <f t="shared" si="7"/>
        <v/>
      </c>
      <c r="K50" s="313"/>
      <c r="L50" s="133"/>
      <c r="M50" s="9"/>
      <c r="N50" s="9"/>
      <c r="O50" s="9"/>
      <c r="P50" s="9"/>
      <c r="Q50" s="9"/>
      <c r="R50" s="9"/>
      <c r="S50" s="9"/>
      <c r="T50" s="9"/>
      <c r="U50" s="9"/>
      <c r="V50" s="9"/>
      <c r="W50" s="9"/>
      <c r="X50" s="9"/>
      <c r="Y50" s="9"/>
      <c r="Z50" s="9"/>
      <c r="AA50" s="9"/>
      <c r="AB50" s="9"/>
      <c r="AC50" s="9"/>
      <c r="AD50" s="9"/>
      <c r="AE50" s="9"/>
      <c r="AF50" s="9"/>
      <c r="AG50" s="9"/>
      <c r="AH50" s="9"/>
      <c r="AI50" s="9"/>
    </row>
    <row r="51" spans="1:35" ht="15" customHeight="1">
      <c r="A51" s="62">
        <f>'Students Details'!A51</f>
        <v>45</v>
      </c>
      <c r="B51" s="128" t="str">
        <f>IF('Students Details'!B51="","",'Students Details'!B51)</f>
        <v/>
      </c>
      <c r="C51" s="305" t="str">
        <f>IF('Students Details'!C51="","",'Students Details'!C51)</f>
        <v/>
      </c>
      <c r="D51" s="311" t="str">
        <f t="shared" si="1"/>
        <v/>
      </c>
      <c r="E51" s="311" t="str">
        <f t="shared" si="2"/>
        <v/>
      </c>
      <c r="F51" s="311" t="str">
        <f t="shared" si="3"/>
        <v/>
      </c>
      <c r="G51" s="311" t="str">
        <f t="shared" si="4"/>
        <v/>
      </c>
      <c r="H51" s="311" t="str">
        <f t="shared" si="5"/>
        <v/>
      </c>
      <c r="I51" s="311" t="str">
        <f t="shared" si="6"/>
        <v/>
      </c>
      <c r="J51" s="312" t="str">
        <f t="shared" si="7"/>
        <v/>
      </c>
      <c r="K51" s="313"/>
      <c r="L51" s="133"/>
      <c r="M51" s="9"/>
      <c r="N51" s="9"/>
      <c r="O51" s="9"/>
      <c r="P51" s="9"/>
      <c r="Q51" s="9"/>
      <c r="R51" s="9"/>
      <c r="S51" s="9"/>
      <c r="T51" s="9"/>
      <c r="U51" s="9"/>
      <c r="V51" s="9"/>
      <c r="W51" s="9"/>
      <c r="X51" s="9"/>
      <c r="Y51" s="9"/>
      <c r="Z51" s="9"/>
      <c r="AA51" s="9"/>
      <c r="AB51" s="9"/>
      <c r="AC51" s="9"/>
      <c r="AD51" s="9"/>
      <c r="AE51" s="9"/>
      <c r="AF51" s="9"/>
      <c r="AG51" s="9"/>
      <c r="AH51" s="9"/>
      <c r="AI51" s="9"/>
    </row>
    <row r="52" spans="1:35" ht="15" customHeight="1">
      <c r="A52" s="62">
        <f>'Students Details'!A52</f>
        <v>46</v>
      </c>
      <c r="B52" s="128" t="str">
        <f>IF('Students Details'!B52="","",'Students Details'!B52)</f>
        <v/>
      </c>
      <c r="C52" s="305" t="str">
        <f>IF('Students Details'!C52="","",'Students Details'!C52)</f>
        <v/>
      </c>
      <c r="D52" s="311" t="str">
        <f t="shared" si="1"/>
        <v/>
      </c>
      <c r="E52" s="311" t="str">
        <f t="shared" si="2"/>
        <v/>
      </c>
      <c r="F52" s="311" t="str">
        <f t="shared" si="3"/>
        <v/>
      </c>
      <c r="G52" s="311" t="str">
        <f t="shared" si="4"/>
        <v/>
      </c>
      <c r="H52" s="311" t="str">
        <f t="shared" si="5"/>
        <v/>
      </c>
      <c r="I52" s="311" t="str">
        <f t="shared" si="6"/>
        <v/>
      </c>
      <c r="J52" s="312" t="str">
        <f t="shared" si="7"/>
        <v/>
      </c>
      <c r="K52" s="313"/>
      <c r="L52" s="133"/>
      <c r="M52" s="9"/>
      <c r="N52" s="9"/>
      <c r="O52" s="9"/>
      <c r="P52" s="9"/>
      <c r="Q52" s="9"/>
      <c r="R52" s="9"/>
      <c r="S52" s="9"/>
      <c r="T52" s="9"/>
      <c r="U52" s="9"/>
      <c r="V52" s="9"/>
      <c r="W52" s="9"/>
      <c r="X52" s="9"/>
      <c r="Y52" s="9"/>
      <c r="Z52" s="9"/>
      <c r="AA52" s="9"/>
      <c r="AB52" s="9"/>
      <c r="AC52" s="9"/>
      <c r="AD52" s="9"/>
      <c r="AE52" s="9"/>
      <c r="AF52" s="9"/>
      <c r="AG52" s="9"/>
      <c r="AH52" s="9"/>
      <c r="AI52" s="9"/>
    </row>
    <row r="53" spans="1:35" ht="15" customHeight="1">
      <c r="A53" s="62">
        <f>'Students Details'!A53</f>
        <v>47</v>
      </c>
      <c r="B53" s="128" t="str">
        <f>IF('Students Details'!B53="","",'Students Details'!B53)</f>
        <v/>
      </c>
      <c r="C53" s="305" t="str">
        <f>IF('Students Details'!C53="","",'Students Details'!C53)</f>
        <v/>
      </c>
      <c r="D53" s="311" t="str">
        <f t="shared" si="1"/>
        <v/>
      </c>
      <c r="E53" s="311" t="str">
        <f t="shared" si="2"/>
        <v/>
      </c>
      <c r="F53" s="311" t="str">
        <f t="shared" si="3"/>
        <v/>
      </c>
      <c r="G53" s="311" t="str">
        <f t="shared" si="4"/>
        <v/>
      </c>
      <c r="H53" s="311" t="str">
        <f t="shared" si="5"/>
        <v/>
      </c>
      <c r="I53" s="311" t="str">
        <f t="shared" si="6"/>
        <v/>
      </c>
      <c r="J53" s="312" t="str">
        <f t="shared" si="7"/>
        <v/>
      </c>
      <c r="K53" s="313"/>
      <c r="L53" s="133"/>
      <c r="M53" s="9"/>
      <c r="N53" s="9"/>
      <c r="O53" s="9"/>
      <c r="P53" s="9"/>
      <c r="Q53" s="9"/>
      <c r="R53" s="9"/>
      <c r="S53" s="9"/>
      <c r="T53" s="9"/>
      <c r="U53" s="9"/>
      <c r="V53" s="9"/>
      <c r="W53" s="9"/>
      <c r="X53" s="9"/>
      <c r="Y53" s="9"/>
      <c r="Z53" s="9"/>
      <c r="AA53" s="9"/>
      <c r="AB53" s="9"/>
      <c r="AC53" s="9"/>
      <c r="AD53" s="9"/>
      <c r="AE53" s="9"/>
      <c r="AF53" s="9"/>
      <c r="AG53" s="9"/>
      <c r="AH53" s="9"/>
      <c r="AI53" s="9"/>
    </row>
    <row r="54" spans="1:35" ht="15" customHeight="1">
      <c r="A54" s="62">
        <f>'Students Details'!A54</f>
        <v>48</v>
      </c>
      <c r="B54" s="128" t="str">
        <f>IF('Students Details'!B54="","",'Students Details'!B54)</f>
        <v/>
      </c>
      <c r="C54" s="305" t="str">
        <f>IF('Students Details'!C54="","",'Students Details'!C54)</f>
        <v/>
      </c>
      <c r="D54" s="311" t="str">
        <f t="shared" si="1"/>
        <v/>
      </c>
      <c r="E54" s="311" t="str">
        <f t="shared" si="2"/>
        <v/>
      </c>
      <c r="F54" s="311" t="str">
        <f t="shared" si="3"/>
        <v/>
      </c>
      <c r="G54" s="311" t="str">
        <f t="shared" si="4"/>
        <v/>
      </c>
      <c r="H54" s="311" t="str">
        <f t="shared" si="5"/>
        <v/>
      </c>
      <c r="I54" s="311" t="str">
        <f t="shared" si="6"/>
        <v/>
      </c>
      <c r="J54" s="312" t="str">
        <f t="shared" si="7"/>
        <v/>
      </c>
      <c r="K54" s="313"/>
      <c r="L54" s="133"/>
      <c r="M54" s="9"/>
      <c r="N54" s="9"/>
      <c r="O54" s="9"/>
      <c r="P54" s="9"/>
      <c r="Q54" s="9"/>
      <c r="R54" s="9"/>
      <c r="S54" s="9"/>
      <c r="T54" s="9"/>
      <c r="U54" s="9"/>
      <c r="V54" s="9"/>
      <c r="W54" s="9"/>
      <c r="X54" s="9"/>
      <c r="Y54" s="9"/>
      <c r="Z54" s="9"/>
      <c r="AA54" s="9"/>
      <c r="AB54" s="9"/>
      <c r="AC54" s="9"/>
      <c r="AD54" s="9"/>
      <c r="AE54" s="9"/>
      <c r="AF54" s="9"/>
      <c r="AG54" s="9"/>
      <c r="AH54" s="9"/>
      <c r="AI54" s="9"/>
    </row>
    <row r="55" spans="1:35" ht="15" customHeight="1">
      <c r="A55" s="62">
        <f>'Students Details'!A55</f>
        <v>49</v>
      </c>
      <c r="B55" s="128" t="str">
        <f>IF('Students Details'!B55="","",'Students Details'!B55)</f>
        <v/>
      </c>
      <c r="C55" s="305" t="str">
        <f>IF('Students Details'!C55="","",'Students Details'!C55)</f>
        <v/>
      </c>
      <c r="D55" s="311" t="str">
        <f t="shared" si="1"/>
        <v/>
      </c>
      <c r="E55" s="311" t="str">
        <f t="shared" si="2"/>
        <v/>
      </c>
      <c r="F55" s="311" t="str">
        <f t="shared" si="3"/>
        <v/>
      </c>
      <c r="G55" s="311" t="str">
        <f t="shared" si="4"/>
        <v/>
      </c>
      <c r="H55" s="311" t="str">
        <f t="shared" si="5"/>
        <v/>
      </c>
      <c r="I55" s="311" t="str">
        <f t="shared" si="6"/>
        <v/>
      </c>
      <c r="J55" s="312" t="str">
        <f t="shared" si="7"/>
        <v/>
      </c>
      <c r="K55" s="313"/>
      <c r="L55" s="133"/>
      <c r="M55" s="9"/>
      <c r="N55" s="9"/>
      <c r="O55" s="9"/>
      <c r="P55" s="9"/>
      <c r="Q55" s="9"/>
      <c r="R55" s="9"/>
      <c r="S55" s="9"/>
      <c r="T55" s="9"/>
      <c r="U55" s="9"/>
      <c r="V55" s="9"/>
      <c r="W55" s="9"/>
      <c r="X55" s="9"/>
      <c r="Y55" s="9"/>
      <c r="Z55" s="9"/>
      <c r="AA55" s="9"/>
      <c r="AB55" s="9"/>
      <c r="AC55" s="9"/>
      <c r="AD55" s="9"/>
      <c r="AE55" s="9"/>
      <c r="AF55" s="9"/>
      <c r="AG55" s="9"/>
      <c r="AH55" s="9"/>
      <c r="AI55" s="9"/>
    </row>
    <row r="56" spans="1:35" ht="15" customHeight="1">
      <c r="A56" s="62">
        <f>'Students Details'!A56</f>
        <v>50</v>
      </c>
      <c r="B56" s="128" t="str">
        <f>IF('Students Details'!B56="","",'Students Details'!B56)</f>
        <v/>
      </c>
      <c r="C56" s="305" t="str">
        <f>IF('Students Details'!C56="","",'Students Details'!C56)</f>
        <v/>
      </c>
      <c r="D56" s="311" t="str">
        <f t="shared" si="1"/>
        <v/>
      </c>
      <c r="E56" s="311" t="str">
        <f t="shared" si="2"/>
        <v/>
      </c>
      <c r="F56" s="311" t="str">
        <f t="shared" si="3"/>
        <v/>
      </c>
      <c r="G56" s="311" t="str">
        <f t="shared" si="4"/>
        <v/>
      </c>
      <c r="H56" s="311" t="str">
        <f t="shared" si="5"/>
        <v/>
      </c>
      <c r="I56" s="311" t="str">
        <f t="shared" si="6"/>
        <v/>
      </c>
      <c r="J56" s="312" t="str">
        <f t="shared" si="7"/>
        <v/>
      </c>
      <c r="K56" s="313"/>
      <c r="L56" s="133"/>
      <c r="M56" s="9"/>
      <c r="N56" s="9"/>
      <c r="O56" s="9"/>
      <c r="P56" s="9"/>
      <c r="Q56" s="9"/>
      <c r="R56" s="9"/>
      <c r="S56" s="9"/>
      <c r="T56" s="9"/>
      <c r="U56" s="9"/>
      <c r="V56" s="9"/>
      <c r="W56" s="9"/>
      <c r="X56" s="9"/>
      <c r="Y56" s="9"/>
      <c r="Z56" s="9"/>
      <c r="AA56" s="9"/>
      <c r="AB56" s="9"/>
      <c r="AC56" s="9"/>
      <c r="AD56" s="9"/>
      <c r="AE56" s="9"/>
      <c r="AF56" s="9"/>
      <c r="AG56" s="9"/>
      <c r="AH56" s="9"/>
      <c r="AI56" s="9"/>
    </row>
    <row r="57" spans="1:35" ht="15" customHeight="1">
      <c r="A57" s="62">
        <f>'Students Details'!A57</f>
        <v>51</v>
      </c>
      <c r="B57" s="128" t="str">
        <f>IF('Students Details'!B57="","",'Students Details'!B57)</f>
        <v/>
      </c>
      <c r="C57" s="305" t="str">
        <f>IF('Students Details'!C57="","",'Students Details'!C57)</f>
        <v/>
      </c>
      <c r="D57" s="311" t="str">
        <f t="shared" si="1"/>
        <v/>
      </c>
      <c r="E57" s="311" t="str">
        <f t="shared" si="2"/>
        <v/>
      </c>
      <c r="F57" s="311" t="str">
        <f t="shared" si="3"/>
        <v/>
      </c>
      <c r="G57" s="311" t="str">
        <f t="shared" si="4"/>
        <v/>
      </c>
      <c r="H57" s="311" t="str">
        <f t="shared" si="5"/>
        <v/>
      </c>
      <c r="I57" s="311" t="str">
        <f t="shared" si="6"/>
        <v/>
      </c>
      <c r="J57" s="312" t="str">
        <f t="shared" si="7"/>
        <v/>
      </c>
      <c r="K57" s="313"/>
      <c r="L57" s="133"/>
      <c r="M57" s="9"/>
      <c r="N57" s="9"/>
      <c r="O57" s="9"/>
      <c r="P57" s="9"/>
      <c r="Q57" s="9"/>
      <c r="R57" s="9"/>
      <c r="S57" s="9"/>
      <c r="T57" s="9"/>
      <c r="U57" s="9"/>
      <c r="V57" s="9"/>
      <c r="W57" s="9"/>
      <c r="X57" s="9"/>
      <c r="Y57" s="9"/>
      <c r="Z57" s="9"/>
      <c r="AA57" s="9"/>
      <c r="AB57" s="9"/>
      <c r="AC57" s="9"/>
      <c r="AD57" s="9"/>
      <c r="AE57" s="9"/>
      <c r="AF57" s="9"/>
      <c r="AG57" s="9"/>
      <c r="AH57" s="9"/>
      <c r="AI57" s="9"/>
    </row>
    <row r="58" spans="1:35" ht="15" customHeight="1">
      <c r="A58" s="62">
        <f>'Students Details'!A58</f>
        <v>52</v>
      </c>
      <c r="B58" s="128" t="str">
        <f>IF('Students Details'!B58="","",'Students Details'!B58)</f>
        <v/>
      </c>
      <c r="C58" s="305" t="str">
        <f>IF('Students Details'!C58="","",'Students Details'!C58)</f>
        <v/>
      </c>
      <c r="D58" s="311" t="str">
        <f t="shared" si="1"/>
        <v/>
      </c>
      <c r="E58" s="311" t="str">
        <f t="shared" si="2"/>
        <v/>
      </c>
      <c r="F58" s="311" t="str">
        <f t="shared" si="3"/>
        <v/>
      </c>
      <c r="G58" s="311" t="str">
        <f t="shared" si="4"/>
        <v/>
      </c>
      <c r="H58" s="311" t="str">
        <f t="shared" si="5"/>
        <v/>
      </c>
      <c r="I58" s="311" t="str">
        <f t="shared" si="6"/>
        <v/>
      </c>
      <c r="J58" s="312" t="str">
        <f t="shared" si="7"/>
        <v/>
      </c>
      <c r="K58" s="313"/>
      <c r="L58" s="133"/>
      <c r="M58" s="9"/>
      <c r="N58" s="9"/>
      <c r="O58" s="9"/>
      <c r="P58" s="9"/>
      <c r="Q58" s="9"/>
      <c r="R58" s="9"/>
      <c r="S58" s="9"/>
      <c r="T58" s="9"/>
      <c r="U58" s="9"/>
      <c r="V58" s="9"/>
      <c r="W58" s="9"/>
      <c r="X58" s="9"/>
      <c r="Y58" s="9"/>
      <c r="Z58" s="9"/>
      <c r="AA58" s="9"/>
      <c r="AB58" s="9"/>
      <c r="AC58" s="9"/>
      <c r="AD58" s="9"/>
      <c r="AE58" s="9"/>
      <c r="AF58" s="9"/>
      <c r="AG58" s="9"/>
      <c r="AH58" s="9"/>
      <c r="AI58" s="9"/>
    </row>
    <row r="59" spans="1:35" ht="15" customHeight="1">
      <c r="A59" s="62">
        <f>'Students Details'!A59</f>
        <v>53</v>
      </c>
      <c r="B59" s="128" t="str">
        <f>IF('Students Details'!B59="","",'Students Details'!B59)</f>
        <v/>
      </c>
      <c r="C59" s="305" t="str">
        <f>IF('Students Details'!C59="","",'Students Details'!C59)</f>
        <v/>
      </c>
      <c r="D59" s="311" t="str">
        <f t="shared" si="1"/>
        <v/>
      </c>
      <c r="E59" s="311" t="str">
        <f t="shared" si="2"/>
        <v/>
      </c>
      <c r="F59" s="311" t="str">
        <f t="shared" si="3"/>
        <v/>
      </c>
      <c r="G59" s="311" t="str">
        <f t="shared" si="4"/>
        <v/>
      </c>
      <c r="H59" s="311" t="str">
        <f t="shared" si="5"/>
        <v/>
      </c>
      <c r="I59" s="311" t="str">
        <f t="shared" si="6"/>
        <v/>
      </c>
      <c r="J59" s="312" t="str">
        <f t="shared" si="7"/>
        <v/>
      </c>
      <c r="K59" s="313"/>
      <c r="L59" s="133"/>
      <c r="M59" s="9"/>
      <c r="N59" s="9"/>
      <c r="O59" s="9"/>
      <c r="P59" s="9"/>
      <c r="Q59" s="9"/>
      <c r="R59" s="9"/>
      <c r="S59" s="9"/>
      <c r="T59" s="9"/>
      <c r="U59" s="9"/>
      <c r="V59" s="9"/>
      <c r="W59" s="9"/>
      <c r="X59" s="9"/>
      <c r="Y59" s="9"/>
      <c r="Z59" s="9"/>
      <c r="AA59" s="9"/>
      <c r="AB59" s="9"/>
      <c r="AC59" s="9"/>
      <c r="AD59" s="9"/>
      <c r="AE59" s="9"/>
      <c r="AF59" s="9"/>
      <c r="AG59" s="9"/>
      <c r="AH59" s="9"/>
      <c r="AI59" s="9"/>
    </row>
    <row r="60" spans="1:35" ht="15" customHeight="1">
      <c r="A60" s="62">
        <f>'Students Details'!A60</f>
        <v>54</v>
      </c>
      <c r="B60" s="128" t="str">
        <f>IF('Students Details'!B60="","",'Students Details'!B60)</f>
        <v/>
      </c>
      <c r="C60" s="305" t="str">
        <f>IF('Students Details'!C60="","",'Students Details'!C60)</f>
        <v/>
      </c>
      <c r="D60" s="311" t="str">
        <f t="shared" si="1"/>
        <v/>
      </c>
      <c r="E60" s="311" t="str">
        <f t="shared" si="2"/>
        <v/>
      </c>
      <c r="F60" s="311" t="str">
        <f t="shared" si="3"/>
        <v/>
      </c>
      <c r="G60" s="311" t="str">
        <f t="shared" si="4"/>
        <v/>
      </c>
      <c r="H60" s="311" t="str">
        <f t="shared" si="5"/>
        <v/>
      </c>
      <c r="I60" s="311" t="str">
        <f t="shared" si="6"/>
        <v/>
      </c>
      <c r="J60" s="312" t="str">
        <f t="shared" si="7"/>
        <v/>
      </c>
      <c r="K60" s="313"/>
      <c r="L60" s="133"/>
      <c r="M60" s="9"/>
      <c r="N60" s="9"/>
      <c r="O60" s="9"/>
      <c r="P60" s="9"/>
      <c r="Q60" s="9"/>
      <c r="R60" s="9"/>
      <c r="S60" s="9"/>
      <c r="T60" s="9"/>
      <c r="U60" s="9"/>
      <c r="V60" s="9"/>
      <c r="W60" s="9"/>
      <c r="X60" s="9"/>
      <c r="Y60" s="9"/>
      <c r="Z60" s="9"/>
      <c r="AA60" s="9"/>
      <c r="AB60" s="9"/>
      <c r="AC60" s="9"/>
      <c r="AD60" s="9"/>
      <c r="AE60" s="9"/>
      <c r="AF60" s="9"/>
      <c r="AG60" s="9"/>
      <c r="AH60" s="9"/>
      <c r="AI60" s="9"/>
    </row>
    <row r="61" spans="1:35" ht="15" customHeight="1">
      <c r="A61" s="62">
        <f>'Students Details'!A61</f>
        <v>55</v>
      </c>
      <c r="B61" s="128" t="str">
        <f>IF('Students Details'!B61="","",'Students Details'!B61)</f>
        <v/>
      </c>
      <c r="C61" s="305" t="str">
        <f>IF('Students Details'!C61="","",'Students Details'!C61)</f>
        <v/>
      </c>
      <c r="D61" s="311" t="str">
        <f t="shared" si="1"/>
        <v/>
      </c>
      <c r="E61" s="311" t="str">
        <f t="shared" si="2"/>
        <v/>
      </c>
      <c r="F61" s="311" t="str">
        <f t="shared" si="3"/>
        <v/>
      </c>
      <c r="G61" s="311" t="str">
        <f t="shared" si="4"/>
        <v/>
      </c>
      <c r="H61" s="311" t="str">
        <f t="shared" si="5"/>
        <v/>
      </c>
      <c r="I61" s="311" t="str">
        <f t="shared" si="6"/>
        <v/>
      </c>
      <c r="J61" s="312" t="str">
        <f t="shared" si="7"/>
        <v/>
      </c>
      <c r="K61" s="313"/>
      <c r="L61" s="133"/>
      <c r="M61" s="9"/>
      <c r="N61" s="9"/>
      <c r="O61" s="9"/>
      <c r="P61" s="9"/>
      <c r="Q61" s="9"/>
      <c r="R61" s="9"/>
      <c r="S61" s="9"/>
      <c r="T61" s="9"/>
      <c r="U61" s="9"/>
      <c r="V61" s="9"/>
      <c r="W61" s="9"/>
      <c r="X61" s="9"/>
      <c r="Y61" s="9"/>
      <c r="Z61" s="9"/>
      <c r="AA61" s="9"/>
      <c r="AB61" s="9"/>
      <c r="AC61" s="9"/>
      <c r="AD61" s="9"/>
      <c r="AE61" s="9"/>
      <c r="AF61" s="9"/>
      <c r="AG61" s="9"/>
      <c r="AH61" s="9"/>
      <c r="AI61" s="9"/>
    </row>
    <row r="62" spans="1:35" ht="15" customHeight="1">
      <c r="A62" s="62">
        <f>'Students Details'!A62</f>
        <v>56</v>
      </c>
      <c r="B62" s="128" t="str">
        <f>IF('Students Details'!B62="","",'Students Details'!B62)</f>
        <v/>
      </c>
      <c r="C62" s="305" t="str">
        <f>IF('Students Details'!C62="","",'Students Details'!C62)</f>
        <v/>
      </c>
      <c r="D62" s="311"/>
      <c r="E62" s="311"/>
      <c r="F62" s="311"/>
      <c r="G62" s="311"/>
      <c r="H62" s="311"/>
      <c r="I62" s="311"/>
      <c r="J62" s="312"/>
      <c r="K62" s="313"/>
      <c r="L62" s="133"/>
      <c r="M62" s="9"/>
      <c r="N62" s="9"/>
      <c r="O62" s="9"/>
      <c r="P62" s="9"/>
      <c r="Q62" s="9"/>
      <c r="R62" s="9"/>
      <c r="S62" s="9"/>
      <c r="T62" s="9"/>
      <c r="U62" s="9"/>
      <c r="V62" s="9"/>
      <c r="W62" s="9"/>
      <c r="X62" s="9"/>
      <c r="Y62" s="9"/>
      <c r="Z62" s="9"/>
      <c r="AA62" s="9"/>
      <c r="AB62" s="9"/>
      <c r="AC62" s="9"/>
      <c r="AD62" s="9"/>
      <c r="AE62" s="9"/>
      <c r="AF62" s="9"/>
      <c r="AG62" s="9"/>
      <c r="AH62" s="9"/>
      <c r="AI62" s="9"/>
    </row>
    <row r="63" spans="1:35" ht="15" customHeight="1">
      <c r="A63" s="62">
        <f>'Students Details'!A63</f>
        <v>57</v>
      </c>
      <c r="B63" s="128" t="str">
        <f>IF('Students Details'!B63="","",'Students Details'!B63)</f>
        <v/>
      </c>
      <c r="C63" s="305" t="str">
        <f>IF('Students Details'!C63="","",'Students Details'!C63)</f>
        <v/>
      </c>
      <c r="D63" s="311"/>
      <c r="E63" s="311"/>
      <c r="F63" s="311"/>
      <c r="G63" s="311"/>
      <c r="H63" s="311"/>
      <c r="I63" s="311"/>
      <c r="J63" s="312"/>
      <c r="K63" s="313"/>
      <c r="L63" s="133"/>
      <c r="M63" s="9"/>
      <c r="N63" s="9"/>
      <c r="O63" s="9"/>
      <c r="P63" s="9"/>
      <c r="Q63" s="9"/>
      <c r="R63" s="9"/>
      <c r="S63" s="9"/>
      <c r="T63" s="9"/>
      <c r="U63" s="9"/>
      <c r="V63" s="9"/>
      <c r="W63" s="9"/>
      <c r="X63" s="9"/>
      <c r="Y63" s="9"/>
      <c r="Z63" s="9"/>
      <c r="AA63" s="9"/>
      <c r="AB63" s="9"/>
      <c r="AC63" s="9"/>
      <c r="AD63" s="9"/>
      <c r="AE63" s="9"/>
      <c r="AF63" s="9"/>
      <c r="AG63" s="9"/>
      <c r="AH63" s="9"/>
      <c r="AI63" s="9"/>
    </row>
    <row r="64" spans="1:35" ht="15" customHeight="1">
      <c r="A64" s="62">
        <f>'Students Details'!A64</f>
        <v>58</v>
      </c>
      <c r="B64" s="128" t="str">
        <f>IF('Students Details'!B64="","",'Students Details'!B64)</f>
        <v/>
      </c>
      <c r="C64" s="305" t="str">
        <f>IF('Students Details'!C64="","",'Students Details'!C64)</f>
        <v/>
      </c>
      <c r="D64" s="311"/>
      <c r="E64" s="311"/>
      <c r="F64" s="311"/>
      <c r="G64" s="311"/>
      <c r="H64" s="311"/>
      <c r="I64" s="311"/>
      <c r="J64" s="312"/>
      <c r="K64" s="313"/>
      <c r="L64" s="133"/>
      <c r="M64" s="9"/>
      <c r="N64" s="9"/>
      <c r="O64" s="9"/>
      <c r="P64" s="9"/>
      <c r="Q64" s="9"/>
      <c r="R64" s="9"/>
      <c r="S64" s="9"/>
      <c r="T64" s="9"/>
      <c r="U64" s="9"/>
      <c r="V64" s="9"/>
      <c r="W64" s="9"/>
      <c r="X64" s="9"/>
      <c r="Y64" s="9"/>
      <c r="Z64" s="9"/>
      <c r="AA64" s="9"/>
      <c r="AB64" s="9"/>
      <c r="AC64" s="9"/>
      <c r="AD64" s="9"/>
      <c r="AE64" s="9"/>
      <c r="AF64" s="9"/>
      <c r="AG64" s="9"/>
      <c r="AH64" s="9"/>
      <c r="AI64" s="9"/>
    </row>
    <row r="65" spans="1:35" ht="15" customHeight="1">
      <c r="A65" s="62">
        <f>'Students Details'!A65</f>
        <v>59</v>
      </c>
      <c r="B65" s="128" t="str">
        <f>IF('Students Details'!B65="","",'Students Details'!B65)</f>
        <v/>
      </c>
      <c r="C65" s="305" t="str">
        <f>IF('Students Details'!C65="","",'Students Details'!C65)</f>
        <v/>
      </c>
      <c r="D65" s="311"/>
      <c r="E65" s="311"/>
      <c r="F65" s="311"/>
      <c r="G65" s="311"/>
      <c r="H65" s="311"/>
      <c r="I65" s="311"/>
      <c r="J65" s="312"/>
      <c r="K65" s="313"/>
      <c r="L65" s="133"/>
      <c r="M65" s="9"/>
      <c r="N65" s="9"/>
      <c r="O65" s="9"/>
      <c r="P65" s="9"/>
      <c r="Q65" s="9"/>
      <c r="R65" s="9"/>
      <c r="S65" s="9"/>
      <c r="T65" s="9"/>
      <c r="U65" s="9"/>
      <c r="V65" s="9"/>
      <c r="W65" s="9"/>
      <c r="X65" s="9"/>
      <c r="Y65" s="9"/>
      <c r="Z65" s="9"/>
      <c r="AA65" s="9"/>
      <c r="AB65" s="9"/>
      <c r="AC65" s="9"/>
      <c r="AD65" s="9"/>
      <c r="AE65" s="9"/>
      <c r="AF65" s="9"/>
      <c r="AG65" s="9"/>
      <c r="AH65" s="9"/>
      <c r="AI65" s="9"/>
    </row>
    <row r="66" spans="1:35" ht="15" customHeight="1">
      <c r="A66" s="62">
        <f>'Students Details'!A66</f>
        <v>60</v>
      </c>
      <c r="B66" s="128" t="str">
        <f>IF('Students Details'!B66="","",'Students Details'!B66)</f>
        <v/>
      </c>
      <c r="C66" s="305" t="str">
        <f>IF('Students Details'!C66="","",'Students Details'!C66)</f>
        <v/>
      </c>
      <c r="D66" s="311"/>
      <c r="E66" s="311"/>
      <c r="F66" s="311"/>
      <c r="G66" s="311"/>
      <c r="H66" s="311"/>
      <c r="I66" s="311"/>
      <c r="J66" s="312"/>
      <c r="K66" s="313"/>
      <c r="L66" s="133"/>
      <c r="M66" s="9"/>
      <c r="N66" s="9"/>
      <c r="O66" s="9"/>
      <c r="P66" s="9"/>
      <c r="Q66" s="9"/>
      <c r="R66" s="9"/>
      <c r="S66" s="9"/>
      <c r="T66" s="9"/>
      <c r="U66" s="9"/>
      <c r="V66" s="9"/>
      <c r="W66" s="9"/>
      <c r="X66" s="9"/>
      <c r="Y66" s="9"/>
      <c r="Z66" s="9"/>
      <c r="AA66" s="9"/>
      <c r="AB66" s="9"/>
      <c r="AC66" s="9"/>
      <c r="AD66" s="9"/>
      <c r="AE66" s="9"/>
      <c r="AF66" s="9"/>
      <c r="AG66" s="9"/>
      <c r="AH66" s="9"/>
      <c r="AI66" s="9"/>
    </row>
    <row r="67" spans="1:35" ht="15" customHeight="1">
      <c r="A67" s="62">
        <f>'Students Details'!A67</f>
        <v>61</v>
      </c>
      <c r="B67" s="128" t="str">
        <f>IF('Students Details'!B67="","",'Students Details'!B67)</f>
        <v/>
      </c>
      <c r="C67" s="305" t="str">
        <f>IF('Students Details'!C67="","",'Students Details'!C67)</f>
        <v/>
      </c>
      <c r="D67" s="311"/>
      <c r="E67" s="311"/>
      <c r="F67" s="311"/>
      <c r="G67" s="311"/>
      <c r="H67" s="311"/>
      <c r="I67" s="311"/>
      <c r="J67" s="312"/>
      <c r="K67" s="313"/>
      <c r="L67" s="133"/>
      <c r="M67" s="9"/>
      <c r="N67" s="9"/>
      <c r="O67" s="9"/>
      <c r="P67" s="9"/>
      <c r="Q67" s="9"/>
      <c r="R67" s="9"/>
      <c r="S67" s="9"/>
      <c r="T67" s="9"/>
      <c r="U67" s="9"/>
      <c r="V67" s="9"/>
      <c r="W67" s="9"/>
      <c r="X67" s="9"/>
      <c r="Y67" s="9"/>
      <c r="Z67" s="9"/>
      <c r="AA67" s="9"/>
      <c r="AB67" s="9"/>
      <c r="AC67" s="9"/>
      <c r="AD67" s="9"/>
      <c r="AE67" s="9"/>
      <c r="AF67" s="9"/>
      <c r="AG67" s="9"/>
      <c r="AH67" s="9"/>
      <c r="AI67" s="9"/>
    </row>
    <row r="68" spans="1:35" ht="15" customHeight="1">
      <c r="A68" s="62">
        <f>'Students Details'!A68</f>
        <v>62</v>
      </c>
      <c r="B68" s="128" t="str">
        <f>IF('Students Details'!B68="","",'Students Details'!B68)</f>
        <v/>
      </c>
      <c r="C68" s="305" t="str">
        <f>IF('Students Details'!C68="","",'Students Details'!C68)</f>
        <v/>
      </c>
      <c r="D68" s="311"/>
      <c r="E68" s="311"/>
      <c r="F68" s="311"/>
      <c r="G68" s="311"/>
      <c r="H68" s="311"/>
      <c r="I68" s="311"/>
      <c r="J68" s="312"/>
      <c r="K68" s="313"/>
      <c r="L68" s="133"/>
      <c r="M68" s="9"/>
      <c r="N68" s="9"/>
      <c r="O68" s="9"/>
      <c r="P68" s="9"/>
      <c r="Q68" s="9"/>
      <c r="R68" s="9"/>
      <c r="S68" s="9"/>
      <c r="T68" s="9"/>
      <c r="U68" s="9"/>
      <c r="V68" s="9"/>
      <c r="W68" s="9"/>
      <c r="X68" s="9"/>
      <c r="Y68" s="9"/>
      <c r="Z68" s="9"/>
      <c r="AA68" s="9"/>
      <c r="AB68" s="9"/>
      <c r="AC68" s="9"/>
      <c r="AD68" s="9"/>
      <c r="AE68" s="9"/>
      <c r="AF68" s="9"/>
      <c r="AG68" s="9"/>
      <c r="AH68" s="9"/>
      <c r="AI68" s="9"/>
    </row>
    <row r="69" spans="1:35" ht="15" customHeight="1">
      <c r="A69" s="62">
        <f>'Students Details'!A69</f>
        <v>63</v>
      </c>
      <c r="B69" s="128" t="str">
        <f>IF('Students Details'!B69="","",'Students Details'!B69)</f>
        <v/>
      </c>
      <c r="C69" s="305" t="str">
        <f>IF('Students Details'!C69="","",'Students Details'!C69)</f>
        <v/>
      </c>
      <c r="D69" s="311"/>
      <c r="E69" s="311"/>
      <c r="F69" s="311"/>
      <c r="G69" s="311"/>
      <c r="H69" s="311"/>
      <c r="I69" s="311"/>
      <c r="J69" s="312"/>
      <c r="K69" s="313"/>
      <c r="L69" s="133"/>
      <c r="M69" s="9"/>
      <c r="N69" s="9"/>
      <c r="O69" s="9"/>
      <c r="P69" s="9"/>
      <c r="Q69" s="9"/>
      <c r="R69" s="9"/>
      <c r="S69" s="9"/>
      <c r="T69" s="9"/>
      <c r="U69" s="9"/>
      <c r="V69" s="9"/>
      <c r="W69" s="9"/>
      <c r="X69" s="9"/>
      <c r="Y69" s="9"/>
      <c r="Z69" s="9"/>
      <c r="AA69" s="9"/>
      <c r="AB69" s="9"/>
      <c r="AC69" s="9"/>
      <c r="AD69" s="9"/>
      <c r="AE69" s="9"/>
      <c r="AF69" s="9"/>
      <c r="AG69" s="9"/>
      <c r="AH69" s="9"/>
      <c r="AI69" s="9"/>
    </row>
    <row r="70" spans="1:35" ht="15" customHeight="1">
      <c r="A70" s="62">
        <f>'Students Details'!A70</f>
        <v>64</v>
      </c>
      <c r="B70" s="128" t="str">
        <f>IF('Students Details'!B70="","",'Students Details'!B70)</f>
        <v/>
      </c>
      <c r="C70" s="305" t="str">
        <f>IF('Students Details'!C70="","",'Students Details'!C70)</f>
        <v/>
      </c>
      <c r="D70" s="311"/>
      <c r="E70" s="311"/>
      <c r="F70" s="311"/>
      <c r="G70" s="311"/>
      <c r="H70" s="311"/>
      <c r="I70" s="311"/>
      <c r="J70" s="312"/>
      <c r="K70" s="313"/>
      <c r="L70" s="133"/>
      <c r="M70" s="9"/>
      <c r="N70" s="9"/>
      <c r="O70" s="9"/>
      <c r="P70" s="9"/>
      <c r="Q70" s="9"/>
      <c r="R70" s="9"/>
      <c r="S70" s="9"/>
      <c r="T70" s="9"/>
      <c r="U70" s="9"/>
      <c r="V70" s="9"/>
      <c r="W70" s="9"/>
      <c r="X70" s="9"/>
      <c r="Y70" s="9"/>
      <c r="Z70" s="9"/>
      <c r="AA70" s="9"/>
      <c r="AB70" s="9"/>
      <c r="AC70" s="9"/>
      <c r="AD70" s="9"/>
      <c r="AE70" s="9"/>
      <c r="AF70" s="9"/>
      <c r="AG70" s="9"/>
      <c r="AH70" s="9"/>
      <c r="AI70" s="9"/>
    </row>
    <row r="71" spans="1:35" ht="15" customHeight="1">
      <c r="A71" s="62">
        <f>'Students Details'!A71</f>
        <v>65</v>
      </c>
      <c r="B71" s="128" t="str">
        <f>IF('Students Details'!B71="","",'Students Details'!B71)</f>
        <v/>
      </c>
      <c r="C71" s="305" t="str">
        <f>IF('Students Details'!C71="","",'Students Details'!C71)</f>
        <v/>
      </c>
      <c r="D71" s="311"/>
      <c r="E71" s="311"/>
      <c r="F71" s="311"/>
      <c r="G71" s="311"/>
      <c r="H71" s="311"/>
      <c r="I71" s="311"/>
      <c r="J71" s="312"/>
      <c r="K71" s="313"/>
      <c r="L71" s="133"/>
      <c r="M71" s="9"/>
      <c r="N71" s="9"/>
      <c r="O71" s="9"/>
      <c r="P71" s="9"/>
      <c r="Q71" s="9"/>
      <c r="R71" s="9"/>
      <c r="S71" s="9"/>
      <c r="T71" s="9"/>
      <c r="U71" s="9"/>
      <c r="V71" s="9"/>
      <c r="W71" s="9"/>
      <c r="X71" s="9"/>
      <c r="Y71" s="9"/>
      <c r="Z71" s="9"/>
      <c r="AA71" s="9"/>
      <c r="AB71" s="9"/>
      <c r="AC71" s="9"/>
      <c r="AD71" s="9"/>
      <c r="AE71" s="9"/>
      <c r="AF71" s="9"/>
      <c r="AG71" s="9"/>
      <c r="AH71" s="9"/>
      <c r="AI71" s="9"/>
    </row>
    <row r="72" spans="1:35" ht="15" customHeight="1">
      <c r="A72" s="62">
        <f>'Students Details'!A72</f>
        <v>66</v>
      </c>
      <c r="B72" s="128" t="str">
        <f>IF('Students Details'!B72="","",'Students Details'!B72)</f>
        <v/>
      </c>
      <c r="C72" s="305" t="str">
        <f>IF('Students Details'!C72="","",'Students Details'!C72)</f>
        <v/>
      </c>
      <c r="D72" s="311"/>
      <c r="E72" s="311"/>
      <c r="F72" s="311"/>
      <c r="G72" s="311"/>
      <c r="H72" s="311"/>
      <c r="I72" s="311"/>
      <c r="J72" s="312"/>
      <c r="K72" s="313"/>
      <c r="L72" s="133"/>
      <c r="M72" s="9"/>
      <c r="N72" s="9"/>
      <c r="O72" s="9"/>
      <c r="P72" s="9"/>
      <c r="Q72" s="9"/>
      <c r="R72" s="9"/>
      <c r="S72" s="9"/>
      <c r="T72" s="9"/>
      <c r="U72" s="9"/>
      <c r="V72" s="9"/>
      <c r="W72" s="9"/>
      <c r="X72" s="9"/>
      <c r="Y72" s="9"/>
      <c r="Z72" s="9"/>
      <c r="AA72" s="9"/>
      <c r="AB72" s="9"/>
      <c r="AC72" s="9"/>
      <c r="AD72" s="9"/>
      <c r="AE72" s="9"/>
      <c r="AF72" s="9"/>
      <c r="AG72" s="9"/>
      <c r="AH72" s="9"/>
      <c r="AI72" s="9"/>
    </row>
    <row r="73" spans="1:35" ht="15" customHeight="1">
      <c r="A73" s="62">
        <f>'Students Details'!A73</f>
        <v>67</v>
      </c>
      <c r="B73" s="128" t="str">
        <f>IF('Students Details'!B73="","",'Students Details'!B73)</f>
        <v/>
      </c>
      <c r="C73" s="305" t="str">
        <f>IF('Students Details'!C73="","",'Students Details'!C73)</f>
        <v/>
      </c>
      <c r="D73" s="311"/>
      <c r="E73" s="311"/>
      <c r="F73" s="311"/>
      <c r="G73" s="311"/>
      <c r="H73" s="311"/>
      <c r="I73" s="311"/>
      <c r="J73" s="312"/>
      <c r="K73" s="313"/>
      <c r="L73" s="133"/>
      <c r="M73" s="9"/>
      <c r="N73" s="9"/>
      <c r="O73" s="9"/>
      <c r="P73" s="9"/>
      <c r="Q73" s="9"/>
      <c r="R73" s="9"/>
      <c r="S73" s="9"/>
      <c r="T73" s="9"/>
      <c r="U73" s="9"/>
      <c r="V73" s="9"/>
      <c r="W73" s="9"/>
      <c r="X73" s="9"/>
      <c r="Y73" s="9"/>
      <c r="Z73" s="9"/>
      <c r="AA73" s="9"/>
      <c r="AB73" s="9"/>
      <c r="AC73" s="9"/>
      <c r="AD73" s="9"/>
      <c r="AE73" s="9"/>
      <c r="AF73" s="9"/>
      <c r="AG73" s="9"/>
      <c r="AH73" s="9"/>
      <c r="AI73" s="9"/>
    </row>
    <row r="74" spans="1:35" ht="15" customHeight="1">
      <c r="A74" s="62">
        <f>'Students Details'!A74</f>
        <v>68</v>
      </c>
      <c r="B74" s="128" t="str">
        <f>IF('Students Details'!B74="","",'Students Details'!B74)</f>
        <v/>
      </c>
      <c r="C74" s="305" t="str">
        <f>IF('Students Details'!C74="","",'Students Details'!C74)</f>
        <v/>
      </c>
      <c r="D74" s="311"/>
      <c r="E74" s="311"/>
      <c r="F74" s="311"/>
      <c r="G74" s="311"/>
      <c r="H74" s="311"/>
      <c r="I74" s="311"/>
      <c r="J74" s="312"/>
      <c r="K74" s="313"/>
      <c r="L74" s="133"/>
      <c r="M74" s="9"/>
      <c r="N74" s="9"/>
      <c r="O74" s="9"/>
      <c r="P74" s="9"/>
      <c r="Q74" s="9"/>
      <c r="R74" s="9"/>
      <c r="S74" s="9"/>
      <c r="T74" s="9"/>
      <c r="U74" s="9"/>
      <c r="V74" s="9"/>
      <c r="W74" s="9"/>
      <c r="X74" s="9"/>
      <c r="Y74" s="9"/>
      <c r="Z74" s="9"/>
      <c r="AA74" s="9"/>
      <c r="AB74" s="9"/>
      <c r="AC74" s="9"/>
      <c r="AD74" s="9"/>
      <c r="AE74" s="9"/>
      <c r="AF74" s="9"/>
      <c r="AG74" s="9"/>
      <c r="AH74" s="9"/>
      <c r="AI74" s="9"/>
    </row>
    <row r="75" spans="1:35" ht="15" customHeight="1">
      <c r="A75" s="62">
        <f>'Students Details'!A75</f>
        <v>69</v>
      </c>
      <c r="B75" s="128" t="str">
        <f>IF('Students Details'!B75="","",'Students Details'!B75)</f>
        <v/>
      </c>
      <c r="C75" s="305" t="str">
        <f>IF('Students Details'!C75="","",'Students Details'!C75)</f>
        <v/>
      </c>
      <c r="D75" s="311"/>
      <c r="E75" s="311"/>
      <c r="F75" s="311"/>
      <c r="G75" s="311"/>
      <c r="H75" s="311"/>
      <c r="I75" s="311"/>
      <c r="J75" s="312"/>
      <c r="K75" s="313"/>
      <c r="L75" s="133"/>
      <c r="M75" s="9"/>
      <c r="N75" s="9"/>
      <c r="O75" s="9"/>
      <c r="P75" s="9"/>
      <c r="Q75" s="9"/>
      <c r="R75" s="9"/>
      <c r="S75" s="9"/>
      <c r="T75" s="9"/>
      <c r="U75" s="9"/>
      <c r="V75" s="9"/>
      <c r="W75" s="9"/>
      <c r="X75" s="9"/>
      <c r="Y75" s="9"/>
      <c r="Z75" s="9"/>
      <c r="AA75" s="9"/>
      <c r="AB75" s="9"/>
      <c r="AC75" s="9"/>
      <c r="AD75" s="9"/>
      <c r="AE75" s="9"/>
      <c r="AF75" s="9"/>
      <c r="AG75" s="9"/>
      <c r="AH75" s="9"/>
      <c r="AI75" s="9"/>
    </row>
    <row r="76" spans="1:35" ht="15" customHeight="1">
      <c r="A76" s="62">
        <f>'Students Details'!A76</f>
        <v>70</v>
      </c>
      <c r="B76" s="128" t="str">
        <f>IF('Students Details'!B76="","",'Students Details'!B76)</f>
        <v/>
      </c>
      <c r="C76" s="305" t="str">
        <f>IF('Students Details'!C76="","",'Students Details'!C76)</f>
        <v/>
      </c>
      <c r="D76" s="311"/>
      <c r="E76" s="311"/>
      <c r="F76" s="311"/>
      <c r="G76" s="311"/>
      <c r="H76" s="311"/>
      <c r="I76" s="311"/>
      <c r="J76" s="312"/>
      <c r="K76" s="313"/>
      <c r="L76" s="133"/>
      <c r="M76" s="9"/>
      <c r="N76" s="9"/>
      <c r="O76" s="9"/>
      <c r="P76" s="9"/>
      <c r="Q76" s="9"/>
      <c r="R76" s="9"/>
      <c r="S76" s="9"/>
      <c r="T76" s="9"/>
      <c r="U76" s="9"/>
      <c r="V76" s="9"/>
      <c r="W76" s="9"/>
      <c r="X76" s="9"/>
      <c r="Y76" s="9"/>
      <c r="Z76" s="9"/>
      <c r="AA76" s="9"/>
      <c r="AB76" s="9"/>
      <c r="AC76" s="9"/>
      <c r="AD76" s="9"/>
      <c r="AE76" s="9"/>
      <c r="AF76" s="9"/>
      <c r="AG76" s="9"/>
      <c r="AH76" s="9"/>
      <c r="AI76" s="9"/>
    </row>
    <row r="77" spans="1:35" ht="15" customHeight="1">
      <c r="A77" s="62">
        <f>'Students Details'!A77</f>
        <v>71</v>
      </c>
      <c r="B77" s="128" t="str">
        <f>IF('Students Details'!B77="","",'Students Details'!B77)</f>
        <v/>
      </c>
      <c r="C77" s="305" t="str">
        <f>IF('Students Details'!C77="","",'Students Details'!C77)</f>
        <v/>
      </c>
      <c r="D77" s="311"/>
      <c r="E77" s="311"/>
      <c r="F77" s="311"/>
      <c r="G77" s="311"/>
      <c r="H77" s="311"/>
      <c r="I77" s="311"/>
      <c r="J77" s="312"/>
      <c r="K77" s="314"/>
      <c r="L77" s="133"/>
      <c r="M77" s="9"/>
      <c r="N77" s="9"/>
      <c r="O77" s="9"/>
      <c r="P77" s="9"/>
      <c r="Q77" s="9"/>
      <c r="R77" s="9"/>
      <c r="S77" s="9"/>
      <c r="T77" s="9"/>
      <c r="U77" s="9"/>
      <c r="V77" s="9"/>
      <c r="W77" s="9"/>
      <c r="X77" s="9"/>
      <c r="Y77" s="9"/>
      <c r="Z77" s="9"/>
      <c r="AA77" s="9"/>
      <c r="AB77" s="9"/>
      <c r="AC77" s="9"/>
      <c r="AD77" s="9"/>
      <c r="AE77" s="9"/>
      <c r="AF77" s="9"/>
      <c r="AG77" s="9"/>
      <c r="AH77" s="9"/>
      <c r="AI77" s="9"/>
    </row>
    <row r="78" spans="1:35" ht="15" customHeight="1">
      <c r="A78" s="62">
        <f>'Students Details'!A78</f>
        <v>72</v>
      </c>
      <c r="B78" s="128" t="str">
        <f>IF('Students Details'!B78="","",'Students Details'!B78)</f>
        <v/>
      </c>
      <c r="C78" s="305" t="str">
        <f>IF('Students Details'!C78="","",'Students Details'!C78)</f>
        <v/>
      </c>
      <c r="D78" s="311"/>
      <c r="E78" s="311"/>
      <c r="F78" s="311"/>
      <c r="G78" s="311"/>
      <c r="H78" s="311"/>
      <c r="I78" s="311"/>
      <c r="J78" s="312"/>
      <c r="K78" s="314"/>
      <c r="L78" s="133"/>
      <c r="M78" s="9"/>
      <c r="N78" s="9"/>
      <c r="O78" s="9"/>
      <c r="P78" s="9"/>
      <c r="Q78" s="9"/>
      <c r="R78" s="9"/>
      <c r="S78" s="9"/>
      <c r="T78" s="9"/>
      <c r="U78" s="9"/>
      <c r="V78" s="9"/>
      <c r="W78" s="9"/>
      <c r="X78" s="9"/>
      <c r="Y78" s="9"/>
      <c r="Z78" s="9"/>
      <c r="AA78" s="9"/>
      <c r="AB78" s="9"/>
      <c r="AC78" s="9"/>
      <c r="AD78" s="9"/>
      <c r="AE78" s="9"/>
      <c r="AF78" s="9"/>
      <c r="AG78" s="9"/>
      <c r="AH78" s="9"/>
      <c r="AI78" s="9"/>
    </row>
    <row r="79" spans="1:35" ht="15" customHeight="1">
      <c r="A79" s="62">
        <f>'Students Details'!A79</f>
        <v>73</v>
      </c>
      <c r="B79" s="128" t="str">
        <f>IF('Students Details'!B79="","",'Students Details'!B79)</f>
        <v/>
      </c>
      <c r="C79" s="305" t="str">
        <f>IF('Students Details'!C79="","",'Students Details'!C79)</f>
        <v/>
      </c>
      <c r="D79" s="311"/>
      <c r="E79" s="311"/>
      <c r="F79" s="311"/>
      <c r="G79" s="311"/>
      <c r="H79" s="311"/>
      <c r="I79" s="311"/>
      <c r="J79" s="312"/>
      <c r="K79" s="314"/>
      <c r="L79" s="133"/>
      <c r="M79" s="9"/>
      <c r="N79" s="9"/>
      <c r="O79" s="9"/>
      <c r="P79" s="9"/>
      <c r="Q79" s="9"/>
      <c r="R79" s="9"/>
      <c r="S79" s="9"/>
      <c r="T79" s="9"/>
      <c r="U79" s="9"/>
      <c r="V79" s="9"/>
      <c r="W79" s="9"/>
      <c r="X79" s="9"/>
      <c r="Y79" s="9"/>
      <c r="Z79" s="9"/>
      <c r="AA79" s="9"/>
      <c r="AB79" s="9"/>
      <c r="AC79" s="9"/>
      <c r="AD79" s="9"/>
      <c r="AE79" s="9"/>
      <c r="AF79" s="9"/>
      <c r="AG79" s="9"/>
      <c r="AH79" s="9"/>
      <c r="AI79" s="9"/>
    </row>
    <row r="80" spans="1:35" ht="15" customHeight="1">
      <c r="A80" s="62">
        <f>'Students Details'!A80</f>
        <v>74</v>
      </c>
      <c r="B80" s="128" t="str">
        <f>IF('Students Details'!B80="","",'Students Details'!B80)</f>
        <v/>
      </c>
      <c r="C80" s="305" t="str">
        <f>IF('Students Details'!C80="","",'Students Details'!C80)</f>
        <v/>
      </c>
      <c r="D80" s="311"/>
      <c r="E80" s="311"/>
      <c r="F80" s="311"/>
      <c r="G80" s="311"/>
      <c r="H80" s="311"/>
      <c r="I80" s="311"/>
      <c r="J80" s="312"/>
      <c r="K80" s="314"/>
      <c r="L80" s="133"/>
      <c r="M80" s="9"/>
      <c r="N80" s="9"/>
      <c r="O80" s="9"/>
      <c r="P80" s="9"/>
      <c r="Q80" s="9"/>
      <c r="R80" s="9"/>
      <c r="S80" s="9"/>
      <c r="T80" s="9"/>
      <c r="U80" s="9"/>
      <c r="V80" s="9"/>
      <c r="W80" s="9"/>
      <c r="X80" s="9"/>
      <c r="Y80" s="9"/>
      <c r="Z80" s="9"/>
      <c r="AA80" s="9"/>
      <c r="AB80" s="9"/>
      <c r="AC80" s="9"/>
      <c r="AD80" s="9"/>
      <c r="AE80" s="9"/>
      <c r="AF80" s="9"/>
      <c r="AG80" s="9"/>
      <c r="AH80" s="9"/>
      <c r="AI80" s="9"/>
    </row>
    <row r="81" spans="1:35" ht="15" customHeight="1">
      <c r="A81" s="62">
        <f>'Students Details'!A81</f>
        <v>75</v>
      </c>
      <c r="B81" s="128" t="str">
        <f>IF('Students Details'!B81="","",'Students Details'!B81)</f>
        <v/>
      </c>
      <c r="C81" s="305" t="str">
        <f>IF('Students Details'!C81="","",'Students Details'!C81)</f>
        <v/>
      </c>
      <c r="D81" s="311"/>
      <c r="E81" s="311"/>
      <c r="F81" s="311"/>
      <c r="G81" s="311"/>
      <c r="H81" s="311"/>
      <c r="I81" s="311"/>
      <c r="J81" s="312"/>
      <c r="K81" s="314"/>
      <c r="L81" s="133"/>
      <c r="M81" s="9"/>
      <c r="N81" s="9"/>
      <c r="O81" s="9"/>
      <c r="P81" s="9"/>
      <c r="Q81" s="9"/>
      <c r="R81" s="9"/>
      <c r="S81" s="9"/>
      <c r="T81" s="9"/>
      <c r="U81" s="9"/>
      <c r="V81" s="9"/>
      <c r="W81" s="9"/>
      <c r="X81" s="9"/>
      <c r="Y81" s="9"/>
      <c r="Z81" s="9"/>
      <c r="AA81" s="9"/>
      <c r="AB81" s="9"/>
      <c r="AC81" s="9"/>
      <c r="AD81" s="9"/>
      <c r="AE81" s="9"/>
      <c r="AF81" s="9"/>
      <c r="AG81" s="9"/>
      <c r="AH81" s="9"/>
      <c r="AI81" s="9"/>
    </row>
    <row r="82" spans="1:35" ht="15" customHeight="1">
      <c r="A82" s="62">
        <f>'Students Details'!A82</f>
        <v>76</v>
      </c>
      <c r="B82" s="128" t="str">
        <f>IF('Students Details'!B82="","",'Students Details'!B82)</f>
        <v/>
      </c>
      <c r="C82" s="305" t="str">
        <f>IF('Students Details'!C82="","",'Students Details'!C82)</f>
        <v/>
      </c>
      <c r="D82" s="311"/>
      <c r="E82" s="311"/>
      <c r="F82" s="311"/>
      <c r="G82" s="311"/>
      <c r="H82" s="311"/>
      <c r="I82" s="311"/>
      <c r="J82" s="312"/>
      <c r="K82" s="314"/>
      <c r="L82" s="133"/>
      <c r="M82" s="9"/>
      <c r="N82" s="9"/>
      <c r="O82" s="9"/>
      <c r="P82" s="9"/>
      <c r="Q82" s="9"/>
      <c r="R82" s="9"/>
      <c r="S82" s="9"/>
      <c r="T82" s="9"/>
      <c r="U82" s="9"/>
      <c r="V82" s="9"/>
      <c r="W82" s="9"/>
      <c r="X82" s="9"/>
      <c r="Y82" s="9"/>
      <c r="Z82" s="9"/>
      <c r="AA82" s="9"/>
      <c r="AB82" s="9"/>
      <c r="AC82" s="9"/>
      <c r="AD82" s="9"/>
      <c r="AE82" s="9"/>
      <c r="AF82" s="9"/>
      <c r="AG82" s="9"/>
      <c r="AH82" s="9"/>
      <c r="AI82" s="9"/>
    </row>
    <row r="83" spans="1:35" ht="15" customHeight="1">
      <c r="A83" s="62">
        <f>'Students Details'!A83</f>
        <v>77</v>
      </c>
      <c r="B83" s="128" t="str">
        <f>IF('Students Details'!B83="","",'Students Details'!B83)</f>
        <v/>
      </c>
      <c r="C83" s="305" t="str">
        <f>IF('Students Details'!C83="","",'Students Details'!C83)</f>
        <v/>
      </c>
      <c r="D83" s="311"/>
      <c r="E83" s="311"/>
      <c r="F83" s="311"/>
      <c r="G83" s="311"/>
      <c r="H83" s="311"/>
      <c r="I83" s="311"/>
      <c r="J83" s="312"/>
      <c r="K83" s="314"/>
      <c r="L83" s="133"/>
      <c r="M83" s="9"/>
      <c r="N83" s="9"/>
      <c r="O83" s="9"/>
      <c r="P83" s="9"/>
      <c r="Q83" s="9"/>
      <c r="R83" s="9"/>
      <c r="S83" s="9"/>
      <c r="T83" s="9"/>
      <c r="U83" s="9"/>
      <c r="V83" s="9"/>
      <c r="W83" s="9"/>
      <c r="X83" s="9"/>
      <c r="Y83" s="9"/>
      <c r="Z83" s="9"/>
      <c r="AA83" s="9"/>
      <c r="AB83" s="9"/>
      <c r="AC83" s="9"/>
      <c r="AD83" s="9"/>
      <c r="AE83" s="9"/>
      <c r="AF83" s="9"/>
      <c r="AG83" s="9"/>
      <c r="AH83" s="9"/>
      <c r="AI83" s="9"/>
    </row>
    <row r="84" spans="1:35" ht="15" customHeight="1">
      <c r="A84" s="62">
        <f>'Students Details'!A84</f>
        <v>78</v>
      </c>
      <c r="B84" s="128" t="str">
        <f>IF('Students Details'!B84="","",'Students Details'!B84)</f>
        <v/>
      </c>
      <c r="C84" s="305" t="str">
        <f>IF('Students Details'!C84="","",'Students Details'!C84)</f>
        <v/>
      </c>
      <c r="D84" s="311"/>
      <c r="E84" s="311"/>
      <c r="F84" s="311"/>
      <c r="G84" s="311"/>
      <c r="H84" s="311"/>
      <c r="I84" s="311"/>
      <c r="J84" s="312"/>
      <c r="K84" s="314"/>
      <c r="L84" s="133"/>
      <c r="M84" s="9"/>
      <c r="N84" s="9"/>
      <c r="O84" s="9"/>
      <c r="P84" s="9"/>
      <c r="Q84" s="9"/>
      <c r="R84" s="9"/>
      <c r="S84" s="9"/>
      <c r="T84" s="9"/>
      <c r="U84" s="9"/>
      <c r="V84" s="9"/>
      <c r="W84" s="9"/>
      <c r="X84" s="9"/>
      <c r="Y84" s="9"/>
      <c r="Z84" s="9"/>
      <c r="AA84" s="9"/>
      <c r="AB84" s="9"/>
      <c r="AC84" s="9"/>
      <c r="AD84" s="9"/>
      <c r="AE84" s="9"/>
      <c r="AF84" s="9"/>
      <c r="AG84" s="9"/>
      <c r="AH84" s="9"/>
      <c r="AI84" s="9"/>
    </row>
    <row r="85" spans="1:35" ht="15" customHeight="1">
      <c r="A85" s="62">
        <f>'Students Details'!A85</f>
        <v>79</v>
      </c>
      <c r="B85" s="128" t="str">
        <f>IF('Students Details'!B85="","",'Students Details'!B85)</f>
        <v/>
      </c>
      <c r="C85" s="305" t="str">
        <f>IF('Students Details'!C85="","",'Students Details'!C85)</f>
        <v/>
      </c>
      <c r="D85" s="311"/>
      <c r="E85" s="311"/>
      <c r="F85" s="311"/>
      <c r="G85" s="311"/>
      <c r="H85" s="311"/>
      <c r="I85" s="311"/>
      <c r="J85" s="312"/>
      <c r="K85" s="314"/>
      <c r="L85" s="133"/>
      <c r="M85" s="9"/>
      <c r="N85" s="9"/>
      <c r="O85" s="9"/>
      <c r="P85" s="9"/>
      <c r="Q85" s="9"/>
      <c r="R85" s="9"/>
      <c r="S85" s="9"/>
      <c r="T85" s="9"/>
      <c r="U85" s="9"/>
      <c r="V85" s="9"/>
      <c r="W85" s="9"/>
      <c r="X85" s="9"/>
      <c r="Y85" s="9"/>
      <c r="Z85" s="9"/>
      <c r="AA85" s="9"/>
      <c r="AB85" s="9"/>
      <c r="AC85" s="9"/>
      <c r="AD85" s="9"/>
      <c r="AE85" s="9"/>
      <c r="AF85" s="9"/>
      <c r="AG85" s="9"/>
      <c r="AH85" s="9"/>
      <c r="AI85" s="9"/>
    </row>
    <row r="86" spans="1:35" ht="15" customHeight="1">
      <c r="A86" s="62">
        <f>'Students Details'!A86</f>
        <v>80</v>
      </c>
      <c r="B86" s="128" t="str">
        <f>IF('Students Details'!B86="","",'Students Details'!B86)</f>
        <v/>
      </c>
      <c r="C86" s="305" t="str">
        <f>IF('Students Details'!C86="","",'Students Details'!C86)</f>
        <v/>
      </c>
      <c r="D86" s="311"/>
      <c r="E86" s="311"/>
      <c r="F86" s="311"/>
      <c r="G86" s="311"/>
      <c r="H86" s="311"/>
      <c r="I86" s="311"/>
      <c r="J86" s="312"/>
      <c r="K86" s="314"/>
      <c r="L86" s="133"/>
      <c r="M86" s="9"/>
      <c r="N86" s="9"/>
      <c r="O86" s="9"/>
      <c r="P86" s="9"/>
      <c r="Q86" s="9"/>
      <c r="R86" s="9"/>
      <c r="S86" s="9"/>
      <c r="T86" s="9"/>
      <c r="U86" s="9"/>
      <c r="V86" s="9"/>
      <c r="W86" s="9"/>
      <c r="X86" s="9"/>
      <c r="Y86" s="9"/>
      <c r="Z86" s="9"/>
      <c r="AA86" s="9"/>
      <c r="AB86" s="9"/>
      <c r="AC86" s="9"/>
      <c r="AD86" s="9"/>
      <c r="AE86" s="9"/>
      <c r="AF86" s="9"/>
      <c r="AG86" s="9"/>
      <c r="AH86" s="9"/>
      <c r="AI86" s="9"/>
    </row>
    <row r="87" spans="1:35" ht="15" customHeight="1">
      <c r="A87" s="62">
        <f>'Students Details'!A87</f>
        <v>81</v>
      </c>
      <c r="B87" s="128" t="str">
        <f>IF('Students Details'!B87="","",'Students Details'!B87)</f>
        <v/>
      </c>
      <c r="C87" s="305" t="str">
        <f>IF('Students Details'!C87="","",'Students Details'!C87)</f>
        <v/>
      </c>
      <c r="D87" s="311"/>
      <c r="E87" s="311"/>
      <c r="F87" s="311"/>
      <c r="G87" s="311"/>
      <c r="H87" s="311"/>
      <c r="I87" s="311"/>
      <c r="J87" s="312"/>
      <c r="K87" s="314"/>
      <c r="L87" s="133"/>
      <c r="M87" s="9"/>
      <c r="N87" s="9"/>
      <c r="O87" s="9"/>
      <c r="P87" s="9"/>
      <c r="Q87" s="9"/>
      <c r="R87" s="9"/>
      <c r="S87" s="9"/>
      <c r="T87" s="9"/>
      <c r="U87" s="9"/>
      <c r="V87" s="9"/>
      <c r="W87" s="9"/>
      <c r="X87" s="9"/>
      <c r="Y87" s="9"/>
      <c r="Z87" s="9"/>
      <c r="AA87" s="9"/>
      <c r="AB87" s="9"/>
      <c r="AC87" s="9"/>
      <c r="AD87" s="9"/>
      <c r="AE87" s="9"/>
      <c r="AF87" s="9"/>
      <c r="AG87" s="9"/>
      <c r="AH87" s="9"/>
      <c r="AI87" s="9"/>
    </row>
    <row r="88" spans="1:35" ht="15" customHeight="1">
      <c r="A88" s="62">
        <f>'Students Details'!A88</f>
        <v>82</v>
      </c>
      <c r="B88" s="128" t="str">
        <f>IF('Students Details'!B88="","",'Students Details'!B88)</f>
        <v/>
      </c>
      <c r="C88" s="305" t="str">
        <f>IF('Students Details'!C88="","",'Students Details'!C88)</f>
        <v/>
      </c>
      <c r="D88" s="311"/>
      <c r="E88" s="311"/>
      <c r="F88" s="311"/>
      <c r="G88" s="311"/>
      <c r="H88" s="311"/>
      <c r="I88" s="311"/>
      <c r="J88" s="312"/>
      <c r="K88" s="314"/>
      <c r="L88" s="133"/>
      <c r="M88" s="9"/>
      <c r="N88" s="9"/>
      <c r="O88" s="9"/>
      <c r="P88" s="9"/>
      <c r="Q88" s="9"/>
      <c r="R88" s="9"/>
      <c r="S88" s="9"/>
      <c r="T88" s="9"/>
      <c r="U88" s="9"/>
      <c r="V88" s="9"/>
      <c r="W88" s="9"/>
      <c r="X88" s="9"/>
      <c r="Y88" s="9"/>
      <c r="Z88" s="9"/>
      <c r="AA88" s="9"/>
      <c r="AB88" s="9"/>
      <c r="AC88" s="9"/>
      <c r="AD88" s="9"/>
      <c r="AE88" s="9"/>
      <c r="AF88" s="9"/>
      <c r="AG88" s="9"/>
      <c r="AH88" s="9"/>
      <c r="AI88" s="9"/>
    </row>
    <row r="89" spans="1:35" ht="15" customHeight="1">
      <c r="A89" s="62">
        <f>'Students Details'!A89</f>
        <v>83</v>
      </c>
      <c r="B89" s="128" t="str">
        <f>IF('Students Details'!B89="","",'Students Details'!B89)</f>
        <v/>
      </c>
      <c r="C89" s="305" t="str">
        <f>IF('Students Details'!C89="","",'Students Details'!C89)</f>
        <v/>
      </c>
      <c r="D89" s="311"/>
      <c r="E89" s="311"/>
      <c r="F89" s="311"/>
      <c r="G89" s="311"/>
      <c r="H89" s="311"/>
      <c r="I89" s="311"/>
      <c r="J89" s="312"/>
      <c r="K89" s="314"/>
      <c r="L89" s="133"/>
      <c r="M89" s="9"/>
      <c r="N89" s="9"/>
      <c r="O89" s="9"/>
      <c r="P89" s="9"/>
      <c r="Q89" s="9"/>
      <c r="R89" s="9"/>
      <c r="S89" s="9"/>
      <c r="T89" s="9"/>
      <c r="U89" s="9"/>
      <c r="V89" s="9"/>
      <c r="W89" s="9"/>
      <c r="X89" s="9"/>
      <c r="Y89" s="9"/>
      <c r="Z89" s="9"/>
      <c r="AA89" s="9"/>
      <c r="AB89" s="9"/>
      <c r="AC89" s="9"/>
      <c r="AD89" s="9"/>
      <c r="AE89" s="9"/>
      <c r="AF89" s="9"/>
      <c r="AG89" s="9"/>
      <c r="AH89" s="9"/>
      <c r="AI89" s="9"/>
    </row>
    <row r="90" spans="1:35" ht="15" customHeight="1">
      <c r="A90" s="62">
        <f>'Students Details'!A90</f>
        <v>84</v>
      </c>
      <c r="B90" s="128" t="str">
        <f>IF('Students Details'!B90="","",'Students Details'!B90)</f>
        <v/>
      </c>
      <c r="C90" s="305" t="str">
        <f>IF('Students Details'!C90="","",'Students Details'!C90)</f>
        <v/>
      </c>
      <c r="D90" s="311"/>
      <c r="E90" s="311"/>
      <c r="F90" s="311"/>
      <c r="G90" s="311"/>
      <c r="H90" s="311"/>
      <c r="I90" s="311"/>
      <c r="J90" s="312"/>
      <c r="K90" s="314"/>
      <c r="L90" s="133"/>
      <c r="M90" s="9"/>
      <c r="N90" s="9"/>
      <c r="O90" s="9"/>
      <c r="P90" s="9"/>
      <c r="Q90" s="9"/>
      <c r="R90" s="9"/>
      <c r="S90" s="9"/>
      <c r="T90" s="9"/>
      <c r="U90" s="9"/>
      <c r="V90" s="9"/>
      <c r="W90" s="9"/>
      <c r="X90" s="9"/>
      <c r="Y90" s="9"/>
      <c r="Z90" s="9"/>
      <c r="AA90" s="9"/>
      <c r="AB90" s="9"/>
      <c r="AC90" s="9"/>
      <c r="AD90" s="9"/>
      <c r="AE90" s="9"/>
      <c r="AF90" s="9"/>
      <c r="AG90" s="9"/>
      <c r="AH90" s="9"/>
      <c r="AI90" s="9"/>
    </row>
    <row r="91" spans="1:35" ht="15" customHeight="1">
      <c r="A91" s="62">
        <f>'Students Details'!A91</f>
        <v>85</v>
      </c>
      <c r="B91" s="128" t="str">
        <f>IF('Students Details'!B91="","",'Students Details'!B91)</f>
        <v/>
      </c>
      <c r="C91" s="305" t="str">
        <f>IF('Students Details'!C91="","",'Students Details'!C91)</f>
        <v/>
      </c>
      <c r="D91" s="311"/>
      <c r="E91" s="311"/>
      <c r="F91" s="311"/>
      <c r="G91" s="311"/>
      <c r="H91" s="311"/>
      <c r="I91" s="311"/>
      <c r="J91" s="312"/>
      <c r="K91" s="314"/>
      <c r="L91" s="133"/>
      <c r="M91" s="9"/>
      <c r="N91" s="9"/>
      <c r="O91" s="9"/>
      <c r="P91" s="9"/>
      <c r="Q91" s="9"/>
      <c r="R91" s="9"/>
      <c r="S91" s="9"/>
      <c r="T91" s="9"/>
      <c r="U91" s="9"/>
      <c r="V91" s="9"/>
      <c r="W91" s="9"/>
      <c r="X91" s="9"/>
      <c r="Y91" s="9"/>
      <c r="Z91" s="9"/>
      <c r="AA91" s="9"/>
      <c r="AB91" s="9"/>
      <c r="AC91" s="9"/>
      <c r="AD91" s="9"/>
      <c r="AE91" s="9"/>
      <c r="AF91" s="9"/>
      <c r="AG91" s="9"/>
      <c r="AH91" s="9"/>
      <c r="AI91" s="9"/>
    </row>
    <row r="92" spans="1:35" ht="15" customHeight="1">
      <c r="A92" s="62">
        <f>'Students Details'!A92</f>
        <v>86</v>
      </c>
      <c r="B92" s="128" t="str">
        <f>IF('Students Details'!B92="","",'Students Details'!B92)</f>
        <v/>
      </c>
      <c r="C92" s="305" t="str">
        <f>IF('Students Details'!C92="","",'Students Details'!C92)</f>
        <v/>
      </c>
      <c r="D92" s="311"/>
      <c r="E92" s="311"/>
      <c r="F92" s="311"/>
      <c r="G92" s="311"/>
      <c r="H92" s="311"/>
      <c r="I92" s="311"/>
      <c r="J92" s="312"/>
      <c r="K92" s="314"/>
      <c r="L92" s="133"/>
      <c r="M92" s="9"/>
      <c r="N92" s="9"/>
      <c r="O92" s="9"/>
      <c r="P92" s="9"/>
      <c r="Q92" s="9"/>
      <c r="R92" s="9"/>
      <c r="S92" s="9"/>
      <c r="T92" s="9"/>
      <c r="U92" s="9"/>
      <c r="V92" s="9"/>
      <c r="W92" s="9"/>
      <c r="X92" s="9"/>
      <c r="Y92" s="9"/>
      <c r="Z92" s="9"/>
      <c r="AA92" s="9"/>
      <c r="AB92" s="9"/>
      <c r="AC92" s="9"/>
      <c r="AD92" s="9"/>
      <c r="AE92" s="9"/>
      <c r="AF92" s="9"/>
      <c r="AG92" s="9"/>
      <c r="AH92" s="9"/>
      <c r="AI92" s="9"/>
    </row>
    <row r="93" spans="1:35" ht="15" customHeight="1">
      <c r="A93" s="62">
        <f>'Students Details'!A93</f>
        <v>87</v>
      </c>
      <c r="B93" s="128" t="str">
        <f>IF('Students Details'!B93="","",'Students Details'!B93)</f>
        <v/>
      </c>
      <c r="C93" s="305" t="str">
        <f>IF('Students Details'!C93="","",'Students Details'!C93)</f>
        <v/>
      </c>
      <c r="D93" s="311"/>
      <c r="E93" s="311"/>
      <c r="F93" s="311"/>
      <c r="G93" s="311"/>
      <c r="H93" s="311"/>
      <c r="I93" s="311"/>
      <c r="J93" s="312"/>
      <c r="K93" s="314"/>
      <c r="L93" s="133"/>
      <c r="M93" s="9"/>
      <c r="N93" s="9"/>
      <c r="O93" s="9"/>
      <c r="P93" s="9"/>
      <c r="Q93" s="9"/>
      <c r="R93" s="9"/>
      <c r="S93" s="9"/>
      <c r="T93" s="9"/>
      <c r="U93" s="9"/>
      <c r="V93" s="9"/>
      <c r="W93" s="9"/>
      <c r="X93" s="9"/>
      <c r="Y93" s="9"/>
      <c r="Z93" s="9"/>
      <c r="AA93" s="9"/>
      <c r="AB93" s="9"/>
      <c r="AC93" s="9"/>
      <c r="AD93" s="9"/>
      <c r="AE93" s="9"/>
      <c r="AF93" s="9"/>
      <c r="AG93" s="9"/>
      <c r="AH93" s="9"/>
      <c r="AI93" s="9"/>
    </row>
    <row r="94" spans="1:35" ht="15" customHeight="1">
      <c r="A94" s="62">
        <f>'Students Details'!A94</f>
        <v>88</v>
      </c>
      <c r="B94" s="128" t="str">
        <f>IF('Students Details'!B94="","",'Students Details'!B94)</f>
        <v/>
      </c>
      <c r="C94" s="305" t="str">
        <f>IF('Students Details'!C94="","",'Students Details'!C94)</f>
        <v/>
      </c>
      <c r="D94" s="311"/>
      <c r="E94" s="311"/>
      <c r="F94" s="311"/>
      <c r="G94" s="311"/>
      <c r="H94" s="311"/>
      <c r="I94" s="311"/>
      <c r="J94" s="312"/>
      <c r="K94" s="314"/>
      <c r="L94" s="133"/>
      <c r="M94" s="9"/>
      <c r="N94" s="9"/>
      <c r="O94" s="9"/>
      <c r="P94" s="9"/>
      <c r="Q94" s="9"/>
      <c r="R94" s="9"/>
      <c r="S94" s="9"/>
      <c r="T94" s="9"/>
      <c r="U94" s="9"/>
      <c r="V94" s="9"/>
      <c r="W94" s="9"/>
      <c r="X94" s="9"/>
      <c r="Y94" s="9"/>
      <c r="Z94" s="9"/>
      <c r="AA94" s="9"/>
      <c r="AB94" s="9"/>
      <c r="AC94" s="9"/>
      <c r="AD94" s="9"/>
      <c r="AE94" s="9"/>
      <c r="AF94" s="9"/>
      <c r="AG94" s="9"/>
      <c r="AH94" s="9"/>
      <c r="AI94" s="9"/>
    </row>
    <row r="95" spans="1:35" ht="15" customHeight="1">
      <c r="A95" s="62">
        <f>'Students Details'!A95</f>
        <v>89</v>
      </c>
      <c r="B95" s="128" t="str">
        <f>IF('Students Details'!B95="","",'Students Details'!B95)</f>
        <v/>
      </c>
      <c r="C95" s="305" t="str">
        <f>IF('Students Details'!C95="","",'Students Details'!C95)</f>
        <v/>
      </c>
      <c r="D95" s="311"/>
      <c r="E95" s="311"/>
      <c r="F95" s="311"/>
      <c r="G95" s="311"/>
      <c r="H95" s="311"/>
      <c r="I95" s="311"/>
      <c r="J95" s="312"/>
      <c r="K95" s="314"/>
      <c r="L95" s="133"/>
      <c r="M95" s="9"/>
      <c r="N95" s="9"/>
      <c r="O95" s="9"/>
      <c r="P95" s="9"/>
      <c r="Q95" s="9"/>
      <c r="R95" s="9"/>
      <c r="S95" s="9"/>
      <c r="T95" s="9"/>
      <c r="U95" s="9"/>
      <c r="V95" s="9"/>
      <c r="W95" s="9"/>
      <c r="X95" s="9"/>
      <c r="Y95" s="9"/>
      <c r="Z95" s="9"/>
      <c r="AA95" s="9"/>
      <c r="AB95" s="9"/>
      <c r="AC95" s="9"/>
      <c r="AD95" s="9"/>
      <c r="AE95" s="9"/>
      <c r="AF95" s="9"/>
      <c r="AG95" s="9"/>
      <c r="AH95" s="9"/>
      <c r="AI95" s="9"/>
    </row>
    <row r="96" spans="1:35" ht="15" customHeight="1">
      <c r="A96" s="62">
        <f>'Students Details'!A96</f>
        <v>90</v>
      </c>
      <c r="B96" s="128" t="str">
        <f>IF('Students Details'!B96="","",'Students Details'!B96)</f>
        <v/>
      </c>
      <c r="C96" s="305" t="str">
        <f>IF('Students Details'!C96="","",'Students Details'!C96)</f>
        <v/>
      </c>
      <c r="D96" s="311"/>
      <c r="E96" s="311"/>
      <c r="F96" s="311"/>
      <c r="G96" s="311"/>
      <c r="H96" s="311"/>
      <c r="I96" s="311"/>
      <c r="J96" s="312"/>
      <c r="K96" s="314"/>
      <c r="L96" s="133"/>
      <c r="M96" s="9"/>
      <c r="N96" s="9"/>
      <c r="O96" s="9"/>
      <c r="P96" s="9"/>
      <c r="Q96" s="9"/>
      <c r="R96" s="9"/>
      <c r="S96" s="9"/>
      <c r="T96" s="9"/>
      <c r="U96" s="9"/>
      <c r="V96" s="9"/>
      <c r="W96" s="9"/>
      <c r="X96" s="9"/>
      <c r="Y96" s="9"/>
      <c r="Z96" s="9"/>
      <c r="AA96" s="9"/>
      <c r="AB96" s="9"/>
      <c r="AC96" s="9"/>
      <c r="AD96" s="9"/>
      <c r="AE96" s="9"/>
      <c r="AF96" s="9"/>
      <c r="AG96" s="9"/>
      <c r="AH96" s="9"/>
      <c r="AI96" s="9"/>
    </row>
    <row r="97" spans="1:35" ht="15" customHeight="1">
      <c r="A97" s="62">
        <f>'Students Details'!A97</f>
        <v>91</v>
      </c>
      <c r="B97" s="128" t="str">
        <f>IF('Students Details'!B97="","",'Students Details'!B97)</f>
        <v/>
      </c>
      <c r="C97" s="305" t="str">
        <f>IF('Students Details'!C97="","",'Students Details'!C97)</f>
        <v/>
      </c>
      <c r="D97" s="311"/>
      <c r="E97" s="311"/>
      <c r="F97" s="311"/>
      <c r="G97" s="311"/>
      <c r="H97" s="311"/>
      <c r="I97" s="311"/>
      <c r="J97" s="312"/>
      <c r="K97" s="314"/>
      <c r="L97" s="133"/>
      <c r="M97" s="9"/>
      <c r="N97" s="9"/>
      <c r="O97" s="9"/>
      <c r="P97" s="9"/>
      <c r="Q97" s="9"/>
      <c r="R97" s="9"/>
      <c r="S97" s="9"/>
      <c r="T97" s="9"/>
      <c r="U97" s="9"/>
      <c r="V97" s="9"/>
      <c r="W97" s="9"/>
      <c r="X97" s="9"/>
      <c r="Y97" s="9"/>
      <c r="Z97" s="9"/>
      <c r="AA97" s="9"/>
      <c r="AB97" s="9"/>
      <c r="AC97" s="9"/>
      <c r="AD97" s="9"/>
      <c r="AE97" s="9"/>
      <c r="AF97" s="9"/>
      <c r="AG97" s="9"/>
      <c r="AH97" s="9"/>
      <c r="AI97" s="9"/>
    </row>
    <row r="98" spans="1:35" ht="15" customHeight="1">
      <c r="A98" s="62">
        <f>'Students Details'!A98</f>
        <v>92</v>
      </c>
      <c r="B98" s="128" t="str">
        <f>IF('Students Details'!B98="","",'Students Details'!B98)</f>
        <v/>
      </c>
      <c r="C98" s="305" t="str">
        <f>IF('Students Details'!C98="","",'Students Details'!C98)</f>
        <v/>
      </c>
      <c r="D98" s="311"/>
      <c r="E98" s="311"/>
      <c r="F98" s="311"/>
      <c r="G98" s="311"/>
      <c r="H98" s="311"/>
      <c r="I98" s="311"/>
      <c r="J98" s="312"/>
      <c r="K98" s="314"/>
      <c r="L98" s="133"/>
      <c r="M98" s="9"/>
      <c r="N98" s="9"/>
      <c r="O98" s="9"/>
      <c r="P98" s="9"/>
      <c r="Q98" s="9"/>
      <c r="R98" s="9"/>
      <c r="S98" s="9"/>
      <c r="T98" s="9"/>
      <c r="U98" s="9"/>
      <c r="V98" s="9"/>
      <c r="W98" s="9"/>
      <c r="X98" s="9"/>
      <c r="Y98" s="9"/>
      <c r="Z98" s="9"/>
      <c r="AA98" s="9"/>
      <c r="AB98" s="9"/>
      <c r="AC98" s="9"/>
      <c r="AD98" s="9"/>
      <c r="AE98" s="9"/>
      <c r="AF98" s="9"/>
      <c r="AG98" s="9"/>
      <c r="AH98" s="9"/>
      <c r="AI98" s="9"/>
    </row>
    <row r="99" spans="1:35" ht="15" customHeight="1">
      <c r="A99" s="62">
        <f>'Students Details'!A99</f>
        <v>93</v>
      </c>
      <c r="B99" s="128" t="str">
        <f>IF('Students Details'!B99="","",'Students Details'!B99)</f>
        <v/>
      </c>
      <c r="C99" s="305" t="str">
        <f>IF('Students Details'!C99="","",'Students Details'!C99)</f>
        <v/>
      </c>
      <c r="D99" s="311"/>
      <c r="E99" s="311"/>
      <c r="F99" s="311"/>
      <c r="G99" s="311"/>
      <c r="H99" s="311"/>
      <c r="I99" s="311"/>
      <c r="J99" s="312"/>
      <c r="K99" s="314"/>
      <c r="L99" s="133"/>
      <c r="M99" s="9"/>
      <c r="N99" s="9"/>
      <c r="O99" s="9"/>
      <c r="P99" s="9"/>
      <c r="Q99" s="9"/>
      <c r="R99" s="9"/>
      <c r="S99" s="9"/>
      <c r="T99" s="9"/>
      <c r="U99" s="9"/>
      <c r="V99" s="9"/>
      <c r="W99" s="9"/>
      <c r="X99" s="9"/>
      <c r="Y99" s="9"/>
      <c r="Z99" s="9"/>
      <c r="AA99" s="9"/>
      <c r="AB99" s="9"/>
      <c r="AC99" s="9"/>
      <c r="AD99" s="9"/>
      <c r="AE99" s="9"/>
      <c r="AF99" s="9"/>
      <c r="AG99" s="9"/>
      <c r="AH99" s="9"/>
      <c r="AI99" s="9"/>
    </row>
    <row r="100" spans="1:35" ht="15" customHeight="1">
      <c r="A100" s="62">
        <f>'Students Details'!A100</f>
        <v>94</v>
      </c>
      <c r="B100" s="128" t="str">
        <f>IF('Students Details'!B100="","",'Students Details'!B100)</f>
        <v/>
      </c>
      <c r="C100" s="305" t="str">
        <f>IF('Students Details'!C100="","",'Students Details'!C100)</f>
        <v/>
      </c>
      <c r="D100" s="311"/>
      <c r="E100" s="311"/>
      <c r="F100" s="311"/>
      <c r="G100" s="311"/>
      <c r="H100" s="311"/>
      <c r="I100" s="311"/>
      <c r="J100" s="312"/>
      <c r="K100" s="314"/>
      <c r="L100" s="133"/>
      <c r="M100" s="9"/>
      <c r="N100" s="9"/>
      <c r="O100" s="9"/>
      <c r="P100" s="9"/>
      <c r="Q100" s="9"/>
      <c r="R100" s="9"/>
      <c r="S100" s="9"/>
      <c r="T100" s="9"/>
      <c r="U100" s="9"/>
      <c r="V100" s="9"/>
      <c r="W100" s="9"/>
      <c r="X100" s="9"/>
      <c r="Y100" s="9"/>
      <c r="Z100" s="9"/>
      <c r="AA100" s="9"/>
      <c r="AB100" s="9"/>
      <c r="AC100" s="9"/>
      <c r="AD100" s="9"/>
      <c r="AE100" s="9"/>
      <c r="AF100" s="9"/>
      <c r="AG100" s="9"/>
      <c r="AH100" s="9"/>
      <c r="AI100" s="9"/>
    </row>
    <row r="101" spans="1:35" ht="15" customHeight="1">
      <c r="A101" s="62">
        <f>'Students Details'!A101</f>
        <v>95</v>
      </c>
      <c r="B101" s="128" t="str">
        <f>IF('Students Details'!B101="","",'Students Details'!B101)</f>
        <v/>
      </c>
      <c r="C101" s="305" t="str">
        <f>IF('Students Details'!C101="","",'Students Details'!C101)</f>
        <v/>
      </c>
      <c r="D101" s="311"/>
      <c r="E101" s="311"/>
      <c r="F101" s="311"/>
      <c r="G101" s="311"/>
      <c r="H101" s="311"/>
      <c r="I101" s="311"/>
      <c r="J101" s="312"/>
      <c r="K101" s="314"/>
      <c r="L101" s="133"/>
      <c r="M101" s="9"/>
      <c r="N101" s="9"/>
      <c r="O101" s="9"/>
      <c r="P101" s="9"/>
      <c r="Q101" s="9"/>
      <c r="R101" s="9"/>
      <c r="S101" s="9"/>
      <c r="T101" s="9"/>
      <c r="U101" s="9"/>
      <c r="V101" s="9"/>
      <c r="W101" s="9"/>
      <c r="X101" s="9"/>
      <c r="Y101" s="9"/>
      <c r="Z101" s="9"/>
      <c r="AA101" s="9"/>
      <c r="AB101" s="9"/>
      <c r="AC101" s="9"/>
      <c r="AD101" s="9"/>
      <c r="AE101" s="9"/>
      <c r="AF101" s="9"/>
      <c r="AG101" s="9"/>
      <c r="AH101" s="9"/>
      <c r="AI101" s="9"/>
    </row>
    <row r="102" spans="1:35" ht="15" customHeight="1">
      <c r="A102" s="62">
        <f>'Students Details'!A102</f>
        <v>96</v>
      </c>
      <c r="B102" s="128" t="str">
        <f>IF('Students Details'!B102="","",'Students Details'!B102)</f>
        <v/>
      </c>
      <c r="C102" s="305" t="str">
        <f>IF('Students Details'!C102="","",'Students Details'!C102)</f>
        <v/>
      </c>
      <c r="D102" s="311"/>
      <c r="E102" s="311"/>
      <c r="F102" s="311"/>
      <c r="G102" s="311"/>
      <c r="H102" s="311"/>
      <c r="I102" s="311"/>
      <c r="J102" s="312"/>
      <c r="K102" s="314"/>
      <c r="L102" s="133"/>
      <c r="M102" s="9"/>
      <c r="N102" s="9"/>
      <c r="O102" s="9"/>
      <c r="P102" s="9"/>
      <c r="Q102" s="9"/>
      <c r="R102" s="9"/>
      <c r="S102" s="9"/>
      <c r="T102" s="9"/>
      <c r="U102" s="9"/>
      <c r="V102" s="9"/>
      <c r="W102" s="9"/>
      <c r="X102" s="9"/>
      <c r="Y102" s="9"/>
      <c r="Z102" s="9"/>
      <c r="AA102" s="9"/>
      <c r="AB102" s="9"/>
      <c r="AC102" s="9"/>
      <c r="AD102" s="9"/>
      <c r="AE102" s="9"/>
      <c r="AF102" s="9"/>
      <c r="AG102" s="9"/>
      <c r="AH102" s="9"/>
      <c r="AI102" s="9"/>
    </row>
    <row r="103" spans="1:35" ht="15" customHeight="1">
      <c r="A103" s="62">
        <f>'Students Details'!A103</f>
        <v>97</v>
      </c>
      <c r="B103" s="128" t="str">
        <f>IF('Students Details'!B103="","",'Students Details'!B103)</f>
        <v/>
      </c>
      <c r="C103" s="305" t="str">
        <f>IF('Students Details'!C103="","",'Students Details'!C103)</f>
        <v/>
      </c>
      <c r="D103" s="311"/>
      <c r="E103" s="311"/>
      <c r="F103" s="311"/>
      <c r="G103" s="311"/>
      <c r="H103" s="311"/>
      <c r="I103" s="311"/>
      <c r="J103" s="312"/>
      <c r="K103" s="314"/>
      <c r="L103" s="133"/>
      <c r="M103" s="9"/>
      <c r="N103" s="9"/>
      <c r="O103" s="9"/>
      <c r="P103" s="9"/>
      <c r="Q103" s="9"/>
      <c r="R103" s="9"/>
      <c r="S103" s="9"/>
      <c r="T103" s="9"/>
      <c r="U103" s="9"/>
      <c r="V103" s="9"/>
      <c r="W103" s="9"/>
      <c r="X103" s="9"/>
      <c r="Y103" s="9"/>
      <c r="Z103" s="9"/>
      <c r="AA103" s="9"/>
      <c r="AB103" s="9"/>
      <c r="AC103" s="9"/>
      <c r="AD103" s="9"/>
      <c r="AE103" s="9"/>
      <c r="AF103" s="9"/>
      <c r="AG103" s="9"/>
      <c r="AH103" s="9"/>
      <c r="AI103" s="9"/>
    </row>
    <row r="104" spans="1:35" ht="15" customHeight="1">
      <c r="A104" s="62">
        <f>'Students Details'!A104</f>
        <v>98</v>
      </c>
      <c r="B104" s="128" t="str">
        <f>IF('Students Details'!B104="","",'Students Details'!B104)</f>
        <v/>
      </c>
      <c r="C104" s="305" t="str">
        <f>IF('Students Details'!C104="","",'Students Details'!C104)</f>
        <v/>
      </c>
      <c r="D104" s="311"/>
      <c r="E104" s="311"/>
      <c r="F104" s="311"/>
      <c r="G104" s="311"/>
      <c r="H104" s="311"/>
      <c r="I104" s="311"/>
      <c r="J104" s="312"/>
      <c r="K104" s="314"/>
      <c r="L104" s="133"/>
      <c r="M104" s="9"/>
      <c r="N104" s="9"/>
      <c r="O104" s="9"/>
      <c r="P104" s="9"/>
      <c r="Q104" s="9"/>
      <c r="R104" s="9"/>
      <c r="S104" s="9"/>
      <c r="T104" s="9"/>
      <c r="U104" s="9"/>
      <c r="V104" s="9"/>
      <c r="W104" s="9"/>
      <c r="X104" s="9"/>
      <c r="Y104" s="9"/>
      <c r="Z104" s="9"/>
      <c r="AA104" s="9"/>
      <c r="AB104" s="9"/>
      <c r="AC104" s="9"/>
      <c r="AD104" s="9"/>
      <c r="AE104" s="9"/>
      <c r="AF104" s="9"/>
      <c r="AG104" s="9"/>
      <c r="AH104" s="9"/>
      <c r="AI104" s="9"/>
    </row>
    <row r="105" spans="1:35" ht="15" customHeight="1">
      <c r="A105" s="62">
        <f>'Students Details'!A105</f>
        <v>99</v>
      </c>
      <c r="B105" s="128" t="str">
        <f>IF('Students Details'!B105="","",'Students Details'!B105)</f>
        <v/>
      </c>
      <c r="C105" s="305" t="str">
        <f>IF('Students Details'!C105="","",'Students Details'!C105)</f>
        <v/>
      </c>
      <c r="D105" s="311"/>
      <c r="E105" s="311"/>
      <c r="F105" s="311"/>
      <c r="G105" s="311"/>
      <c r="H105" s="311"/>
      <c r="I105" s="311"/>
      <c r="J105" s="312"/>
      <c r="K105" s="314"/>
      <c r="L105" s="133"/>
      <c r="M105" s="9"/>
      <c r="N105" s="9"/>
      <c r="O105" s="9"/>
      <c r="P105" s="9"/>
      <c r="Q105" s="9"/>
      <c r="R105" s="9"/>
      <c r="S105" s="9"/>
      <c r="T105" s="9"/>
      <c r="U105" s="9"/>
      <c r="V105" s="9"/>
      <c r="W105" s="9"/>
      <c r="X105" s="9"/>
      <c r="Y105" s="9"/>
      <c r="Z105" s="9"/>
      <c r="AA105" s="9"/>
      <c r="AB105" s="9"/>
      <c r="AC105" s="9"/>
      <c r="AD105" s="9"/>
      <c r="AE105" s="9"/>
      <c r="AF105" s="9"/>
      <c r="AG105" s="9"/>
      <c r="AH105" s="9"/>
      <c r="AI105" s="9"/>
    </row>
    <row r="106" spans="1:35" ht="15" customHeight="1">
      <c r="A106" s="62">
        <f>'Students Details'!A106</f>
        <v>100</v>
      </c>
      <c r="B106" s="128" t="str">
        <f>IF('Students Details'!B106="","",'Students Details'!B106)</f>
        <v/>
      </c>
      <c r="C106" s="305" t="str">
        <f>IF('Students Details'!C106="","",'Students Details'!C106)</f>
        <v/>
      </c>
      <c r="D106" s="311"/>
      <c r="E106" s="311"/>
      <c r="F106" s="311"/>
      <c r="G106" s="311"/>
      <c r="H106" s="311"/>
      <c r="I106" s="311"/>
      <c r="J106" s="312"/>
      <c r="K106" s="314"/>
      <c r="L106" s="133"/>
      <c r="M106" s="9"/>
      <c r="N106" s="9"/>
      <c r="O106" s="9"/>
      <c r="P106" s="9"/>
      <c r="Q106" s="9"/>
      <c r="R106" s="9"/>
      <c r="S106" s="9"/>
      <c r="T106" s="9"/>
      <c r="U106" s="9"/>
      <c r="V106" s="9"/>
      <c r="W106" s="9"/>
      <c r="X106" s="9"/>
      <c r="Y106" s="9"/>
      <c r="Z106" s="9"/>
      <c r="AA106" s="9"/>
      <c r="AB106" s="9"/>
      <c r="AC106" s="9"/>
      <c r="AD106" s="9"/>
      <c r="AE106" s="9"/>
      <c r="AF106" s="9"/>
      <c r="AG106" s="9"/>
      <c r="AH106" s="9"/>
      <c r="AI106" s="9"/>
    </row>
    <row r="107" spans="1:35" ht="15" customHeight="1">
      <c r="A107" s="62">
        <f>'Students Details'!A107</f>
        <v>101</v>
      </c>
      <c r="B107" s="128" t="str">
        <f>IF('Students Details'!B107="","",'Students Details'!B107)</f>
        <v/>
      </c>
      <c r="C107" s="305" t="str">
        <f>IF('Students Details'!C107="","",'Students Details'!C107)</f>
        <v/>
      </c>
      <c r="D107" s="311"/>
      <c r="E107" s="311"/>
      <c r="F107" s="311"/>
      <c r="G107" s="311"/>
      <c r="H107" s="311"/>
      <c r="I107" s="311"/>
      <c r="J107" s="312"/>
      <c r="K107" s="314"/>
      <c r="L107" s="133"/>
      <c r="M107" s="9"/>
      <c r="N107" s="9"/>
      <c r="O107" s="9"/>
      <c r="P107" s="9"/>
      <c r="Q107" s="9"/>
      <c r="R107" s="9"/>
      <c r="S107" s="9"/>
      <c r="T107" s="9"/>
      <c r="U107" s="9"/>
      <c r="V107" s="9"/>
      <c r="W107" s="9"/>
      <c r="X107" s="9"/>
      <c r="Y107" s="9"/>
      <c r="Z107" s="9"/>
      <c r="AA107" s="9"/>
      <c r="AB107" s="9"/>
      <c r="AC107" s="9"/>
      <c r="AD107" s="9"/>
      <c r="AE107" s="9"/>
      <c r="AF107" s="9"/>
      <c r="AG107" s="9"/>
      <c r="AH107" s="9"/>
      <c r="AI107" s="9"/>
    </row>
    <row r="108" spans="1:35" ht="15" customHeight="1">
      <c r="A108" s="62">
        <f>'Students Details'!A108</f>
        <v>102</v>
      </c>
      <c r="B108" s="128" t="str">
        <f>IF('Students Details'!B108="","",'Students Details'!B108)</f>
        <v/>
      </c>
      <c r="C108" s="305" t="str">
        <f>IF('Students Details'!C108="","",'Students Details'!C108)</f>
        <v/>
      </c>
      <c r="D108" s="311"/>
      <c r="E108" s="311"/>
      <c r="F108" s="311"/>
      <c r="G108" s="311"/>
      <c r="H108" s="311"/>
      <c r="I108" s="311"/>
      <c r="J108" s="312"/>
      <c r="K108" s="314"/>
      <c r="L108" s="133"/>
      <c r="M108" s="9"/>
      <c r="N108" s="9"/>
      <c r="O108" s="9"/>
      <c r="P108" s="9"/>
      <c r="Q108" s="9"/>
      <c r="R108" s="9"/>
      <c r="S108" s="9"/>
      <c r="T108" s="9"/>
      <c r="U108" s="9"/>
      <c r="V108" s="9"/>
      <c r="W108" s="9"/>
      <c r="X108" s="9"/>
      <c r="Y108" s="9"/>
      <c r="Z108" s="9"/>
      <c r="AA108" s="9"/>
      <c r="AB108" s="9"/>
      <c r="AC108" s="9"/>
      <c r="AD108" s="9"/>
      <c r="AE108" s="9"/>
      <c r="AF108" s="9"/>
      <c r="AG108" s="9"/>
      <c r="AH108" s="9"/>
      <c r="AI108" s="9"/>
    </row>
    <row r="109" spans="1:35" ht="15" customHeight="1">
      <c r="A109" s="62">
        <f>'Students Details'!A109</f>
        <v>103</v>
      </c>
      <c r="B109" s="128" t="str">
        <f>IF('Students Details'!B109="","",'Students Details'!B109)</f>
        <v/>
      </c>
      <c r="C109" s="305" t="str">
        <f>IF('Students Details'!C109="","",'Students Details'!C109)</f>
        <v/>
      </c>
      <c r="D109" s="311"/>
      <c r="E109" s="311"/>
      <c r="F109" s="311"/>
      <c r="G109" s="311"/>
      <c r="H109" s="311"/>
      <c r="I109" s="311"/>
      <c r="J109" s="312"/>
      <c r="K109" s="314"/>
      <c r="L109" s="133"/>
      <c r="M109" s="9"/>
      <c r="N109" s="9"/>
      <c r="O109" s="9"/>
      <c r="P109" s="9"/>
      <c r="Q109" s="9"/>
      <c r="R109" s="9"/>
      <c r="S109" s="9"/>
      <c r="T109" s="9"/>
      <c r="U109" s="9"/>
      <c r="V109" s="9"/>
      <c r="W109" s="9"/>
      <c r="X109" s="9"/>
      <c r="Y109" s="9"/>
      <c r="Z109" s="9"/>
      <c r="AA109" s="9"/>
      <c r="AB109" s="9"/>
      <c r="AC109" s="9"/>
      <c r="AD109" s="9"/>
      <c r="AE109" s="9"/>
      <c r="AF109" s="9"/>
      <c r="AG109" s="9"/>
      <c r="AH109" s="9"/>
      <c r="AI109" s="9"/>
    </row>
    <row r="110" spans="1:35" ht="15" customHeight="1">
      <c r="A110" s="62">
        <f>'Students Details'!A110</f>
        <v>104</v>
      </c>
      <c r="B110" s="128" t="str">
        <f>IF('Students Details'!B110="","",'Students Details'!B110)</f>
        <v/>
      </c>
      <c r="C110" s="305" t="str">
        <f>IF('Students Details'!C110="","",'Students Details'!C110)</f>
        <v/>
      </c>
      <c r="D110" s="311"/>
      <c r="E110" s="311"/>
      <c r="F110" s="311"/>
      <c r="G110" s="311"/>
      <c r="H110" s="311"/>
      <c r="I110" s="311"/>
      <c r="J110" s="312"/>
      <c r="K110" s="314"/>
      <c r="L110" s="133"/>
      <c r="M110" s="9"/>
      <c r="N110" s="9"/>
      <c r="O110" s="9"/>
      <c r="P110" s="9"/>
      <c r="Q110" s="9"/>
      <c r="R110" s="9"/>
      <c r="S110" s="9"/>
      <c r="T110" s="9"/>
      <c r="U110" s="9"/>
      <c r="V110" s="9"/>
      <c r="W110" s="9"/>
      <c r="X110" s="9"/>
      <c r="Y110" s="9"/>
      <c r="Z110" s="9"/>
      <c r="AA110" s="9"/>
      <c r="AB110" s="9"/>
      <c r="AC110" s="9"/>
      <c r="AD110" s="9"/>
      <c r="AE110" s="9"/>
      <c r="AF110" s="9"/>
      <c r="AG110" s="9"/>
      <c r="AH110" s="9"/>
      <c r="AI110" s="9"/>
    </row>
    <row r="111" spans="1:35" ht="15" customHeight="1">
      <c r="A111" s="62">
        <f>'Students Details'!A111</f>
        <v>105</v>
      </c>
      <c r="B111" s="128" t="str">
        <f>IF('Students Details'!B111="","",'Students Details'!B111)</f>
        <v/>
      </c>
      <c r="C111" s="305" t="str">
        <f>IF('Students Details'!C111="","",'Students Details'!C111)</f>
        <v/>
      </c>
      <c r="D111" s="311"/>
      <c r="E111" s="311"/>
      <c r="F111" s="311"/>
      <c r="G111" s="311"/>
      <c r="H111" s="311"/>
      <c r="I111" s="311"/>
      <c r="J111" s="312"/>
      <c r="K111" s="314"/>
      <c r="L111" s="133"/>
      <c r="M111" s="9"/>
      <c r="N111" s="9"/>
      <c r="O111" s="9"/>
      <c r="P111" s="9"/>
      <c r="Q111" s="9"/>
      <c r="R111" s="9"/>
      <c r="S111" s="9"/>
      <c r="T111" s="9"/>
      <c r="U111" s="9"/>
      <c r="V111" s="9"/>
      <c r="W111" s="9"/>
      <c r="X111" s="9"/>
      <c r="Y111" s="9"/>
      <c r="Z111" s="9"/>
      <c r="AA111" s="9"/>
      <c r="AB111" s="9"/>
      <c r="AC111" s="9"/>
      <c r="AD111" s="9"/>
      <c r="AE111" s="9"/>
      <c r="AF111" s="9"/>
      <c r="AG111" s="9"/>
      <c r="AH111" s="9"/>
      <c r="AI111" s="9"/>
    </row>
    <row r="112" spans="1:35" ht="15" customHeight="1">
      <c r="A112" s="62">
        <f>'Students Details'!A112</f>
        <v>106</v>
      </c>
      <c r="B112" s="128" t="str">
        <f>IF('Students Details'!B112="","",'Students Details'!B112)</f>
        <v/>
      </c>
      <c r="C112" s="305" t="str">
        <f>IF('Students Details'!C112="","",'Students Details'!C112)</f>
        <v/>
      </c>
      <c r="D112" s="311"/>
      <c r="E112" s="311"/>
      <c r="F112" s="311"/>
      <c r="G112" s="311"/>
      <c r="H112" s="311"/>
      <c r="I112" s="311"/>
      <c r="J112" s="312"/>
      <c r="K112" s="314"/>
      <c r="L112" s="133"/>
      <c r="M112" s="9"/>
      <c r="N112" s="9"/>
      <c r="O112" s="9"/>
      <c r="P112" s="9"/>
      <c r="Q112" s="9"/>
      <c r="R112" s="9"/>
      <c r="S112" s="9"/>
      <c r="T112" s="9"/>
      <c r="U112" s="9"/>
      <c r="V112" s="9"/>
      <c r="W112" s="9"/>
      <c r="X112" s="9"/>
      <c r="Y112" s="9"/>
      <c r="Z112" s="9"/>
      <c r="AA112" s="9"/>
      <c r="AB112" s="9"/>
      <c r="AC112" s="9"/>
      <c r="AD112" s="9"/>
      <c r="AE112" s="9"/>
      <c r="AF112" s="9"/>
      <c r="AG112" s="9"/>
      <c r="AH112" s="9"/>
      <c r="AI112" s="9"/>
    </row>
    <row r="113" spans="1:35" ht="15" customHeight="1">
      <c r="A113" s="62">
        <f>'Students Details'!A113</f>
        <v>107</v>
      </c>
      <c r="B113" s="128" t="str">
        <f>IF('Students Details'!B113="","",'Students Details'!B113)</f>
        <v/>
      </c>
      <c r="C113" s="305" t="str">
        <f>IF('Students Details'!C113="","",'Students Details'!C113)</f>
        <v/>
      </c>
      <c r="D113" s="311"/>
      <c r="E113" s="311"/>
      <c r="F113" s="311"/>
      <c r="G113" s="311"/>
      <c r="H113" s="311"/>
      <c r="I113" s="311"/>
      <c r="J113" s="312"/>
      <c r="K113" s="314"/>
      <c r="L113" s="133"/>
      <c r="M113" s="9"/>
      <c r="N113" s="9"/>
      <c r="O113" s="9"/>
      <c r="P113" s="9"/>
      <c r="Q113" s="9"/>
      <c r="R113" s="9"/>
      <c r="S113" s="9"/>
      <c r="T113" s="9"/>
      <c r="U113" s="9"/>
      <c r="V113" s="9"/>
      <c r="W113" s="9"/>
      <c r="X113" s="9"/>
      <c r="Y113" s="9"/>
      <c r="Z113" s="9"/>
      <c r="AA113" s="9"/>
      <c r="AB113" s="9"/>
      <c r="AC113" s="9"/>
      <c r="AD113" s="9"/>
      <c r="AE113" s="9"/>
      <c r="AF113" s="9"/>
      <c r="AG113" s="9"/>
      <c r="AH113" s="9"/>
      <c r="AI113" s="9"/>
    </row>
    <row r="114" spans="1:35" ht="15" customHeight="1">
      <c r="A114" s="62">
        <f>'Students Details'!A114</f>
        <v>108</v>
      </c>
      <c r="B114" s="128" t="str">
        <f>IF('Students Details'!B114="","",'Students Details'!B114)</f>
        <v/>
      </c>
      <c r="C114" s="305" t="str">
        <f>IF('Students Details'!C114="","",'Students Details'!C114)</f>
        <v/>
      </c>
      <c r="D114" s="311"/>
      <c r="E114" s="311"/>
      <c r="F114" s="311"/>
      <c r="G114" s="311"/>
      <c r="H114" s="311"/>
      <c r="I114" s="311"/>
      <c r="J114" s="312"/>
      <c r="K114" s="314"/>
      <c r="L114" s="133"/>
      <c r="M114" s="9"/>
      <c r="N114" s="9"/>
      <c r="O114" s="9"/>
      <c r="P114" s="9"/>
      <c r="Q114" s="9"/>
      <c r="R114" s="9"/>
      <c r="S114" s="9"/>
      <c r="T114" s="9"/>
      <c r="U114" s="9"/>
      <c r="V114" s="9"/>
      <c r="W114" s="9"/>
      <c r="X114" s="9"/>
      <c r="Y114" s="9"/>
      <c r="Z114" s="9"/>
      <c r="AA114" s="9"/>
      <c r="AB114" s="9"/>
      <c r="AC114" s="9"/>
      <c r="AD114" s="9"/>
      <c r="AE114" s="9"/>
      <c r="AF114" s="9"/>
      <c r="AG114" s="9"/>
      <c r="AH114" s="9"/>
      <c r="AI114" s="9"/>
    </row>
    <row r="115" spans="1:35" ht="15" customHeight="1">
      <c r="A115" s="62">
        <f>'Students Details'!A115</f>
        <v>109</v>
      </c>
      <c r="B115" s="128" t="str">
        <f>IF('Students Details'!B115="","",'Students Details'!B115)</f>
        <v/>
      </c>
      <c r="C115" s="305" t="str">
        <f>IF('Students Details'!C115="","",'Students Details'!C115)</f>
        <v/>
      </c>
      <c r="D115" s="311"/>
      <c r="E115" s="311"/>
      <c r="F115" s="311"/>
      <c r="G115" s="311"/>
      <c r="H115" s="311"/>
      <c r="I115" s="311"/>
      <c r="J115" s="312"/>
      <c r="K115" s="314"/>
      <c r="L115" s="133"/>
      <c r="M115" s="9"/>
      <c r="N115" s="9"/>
      <c r="O115" s="9"/>
      <c r="P115" s="9"/>
      <c r="Q115" s="9"/>
      <c r="R115" s="9"/>
      <c r="S115" s="9"/>
      <c r="T115" s="9"/>
      <c r="U115" s="9"/>
      <c r="V115" s="9"/>
      <c r="W115" s="9"/>
      <c r="X115" s="9"/>
      <c r="Y115" s="9"/>
      <c r="Z115" s="9"/>
      <c r="AA115" s="9"/>
      <c r="AB115" s="9"/>
      <c r="AC115" s="9"/>
      <c r="AD115" s="9"/>
      <c r="AE115" s="9"/>
      <c r="AF115" s="9"/>
      <c r="AG115" s="9"/>
      <c r="AH115" s="9"/>
      <c r="AI115" s="9"/>
    </row>
    <row r="116" spans="1:35" ht="15" customHeight="1">
      <c r="A116" s="62">
        <f>'Students Details'!A116</f>
        <v>110</v>
      </c>
      <c r="B116" s="128" t="str">
        <f>IF('Students Details'!B116="","",'Students Details'!B116)</f>
        <v/>
      </c>
      <c r="C116" s="305" t="str">
        <f>IF('Students Details'!C116="","",'Students Details'!C116)</f>
        <v/>
      </c>
      <c r="D116" s="311"/>
      <c r="E116" s="311"/>
      <c r="F116" s="311"/>
      <c r="G116" s="311"/>
      <c r="H116" s="311"/>
      <c r="I116" s="311"/>
      <c r="J116" s="312"/>
      <c r="K116" s="314"/>
      <c r="L116" s="133"/>
      <c r="M116" s="9"/>
      <c r="N116" s="9"/>
      <c r="O116" s="9"/>
      <c r="P116" s="9"/>
      <c r="Q116" s="9"/>
      <c r="R116" s="9"/>
      <c r="S116" s="9"/>
      <c r="T116" s="9"/>
      <c r="U116" s="9"/>
      <c r="V116" s="9"/>
      <c r="W116" s="9"/>
      <c r="X116" s="9"/>
      <c r="Y116" s="9"/>
      <c r="Z116" s="9"/>
      <c r="AA116" s="9"/>
      <c r="AB116" s="9"/>
      <c r="AC116" s="9"/>
      <c r="AD116" s="9"/>
      <c r="AE116" s="9"/>
      <c r="AF116" s="9"/>
      <c r="AG116" s="9"/>
      <c r="AH116" s="9"/>
      <c r="AI116" s="9"/>
    </row>
    <row r="117" spans="1:35" ht="15" customHeight="1">
      <c r="A117" s="62">
        <f>'Students Details'!A117</f>
        <v>111</v>
      </c>
      <c r="B117" s="128" t="str">
        <f>IF('Students Details'!B117="","",'Students Details'!B117)</f>
        <v/>
      </c>
      <c r="C117" s="305" t="str">
        <f>IF('Students Details'!C117="","",'Students Details'!C117)</f>
        <v/>
      </c>
      <c r="D117" s="311"/>
      <c r="E117" s="311"/>
      <c r="F117" s="311"/>
      <c r="G117" s="311"/>
      <c r="H117" s="311"/>
      <c r="I117" s="311"/>
      <c r="J117" s="312"/>
      <c r="K117" s="314"/>
      <c r="L117" s="133"/>
      <c r="M117" s="9"/>
      <c r="N117" s="9"/>
      <c r="O117" s="9"/>
      <c r="P117" s="9"/>
      <c r="Q117" s="9"/>
      <c r="R117" s="9"/>
      <c r="S117" s="9"/>
      <c r="T117" s="9"/>
      <c r="U117" s="9"/>
      <c r="V117" s="9"/>
      <c r="W117" s="9"/>
      <c r="X117" s="9"/>
      <c r="Y117" s="9"/>
      <c r="Z117" s="9"/>
      <c r="AA117" s="9"/>
      <c r="AB117" s="9"/>
      <c r="AC117" s="9"/>
      <c r="AD117" s="9"/>
      <c r="AE117" s="9"/>
      <c r="AF117" s="9"/>
      <c r="AG117" s="9"/>
      <c r="AH117" s="9"/>
      <c r="AI117" s="9"/>
    </row>
    <row r="118" spans="1:35" ht="15" customHeight="1">
      <c r="A118" s="62">
        <f>'Students Details'!A118</f>
        <v>112</v>
      </c>
      <c r="B118" s="128" t="str">
        <f>IF('Students Details'!B118="","",'Students Details'!B118)</f>
        <v/>
      </c>
      <c r="C118" s="305" t="str">
        <f>IF('Students Details'!C118="","",'Students Details'!C118)</f>
        <v/>
      </c>
      <c r="D118" s="311"/>
      <c r="E118" s="311"/>
      <c r="F118" s="311"/>
      <c r="G118" s="311"/>
      <c r="H118" s="311"/>
      <c r="I118" s="311"/>
      <c r="J118" s="312"/>
      <c r="K118" s="314"/>
      <c r="L118" s="133"/>
      <c r="M118" s="9"/>
      <c r="N118" s="9"/>
      <c r="O118" s="9"/>
      <c r="P118" s="9"/>
      <c r="Q118" s="9"/>
      <c r="R118" s="9"/>
      <c r="S118" s="9"/>
      <c r="T118" s="9"/>
      <c r="U118" s="9"/>
      <c r="V118" s="9"/>
      <c r="W118" s="9"/>
      <c r="X118" s="9"/>
      <c r="Y118" s="9"/>
      <c r="Z118" s="9"/>
      <c r="AA118" s="9"/>
      <c r="AB118" s="9"/>
      <c r="AC118" s="9"/>
      <c r="AD118" s="9"/>
      <c r="AE118" s="9"/>
      <c r="AF118" s="9"/>
      <c r="AG118" s="9"/>
      <c r="AH118" s="9"/>
      <c r="AI118" s="9"/>
    </row>
    <row r="119" spans="1:35" ht="15" customHeight="1">
      <c r="A119" s="62">
        <f>'Students Details'!A119</f>
        <v>113</v>
      </c>
      <c r="B119" s="128" t="str">
        <f>IF('Students Details'!B119="","",'Students Details'!B119)</f>
        <v/>
      </c>
      <c r="C119" s="305" t="str">
        <f>IF('Students Details'!C119="","",'Students Details'!C119)</f>
        <v/>
      </c>
      <c r="D119" s="311"/>
      <c r="E119" s="311"/>
      <c r="F119" s="311"/>
      <c r="G119" s="311"/>
      <c r="H119" s="311"/>
      <c r="I119" s="311"/>
      <c r="J119" s="312"/>
      <c r="K119" s="314"/>
      <c r="L119" s="133"/>
      <c r="M119" s="9"/>
      <c r="N119" s="9"/>
      <c r="O119" s="9"/>
      <c r="P119" s="9"/>
      <c r="Q119" s="9"/>
      <c r="R119" s="9"/>
      <c r="S119" s="9"/>
      <c r="T119" s="9"/>
      <c r="U119" s="9"/>
      <c r="V119" s="9"/>
      <c r="W119" s="9"/>
      <c r="X119" s="9"/>
      <c r="Y119" s="9"/>
      <c r="Z119" s="9"/>
      <c r="AA119" s="9"/>
      <c r="AB119" s="9"/>
      <c r="AC119" s="9"/>
      <c r="AD119" s="9"/>
      <c r="AE119" s="9"/>
      <c r="AF119" s="9"/>
      <c r="AG119" s="9"/>
      <c r="AH119" s="9"/>
      <c r="AI119" s="9"/>
    </row>
    <row r="120" spans="1:35" ht="15" customHeight="1">
      <c r="A120" s="62">
        <f>'Students Details'!A120</f>
        <v>114</v>
      </c>
      <c r="B120" s="128" t="str">
        <f>IF('Students Details'!B120="","",'Students Details'!B120)</f>
        <v/>
      </c>
      <c r="C120" s="305" t="str">
        <f>IF('Students Details'!C120="","",'Students Details'!C120)</f>
        <v/>
      </c>
      <c r="D120" s="311"/>
      <c r="E120" s="311"/>
      <c r="F120" s="311"/>
      <c r="G120" s="311"/>
      <c r="H120" s="311"/>
      <c r="I120" s="311"/>
      <c r="J120" s="312"/>
      <c r="K120" s="314"/>
      <c r="L120" s="133"/>
      <c r="M120" s="9"/>
      <c r="N120" s="9"/>
      <c r="O120" s="9"/>
      <c r="P120" s="9"/>
      <c r="Q120" s="9"/>
      <c r="R120" s="9"/>
      <c r="S120" s="9"/>
      <c r="T120" s="9"/>
      <c r="U120" s="9"/>
      <c r="V120" s="9"/>
      <c r="W120" s="9"/>
      <c r="X120" s="9"/>
      <c r="Y120" s="9"/>
      <c r="Z120" s="9"/>
      <c r="AA120" s="9"/>
      <c r="AB120" s="9"/>
      <c r="AC120" s="9"/>
      <c r="AD120" s="9"/>
      <c r="AE120" s="9"/>
      <c r="AF120" s="9"/>
      <c r="AG120" s="9"/>
      <c r="AH120" s="9"/>
      <c r="AI120" s="9"/>
    </row>
    <row r="121" spans="1:35" ht="15" customHeight="1">
      <c r="A121" s="62">
        <f>'Students Details'!A121</f>
        <v>115</v>
      </c>
      <c r="B121" s="128" t="str">
        <f>IF('Students Details'!B121="","",'Students Details'!B121)</f>
        <v/>
      </c>
      <c r="C121" s="305" t="str">
        <f>IF('Students Details'!C121="","",'Students Details'!C121)</f>
        <v/>
      </c>
      <c r="D121" s="311"/>
      <c r="E121" s="311"/>
      <c r="F121" s="311"/>
      <c r="G121" s="311"/>
      <c r="H121" s="311"/>
      <c r="I121" s="311"/>
      <c r="J121" s="312"/>
      <c r="K121" s="314"/>
      <c r="L121" s="133"/>
      <c r="M121" s="9"/>
      <c r="N121" s="9"/>
      <c r="O121" s="9"/>
      <c r="P121" s="9"/>
      <c r="Q121" s="9"/>
      <c r="R121" s="9"/>
      <c r="S121" s="9"/>
      <c r="T121" s="9"/>
      <c r="U121" s="9"/>
      <c r="V121" s="9"/>
      <c r="W121" s="9"/>
      <c r="X121" s="9"/>
      <c r="Y121" s="9"/>
      <c r="Z121" s="9"/>
      <c r="AA121" s="9"/>
      <c r="AB121" s="9"/>
      <c r="AC121" s="9"/>
      <c r="AD121" s="9"/>
      <c r="AE121" s="9"/>
      <c r="AF121" s="9"/>
      <c r="AG121" s="9"/>
      <c r="AH121" s="9"/>
      <c r="AI121" s="9"/>
    </row>
    <row r="122" spans="1:35" ht="15" customHeight="1">
      <c r="A122" s="62">
        <f>'Students Details'!A122</f>
        <v>116</v>
      </c>
      <c r="B122" s="128" t="str">
        <f>IF('Students Details'!B122="","",'Students Details'!B122)</f>
        <v/>
      </c>
      <c r="C122" s="305" t="str">
        <f>IF('Students Details'!C122="","",'Students Details'!C122)</f>
        <v/>
      </c>
      <c r="D122" s="311"/>
      <c r="E122" s="311"/>
      <c r="F122" s="311"/>
      <c r="G122" s="311"/>
      <c r="H122" s="311"/>
      <c r="I122" s="311"/>
      <c r="J122" s="312"/>
      <c r="K122" s="314"/>
      <c r="L122" s="133"/>
      <c r="M122" s="9"/>
      <c r="N122" s="9"/>
      <c r="O122" s="9"/>
      <c r="P122" s="9"/>
      <c r="Q122" s="9"/>
      <c r="R122" s="9"/>
      <c r="S122" s="9"/>
      <c r="T122" s="9"/>
      <c r="U122" s="9"/>
      <c r="V122" s="9"/>
      <c r="W122" s="9"/>
      <c r="X122" s="9"/>
      <c r="Y122" s="9"/>
      <c r="Z122" s="9"/>
      <c r="AA122" s="9"/>
      <c r="AB122" s="9"/>
      <c r="AC122" s="9"/>
      <c r="AD122" s="9"/>
      <c r="AE122" s="9"/>
      <c r="AF122" s="9"/>
      <c r="AG122" s="9"/>
      <c r="AH122" s="9"/>
      <c r="AI122" s="9"/>
    </row>
    <row r="123" spans="1:35" ht="15" customHeight="1">
      <c r="A123" s="62">
        <f>'Students Details'!A123</f>
        <v>117</v>
      </c>
      <c r="B123" s="128" t="str">
        <f>IF('Students Details'!B123="","",'Students Details'!B123)</f>
        <v/>
      </c>
      <c r="C123" s="305" t="str">
        <f>IF('Students Details'!C123="","",'Students Details'!C123)</f>
        <v/>
      </c>
      <c r="D123" s="311"/>
      <c r="E123" s="311"/>
      <c r="F123" s="311"/>
      <c r="G123" s="311"/>
      <c r="H123" s="311"/>
      <c r="I123" s="311"/>
      <c r="J123" s="312"/>
      <c r="K123" s="314"/>
      <c r="L123" s="133"/>
      <c r="M123" s="9"/>
      <c r="N123" s="9"/>
      <c r="O123" s="9"/>
      <c r="P123" s="9"/>
      <c r="Q123" s="9"/>
      <c r="R123" s="9"/>
      <c r="S123" s="9"/>
      <c r="T123" s="9"/>
      <c r="U123" s="9"/>
      <c r="V123" s="9"/>
      <c r="W123" s="9"/>
      <c r="X123" s="9"/>
      <c r="Y123" s="9"/>
      <c r="Z123" s="9"/>
      <c r="AA123" s="9"/>
      <c r="AB123" s="9"/>
      <c r="AC123" s="9"/>
      <c r="AD123" s="9"/>
      <c r="AE123" s="9"/>
      <c r="AF123" s="9"/>
      <c r="AG123" s="9"/>
      <c r="AH123" s="9"/>
      <c r="AI123" s="9"/>
    </row>
    <row r="124" spans="1:35" ht="15" customHeight="1">
      <c r="A124" s="62">
        <f>'Students Details'!A124</f>
        <v>118</v>
      </c>
      <c r="B124" s="128" t="str">
        <f>IF('Students Details'!B124="","",'Students Details'!B124)</f>
        <v/>
      </c>
      <c r="C124" s="305" t="str">
        <f>IF('Students Details'!C124="","",'Students Details'!C124)</f>
        <v/>
      </c>
      <c r="D124" s="311"/>
      <c r="E124" s="311"/>
      <c r="F124" s="311"/>
      <c r="G124" s="311"/>
      <c r="H124" s="311"/>
      <c r="I124" s="311"/>
      <c r="J124" s="312"/>
      <c r="K124" s="314"/>
      <c r="L124" s="133"/>
      <c r="M124" s="9"/>
      <c r="N124" s="9"/>
      <c r="O124" s="9"/>
      <c r="P124" s="9"/>
      <c r="Q124" s="9"/>
      <c r="R124" s="9"/>
      <c r="S124" s="9"/>
      <c r="T124" s="9"/>
      <c r="U124" s="9"/>
      <c r="V124" s="9"/>
      <c r="W124" s="9"/>
      <c r="X124" s="9"/>
      <c r="Y124" s="9"/>
      <c r="Z124" s="9"/>
      <c r="AA124" s="9"/>
      <c r="AB124" s="9"/>
      <c r="AC124" s="9"/>
      <c r="AD124" s="9"/>
      <c r="AE124" s="9"/>
      <c r="AF124" s="9"/>
      <c r="AG124" s="9"/>
      <c r="AH124" s="9"/>
      <c r="AI124" s="9"/>
    </row>
    <row r="125" spans="1:35" ht="15" customHeight="1">
      <c r="A125" s="62">
        <f>'Students Details'!A125</f>
        <v>119</v>
      </c>
      <c r="B125" s="128" t="str">
        <f>IF('Students Details'!B125="","",'Students Details'!B125)</f>
        <v/>
      </c>
      <c r="C125" s="305" t="str">
        <f>IF('Students Details'!C125="","",'Students Details'!C125)</f>
        <v/>
      </c>
      <c r="D125" s="311"/>
      <c r="E125" s="311"/>
      <c r="F125" s="311"/>
      <c r="G125" s="311"/>
      <c r="H125" s="311"/>
      <c r="I125" s="311"/>
      <c r="J125" s="312"/>
      <c r="K125" s="314"/>
      <c r="L125" s="133"/>
      <c r="M125" s="9"/>
      <c r="N125" s="9"/>
      <c r="O125" s="9"/>
      <c r="P125" s="9"/>
      <c r="Q125" s="9"/>
      <c r="R125" s="9"/>
      <c r="S125" s="9"/>
      <c r="T125" s="9"/>
      <c r="U125" s="9"/>
      <c r="V125" s="9"/>
      <c r="W125" s="9"/>
      <c r="X125" s="9"/>
      <c r="Y125" s="9"/>
      <c r="Z125" s="9"/>
      <c r="AA125" s="9"/>
      <c r="AB125" s="9"/>
      <c r="AC125" s="9"/>
      <c r="AD125" s="9"/>
      <c r="AE125" s="9"/>
      <c r="AF125" s="9"/>
      <c r="AG125" s="9"/>
      <c r="AH125" s="9"/>
      <c r="AI125" s="9"/>
    </row>
    <row r="126" spans="1:35" ht="15" customHeight="1">
      <c r="A126" s="62">
        <f>'Students Details'!A126</f>
        <v>120</v>
      </c>
      <c r="B126" s="128" t="str">
        <f>IF('Students Details'!B126="","",'Students Details'!B126)</f>
        <v/>
      </c>
      <c r="C126" s="305" t="str">
        <f>IF('Students Details'!C126="","",'Students Details'!C126)</f>
        <v/>
      </c>
      <c r="D126" s="311"/>
      <c r="E126" s="311"/>
      <c r="F126" s="311"/>
      <c r="G126" s="311"/>
      <c r="H126" s="311"/>
      <c r="I126" s="311"/>
      <c r="J126" s="312"/>
      <c r="K126" s="314"/>
      <c r="L126" s="133"/>
      <c r="M126" s="9"/>
      <c r="N126" s="9"/>
      <c r="O126" s="9"/>
      <c r="P126" s="9"/>
      <c r="Q126" s="9"/>
      <c r="R126" s="9"/>
      <c r="S126" s="9"/>
      <c r="T126" s="9"/>
      <c r="U126" s="9"/>
      <c r="V126" s="9"/>
      <c r="W126" s="9"/>
      <c r="X126" s="9"/>
      <c r="Y126" s="9"/>
      <c r="Z126" s="9"/>
      <c r="AA126" s="9"/>
      <c r="AB126" s="9"/>
      <c r="AC126" s="9"/>
      <c r="AD126" s="9"/>
      <c r="AE126" s="9"/>
      <c r="AF126" s="9"/>
      <c r="AG126" s="9"/>
      <c r="AH126" s="9"/>
      <c r="AI126" s="9"/>
    </row>
    <row r="127" spans="1:35" ht="15" customHeight="1">
      <c r="A127" s="62">
        <f>'Students Details'!A127</f>
        <v>121</v>
      </c>
      <c r="B127" s="128" t="str">
        <f>IF('Students Details'!B127="","",'Students Details'!B127)</f>
        <v/>
      </c>
      <c r="C127" s="305" t="str">
        <f>IF('Students Details'!C127="","",'Students Details'!C127)</f>
        <v/>
      </c>
      <c r="D127" s="311"/>
      <c r="E127" s="311"/>
      <c r="F127" s="311"/>
      <c r="G127" s="311"/>
      <c r="H127" s="311"/>
      <c r="I127" s="311"/>
      <c r="J127" s="312"/>
      <c r="K127" s="314"/>
      <c r="L127" s="133"/>
      <c r="M127" s="9"/>
      <c r="N127" s="9"/>
      <c r="O127" s="9"/>
      <c r="P127" s="9"/>
      <c r="Q127" s="9"/>
      <c r="R127" s="9"/>
      <c r="S127" s="9"/>
      <c r="T127" s="9"/>
      <c r="U127" s="9"/>
      <c r="V127" s="9"/>
      <c r="W127" s="9"/>
      <c r="X127" s="9"/>
      <c r="Y127" s="9"/>
      <c r="Z127" s="9"/>
      <c r="AA127" s="9"/>
      <c r="AB127" s="9"/>
      <c r="AC127" s="9"/>
      <c r="AD127" s="9"/>
      <c r="AE127" s="9"/>
      <c r="AF127" s="9"/>
      <c r="AG127" s="9"/>
      <c r="AH127" s="9"/>
      <c r="AI127" s="9"/>
    </row>
    <row r="128" spans="1:35" ht="15" customHeight="1">
      <c r="A128" s="62">
        <f>'Students Details'!A128</f>
        <v>122</v>
      </c>
      <c r="B128" s="128" t="str">
        <f>IF('Students Details'!B128="","",'Students Details'!B128)</f>
        <v/>
      </c>
      <c r="C128" s="305" t="str">
        <f>IF('Students Details'!C128="","",'Students Details'!C128)</f>
        <v/>
      </c>
      <c r="D128" s="311"/>
      <c r="E128" s="311"/>
      <c r="F128" s="311"/>
      <c r="G128" s="311"/>
      <c r="H128" s="311"/>
      <c r="I128" s="311"/>
      <c r="J128" s="312"/>
      <c r="K128" s="314"/>
      <c r="L128" s="133"/>
      <c r="M128" s="9"/>
      <c r="N128" s="9"/>
      <c r="O128" s="9"/>
      <c r="P128" s="9"/>
      <c r="Q128" s="9"/>
      <c r="R128" s="9"/>
      <c r="S128" s="9"/>
      <c r="T128" s="9"/>
      <c r="U128" s="9"/>
      <c r="V128" s="9"/>
      <c r="W128" s="9"/>
      <c r="X128" s="9"/>
      <c r="Y128" s="9"/>
      <c r="Z128" s="9"/>
      <c r="AA128" s="9"/>
      <c r="AB128" s="9"/>
      <c r="AC128" s="9"/>
      <c r="AD128" s="9"/>
      <c r="AE128" s="9"/>
      <c r="AF128" s="9"/>
      <c r="AG128" s="9"/>
      <c r="AH128" s="9"/>
      <c r="AI128" s="9"/>
    </row>
    <row r="129" spans="1:35" ht="15" customHeight="1">
      <c r="A129" s="62">
        <f>'Students Details'!A129</f>
        <v>123</v>
      </c>
      <c r="B129" s="128" t="str">
        <f>IF('Students Details'!B129="","",'Students Details'!B129)</f>
        <v/>
      </c>
      <c r="C129" s="305" t="str">
        <f>IF('Students Details'!C129="","",'Students Details'!C129)</f>
        <v/>
      </c>
      <c r="D129" s="311"/>
      <c r="E129" s="311"/>
      <c r="F129" s="311"/>
      <c r="G129" s="311"/>
      <c r="H129" s="311"/>
      <c r="I129" s="311"/>
      <c r="J129" s="312"/>
      <c r="K129" s="314"/>
      <c r="L129" s="133"/>
      <c r="M129" s="9"/>
      <c r="N129" s="9"/>
      <c r="O129" s="9"/>
      <c r="P129" s="9"/>
      <c r="Q129" s="9"/>
      <c r="R129" s="9"/>
      <c r="S129" s="9"/>
      <c r="T129" s="9"/>
      <c r="U129" s="9"/>
      <c r="V129" s="9"/>
      <c r="W129" s="9"/>
      <c r="X129" s="9"/>
      <c r="Y129" s="9"/>
      <c r="Z129" s="9"/>
      <c r="AA129" s="9"/>
      <c r="AB129" s="9"/>
      <c r="AC129" s="9"/>
      <c r="AD129" s="9"/>
      <c r="AE129" s="9"/>
      <c r="AF129" s="9"/>
      <c r="AG129" s="9"/>
      <c r="AH129" s="9"/>
      <c r="AI129" s="9"/>
    </row>
    <row r="130" spans="1:35" ht="15" customHeight="1">
      <c r="A130" s="62">
        <f>'Students Details'!A130</f>
        <v>124</v>
      </c>
      <c r="B130" s="128" t="str">
        <f>IF('Students Details'!B130="","",'Students Details'!B130)</f>
        <v/>
      </c>
      <c r="C130" s="305" t="str">
        <f>IF('Students Details'!C130="","",'Students Details'!C130)</f>
        <v/>
      </c>
      <c r="D130" s="311"/>
      <c r="E130" s="311"/>
      <c r="F130" s="311"/>
      <c r="G130" s="311"/>
      <c r="H130" s="311"/>
      <c r="I130" s="311"/>
      <c r="J130" s="312"/>
      <c r="K130" s="314"/>
      <c r="L130" s="133"/>
      <c r="M130" s="9"/>
      <c r="N130" s="9"/>
      <c r="O130" s="9"/>
      <c r="P130" s="9"/>
      <c r="Q130" s="9"/>
      <c r="R130" s="9"/>
      <c r="S130" s="9"/>
      <c r="T130" s="9"/>
      <c r="U130" s="9"/>
      <c r="V130" s="9"/>
      <c r="W130" s="9"/>
      <c r="X130" s="9"/>
      <c r="Y130" s="9"/>
      <c r="Z130" s="9"/>
      <c r="AA130" s="9"/>
      <c r="AB130" s="9"/>
      <c r="AC130" s="9"/>
      <c r="AD130" s="9"/>
      <c r="AE130" s="9"/>
      <c r="AF130" s="9"/>
      <c r="AG130" s="9"/>
      <c r="AH130" s="9"/>
      <c r="AI130" s="9"/>
    </row>
    <row r="131" spans="1:35" ht="15" customHeight="1">
      <c r="A131" s="62">
        <f>'Students Details'!A131</f>
        <v>125</v>
      </c>
      <c r="B131" s="128" t="str">
        <f>IF('Students Details'!B131="","",'Students Details'!B131)</f>
        <v/>
      </c>
      <c r="C131" s="305" t="str">
        <f>IF('Students Details'!C131="","",'Students Details'!C131)</f>
        <v/>
      </c>
      <c r="D131" s="311"/>
      <c r="E131" s="311"/>
      <c r="F131" s="311"/>
      <c r="G131" s="311"/>
      <c r="H131" s="311"/>
      <c r="I131" s="311"/>
      <c r="J131" s="312"/>
      <c r="K131" s="314"/>
      <c r="L131" s="133"/>
      <c r="M131" s="9"/>
      <c r="N131" s="9"/>
      <c r="O131" s="9"/>
      <c r="P131" s="9"/>
      <c r="Q131" s="9"/>
      <c r="R131" s="9"/>
      <c r="S131" s="9"/>
      <c r="T131" s="9"/>
      <c r="U131" s="9"/>
      <c r="V131" s="9"/>
      <c r="W131" s="9"/>
      <c r="X131" s="9"/>
      <c r="Y131" s="9"/>
      <c r="Z131" s="9"/>
      <c r="AA131" s="9"/>
      <c r="AB131" s="9"/>
      <c r="AC131" s="9"/>
      <c r="AD131" s="9"/>
      <c r="AE131" s="9"/>
      <c r="AF131" s="9"/>
      <c r="AG131" s="9"/>
      <c r="AH131" s="9"/>
      <c r="AI131" s="9"/>
    </row>
    <row r="132" spans="1:35" ht="15" customHeight="1">
      <c r="A132" s="62">
        <f>'Students Details'!A132</f>
        <v>126</v>
      </c>
      <c r="B132" s="128" t="str">
        <f>IF('Students Details'!B132="","",'Students Details'!B132)</f>
        <v/>
      </c>
      <c r="C132" s="305" t="str">
        <f>IF('Students Details'!C132="","",'Students Details'!C132)</f>
        <v/>
      </c>
      <c r="D132" s="311"/>
      <c r="E132" s="311"/>
      <c r="F132" s="311"/>
      <c r="G132" s="311"/>
      <c r="H132" s="311"/>
      <c r="I132" s="311"/>
      <c r="J132" s="312"/>
      <c r="K132" s="314"/>
      <c r="L132" s="133"/>
      <c r="M132" s="9"/>
      <c r="N132" s="9"/>
      <c r="O132" s="9"/>
      <c r="P132" s="9"/>
      <c r="Q132" s="9"/>
      <c r="R132" s="9"/>
      <c r="S132" s="9"/>
      <c r="T132" s="9"/>
      <c r="U132" s="9"/>
      <c r="V132" s="9"/>
      <c r="W132" s="9"/>
      <c r="X132" s="9"/>
      <c r="Y132" s="9"/>
      <c r="Z132" s="9"/>
      <c r="AA132" s="9"/>
      <c r="AB132" s="9"/>
      <c r="AC132" s="9"/>
      <c r="AD132" s="9"/>
      <c r="AE132" s="9"/>
      <c r="AF132" s="9"/>
      <c r="AG132" s="9"/>
      <c r="AH132" s="9"/>
      <c r="AI132" s="9"/>
    </row>
    <row r="133" spans="1:35" ht="15" customHeight="1">
      <c r="A133" s="62">
        <f>'Students Details'!A133</f>
        <v>127</v>
      </c>
      <c r="B133" s="128" t="str">
        <f>IF('Students Details'!B133="","",'Students Details'!B133)</f>
        <v/>
      </c>
      <c r="C133" s="305" t="str">
        <f>IF('Students Details'!C133="","",'Students Details'!C133)</f>
        <v/>
      </c>
      <c r="D133" s="311"/>
      <c r="E133" s="311"/>
      <c r="F133" s="311"/>
      <c r="G133" s="311"/>
      <c r="H133" s="311"/>
      <c r="I133" s="311"/>
      <c r="J133" s="312"/>
      <c r="K133" s="314"/>
      <c r="L133" s="133"/>
      <c r="M133" s="9"/>
      <c r="N133" s="9"/>
      <c r="O133" s="9"/>
      <c r="P133" s="9"/>
      <c r="Q133" s="9"/>
      <c r="R133" s="9"/>
      <c r="S133" s="9"/>
      <c r="T133" s="9"/>
      <c r="U133" s="9"/>
      <c r="V133" s="9"/>
      <c r="W133" s="9"/>
      <c r="X133" s="9"/>
      <c r="Y133" s="9"/>
      <c r="Z133" s="9"/>
      <c r="AA133" s="9"/>
      <c r="AB133" s="9"/>
      <c r="AC133" s="9"/>
      <c r="AD133" s="9"/>
      <c r="AE133" s="9"/>
      <c r="AF133" s="9"/>
      <c r="AG133" s="9"/>
      <c r="AH133" s="9"/>
      <c r="AI133" s="9"/>
    </row>
    <row r="134" spans="1:35" ht="15" customHeight="1">
      <c r="A134" s="62">
        <f>'Students Details'!A134</f>
        <v>128</v>
      </c>
      <c r="B134" s="128" t="str">
        <f>IF('Students Details'!B134="","",'Students Details'!B134)</f>
        <v/>
      </c>
      <c r="C134" s="305" t="str">
        <f>IF('Students Details'!C134="","",'Students Details'!C134)</f>
        <v/>
      </c>
      <c r="D134" s="311"/>
      <c r="E134" s="311"/>
      <c r="F134" s="311"/>
      <c r="G134" s="311"/>
      <c r="H134" s="311"/>
      <c r="I134" s="311"/>
      <c r="J134" s="312"/>
      <c r="K134" s="314"/>
      <c r="L134" s="133"/>
      <c r="M134" s="9"/>
      <c r="N134" s="9"/>
      <c r="O134" s="9"/>
      <c r="P134" s="9"/>
      <c r="Q134" s="9"/>
      <c r="R134" s="9"/>
      <c r="S134" s="9"/>
      <c r="T134" s="9"/>
      <c r="U134" s="9"/>
      <c r="V134" s="9"/>
      <c r="W134" s="9"/>
      <c r="X134" s="9"/>
      <c r="Y134" s="9"/>
      <c r="Z134" s="9"/>
      <c r="AA134" s="9"/>
      <c r="AB134" s="9"/>
      <c r="AC134" s="9"/>
      <c r="AD134" s="9"/>
      <c r="AE134" s="9"/>
      <c r="AF134" s="9"/>
      <c r="AG134" s="9"/>
      <c r="AH134" s="9"/>
      <c r="AI134" s="9"/>
    </row>
    <row r="135" spans="1:35" ht="15" customHeight="1">
      <c r="A135" s="62">
        <f>'Students Details'!A135</f>
        <v>129</v>
      </c>
      <c r="B135" s="128" t="str">
        <f>IF('Students Details'!B135="","",'Students Details'!B135)</f>
        <v/>
      </c>
      <c r="C135" s="305" t="str">
        <f>IF('Students Details'!C135="","",'Students Details'!C135)</f>
        <v/>
      </c>
      <c r="D135" s="311"/>
      <c r="E135" s="311"/>
      <c r="F135" s="311"/>
      <c r="G135" s="311"/>
      <c r="H135" s="311"/>
      <c r="I135" s="311"/>
      <c r="J135" s="312"/>
      <c r="K135" s="314"/>
      <c r="L135" s="133"/>
      <c r="M135" s="9"/>
      <c r="N135" s="9"/>
      <c r="O135" s="9"/>
      <c r="P135" s="9"/>
      <c r="Q135" s="9"/>
      <c r="R135" s="9"/>
      <c r="S135" s="9"/>
      <c r="T135" s="9"/>
      <c r="U135" s="9"/>
      <c r="V135" s="9"/>
      <c r="W135" s="9"/>
      <c r="X135" s="9"/>
      <c r="Y135" s="9"/>
      <c r="Z135" s="9"/>
      <c r="AA135" s="9"/>
      <c r="AB135" s="9"/>
      <c r="AC135" s="9"/>
      <c r="AD135" s="9"/>
      <c r="AE135" s="9"/>
      <c r="AF135" s="9"/>
      <c r="AG135" s="9"/>
      <c r="AH135" s="9"/>
      <c r="AI135" s="9"/>
    </row>
    <row r="136" spans="1:35" ht="15" customHeight="1">
      <c r="A136" s="62">
        <f>'Students Details'!A136</f>
        <v>130</v>
      </c>
      <c r="B136" s="128" t="str">
        <f>IF('Students Details'!B136="","",'Students Details'!B136)</f>
        <v/>
      </c>
      <c r="C136" s="305" t="str">
        <f>IF('Students Details'!C136="","",'Students Details'!C136)</f>
        <v/>
      </c>
      <c r="D136" s="311"/>
      <c r="E136" s="311"/>
      <c r="F136" s="311"/>
      <c r="G136" s="311"/>
      <c r="H136" s="311"/>
      <c r="I136" s="311"/>
      <c r="J136" s="312"/>
      <c r="K136" s="314"/>
      <c r="L136" s="133"/>
      <c r="M136" s="9"/>
      <c r="N136" s="9"/>
      <c r="O136" s="9"/>
      <c r="P136" s="9"/>
      <c r="Q136" s="9"/>
      <c r="R136" s="9"/>
      <c r="S136" s="9"/>
      <c r="T136" s="9"/>
      <c r="U136" s="9"/>
      <c r="V136" s="9"/>
      <c r="W136" s="9"/>
      <c r="X136" s="9"/>
      <c r="Y136" s="9"/>
      <c r="Z136" s="9"/>
      <c r="AA136" s="9"/>
      <c r="AB136" s="9"/>
      <c r="AC136" s="9"/>
      <c r="AD136" s="9"/>
      <c r="AE136" s="9"/>
      <c r="AF136" s="9"/>
      <c r="AG136" s="9"/>
      <c r="AH136" s="9"/>
      <c r="AI136" s="9"/>
    </row>
    <row r="137" spans="1:35" ht="15" customHeight="1">
      <c r="A137" s="62">
        <f>'Students Details'!A137</f>
        <v>131</v>
      </c>
      <c r="B137" s="128" t="str">
        <f>IF('Students Details'!B137="","",'Students Details'!B137)</f>
        <v/>
      </c>
      <c r="C137" s="305" t="str">
        <f>IF('Students Details'!C137="","",'Students Details'!C137)</f>
        <v/>
      </c>
      <c r="D137" s="311"/>
      <c r="E137" s="311"/>
      <c r="F137" s="311"/>
      <c r="G137" s="311"/>
      <c r="H137" s="311"/>
      <c r="I137" s="311"/>
      <c r="J137" s="312"/>
      <c r="K137" s="314"/>
      <c r="L137" s="133"/>
      <c r="M137" s="9"/>
      <c r="N137" s="9"/>
      <c r="O137" s="9"/>
      <c r="P137" s="9"/>
      <c r="Q137" s="9"/>
      <c r="R137" s="9"/>
      <c r="S137" s="9"/>
      <c r="T137" s="9"/>
      <c r="U137" s="9"/>
      <c r="V137" s="9"/>
      <c r="W137" s="9"/>
      <c r="X137" s="9"/>
      <c r="Y137" s="9"/>
      <c r="Z137" s="9"/>
      <c r="AA137" s="9"/>
      <c r="AB137" s="9"/>
      <c r="AC137" s="9"/>
      <c r="AD137" s="9"/>
      <c r="AE137" s="9"/>
      <c r="AF137" s="9"/>
      <c r="AG137" s="9"/>
      <c r="AH137" s="9"/>
      <c r="AI137" s="9"/>
    </row>
    <row r="138" spans="1:35" ht="15" customHeight="1">
      <c r="A138" s="62">
        <f>'Students Details'!A138</f>
        <v>132</v>
      </c>
      <c r="B138" s="128" t="str">
        <f>IF('Students Details'!B138="","",'Students Details'!B138)</f>
        <v/>
      </c>
      <c r="C138" s="305" t="str">
        <f>IF('Students Details'!C138="","",'Students Details'!C138)</f>
        <v/>
      </c>
      <c r="D138" s="311"/>
      <c r="E138" s="311"/>
      <c r="F138" s="311"/>
      <c r="G138" s="311"/>
      <c r="H138" s="311"/>
      <c r="I138" s="311"/>
      <c r="J138" s="312"/>
      <c r="K138" s="314"/>
      <c r="L138" s="133"/>
      <c r="M138" s="9"/>
      <c r="N138" s="9"/>
      <c r="O138" s="9"/>
      <c r="P138" s="9"/>
      <c r="Q138" s="9"/>
      <c r="R138" s="9"/>
      <c r="S138" s="9"/>
      <c r="T138" s="9"/>
      <c r="U138" s="9"/>
      <c r="V138" s="9"/>
      <c r="W138" s="9"/>
      <c r="X138" s="9"/>
      <c r="Y138" s="9"/>
      <c r="Z138" s="9"/>
      <c r="AA138" s="9"/>
      <c r="AB138" s="9"/>
      <c r="AC138" s="9"/>
      <c r="AD138" s="9"/>
      <c r="AE138" s="9"/>
      <c r="AF138" s="9"/>
      <c r="AG138" s="9"/>
      <c r="AH138" s="9"/>
      <c r="AI138" s="9"/>
    </row>
    <row r="139" spans="1:35" ht="15" customHeight="1">
      <c r="A139" s="62">
        <f>'Students Details'!A139</f>
        <v>133</v>
      </c>
      <c r="B139" s="128" t="str">
        <f>IF('Students Details'!B139="","",'Students Details'!B139)</f>
        <v/>
      </c>
      <c r="C139" s="305" t="str">
        <f>IF('Students Details'!C139="","",'Students Details'!C139)</f>
        <v/>
      </c>
      <c r="D139" s="311"/>
      <c r="E139" s="311"/>
      <c r="F139" s="311"/>
      <c r="G139" s="311"/>
      <c r="H139" s="311"/>
      <c r="I139" s="311"/>
      <c r="J139" s="312"/>
      <c r="K139" s="314"/>
      <c r="L139" s="133"/>
      <c r="M139" s="9"/>
      <c r="N139" s="9"/>
      <c r="O139" s="9"/>
      <c r="P139" s="9"/>
      <c r="Q139" s="9"/>
      <c r="R139" s="9"/>
      <c r="S139" s="9"/>
      <c r="T139" s="9"/>
      <c r="U139" s="9"/>
      <c r="V139" s="9"/>
      <c r="W139" s="9"/>
      <c r="X139" s="9"/>
      <c r="Y139" s="9"/>
      <c r="Z139" s="9"/>
      <c r="AA139" s="9"/>
      <c r="AB139" s="9"/>
      <c r="AC139" s="9"/>
      <c r="AD139" s="9"/>
      <c r="AE139" s="9"/>
      <c r="AF139" s="9"/>
      <c r="AG139" s="9"/>
      <c r="AH139" s="9"/>
      <c r="AI139" s="9"/>
    </row>
    <row r="140" spans="1:35" ht="15" customHeight="1">
      <c r="A140" s="62">
        <f>'Students Details'!A140</f>
        <v>134</v>
      </c>
      <c r="B140" s="128" t="str">
        <f>IF('Students Details'!B140="","",'Students Details'!B140)</f>
        <v/>
      </c>
      <c r="C140" s="305" t="str">
        <f>IF('Students Details'!C140="","",'Students Details'!C140)</f>
        <v/>
      </c>
      <c r="D140" s="311"/>
      <c r="E140" s="311"/>
      <c r="F140" s="311"/>
      <c r="G140" s="311"/>
      <c r="H140" s="311"/>
      <c r="I140" s="311"/>
      <c r="J140" s="312"/>
      <c r="K140" s="314"/>
      <c r="L140" s="133"/>
      <c r="M140" s="9"/>
      <c r="N140" s="9"/>
      <c r="O140" s="9"/>
      <c r="P140" s="9"/>
      <c r="Q140" s="9"/>
      <c r="R140" s="9"/>
      <c r="S140" s="9"/>
      <c r="T140" s="9"/>
      <c r="U140" s="9"/>
      <c r="V140" s="9"/>
      <c r="W140" s="9"/>
      <c r="X140" s="9"/>
      <c r="Y140" s="9"/>
      <c r="Z140" s="9"/>
      <c r="AA140" s="9"/>
      <c r="AB140" s="9"/>
      <c r="AC140" s="9"/>
      <c r="AD140" s="9"/>
      <c r="AE140" s="9"/>
      <c r="AF140" s="9"/>
      <c r="AG140" s="9"/>
      <c r="AH140" s="9"/>
      <c r="AI140" s="9"/>
    </row>
    <row r="141" spans="1:35" ht="15" customHeight="1">
      <c r="A141" s="62">
        <f>'Students Details'!A141</f>
        <v>135</v>
      </c>
      <c r="B141" s="128" t="str">
        <f>IF('Students Details'!B141="","",'Students Details'!B141)</f>
        <v/>
      </c>
      <c r="C141" s="305" t="str">
        <f>IF('Students Details'!C141="","",'Students Details'!C141)</f>
        <v/>
      </c>
      <c r="D141" s="311"/>
      <c r="E141" s="311"/>
      <c r="F141" s="311"/>
      <c r="G141" s="311"/>
      <c r="H141" s="311"/>
      <c r="I141" s="311"/>
      <c r="J141" s="312"/>
      <c r="K141" s="314"/>
      <c r="L141" s="133"/>
      <c r="M141" s="9"/>
      <c r="N141" s="9"/>
      <c r="O141" s="9"/>
      <c r="P141" s="9"/>
      <c r="Q141" s="9"/>
      <c r="R141" s="9"/>
      <c r="S141" s="9"/>
      <c r="T141" s="9"/>
      <c r="U141" s="9"/>
      <c r="V141" s="9"/>
      <c r="W141" s="9"/>
      <c r="X141" s="9"/>
      <c r="Y141" s="9"/>
      <c r="Z141" s="9"/>
      <c r="AA141" s="9"/>
      <c r="AB141" s="9"/>
      <c r="AC141" s="9"/>
      <c r="AD141" s="9"/>
      <c r="AE141" s="9"/>
      <c r="AF141" s="9"/>
      <c r="AG141" s="9"/>
      <c r="AH141" s="9"/>
      <c r="AI141" s="9"/>
    </row>
    <row r="142" spans="1:35" ht="15" customHeight="1">
      <c r="A142" s="62">
        <f>'Students Details'!A142</f>
        <v>136</v>
      </c>
      <c r="B142" s="128" t="str">
        <f>IF('Students Details'!B142="","",'Students Details'!B142)</f>
        <v/>
      </c>
      <c r="C142" s="305" t="str">
        <f>IF('Students Details'!C142="","",'Students Details'!C142)</f>
        <v/>
      </c>
      <c r="D142" s="311"/>
      <c r="E142" s="311"/>
      <c r="F142" s="311"/>
      <c r="G142" s="311"/>
      <c r="H142" s="311"/>
      <c r="I142" s="311"/>
      <c r="J142" s="312"/>
      <c r="K142" s="314"/>
      <c r="L142" s="133"/>
      <c r="M142" s="9"/>
      <c r="N142" s="9"/>
      <c r="O142" s="9"/>
      <c r="P142" s="9"/>
      <c r="Q142" s="9"/>
      <c r="R142" s="9"/>
      <c r="S142" s="9"/>
      <c r="T142" s="9"/>
      <c r="U142" s="9"/>
      <c r="V142" s="9"/>
      <c r="W142" s="9"/>
      <c r="X142" s="9"/>
      <c r="Y142" s="9"/>
      <c r="Z142" s="9"/>
      <c r="AA142" s="9"/>
      <c r="AB142" s="9"/>
      <c r="AC142" s="9"/>
      <c r="AD142" s="9"/>
      <c r="AE142" s="9"/>
      <c r="AF142" s="9"/>
      <c r="AG142" s="9"/>
      <c r="AH142" s="9"/>
      <c r="AI142" s="9"/>
    </row>
    <row r="143" spans="1:35" ht="15" customHeight="1">
      <c r="A143" s="62">
        <f>'Students Details'!A143</f>
        <v>137</v>
      </c>
      <c r="B143" s="128" t="str">
        <f>IF('Students Details'!B143="","",'Students Details'!B143)</f>
        <v/>
      </c>
      <c r="C143" s="305" t="str">
        <f>IF('Students Details'!C143="","",'Students Details'!C143)</f>
        <v/>
      </c>
      <c r="D143" s="311"/>
      <c r="E143" s="311"/>
      <c r="F143" s="311"/>
      <c r="G143" s="311"/>
      <c r="H143" s="311"/>
      <c r="I143" s="311"/>
      <c r="J143" s="312"/>
      <c r="K143" s="314"/>
      <c r="L143" s="133"/>
      <c r="M143" s="9"/>
      <c r="N143" s="9"/>
      <c r="O143" s="9"/>
      <c r="P143" s="9"/>
      <c r="Q143" s="9"/>
      <c r="R143" s="9"/>
      <c r="S143" s="9"/>
      <c r="T143" s="9"/>
      <c r="U143" s="9"/>
      <c r="V143" s="9"/>
      <c r="W143" s="9"/>
      <c r="X143" s="9"/>
      <c r="Y143" s="9"/>
      <c r="Z143" s="9"/>
      <c r="AA143" s="9"/>
      <c r="AB143" s="9"/>
      <c r="AC143" s="9"/>
      <c r="AD143" s="9"/>
      <c r="AE143" s="9"/>
      <c r="AF143" s="9"/>
      <c r="AG143" s="9"/>
      <c r="AH143" s="9"/>
      <c r="AI143" s="9"/>
    </row>
    <row r="144" spans="1:35" ht="15" customHeight="1">
      <c r="A144" s="62">
        <f>'Students Details'!A144</f>
        <v>138</v>
      </c>
      <c r="B144" s="128" t="str">
        <f>IF('Students Details'!B144="","",'Students Details'!B144)</f>
        <v/>
      </c>
      <c r="C144" s="305" t="str">
        <f>IF('Students Details'!C144="","",'Students Details'!C144)</f>
        <v/>
      </c>
      <c r="D144" s="311"/>
      <c r="E144" s="311"/>
      <c r="F144" s="311"/>
      <c r="G144" s="311"/>
      <c r="H144" s="311"/>
      <c r="I144" s="311"/>
      <c r="J144" s="312"/>
      <c r="K144" s="314"/>
      <c r="L144" s="133"/>
      <c r="M144" s="9"/>
      <c r="N144" s="9"/>
      <c r="O144" s="9"/>
      <c r="P144" s="9"/>
      <c r="Q144" s="9"/>
      <c r="R144" s="9"/>
      <c r="S144" s="9"/>
      <c r="T144" s="9"/>
      <c r="U144" s="9"/>
      <c r="V144" s="9"/>
      <c r="W144" s="9"/>
      <c r="X144" s="9"/>
      <c r="Y144" s="9"/>
      <c r="Z144" s="9"/>
      <c r="AA144" s="9"/>
      <c r="AB144" s="9"/>
      <c r="AC144" s="9"/>
      <c r="AD144" s="9"/>
      <c r="AE144" s="9"/>
      <c r="AF144" s="9"/>
      <c r="AG144" s="9"/>
      <c r="AH144" s="9"/>
      <c r="AI144" s="9"/>
    </row>
    <row r="145" spans="1:35" ht="15" customHeight="1">
      <c r="A145" s="62">
        <f>'Students Details'!A145</f>
        <v>139</v>
      </c>
      <c r="B145" s="128" t="str">
        <f>IF('Students Details'!B145="","",'Students Details'!B145)</f>
        <v/>
      </c>
      <c r="C145" s="305" t="str">
        <f>IF('Students Details'!C145="","",'Students Details'!C145)</f>
        <v/>
      </c>
      <c r="D145" s="311"/>
      <c r="E145" s="311"/>
      <c r="F145" s="311"/>
      <c r="G145" s="311"/>
      <c r="H145" s="311"/>
      <c r="I145" s="311"/>
      <c r="J145" s="312"/>
      <c r="K145" s="314"/>
      <c r="L145" s="133"/>
      <c r="M145" s="9"/>
      <c r="N145" s="9"/>
      <c r="O145" s="9"/>
      <c r="P145" s="9"/>
      <c r="Q145" s="9"/>
      <c r="R145" s="9"/>
      <c r="S145" s="9"/>
      <c r="T145" s="9"/>
      <c r="U145" s="9"/>
      <c r="V145" s="9"/>
      <c r="W145" s="9"/>
      <c r="X145" s="9"/>
      <c r="Y145" s="9"/>
      <c r="Z145" s="9"/>
      <c r="AA145" s="9"/>
      <c r="AB145" s="9"/>
      <c r="AC145" s="9"/>
      <c r="AD145" s="9"/>
      <c r="AE145" s="9"/>
      <c r="AF145" s="9"/>
      <c r="AG145" s="9"/>
      <c r="AH145" s="9"/>
      <c r="AI145" s="9"/>
    </row>
    <row r="146" spans="1:35" ht="15" customHeight="1">
      <c r="A146" s="62">
        <f>'Students Details'!A146</f>
        <v>140</v>
      </c>
      <c r="B146" s="128" t="str">
        <f>IF('Students Details'!B146="","",'Students Details'!B146)</f>
        <v/>
      </c>
      <c r="C146" s="129" t="str">
        <f>IF('Students Details'!C146="","",'Students Details'!C146)</f>
        <v/>
      </c>
      <c r="D146" s="308"/>
      <c r="E146" s="308"/>
      <c r="F146" s="308"/>
      <c r="G146" s="308"/>
      <c r="H146" s="308"/>
      <c r="I146" s="308"/>
      <c r="J146" s="309"/>
      <c r="K146" s="310"/>
      <c r="L146" s="133"/>
      <c r="M146" s="9"/>
      <c r="N146" s="9"/>
      <c r="O146" s="9"/>
      <c r="P146" s="9"/>
      <c r="Q146" s="9"/>
      <c r="R146" s="9"/>
      <c r="S146" s="9"/>
      <c r="T146" s="9"/>
      <c r="U146" s="9"/>
      <c r="V146" s="9"/>
      <c r="W146" s="9"/>
      <c r="X146" s="9"/>
      <c r="Y146" s="9"/>
      <c r="Z146" s="9"/>
      <c r="AA146" s="9"/>
      <c r="AB146" s="9"/>
      <c r="AC146" s="9"/>
      <c r="AD146" s="9"/>
      <c r="AE146" s="9"/>
      <c r="AF146" s="9"/>
      <c r="AG146" s="9"/>
      <c r="AH146" s="9"/>
      <c r="AI146" s="9"/>
    </row>
    <row r="147" spans="1:35" ht="15" customHeight="1">
      <c r="A147" s="62">
        <f>'Students Details'!A147</f>
        <v>141</v>
      </c>
      <c r="B147" s="128" t="str">
        <f>IF('Students Details'!B147="","",'Students Details'!B147)</f>
        <v/>
      </c>
      <c r="C147" s="129" t="str">
        <f>IF('Students Details'!C147="","",'Students Details'!C147)</f>
        <v/>
      </c>
      <c r="D147" s="130"/>
      <c r="E147" s="130"/>
      <c r="F147" s="130"/>
      <c r="G147" s="130"/>
      <c r="H147" s="130"/>
      <c r="I147" s="130"/>
      <c r="J147" s="132"/>
      <c r="K147" s="44"/>
      <c r="L147" s="133"/>
      <c r="M147" s="9"/>
      <c r="N147" s="9"/>
      <c r="O147" s="9"/>
      <c r="P147" s="9"/>
      <c r="Q147" s="9"/>
      <c r="R147" s="9"/>
      <c r="S147" s="9"/>
      <c r="T147" s="9"/>
      <c r="U147" s="9"/>
      <c r="V147" s="9"/>
      <c r="W147" s="9"/>
      <c r="X147" s="9"/>
      <c r="Y147" s="9"/>
      <c r="Z147" s="9"/>
      <c r="AA147" s="9"/>
      <c r="AB147" s="9"/>
      <c r="AC147" s="9"/>
      <c r="AD147" s="9"/>
      <c r="AE147" s="9"/>
      <c r="AF147" s="9"/>
      <c r="AG147" s="9"/>
      <c r="AH147" s="9"/>
      <c r="AI147" s="9"/>
    </row>
    <row r="148" spans="1:35" ht="15" customHeight="1">
      <c r="A148" s="62">
        <f>'Students Details'!A148</f>
        <v>142</v>
      </c>
      <c r="B148" s="128" t="str">
        <f>IF('Students Details'!B148="","",'Students Details'!B148)</f>
        <v/>
      </c>
      <c r="C148" s="129" t="str">
        <f>IF('Students Details'!C148="","",'Students Details'!C148)</f>
        <v/>
      </c>
      <c r="D148" s="130"/>
      <c r="E148" s="130"/>
      <c r="F148" s="130"/>
      <c r="G148" s="130"/>
      <c r="H148" s="130"/>
      <c r="I148" s="130"/>
      <c r="J148" s="132"/>
      <c r="K148" s="44"/>
      <c r="L148" s="133"/>
      <c r="M148" s="9"/>
      <c r="N148" s="9"/>
      <c r="O148" s="9"/>
      <c r="P148" s="9"/>
      <c r="Q148" s="9"/>
      <c r="R148" s="9"/>
      <c r="S148" s="9"/>
      <c r="T148" s="9"/>
      <c r="U148" s="9"/>
      <c r="V148" s="9"/>
      <c r="W148" s="9"/>
      <c r="X148" s="9"/>
      <c r="Y148" s="9"/>
      <c r="Z148" s="9"/>
      <c r="AA148" s="9"/>
      <c r="AB148" s="9"/>
      <c r="AC148" s="9"/>
      <c r="AD148" s="9"/>
      <c r="AE148" s="9"/>
      <c r="AF148" s="9"/>
      <c r="AG148" s="9"/>
      <c r="AH148" s="9"/>
      <c r="AI148" s="9"/>
    </row>
    <row r="149" spans="1:35" ht="15" customHeight="1">
      <c r="A149" s="62">
        <f>'Students Details'!A149</f>
        <v>143</v>
      </c>
      <c r="B149" s="128" t="str">
        <f>IF('Students Details'!B149="","",'Students Details'!B149)</f>
        <v/>
      </c>
      <c r="C149" s="129" t="str">
        <f>IF('Students Details'!C149="","",'Students Details'!C149)</f>
        <v/>
      </c>
      <c r="D149" s="130"/>
      <c r="E149" s="130"/>
      <c r="F149" s="130"/>
      <c r="G149" s="130"/>
      <c r="H149" s="130"/>
      <c r="I149" s="130"/>
      <c r="J149" s="132"/>
      <c r="K149" s="44"/>
      <c r="L149" s="133"/>
      <c r="M149" s="9"/>
      <c r="N149" s="9"/>
      <c r="O149" s="9"/>
      <c r="P149" s="9"/>
      <c r="Q149" s="9"/>
      <c r="R149" s="9"/>
      <c r="S149" s="9"/>
      <c r="T149" s="9"/>
      <c r="U149" s="9"/>
      <c r="V149" s="9"/>
      <c r="W149" s="9"/>
      <c r="X149" s="9"/>
      <c r="Y149" s="9"/>
      <c r="Z149" s="9"/>
      <c r="AA149" s="9"/>
      <c r="AB149" s="9"/>
      <c r="AC149" s="9"/>
      <c r="AD149" s="9"/>
      <c r="AE149" s="9"/>
      <c r="AF149" s="9"/>
      <c r="AG149" s="9"/>
      <c r="AH149" s="9"/>
      <c r="AI149" s="9"/>
    </row>
    <row r="150" spans="1:35" ht="15" customHeight="1">
      <c r="A150" s="62">
        <f>'Students Details'!A150</f>
        <v>144</v>
      </c>
      <c r="B150" s="128" t="str">
        <f>IF('Students Details'!B150="","",'Students Details'!B150)</f>
        <v/>
      </c>
      <c r="C150" s="129" t="str">
        <f>IF('Students Details'!C150="","",'Students Details'!C150)</f>
        <v/>
      </c>
      <c r="D150" s="130"/>
      <c r="E150" s="130"/>
      <c r="F150" s="130"/>
      <c r="G150" s="130"/>
      <c r="H150" s="130"/>
      <c r="I150" s="130"/>
      <c r="J150" s="132"/>
      <c r="K150" s="44"/>
      <c r="L150" s="133"/>
      <c r="M150" s="9"/>
      <c r="N150" s="9"/>
      <c r="O150" s="9"/>
      <c r="P150" s="9"/>
      <c r="Q150" s="9"/>
      <c r="R150" s="9"/>
      <c r="S150" s="9"/>
      <c r="T150" s="9"/>
      <c r="U150" s="9"/>
      <c r="V150" s="9"/>
      <c r="W150" s="9"/>
      <c r="X150" s="9"/>
      <c r="Y150" s="9"/>
      <c r="Z150" s="9"/>
      <c r="AA150" s="9"/>
      <c r="AB150" s="9"/>
      <c r="AC150" s="9"/>
      <c r="AD150" s="9"/>
      <c r="AE150" s="9"/>
      <c r="AF150" s="9"/>
      <c r="AG150" s="9"/>
      <c r="AH150" s="9"/>
      <c r="AI150" s="9"/>
    </row>
    <row r="151" spans="1:35" ht="15" customHeight="1">
      <c r="A151" s="62">
        <f>'Students Details'!A151</f>
        <v>145</v>
      </c>
      <c r="B151" s="128" t="str">
        <f>IF('Students Details'!B151="","",'Students Details'!B151)</f>
        <v/>
      </c>
      <c r="C151" s="129" t="str">
        <f>IF('Students Details'!C151="","",'Students Details'!C151)</f>
        <v/>
      </c>
      <c r="D151" s="130"/>
      <c r="E151" s="130"/>
      <c r="F151" s="130"/>
      <c r="G151" s="130"/>
      <c r="H151" s="130"/>
      <c r="I151" s="130"/>
      <c r="J151" s="132"/>
      <c r="K151" s="44"/>
      <c r="L151" s="133"/>
      <c r="M151" s="9"/>
      <c r="N151" s="9"/>
      <c r="O151" s="9"/>
      <c r="P151" s="9"/>
      <c r="Q151" s="9"/>
      <c r="R151" s="9"/>
      <c r="S151" s="9"/>
      <c r="T151" s="9"/>
      <c r="U151" s="9"/>
      <c r="V151" s="9"/>
      <c r="W151" s="9"/>
      <c r="X151" s="9"/>
      <c r="Y151" s="9"/>
      <c r="Z151" s="9"/>
      <c r="AA151" s="9"/>
      <c r="AB151" s="9"/>
      <c r="AC151" s="9"/>
      <c r="AD151" s="9"/>
      <c r="AE151" s="9"/>
      <c r="AF151" s="9"/>
      <c r="AG151" s="9"/>
      <c r="AH151" s="9"/>
      <c r="AI151" s="9"/>
    </row>
    <row r="152" spans="1:35" ht="15" customHeight="1">
      <c r="A152" s="62">
        <f>'Students Details'!A152</f>
        <v>146</v>
      </c>
      <c r="B152" s="128" t="str">
        <f>IF('Students Details'!B152="","",'Students Details'!B152)</f>
        <v/>
      </c>
      <c r="C152" s="129" t="str">
        <f>IF('Students Details'!C152="","",'Students Details'!C152)</f>
        <v/>
      </c>
      <c r="D152" s="130"/>
      <c r="E152" s="130"/>
      <c r="F152" s="130"/>
      <c r="G152" s="130"/>
      <c r="H152" s="130"/>
      <c r="I152" s="130"/>
      <c r="J152" s="132"/>
      <c r="K152" s="44"/>
      <c r="L152" s="133"/>
      <c r="M152" s="9"/>
      <c r="N152" s="9"/>
      <c r="O152" s="9"/>
      <c r="P152" s="9"/>
      <c r="Q152" s="9"/>
      <c r="R152" s="9"/>
      <c r="S152" s="9"/>
      <c r="T152" s="9"/>
      <c r="U152" s="9"/>
      <c r="V152" s="9"/>
      <c r="W152" s="9"/>
      <c r="X152" s="9"/>
      <c r="Y152" s="9"/>
      <c r="Z152" s="9"/>
      <c r="AA152" s="9"/>
      <c r="AB152" s="9"/>
      <c r="AC152" s="9"/>
      <c r="AD152" s="9"/>
      <c r="AE152" s="9"/>
      <c r="AF152" s="9"/>
      <c r="AG152" s="9"/>
      <c r="AH152" s="9"/>
      <c r="AI152" s="9"/>
    </row>
    <row r="153" spans="1:35" ht="15" customHeight="1">
      <c r="A153" s="62">
        <f>'Students Details'!A153</f>
        <v>147</v>
      </c>
      <c r="B153" s="128" t="str">
        <f>IF('Students Details'!B153="","",'Students Details'!B153)</f>
        <v/>
      </c>
      <c r="C153" s="129" t="str">
        <f>IF('Students Details'!C153="","",'Students Details'!C153)</f>
        <v/>
      </c>
      <c r="D153" s="130"/>
      <c r="E153" s="130"/>
      <c r="F153" s="130"/>
      <c r="G153" s="130"/>
      <c r="H153" s="130"/>
      <c r="I153" s="130"/>
      <c r="J153" s="132"/>
      <c r="K153" s="44"/>
      <c r="L153" s="133"/>
      <c r="M153" s="9"/>
      <c r="N153" s="9"/>
      <c r="O153" s="9"/>
      <c r="P153" s="9"/>
      <c r="Q153" s="9"/>
      <c r="R153" s="9"/>
      <c r="S153" s="9"/>
      <c r="T153" s="9"/>
      <c r="U153" s="9"/>
      <c r="V153" s="9"/>
      <c r="W153" s="9"/>
      <c r="X153" s="9"/>
      <c r="Y153" s="9"/>
      <c r="Z153" s="9"/>
      <c r="AA153" s="9"/>
      <c r="AB153" s="9"/>
      <c r="AC153" s="9"/>
      <c r="AD153" s="9"/>
      <c r="AE153" s="9"/>
      <c r="AF153" s="9"/>
      <c r="AG153" s="9"/>
      <c r="AH153" s="9"/>
      <c r="AI153" s="9"/>
    </row>
    <row r="154" spans="1:35" ht="15" customHeight="1">
      <c r="A154" s="62">
        <f>'Students Details'!A154</f>
        <v>148</v>
      </c>
      <c r="B154" s="128" t="str">
        <f>IF('Students Details'!B154="","",'Students Details'!B154)</f>
        <v/>
      </c>
      <c r="C154" s="129" t="str">
        <f>IF('Students Details'!C154="","",'Students Details'!C154)</f>
        <v/>
      </c>
      <c r="D154" s="130"/>
      <c r="E154" s="130"/>
      <c r="F154" s="130"/>
      <c r="G154" s="130"/>
      <c r="H154" s="130"/>
      <c r="I154" s="130"/>
      <c r="J154" s="132"/>
      <c r="K154" s="44"/>
      <c r="L154" s="133"/>
      <c r="M154" s="9"/>
      <c r="N154" s="9"/>
      <c r="O154" s="9"/>
      <c r="P154" s="9"/>
      <c r="Q154" s="9"/>
      <c r="R154" s="9"/>
      <c r="S154" s="9"/>
      <c r="T154" s="9"/>
      <c r="U154" s="9"/>
      <c r="V154" s="9"/>
      <c r="W154" s="9"/>
      <c r="X154" s="9"/>
      <c r="Y154" s="9"/>
      <c r="Z154" s="9"/>
      <c r="AA154" s="9"/>
      <c r="AB154" s="9"/>
      <c r="AC154" s="9"/>
      <c r="AD154" s="9"/>
      <c r="AE154" s="9"/>
      <c r="AF154" s="9"/>
      <c r="AG154" s="9"/>
      <c r="AH154" s="9"/>
      <c r="AI154" s="9"/>
    </row>
    <row r="155" spans="1:35" ht="15" customHeight="1">
      <c r="A155" s="62">
        <f>'Students Details'!A155</f>
        <v>149</v>
      </c>
      <c r="B155" s="128" t="str">
        <f>IF('Students Details'!B155="","",'Students Details'!B155)</f>
        <v/>
      </c>
      <c r="C155" s="129" t="str">
        <f>IF('Students Details'!C155="","",'Students Details'!C155)</f>
        <v/>
      </c>
      <c r="D155" s="130"/>
      <c r="E155" s="130"/>
      <c r="F155" s="130"/>
      <c r="G155" s="130"/>
      <c r="H155" s="130"/>
      <c r="I155" s="130"/>
      <c r="J155" s="132"/>
      <c r="K155" s="44"/>
      <c r="L155" s="133"/>
      <c r="M155" s="9"/>
      <c r="N155" s="9"/>
      <c r="O155" s="9"/>
      <c r="P155" s="9"/>
      <c r="Q155" s="9"/>
      <c r="R155" s="9"/>
      <c r="S155" s="9"/>
      <c r="T155" s="9"/>
      <c r="U155" s="9"/>
      <c r="V155" s="9"/>
      <c r="W155" s="9"/>
      <c r="X155" s="9"/>
      <c r="Y155" s="9"/>
      <c r="Z155" s="9"/>
      <c r="AA155" s="9"/>
      <c r="AB155" s="9"/>
      <c r="AC155" s="9"/>
      <c r="AD155" s="9"/>
      <c r="AE155" s="9"/>
      <c r="AF155" s="9"/>
      <c r="AG155" s="9"/>
      <c r="AH155" s="9"/>
      <c r="AI155" s="9"/>
    </row>
    <row r="156" spans="1:35" ht="15" customHeight="1">
      <c r="A156" s="62">
        <f>'Students Details'!A156</f>
        <v>150</v>
      </c>
      <c r="B156" s="128" t="str">
        <f>IF('Students Details'!B156="","",'Students Details'!B156)</f>
        <v/>
      </c>
      <c r="C156" s="129" t="str">
        <f>IF('Students Details'!C156="","",'Students Details'!C156)</f>
        <v/>
      </c>
      <c r="D156" s="130"/>
      <c r="E156" s="130"/>
      <c r="F156" s="130"/>
      <c r="G156" s="130"/>
      <c r="H156" s="130"/>
      <c r="I156" s="130"/>
      <c r="J156" s="132"/>
      <c r="K156" s="44"/>
      <c r="L156" s="133"/>
      <c r="M156" s="9"/>
      <c r="N156" s="9"/>
      <c r="O156" s="9"/>
      <c r="P156" s="9"/>
      <c r="Q156" s="9"/>
      <c r="R156" s="9"/>
      <c r="S156" s="9"/>
      <c r="T156" s="9"/>
      <c r="U156" s="9"/>
      <c r="V156" s="9"/>
      <c r="W156" s="9"/>
      <c r="X156" s="9"/>
      <c r="Y156" s="9"/>
      <c r="Z156" s="9"/>
      <c r="AA156" s="9"/>
      <c r="AB156" s="9"/>
      <c r="AC156" s="9"/>
      <c r="AD156" s="9"/>
      <c r="AE156" s="9"/>
      <c r="AF156" s="9"/>
      <c r="AG156" s="9"/>
      <c r="AH156" s="9"/>
      <c r="AI156" s="9"/>
    </row>
    <row r="157" spans="1:35" ht="15" customHeight="1">
      <c r="A157" s="62">
        <f>'Students Details'!A157</f>
        <v>151</v>
      </c>
      <c r="B157" s="128" t="str">
        <f>IF('Students Details'!B157="","",'Students Details'!B157)</f>
        <v/>
      </c>
      <c r="C157" s="129" t="str">
        <f>IF('Students Details'!C157="","",'Students Details'!C157)</f>
        <v/>
      </c>
      <c r="D157" s="130"/>
      <c r="E157" s="130"/>
      <c r="F157" s="130"/>
      <c r="G157" s="130"/>
      <c r="H157" s="130"/>
      <c r="I157" s="130"/>
      <c r="J157" s="132"/>
      <c r="K157" s="44"/>
      <c r="L157" s="133"/>
      <c r="M157" s="9"/>
      <c r="N157" s="9"/>
      <c r="O157" s="9"/>
      <c r="P157" s="9"/>
      <c r="Q157" s="9"/>
      <c r="R157" s="9"/>
      <c r="S157" s="9"/>
      <c r="T157" s="9"/>
      <c r="U157" s="9"/>
      <c r="V157" s="9"/>
      <c r="W157" s="9"/>
      <c r="X157" s="9"/>
      <c r="Y157" s="9"/>
      <c r="Z157" s="9"/>
      <c r="AA157" s="9"/>
      <c r="AB157" s="9"/>
      <c r="AC157" s="9"/>
      <c r="AD157" s="9"/>
      <c r="AE157" s="9"/>
      <c r="AF157" s="9"/>
      <c r="AG157" s="9"/>
      <c r="AH157" s="9"/>
      <c r="AI157" s="9"/>
    </row>
    <row r="158" spans="1:35" ht="15" customHeight="1">
      <c r="A158" s="62">
        <f>'Students Details'!A158</f>
        <v>152</v>
      </c>
      <c r="B158" s="128" t="str">
        <f>IF('Students Details'!B158="","",'Students Details'!B158)</f>
        <v/>
      </c>
      <c r="C158" s="129" t="str">
        <f>IF('Students Details'!C158="","",'Students Details'!C158)</f>
        <v/>
      </c>
      <c r="D158" s="130"/>
      <c r="E158" s="130"/>
      <c r="F158" s="130"/>
      <c r="G158" s="130"/>
      <c r="H158" s="130"/>
      <c r="I158" s="130"/>
      <c r="J158" s="132"/>
      <c r="K158" s="44"/>
      <c r="L158" s="133"/>
      <c r="M158" s="9"/>
      <c r="N158" s="9"/>
      <c r="O158" s="9"/>
      <c r="P158" s="9"/>
      <c r="Q158" s="9"/>
      <c r="R158" s="9"/>
      <c r="S158" s="9"/>
      <c r="T158" s="9"/>
      <c r="U158" s="9"/>
      <c r="V158" s="9"/>
      <c r="W158" s="9"/>
      <c r="X158" s="9"/>
      <c r="Y158" s="9"/>
      <c r="Z158" s="9"/>
      <c r="AA158" s="9"/>
      <c r="AB158" s="9"/>
      <c r="AC158" s="9"/>
      <c r="AD158" s="9"/>
      <c r="AE158" s="9"/>
      <c r="AF158" s="9"/>
      <c r="AG158" s="9"/>
      <c r="AH158" s="9"/>
      <c r="AI158" s="9"/>
    </row>
    <row r="159" spans="1:35" ht="15" customHeight="1">
      <c r="A159" s="62">
        <f>'Students Details'!A159</f>
        <v>153</v>
      </c>
      <c r="B159" s="128" t="str">
        <f>IF('Students Details'!B159="","",'Students Details'!B159)</f>
        <v/>
      </c>
      <c r="C159" s="129" t="str">
        <f>IF('Students Details'!C159="","",'Students Details'!C159)</f>
        <v/>
      </c>
      <c r="D159" s="130"/>
      <c r="E159" s="130"/>
      <c r="F159" s="130"/>
      <c r="G159" s="130"/>
      <c r="H159" s="130"/>
      <c r="I159" s="130"/>
      <c r="J159" s="132"/>
      <c r="K159" s="44"/>
      <c r="L159" s="133"/>
      <c r="M159" s="9"/>
      <c r="N159" s="9"/>
      <c r="O159" s="9"/>
      <c r="P159" s="9"/>
      <c r="Q159" s="9"/>
      <c r="R159" s="9"/>
      <c r="S159" s="9"/>
      <c r="T159" s="9"/>
      <c r="U159" s="9"/>
      <c r="V159" s="9"/>
      <c r="W159" s="9"/>
      <c r="X159" s="9"/>
      <c r="Y159" s="9"/>
      <c r="Z159" s="9"/>
      <c r="AA159" s="9"/>
      <c r="AB159" s="9"/>
      <c r="AC159" s="9"/>
      <c r="AD159" s="9"/>
      <c r="AE159" s="9"/>
      <c r="AF159" s="9"/>
      <c r="AG159" s="9"/>
      <c r="AH159" s="9"/>
      <c r="AI159" s="9"/>
    </row>
    <row r="160" spans="1:35" ht="15" customHeight="1">
      <c r="A160" s="62">
        <f>'Students Details'!A160</f>
        <v>154</v>
      </c>
      <c r="B160" s="128" t="str">
        <f>IF('Students Details'!B160="","",'Students Details'!B160)</f>
        <v/>
      </c>
      <c r="C160" s="129" t="str">
        <f>IF('Students Details'!C160="","",'Students Details'!C160)</f>
        <v/>
      </c>
      <c r="D160" s="130"/>
      <c r="E160" s="130"/>
      <c r="F160" s="130"/>
      <c r="G160" s="130"/>
      <c r="H160" s="130"/>
      <c r="I160" s="130"/>
      <c r="J160" s="132"/>
      <c r="K160" s="44"/>
      <c r="L160" s="133"/>
      <c r="M160" s="9"/>
      <c r="N160" s="9"/>
      <c r="O160" s="9"/>
      <c r="P160" s="9"/>
      <c r="Q160" s="9"/>
      <c r="R160" s="9"/>
      <c r="S160" s="9"/>
      <c r="T160" s="9"/>
      <c r="U160" s="9"/>
      <c r="V160" s="9"/>
      <c r="W160" s="9"/>
      <c r="X160" s="9"/>
      <c r="Y160" s="9"/>
      <c r="Z160" s="9"/>
      <c r="AA160" s="9"/>
      <c r="AB160" s="9"/>
      <c r="AC160" s="9"/>
      <c r="AD160" s="9"/>
      <c r="AE160" s="9"/>
      <c r="AF160" s="9"/>
      <c r="AG160" s="9"/>
      <c r="AH160" s="9"/>
      <c r="AI160" s="9"/>
    </row>
    <row r="161" spans="1:35" ht="15" customHeight="1">
      <c r="A161" s="62">
        <f>'Students Details'!A161</f>
        <v>155</v>
      </c>
      <c r="B161" s="128" t="str">
        <f>IF('Students Details'!B161="","",'Students Details'!B161)</f>
        <v/>
      </c>
      <c r="C161" s="129" t="str">
        <f>IF('Students Details'!C161="","",'Students Details'!C161)</f>
        <v/>
      </c>
      <c r="D161" s="130"/>
      <c r="E161" s="130"/>
      <c r="F161" s="130"/>
      <c r="G161" s="130"/>
      <c r="H161" s="130"/>
      <c r="I161" s="130"/>
      <c r="J161" s="132"/>
      <c r="K161" s="44"/>
      <c r="L161" s="133"/>
      <c r="M161" s="9"/>
      <c r="N161" s="9"/>
      <c r="O161" s="9"/>
      <c r="P161" s="9"/>
      <c r="Q161" s="9"/>
      <c r="R161" s="9"/>
      <c r="S161" s="9"/>
      <c r="T161" s="9"/>
      <c r="U161" s="9"/>
      <c r="V161" s="9"/>
      <c r="W161" s="9"/>
      <c r="X161" s="9"/>
      <c r="Y161" s="9"/>
      <c r="Z161" s="9"/>
      <c r="AA161" s="9"/>
      <c r="AB161" s="9"/>
      <c r="AC161" s="9"/>
      <c r="AD161" s="9"/>
      <c r="AE161" s="9"/>
      <c r="AF161" s="9"/>
      <c r="AG161" s="9"/>
      <c r="AH161" s="9"/>
      <c r="AI161" s="9"/>
    </row>
    <row r="162" spans="1:35" ht="15" customHeight="1">
      <c r="A162" s="62">
        <f>'Students Details'!A162</f>
        <v>156</v>
      </c>
      <c r="B162" s="128" t="str">
        <f>IF('Students Details'!B162="","",'Students Details'!B162)</f>
        <v/>
      </c>
      <c r="C162" s="129" t="str">
        <f>IF('Students Details'!C162="","",'Students Details'!C162)</f>
        <v/>
      </c>
      <c r="D162" s="130"/>
      <c r="E162" s="130"/>
      <c r="F162" s="130"/>
      <c r="G162" s="130"/>
      <c r="H162" s="130"/>
      <c r="I162" s="130"/>
      <c r="J162" s="132"/>
      <c r="K162" s="44"/>
      <c r="L162" s="133"/>
      <c r="M162" s="9"/>
      <c r="N162" s="9"/>
      <c r="O162" s="9"/>
      <c r="P162" s="9"/>
      <c r="Q162" s="9"/>
      <c r="R162" s="9"/>
      <c r="S162" s="9"/>
      <c r="T162" s="9"/>
      <c r="U162" s="9"/>
      <c r="V162" s="9"/>
      <c r="W162" s="9"/>
      <c r="X162" s="9"/>
      <c r="Y162" s="9"/>
      <c r="Z162" s="9"/>
      <c r="AA162" s="9"/>
      <c r="AB162" s="9"/>
      <c r="AC162" s="9"/>
      <c r="AD162" s="9"/>
      <c r="AE162" s="9"/>
      <c r="AF162" s="9"/>
      <c r="AG162" s="9"/>
      <c r="AH162" s="9"/>
      <c r="AI162" s="9"/>
    </row>
    <row r="163" spans="1:35" ht="15" customHeight="1">
      <c r="A163" s="62">
        <f>'Students Details'!A163</f>
        <v>157</v>
      </c>
      <c r="B163" s="128" t="str">
        <f>IF('Students Details'!B163="","",'Students Details'!B163)</f>
        <v/>
      </c>
      <c r="C163" s="129" t="str">
        <f>IF('Students Details'!C163="","",'Students Details'!C163)</f>
        <v/>
      </c>
      <c r="D163" s="130"/>
      <c r="E163" s="130"/>
      <c r="F163" s="130"/>
      <c r="G163" s="130"/>
      <c r="H163" s="130"/>
      <c r="I163" s="130"/>
      <c r="J163" s="132"/>
      <c r="K163" s="44"/>
      <c r="L163" s="133"/>
      <c r="M163" s="9"/>
      <c r="N163" s="9"/>
      <c r="O163" s="9"/>
      <c r="P163" s="9"/>
      <c r="Q163" s="9"/>
      <c r="R163" s="9"/>
      <c r="S163" s="9"/>
      <c r="T163" s="9"/>
      <c r="U163" s="9"/>
      <c r="V163" s="9"/>
      <c r="W163" s="9"/>
      <c r="X163" s="9"/>
      <c r="Y163" s="9"/>
      <c r="Z163" s="9"/>
      <c r="AA163" s="9"/>
      <c r="AB163" s="9"/>
      <c r="AC163" s="9"/>
      <c r="AD163" s="9"/>
      <c r="AE163" s="9"/>
      <c r="AF163" s="9"/>
      <c r="AG163" s="9"/>
      <c r="AH163" s="9"/>
      <c r="AI163" s="9"/>
    </row>
    <row r="164" spans="1:35" ht="15" customHeight="1">
      <c r="A164" s="62">
        <f>'Students Details'!A164</f>
        <v>158</v>
      </c>
      <c r="B164" s="128" t="str">
        <f>IF('Students Details'!B164="","",'Students Details'!B164)</f>
        <v/>
      </c>
      <c r="C164" s="129" t="str">
        <f>IF('Students Details'!C164="","",'Students Details'!C164)</f>
        <v/>
      </c>
      <c r="D164" s="130"/>
      <c r="E164" s="130"/>
      <c r="F164" s="130"/>
      <c r="G164" s="130"/>
      <c r="H164" s="130"/>
      <c r="I164" s="130"/>
      <c r="J164" s="132"/>
      <c r="K164" s="44"/>
      <c r="L164" s="133"/>
      <c r="M164" s="9"/>
      <c r="N164" s="9"/>
      <c r="O164" s="9"/>
      <c r="P164" s="9"/>
      <c r="Q164" s="9"/>
      <c r="R164" s="9"/>
      <c r="S164" s="9"/>
      <c r="T164" s="9"/>
      <c r="U164" s="9"/>
      <c r="V164" s="9"/>
      <c r="W164" s="9"/>
      <c r="X164" s="9"/>
      <c r="Y164" s="9"/>
      <c r="Z164" s="9"/>
      <c r="AA164" s="9"/>
      <c r="AB164" s="9"/>
      <c r="AC164" s="9"/>
      <c r="AD164" s="9"/>
      <c r="AE164" s="9"/>
      <c r="AF164" s="9"/>
      <c r="AG164" s="9"/>
      <c r="AH164" s="9"/>
      <c r="AI164" s="9"/>
    </row>
    <row r="165" spans="1:35" ht="15" customHeight="1">
      <c r="A165" s="62">
        <f>'Students Details'!A165</f>
        <v>159</v>
      </c>
      <c r="B165" s="128" t="str">
        <f>IF('Students Details'!B165="","",'Students Details'!B165)</f>
        <v/>
      </c>
      <c r="C165" s="129" t="str">
        <f>IF('Students Details'!C165="","",'Students Details'!C165)</f>
        <v/>
      </c>
      <c r="D165" s="130" t="str">
        <f t="shared" ref="D165:D206" si="10">IF(K165="","",$N$19%*J165)</f>
        <v/>
      </c>
      <c r="E165" s="130" t="str">
        <f t="shared" ref="E165:E206" si="11">IF(K165="","",$N$20%*J165)</f>
        <v/>
      </c>
      <c r="F165" s="130" t="str">
        <f t="shared" ref="F165:F206" si="12">IF(K165="","",$N$21%*J165)</f>
        <v/>
      </c>
      <c r="G165" s="130" t="str">
        <f t="shared" ref="G165:G206" si="13">IF($N$22="","",IF(K165="","",$N$22%*J165))</f>
        <v/>
      </c>
      <c r="H165" s="130" t="str">
        <f t="shared" ref="H165:H206" si="14">IF($N$23="","",IF(K165="","",$N$23%*J165))</f>
        <v/>
      </c>
      <c r="I165" s="130" t="str">
        <f t="shared" ref="I165:I206" si="15">IF($N$24="","",IF(K165="","",$N$24%*J165))</f>
        <v/>
      </c>
      <c r="J165" s="132" t="str">
        <f t="shared" ref="J165:J206" si="16">IF(K165="","",LOOKUP(K165,$M$5:$M$12,$O$5:$O$12))</f>
        <v/>
      </c>
      <c r="K165" s="44"/>
      <c r="L165" s="133"/>
      <c r="M165" s="9"/>
      <c r="N165" s="9"/>
      <c r="O165" s="9"/>
      <c r="P165" s="9"/>
      <c r="Q165" s="9"/>
      <c r="R165" s="9"/>
      <c r="S165" s="9"/>
      <c r="T165" s="9"/>
      <c r="U165" s="9"/>
      <c r="V165" s="9"/>
      <c r="W165" s="9"/>
      <c r="X165" s="9"/>
      <c r="Y165" s="9"/>
      <c r="Z165" s="9"/>
      <c r="AA165" s="9"/>
      <c r="AB165" s="9"/>
      <c r="AC165" s="9"/>
      <c r="AD165" s="9"/>
      <c r="AE165" s="9"/>
      <c r="AF165" s="9"/>
      <c r="AG165" s="9"/>
      <c r="AH165" s="9"/>
      <c r="AI165" s="9"/>
    </row>
    <row r="166" spans="1:35" ht="15" customHeight="1">
      <c r="A166" s="62">
        <f>'Students Details'!A166</f>
        <v>160</v>
      </c>
      <c r="B166" s="128" t="str">
        <f>IF('Students Details'!B166="","",'Students Details'!B166)</f>
        <v/>
      </c>
      <c r="C166" s="129" t="str">
        <f>IF('Students Details'!C166="","",'Students Details'!C166)</f>
        <v/>
      </c>
      <c r="D166" s="130" t="str">
        <f t="shared" si="10"/>
        <v/>
      </c>
      <c r="E166" s="130" t="str">
        <f t="shared" si="11"/>
        <v/>
      </c>
      <c r="F166" s="130" t="str">
        <f t="shared" si="12"/>
        <v/>
      </c>
      <c r="G166" s="130" t="str">
        <f t="shared" si="13"/>
        <v/>
      </c>
      <c r="H166" s="130" t="str">
        <f t="shared" si="14"/>
        <v/>
      </c>
      <c r="I166" s="130" t="str">
        <f t="shared" si="15"/>
        <v/>
      </c>
      <c r="J166" s="132" t="str">
        <f t="shared" si="16"/>
        <v/>
      </c>
      <c r="K166" s="44"/>
      <c r="L166" s="133"/>
      <c r="M166" s="9"/>
      <c r="N166" s="9"/>
      <c r="O166" s="9"/>
      <c r="P166" s="9"/>
      <c r="Q166" s="9"/>
      <c r="R166" s="9"/>
      <c r="S166" s="9"/>
      <c r="T166" s="9"/>
      <c r="U166" s="9"/>
      <c r="V166" s="9"/>
      <c r="W166" s="9"/>
      <c r="X166" s="9"/>
      <c r="Y166" s="9"/>
      <c r="Z166" s="9"/>
      <c r="AA166" s="9"/>
      <c r="AB166" s="9"/>
      <c r="AC166" s="9"/>
      <c r="AD166" s="9"/>
      <c r="AE166" s="9"/>
      <c r="AF166" s="9"/>
      <c r="AG166" s="9"/>
      <c r="AH166" s="9"/>
      <c r="AI166" s="9"/>
    </row>
    <row r="167" spans="1:35" ht="15" customHeight="1">
      <c r="A167" s="62">
        <f>'Students Details'!A167</f>
        <v>161</v>
      </c>
      <c r="B167" s="128" t="str">
        <f>IF('Students Details'!B167="","",'Students Details'!B167)</f>
        <v/>
      </c>
      <c r="C167" s="129" t="str">
        <f>IF('Students Details'!C167="","",'Students Details'!C167)</f>
        <v/>
      </c>
      <c r="D167" s="130" t="str">
        <f t="shared" si="10"/>
        <v/>
      </c>
      <c r="E167" s="130" t="str">
        <f t="shared" si="11"/>
        <v/>
      </c>
      <c r="F167" s="130" t="str">
        <f t="shared" si="12"/>
        <v/>
      </c>
      <c r="G167" s="130" t="str">
        <f t="shared" si="13"/>
        <v/>
      </c>
      <c r="H167" s="130" t="str">
        <f t="shared" si="14"/>
        <v/>
      </c>
      <c r="I167" s="130" t="str">
        <f t="shared" si="15"/>
        <v/>
      </c>
      <c r="J167" s="132" t="str">
        <f t="shared" si="16"/>
        <v/>
      </c>
      <c r="K167" s="44"/>
      <c r="L167" s="133"/>
      <c r="M167" s="9"/>
      <c r="N167" s="9"/>
      <c r="O167" s="9"/>
      <c r="P167" s="9"/>
      <c r="Q167" s="9"/>
      <c r="R167" s="9"/>
      <c r="S167" s="9"/>
      <c r="T167" s="9"/>
      <c r="U167" s="9"/>
      <c r="V167" s="9"/>
      <c r="W167" s="9"/>
      <c r="X167" s="9"/>
      <c r="Y167" s="9"/>
      <c r="Z167" s="9"/>
      <c r="AA167" s="9"/>
      <c r="AB167" s="9"/>
      <c r="AC167" s="9"/>
      <c r="AD167" s="9"/>
      <c r="AE167" s="9"/>
      <c r="AF167" s="9"/>
      <c r="AG167" s="9"/>
      <c r="AH167" s="9"/>
      <c r="AI167" s="9"/>
    </row>
    <row r="168" spans="1:35" ht="15" customHeight="1">
      <c r="A168" s="62">
        <f>'Students Details'!A168</f>
        <v>162</v>
      </c>
      <c r="B168" s="128" t="str">
        <f>IF('Students Details'!B168="","",'Students Details'!B168)</f>
        <v/>
      </c>
      <c r="C168" s="129" t="str">
        <f>IF('Students Details'!C168="","",'Students Details'!C168)</f>
        <v/>
      </c>
      <c r="D168" s="130" t="str">
        <f t="shared" si="10"/>
        <v/>
      </c>
      <c r="E168" s="130" t="str">
        <f t="shared" si="11"/>
        <v/>
      </c>
      <c r="F168" s="130" t="str">
        <f t="shared" si="12"/>
        <v/>
      </c>
      <c r="G168" s="130" t="str">
        <f t="shared" si="13"/>
        <v/>
      </c>
      <c r="H168" s="130" t="str">
        <f t="shared" si="14"/>
        <v/>
      </c>
      <c r="I168" s="130" t="str">
        <f t="shared" si="15"/>
        <v/>
      </c>
      <c r="J168" s="132" t="str">
        <f t="shared" si="16"/>
        <v/>
      </c>
      <c r="K168" s="44"/>
      <c r="L168" s="133"/>
      <c r="M168" s="9"/>
      <c r="N168" s="9"/>
      <c r="O168" s="9"/>
      <c r="P168" s="9"/>
      <c r="Q168" s="9"/>
      <c r="R168" s="9"/>
      <c r="S168" s="9"/>
      <c r="T168" s="9"/>
      <c r="U168" s="9"/>
      <c r="V168" s="9"/>
      <c r="W168" s="9"/>
      <c r="X168" s="9"/>
      <c r="Y168" s="9"/>
      <c r="Z168" s="9"/>
      <c r="AA168" s="9"/>
      <c r="AB168" s="9"/>
      <c r="AC168" s="9"/>
      <c r="AD168" s="9"/>
      <c r="AE168" s="9"/>
      <c r="AF168" s="9"/>
      <c r="AG168" s="9"/>
      <c r="AH168" s="9"/>
      <c r="AI168" s="9"/>
    </row>
    <row r="169" spans="1:35" ht="15" customHeight="1">
      <c r="A169" s="62">
        <f>'Students Details'!A169</f>
        <v>163</v>
      </c>
      <c r="B169" s="128" t="str">
        <f>IF('Students Details'!B169="","",'Students Details'!B169)</f>
        <v/>
      </c>
      <c r="C169" s="129" t="str">
        <f>IF('Students Details'!C169="","",'Students Details'!C169)</f>
        <v/>
      </c>
      <c r="D169" s="130" t="str">
        <f t="shared" si="10"/>
        <v/>
      </c>
      <c r="E169" s="130" t="str">
        <f t="shared" si="11"/>
        <v/>
      </c>
      <c r="F169" s="130" t="str">
        <f t="shared" si="12"/>
        <v/>
      </c>
      <c r="G169" s="130" t="str">
        <f t="shared" si="13"/>
        <v/>
      </c>
      <c r="H169" s="130" t="str">
        <f t="shared" si="14"/>
        <v/>
      </c>
      <c r="I169" s="130" t="str">
        <f t="shared" si="15"/>
        <v/>
      </c>
      <c r="J169" s="132" t="str">
        <f t="shared" si="16"/>
        <v/>
      </c>
      <c r="K169" s="44"/>
      <c r="L169" s="133"/>
      <c r="M169" s="9"/>
      <c r="N169" s="9"/>
      <c r="O169" s="9"/>
      <c r="P169" s="9"/>
      <c r="Q169" s="9"/>
      <c r="R169" s="9"/>
      <c r="S169" s="9"/>
      <c r="T169" s="9"/>
      <c r="U169" s="9"/>
      <c r="V169" s="9"/>
      <c r="W169" s="9"/>
      <c r="X169" s="9"/>
      <c r="Y169" s="9"/>
      <c r="Z169" s="9"/>
      <c r="AA169" s="9"/>
      <c r="AB169" s="9"/>
      <c r="AC169" s="9"/>
      <c r="AD169" s="9"/>
      <c r="AE169" s="9"/>
      <c r="AF169" s="9"/>
      <c r="AG169" s="9"/>
      <c r="AH169" s="9"/>
      <c r="AI169" s="9"/>
    </row>
    <row r="170" spans="1:35" ht="15" customHeight="1">
      <c r="A170" s="62">
        <f>'Students Details'!A170</f>
        <v>164</v>
      </c>
      <c r="B170" s="128" t="str">
        <f>IF('Students Details'!B170="","",'Students Details'!B170)</f>
        <v/>
      </c>
      <c r="C170" s="129" t="str">
        <f>IF('Students Details'!C170="","",'Students Details'!C170)</f>
        <v/>
      </c>
      <c r="D170" s="130" t="str">
        <f t="shared" si="10"/>
        <v/>
      </c>
      <c r="E170" s="130" t="str">
        <f t="shared" si="11"/>
        <v/>
      </c>
      <c r="F170" s="130" t="str">
        <f t="shared" si="12"/>
        <v/>
      </c>
      <c r="G170" s="130" t="str">
        <f t="shared" si="13"/>
        <v/>
      </c>
      <c r="H170" s="130" t="str">
        <f t="shared" si="14"/>
        <v/>
      </c>
      <c r="I170" s="130" t="str">
        <f t="shared" si="15"/>
        <v/>
      </c>
      <c r="J170" s="132" t="str">
        <f t="shared" si="16"/>
        <v/>
      </c>
      <c r="K170" s="44"/>
      <c r="L170" s="133"/>
      <c r="M170" s="9"/>
      <c r="N170" s="9"/>
      <c r="O170" s="9"/>
      <c r="P170" s="9"/>
      <c r="Q170" s="9"/>
      <c r="R170" s="9"/>
      <c r="S170" s="9"/>
      <c r="T170" s="9"/>
      <c r="U170" s="9"/>
      <c r="V170" s="9"/>
      <c r="W170" s="9"/>
      <c r="X170" s="9"/>
      <c r="Y170" s="9"/>
      <c r="Z170" s="9"/>
      <c r="AA170" s="9"/>
      <c r="AB170" s="9"/>
      <c r="AC170" s="9"/>
      <c r="AD170" s="9"/>
      <c r="AE170" s="9"/>
      <c r="AF170" s="9"/>
      <c r="AG170" s="9"/>
      <c r="AH170" s="9"/>
      <c r="AI170" s="9"/>
    </row>
    <row r="171" spans="1:35" ht="15" customHeight="1">
      <c r="A171" s="62">
        <f>'Students Details'!A171</f>
        <v>165</v>
      </c>
      <c r="B171" s="128" t="str">
        <f>IF('Students Details'!B171="","",'Students Details'!B171)</f>
        <v/>
      </c>
      <c r="C171" s="129" t="str">
        <f>IF('Students Details'!C171="","",'Students Details'!C171)</f>
        <v/>
      </c>
      <c r="D171" s="130" t="str">
        <f t="shared" si="10"/>
        <v/>
      </c>
      <c r="E171" s="130" t="str">
        <f t="shared" si="11"/>
        <v/>
      </c>
      <c r="F171" s="130" t="str">
        <f t="shared" si="12"/>
        <v/>
      </c>
      <c r="G171" s="130" t="str">
        <f t="shared" si="13"/>
        <v/>
      </c>
      <c r="H171" s="130" t="str">
        <f t="shared" si="14"/>
        <v/>
      </c>
      <c r="I171" s="130" t="str">
        <f t="shared" si="15"/>
        <v/>
      </c>
      <c r="J171" s="132" t="str">
        <f t="shared" si="16"/>
        <v/>
      </c>
      <c r="K171" s="44"/>
      <c r="L171" s="133"/>
      <c r="M171" s="9"/>
      <c r="N171" s="9"/>
      <c r="O171" s="9"/>
      <c r="P171" s="9"/>
      <c r="Q171" s="9"/>
      <c r="R171" s="9"/>
      <c r="S171" s="9"/>
      <c r="T171" s="9"/>
      <c r="U171" s="9"/>
      <c r="V171" s="9"/>
      <c r="W171" s="9"/>
      <c r="X171" s="9"/>
      <c r="Y171" s="9"/>
      <c r="Z171" s="9"/>
      <c r="AA171" s="9"/>
      <c r="AB171" s="9"/>
      <c r="AC171" s="9"/>
      <c r="AD171" s="9"/>
      <c r="AE171" s="9"/>
      <c r="AF171" s="9"/>
      <c r="AG171" s="9"/>
      <c r="AH171" s="9"/>
      <c r="AI171" s="9"/>
    </row>
    <row r="172" spans="1:35" ht="15" customHeight="1">
      <c r="A172" s="62">
        <f>'Students Details'!A172</f>
        <v>166</v>
      </c>
      <c r="B172" s="128" t="str">
        <f>IF('Students Details'!B172="","",'Students Details'!B172)</f>
        <v/>
      </c>
      <c r="C172" s="129" t="str">
        <f>IF('Students Details'!C172="","",'Students Details'!C172)</f>
        <v/>
      </c>
      <c r="D172" s="130" t="str">
        <f t="shared" si="10"/>
        <v/>
      </c>
      <c r="E172" s="130" t="str">
        <f t="shared" si="11"/>
        <v/>
      </c>
      <c r="F172" s="130" t="str">
        <f t="shared" si="12"/>
        <v/>
      </c>
      <c r="G172" s="130" t="str">
        <f t="shared" si="13"/>
        <v/>
      </c>
      <c r="H172" s="130" t="str">
        <f t="shared" si="14"/>
        <v/>
      </c>
      <c r="I172" s="130" t="str">
        <f t="shared" si="15"/>
        <v/>
      </c>
      <c r="J172" s="132" t="str">
        <f t="shared" si="16"/>
        <v/>
      </c>
      <c r="K172" s="44"/>
      <c r="L172" s="133"/>
      <c r="M172" s="9"/>
      <c r="N172" s="9"/>
      <c r="O172" s="9"/>
      <c r="P172" s="9"/>
      <c r="Q172" s="9"/>
      <c r="R172" s="9"/>
      <c r="S172" s="9"/>
      <c r="T172" s="9"/>
      <c r="U172" s="9"/>
      <c r="V172" s="9"/>
      <c r="W172" s="9"/>
      <c r="X172" s="9"/>
      <c r="Y172" s="9"/>
      <c r="Z172" s="9"/>
      <c r="AA172" s="9"/>
      <c r="AB172" s="9"/>
      <c r="AC172" s="9"/>
      <c r="AD172" s="9"/>
      <c r="AE172" s="9"/>
      <c r="AF172" s="9"/>
      <c r="AG172" s="9"/>
      <c r="AH172" s="9"/>
      <c r="AI172" s="9"/>
    </row>
    <row r="173" spans="1:35" ht="15" customHeight="1">
      <c r="A173" s="62">
        <f>'Students Details'!A173</f>
        <v>167</v>
      </c>
      <c r="B173" s="128" t="str">
        <f>IF('Students Details'!B173="","",'Students Details'!B173)</f>
        <v/>
      </c>
      <c r="C173" s="129" t="str">
        <f>IF('Students Details'!C173="","",'Students Details'!C173)</f>
        <v/>
      </c>
      <c r="D173" s="130" t="str">
        <f t="shared" si="10"/>
        <v/>
      </c>
      <c r="E173" s="130" t="str">
        <f t="shared" si="11"/>
        <v/>
      </c>
      <c r="F173" s="130" t="str">
        <f t="shared" si="12"/>
        <v/>
      </c>
      <c r="G173" s="130" t="str">
        <f t="shared" si="13"/>
        <v/>
      </c>
      <c r="H173" s="130" t="str">
        <f t="shared" si="14"/>
        <v/>
      </c>
      <c r="I173" s="130" t="str">
        <f t="shared" si="15"/>
        <v/>
      </c>
      <c r="J173" s="132" t="str">
        <f t="shared" si="16"/>
        <v/>
      </c>
      <c r="K173" s="44"/>
      <c r="L173" s="133"/>
      <c r="M173" s="9"/>
      <c r="N173" s="9"/>
      <c r="O173" s="9"/>
      <c r="P173" s="9"/>
      <c r="Q173" s="9"/>
      <c r="R173" s="9"/>
      <c r="S173" s="9"/>
      <c r="T173" s="9"/>
      <c r="U173" s="9"/>
      <c r="V173" s="9"/>
      <c r="W173" s="9"/>
      <c r="X173" s="9"/>
      <c r="Y173" s="9"/>
      <c r="Z173" s="9"/>
      <c r="AA173" s="9"/>
      <c r="AB173" s="9"/>
      <c r="AC173" s="9"/>
      <c r="AD173" s="9"/>
      <c r="AE173" s="9"/>
      <c r="AF173" s="9"/>
      <c r="AG173" s="9"/>
      <c r="AH173" s="9"/>
      <c r="AI173" s="9"/>
    </row>
    <row r="174" spans="1:35" ht="15" customHeight="1">
      <c r="A174" s="62">
        <f>'Students Details'!A174</f>
        <v>168</v>
      </c>
      <c r="B174" s="128" t="str">
        <f>IF('Students Details'!B174="","",'Students Details'!B174)</f>
        <v/>
      </c>
      <c r="C174" s="129" t="str">
        <f>IF('Students Details'!C174="","",'Students Details'!C174)</f>
        <v/>
      </c>
      <c r="D174" s="130" t="str">
        <f t="shared" si="10"/>
        <v/>
      </c>
      <c r="E174" s="130" t="str">
        <f t="shared" si="11"/>
        <v/>
      </c>
      <c r="F174" s="130" t="str">
        <f t="shared" si="12"/>
        <v/>
      </c>
      <c r="G174" s="130" t="str">
        <f t="shared" si="13"/>
        <v/>
      </c>
      <c r="H174" s="130" t="str">
        <f t="shared" si="14"/>
        <v/>
      </c>
      <c r="I174" s="130" t="str">
        <f t="shared" si="15"/>
        <v/>
      </c>
      <c r="J174" s="132" t="str">
        <f t="shared" si="16"/>
        <v/>
      </c>
      <c r="K174" s="44"/>
      <c r="L174" s="133"/>
      <c r="M174" s="9"/>
      <c r="N174" s="9"/>
      <c r="O174" s="9"/>
      <c r="P174" s="9"/>
      <c r="Q174" s="9"/>
      <c r="R174" s="9"/>
      <c r="S174" s="9"/>
      <c r="T174" s="9"/>
      <c r="U174" s="9"/>
      <c r="V174" s="9"/>
      <c r="W174" s="9"/>
      <c r="X174" s="9"/>
      <c r="Y174" s="9"/>
      <c r="Z174" s="9"/>
      <c r="AA174" s="9"/>
      <c r="AB174" s="9"/>
      <c r="AC174" s="9"/>
      <c r="AD174" s="9"/>
      <c r="AE174" s="9"/>
      <c r="AF174" s="9"/>
      <c r="AG174" s="9"/>
      <c r="AH174" s="9"/>
      <c r="AI174" s="9"/>
    </row>
    <row r="175" spans="1:35" ht="15" customHeight="1">
      <c r="A175" s="62">
        <f>'Students Details'!A175</f>
        <v>169</v>
      </c>
      <c r="B175" s="128" t="str">
        <f>IF('Students Details'!B175="","",'Students Details'!B175)</f>
        <v/>
      </c>
      <c r="C175" s="129" t="str">
        <f>IF('Students Details'!C175="","",'Students Details'!C175)</f>
        <v/>
      </c>
      <c r="D175" s="130" t="str">
        <f t="shared" si="10"/>
        <v/>
      </c>
      <c r="E175" s="130" t="str">
        <f t="shared" si="11"/>
        <v/>
      </c>
      <c r="F175" s="130" t="str">
        <f t="shared" si="12"/>
        <v/>
      </c>
      <c r="G175" s="130" t="str">
        <f t="shared" si="13"/>
        <v/>
      </c>
      <c r="H175" s="130" t="str">
        <f t="shared" si="14"/>
        <v/>
      </c>
      <c r="I175" s="130" t="str">
        <f t="shared" si="15"/>
        <v/>
      </c>
      <c r="J175" s="132" t="str">
        <f t="shared" si="16"/>
        <v/>
      </c>
      <c r="K175" s="44"/>
      <c r="L175" s="133"/>
      <c r="M175" s="9"/>
      <c r="N175" s="9"/>
      <c r="O175" s="9"/>
      <c r="P175" s="9"/>
      <c r="Q175" s="9"/>
      <c r="R175" s="9"/>
      <c r="S175" s="9"/>
      <c r="T175" s="9"/>
      <c r="U175" s="9"/>
      <c r="V175" s="9"/>
      <c r="W175" s="9"/>
      <c r="X175" s="9"/>
      <c r="Y175" s="9"/>
      <c r="Z175" s="9"/>
      <c r="AA175" s="9"/>
      <c r="AB175" s="9"/>
      <c r="AC175" s="9"/>
      <c r="AD175" s="9"/>
      <c r="AE175" s="9"/>
      <c r="AF175" s="9"/>
      <c r="AG175" s="9"/>
      <c r="AH175" s="9"/>
      <c r="AI175" s="9"/>
    </row>
    <row r="176" spans="1:35" ht="15" customHeight="1">
      <c r="A176" s="62">
        <f>'Students Details'!A176</f>
        <v>170</v>
      </c>
      <c r="B176" s="128" t="str">
        <f>IF('Students Details'!B176="","",'Students Details'!B176)</f>
        <v/>
      </c>
      <c r="C176" s="129" t="str">
        <f>IF('Students Details'!C176="","",'Students Details'!C176)</f>
        <v/>
      </c>
      <c r="D176" s="130" t="str">
        <f t="shared" si="10"/>
        <v/>
      </c>
      <c r="E176" s="130" t="str">
        <f t="shared" si="11"/>
        <v/>
      </c>
      <c r="F176" s="130" t="str">
        <f t="shared" si="12"/>
        <v/>
      </c>
      <c r="G176" s="130" t="str">
        <f t="shared" si="13"/>
        <v/>
      </c>
      <c r="H176" s="130" t="str">
        <f t="shared" si="14"/>
        <v/>
      </c>
      <c r="I176" s="130" t="str">
        <f t="shared" si="15"/>
        <v/>
      </c>
      <c r="J176" s="132" t="str">
        <f t="shared" si="16"/>
        <v/>
      </c>
      <c r="K176" s="44"/>
      <c r="L176" s="133"/>
      <c r="M176" s="9"/>
      <c r="N176" s="9"/>
      <c r="O176" s="9"/>
      <c r="P176" s="9"/>
      <c r="Q176" s="9"/>
      <c r="R176" s="9"/>
      <c r="S176" s="9"/>
      <c r="T176" s="9"/>
      <c r="U176" s="9"/>
      <c r="V176" s="9"/>
      <c r="W176" s="9"/>
      <c r="X176" s="9"/>
      <c r="Y176" s="9"/>
      <c r="Z176" s="9"/>
      <c r="AA176" s="9"/>
      <c r="AB176" s="9"/>
      <c r="AC176" s="9"/>
      <c r="AD176" s="9"/>
      <c r="AE176" s="9"/>
      <c r="AF176" s="9"/>
      <c r="AG176" s="9"/>
      <c r="AH176" s="9"/>
      <c r="AI176" s="9"/>
    </row>
    <row r="177" spans="1:35" ht="15" customHeight="1">
      <c r="A177" s="62">
        <f>'Students Details'!A177</f>
        <v>171</v>
      </c>
      <c r="B177" s="128" t="str">
        <f>IF('Students Details'!B177="","",'Students Details'!B177)</f>
        <v/>
      </c>
      <c r="C177" s="129" t="str">
        <f>IF('Students Details'!C177="","",'Students Details'!C177)</f>
        <v/>
      </c>
      <c r="D177" s="130" t="str">
        <f t="shared" si="10"/>
        <v/>
      </c>
      <c r="E177" s="130" t="str">
        <f t="shared" si="11"/>
        <v/>
      </c>
      <c r="F177" s="130" t="str">
        <f t="shared" si="12"/>
        <v/>
      </c>
      <c r="G177" s="130" t="str">
        <f t="shared" si="13"/>
        <v/>
      </c>
      <c r="H177" s="130" t="str">
        <f t="shared" si="14"/>
        <v/>
      </c>
      <c r="I177" s="130" t="str">
        <f t="shared" si="15"/>
        <v/>
      </c>
      <c r="J177" s="132" t="str">
        <f t="shared" si="16"/>
        <v/>
      </c>
      <c r="K177" s="44"/>
      <c r="L177" s="133"/>
      <c r="M177" s="9"/>
      <c r="N177" s="9"/>
      <c r="O177" s="9"/>
      <c r="P177" s="9"/>
      <c r="Q177" s="9"/>
      <c r="R177" s="9"/>
      <c r="S177" s="9"/>
      <c r="T177" s="9"/>
      <c r="U177" s="9"/>
      <c r="V177" s="9"/>
      <c r="W177" s="9"/>
      <c r="X177" s="9"/>
      <c r="Y177" s="9"/>
      <c r="Z177" s="9"/>
      <c r="AA177" s="9"/>
      <c r="AB177" s="9"/>
      <c r="AC177" s="9"/>
      <c r="AD177" s="9"/>
      <c r="AE177" s="9"/>
      <c r="AF177" s="9"/>
      <c r="AG177" s="9"/>
      <c r="AH177" s="9"/>
      <c r="AI177" s="9"/>
    </row>
    <row r="178" spans="1:35" ht="15" customHeight="1">
      <c r="A178" s="62">
        <f>'Students Details'!A178</f>
        <v>172</v>
      </c>
      <c r="B178" s="128" t="str">
        <f>IF('Students Details'!B178="","",'Students Details'!B178)</f>
        <v/>
      </c>
      <c r="C178" s="129" t="str">
        <f>IF('Students Details'!C178="","",'Students Details'!C178)</f>
        <v/>
      </c>
      <c r="D178" s="130" t="str">
        <f t="shared" si="10"/>
        <v/>
      </c>
      <c r="E178" s="130" t="str">
        <f t="shared" si="11"/>
        <v/>
      </c>
      <c r="F178" s="130" t="str">
        <f t="shared" si="12"/>
        <v/>
      </c>
      <c r="G178" s="130" t="str">
        <f t="shared" si="13"/>
        <v/>
      </c>
      <c r="H178" s="130" t="str">
        <f t="shared" si="14"/>
        <v/>
      </c>
      <c r="I178" s="130" t="str">
        <f t="shared" si="15"/>
        <v/>
      </c>
      <c r="J178" s="132" t="str">
        <f t="shared" si="16"/>
        <v/>
      </c>
      <c r="K178" s="44"/>
      <c r="L178" s="133"/>
      <c r="M178" s="9"/>
      <c r="N178" s="9"/>
      <c r="O178" s="9"/>
      <c r="P178" s="9"/>
      <c r="Q178" s="9"/>
      <c r="R178" s="9"/>
      <c r="S178" s="9"/>
      <c r="T178" s="9"/>
      <c r="U178" s="9"/>
      <c r="V178" s="9"/>
      <c r="W178" s="9"/>
      <c r="X178" s="9"/>
      <c r="Y178" s="9"/>
      <c r="Z178" s="9"/>
      <c r="AA178" s="9"/>
      <c r="AB178" s="9"/>
      <c r="AC178" s="9"/>
      <c r="AD178" s="9"/>
      <c r="AE178" s="9"/>
      <c r="AF178" s="9"/>
      <c r="AG178" s="9"/>
      <c r="AH178" s="9"/>
      <c r="AI178" s="9"/>
    </row>
    <row r="179" spans="1:35" ht="15" customHeight="1">
      <c r="A179" s="62">
        <f>'Students Details'!A179</f>
        <v>173</v>
      </c>
      <c r="B179" s="128" t="str">
        <f>IF('Students Details'!B179="","",'Students Details'!B179)</f>
        <v/>
      </c>
      <c r="C179" s="129" t="str">
        <f>IF('Students Details'!C179="","",'Students Details'!C179)</f>
        <v/>
      </c>
      <c r="D179" s="130" t="str">
        <f t="shared" si="10"/>
        <v/>
      </c>
      <c r="E179" s="130" t="str">
        <f t="shared" si="11"/>
        <v/>
      </c>
      <c r="F179" s="130" t="str">
        <f t="shared" si="12"/>
        <v/>
      </c>
      <c r="G179" s="130" t="str">
        <f t="shared" si="13"/>
        <v/>
      </c>
      <c r="H179" s="130" t="str">
        <f t="shared" si="14"/>
        <v/>
      </c>
      <c r="I179" s="130" t="str">
        <f t="shared" si="15"/>
        <v/>
      </c>
      <c r="J179" s="132" t="str">
        <f t="shared" si="16"/>
        <v/>
      </c>
      <c r="K179" s="44"/>
      <c r="L179" s="133"/>
      <c r="M179" s="9"/>
      <c r="N179" s="9"/>
      <c r="O179" s="9"/>
      <c r="P179" s="9"/>
      <c r="Q179" s="9"/>
      <c r="R179" s="9"/>
      <c r="S179" s="9"/>
      <c r="T179" s="9"/>
      <c r="U179" s="9"/>
      <c r="V179" s="9"/>
      <c r="W179" s="9"/>
      <c r="X179" s="9"/>
      <c r="Y179" s="9"/>
      <c r="Z179" s="9"/>
      <c r="AA179" s="9"/>
      <c r="AB179" s="9"/>
      <c r="AC179" s="9"/>
      <c r="AD179" s="9"/>
      <c r="AE179" s="9"/>
      <c r="AF179" s="9"/>
      <c r="AG179" s="9"/>
      <c r="AH179" s="9"/>
      <c r="AI179" s="9"/>
    </row>
    <row r="180" spans="1:35" ht="15" customHeight="1">
      <c r="A180" s="62">
        <f>'Students Details'!A180</f>
        <v>174</v>
      </c>
      <c r="B180" s="128" t="str">
        <f>IF('Students Details'!B180="","",'Students Details'!B180)</f>
        <v/>
      </c>
      <c r="C180" s="129" t="str">
        <f>IF('Students Details'!C180="","",'Students Details'!C180)</f>
        <v/>
      </c>
      <c r="D180" s="130" t="str">
        <f t="shared" si="10"/>
        <v/>
      </c>
      <c r="E180" s="130" t="str">
        <f t="shared" si="11"/>
        <v/>
      </c>
      <c r="F180" s="130" t="str">
        <f t="shared" si="12"/>
        <v/>
      </c>
      <c r="G180" s="130" t="str">
        <f t="shared" si="13"/>
        <v/>
      </c>
      <c r="H180" s="130" t="str">
        <f t="shared" si="14"/>
        <v/>
      </c>
      <c r="I180" s="130" t="str">
        <f t="shared" si="15"/>
        <v/>
      </c>
      <c r="J180" s="132" t="str">
        <f t="shared" si="16"/>
        <v/>
      </c>
      <c r="K180" s="44"/>
      <c r="L180" s="133"/>
      <c r="M180" s="9"/>
      <c r="N180" s="9"/>
      <c r="O180" s="9"/>
      <c r="P180" s="9"/>
      <c r="Q180" s="9"/>
      <c r="R180" s="9"/>
      <c r="S180" s="9"/>
      <c r="T180" s="9"/>
      <c r="U180" s="9"/>
      <c r="V180" s="9"/>
      <c r="W180" s="9"/>
      <c r="X180" s="9"/>
      <c r="Y180" s="9"/>
      <c r="Z180" s="9"/>
      <c r="AA180" s="9"/>
      <c r="AB180" s="9"/>
      <c r="AC180" s="9"/>
      <c r="AD180" s="9"/>
      <c r="AE180" s="9"/>
      <c r="AF180" s="9"/>
      <c r="AG180" s="9"/>
      <c r="AH180" s="9"/>
      <c r="AI180" s="9"/>
    </row>
    <row r="181" spans="1:35" ht="15" customHeight="1">
      <c r="A181" s="62">
        <f>'Students Details'!A181</f>
        <v>175</v>
      </c>
      <c r="B181" s="128" t="str">
        <f>IF('Students Details'!B181="","",'Students Details'!B181)</f>
        <v/>
      </c>
      <c r="C181" s="129" t="str">
        <f>IF('Students Details'!C181="","",'Students Details'!C181)</f>
        <v/>
      </c>
      <c r="D181" s="130" t="str">
        <f t="shared" si="10"/>
        <v/>
      </c>
      <c r="E181" s="130" t="str">
        <f t="shared" si="11"/>
        <v/>
      </c>
      <c r="F181" s="130" t="str">
        <f t="shared" si="12"/>
        <v/>
      </c>
      <c r="G181" s="130" t="str">
        <f t="shared" si="13"/>
        <v/>
      </c>
      <c r="H181" s="130" t="str">
        <f t="shared" si="14"/>
        <v/>
      </c>
      <c r="I181" s="130" t="str">
        <f t="shared" si="15"/>
        <v/>
      </c>
      <c r="J181" s="132" t="str">
        <f t="shared" si="16"/>
        <v/>
      </c>
      <c r="K181" s="44"/>
      <c r="L181" s="133"/>
      <c r="M181" s="9"/>
      <c r="N181" s="9"/>
      <c r="O181" s="9"/>
      <c r="P181" s="9"/>
      <c r="Q181" s="9"/>
      <c r="R181" s="9"/>
      <c r="S181" s="9"/>
      <c r="T181" s="9"/>
      <c r="U181" s="9"/>
      <c r="V181" s="9"/>
      <c r="W181" s="9"/>
      <c r="X181" s="9"/>
      <c r="Y181" s="9"/>
      <c r="Z181" s="9"/>
      <c r="AA181" s="9"/>
      <c r="AB181" s="9"/>
      <c r="AC181" s="9"/>
      <c r="AD181" s="9"/>
      <c r="AE181" s="9"/>
      <c r="AF181" s="9"/>
      <c r="AG181" s="9"/>
      <c r="AH181" s="9"/>
      <c r="AI181" s="9"/>
    </row>
    <row r="182" spans="1:35" ht="15" customHeight="1">
      <c r="A182" s="62">
        <f>'Students Details'!A182</f>
        <v>176</v>
      </c>
      <c r="B182" s="128" t="str">
        <f>IF('Students Details'!B182="","",'Students Details'!B182)</f>
        <v/>
      </c>
      <c r="C182" s="129" t="str">
        <f>IF('Students Details'!C182="","",'Students Details'!C182)</f>
        <v/>
      </c>
      <c r="D182" s="130" t="str">
        <f t="shared" si="10"/>
        <v/>
      </c>
      <c r="E182" s="130" t="str">
        <f t="shared" si="11"/>
        <v/>
      </c>
      <c r="F182" s="130" t="str">
        <f t="shared" si="12"/>
        <v/>
      </c>
      <c r="G182" s="130" t="str">
        <f t="shared" si="13"/>
        <v/>
      </c>
      <c r="H182" s="130" t="str">
        <f t="shared" si="14"/>
        <v/>
      </c>
      <c r="I182" s="130" t="str">
        <f t="shared" si="15"/>
        <v/>
      </c>
      <c r="J182" s="132" t="str">
        <f t="shared" si="16"/>
        <v/>
      </c>
      <c r="K182" s="44"/>
      <c r="L182" s="133"/>
      <c r="M182" s="9"/>
      <c r="N182" s="9"/>
      <c r="O182" s="9"/>
      <c r="P182" s="9"/>
      <c r="Q182" s="9"/>
      <c r="R182" s="9"/>
      <c r="S182" s="9"/>
      <c r="T182" s="9"/>
      <c r="U182" s="9"/>
      <c r="V182" s="9"/>
      <c r="W182" s="9"/>
      <c r="X182" s="9"/>
      <c r="Y182" s="9"/>
      <c r="Z182" s="9"/>
      <c r="AA182" s="9"/>
      <c r="AB182" s="9"/>
      <c r="AC182" s="9"/>
      <c r="AD182" s="9"/>
      <c r="AE182" s="9"/>
      <c r="AF182" s="9"/>
      <c r="AG182" s="9"/>
      <c r="AH182" s="9"/>
      <c r="AI182" s="9"/>
    </row>
    <row r="183" spans="1:35" ht="15" customHeight="1">
      <c r="A183" s="62">
        <f>'Students Details'!A183</f>
        <v>177</v>
      </c>
      <c r="B183" s="128" t="str">
        <f>IF('Students Details'!B183="","",'Students Details'!B183)</f>
        <v/>
      </c>
      <c r="C183" s="129" t="str">
        <f>IF('Students Details'!C183="","",'Students Details'!C183)</f>
        <v/>
      </c>
      <c r="D183" s="130" t="str">
        <f t="shared" si="10"/>
        <v/>
      </c>
      <c r="E183" s="130" t="str">
        <f t="shared" si="11"/>
        <v/>
      </c>
      <c r="F183" s="130" t="str">
        <f t="shared" si="12"/>
        <v/>
      </c>
      <c r="G183" s="130" t="str">
        <f t="shared" si="13"/>
        <v/>
      </c>
      <c r="H183" s="130" t="str">
        <f t="shared" si="14"/>
        <v/>
      </c>
      <c r="I183" s="130" t="str">
        <f t="shared" si="15"/>
        <v/>
      </c>
      <c r="J183" s="132" t="str">
        <f t="shared" si="16"/>
        <v/>
      </c>
      <c r="K183" s="44"/>
      <c r="L183" s="133"/>
      <c r="M183" s="9"/>
      <c r="N183" s="9"/>
      <c r="O183" s="9"/>
      <c r="P183" s="9"/>
      <c r="Q183" s="9"/>
      <c r="R183" s="9"/>
      <c r="S183" s="9"/>
      <c r="T183" s="9"/>
      <c r="U183" s="9"/>
      <c r="V183" s="9"/>
      <c r="W183" s="9"/>
      <c r="X183" s="9"/>
      <c r="Y183" s="9"/>
      <c r="Z183" s="9"/>
      <c r="AA183" s="9"/>
      <c r="AB183" s="9"/>
      <c r="AC183" s="9"/>
      <c r="AD183" s="9"/>
      <c r="AE183" s="9"/>
      <c r="AF183" s="9"/>
      <c r="AG183" s="9"/>
      <c r="AH183" s="9"/>
      <c r="AI183" s="9"/>
    </row>
    <row r="184" spans="1:35" ht="15" customHeight="1">
      <c r="A184" s="62">
        <f>'Students Details'!A184</f>
        <v>178</v>
      </c>
      <c r="B184" s="128" t="str">
        <f>IF('Students Details'!B184="","",'Students Details'!B184)</f>
        <v/>
      </c>
      <c r="C184" s="129" t="str">
        <f>IF('Students Details'!C184="","",'Students Details'!C184)</f>
        <v/>
      </c>
      <c r="D184" s="130" t="str">
        <f t="shared" si="10"/>
        <v/>
      </c>
      <c r="E184" s="130" t="str">
        <f t="shared" si="11"/>
        <v/>
      </c>
      <c r="F184" s="130" t="str">
        <f t="shared" si="12"/>
        <v/>
      </c>
      <c r="G184" s="130" t="str">
        <f t="shared" si="13"/>
        <v/>
      </c>
      <c r="H184" s="130" t="str">
        <f t="shared" si="14"/>
        <v/>
      </c>
      <c r="I184" s="130" t="str">
        <f t="shared" si="15"/>
        <v/>
      </c>
      <c r="J184" s="132" t="str">
        <f t="shared" si="16"/>
        <v/>
      </c>
      <c r="K184" s="44"/>
      <c r="L184" s="133"/>
      <c r="M184" s="9"/>
      <c r="N184" s="9"/>
      <c r="O184" s="9"/>
      <c r="P184" s="9"/>
      <c r="Q184" s="9"/>
      <c r="R184" s="9"/>
      <c r="S184" s="9"/>
      <c r="T184" s="9"/>
      <c r="U184" s="9"/>
      <c r="V184" s="9"/>
      <c r="W184" s="9"/>
      <c r="X184" s="9"/>
      <c r="Y184" s="9"/>
      <c r="Z184" s="9"/>
      <c r="AA184" s="9"/>
      <c r="AB184" s="9"/>
      <c r="AC184" s="9"/>
      <c r="AD184" s="9"/>
      <c r="AE184" s="9"/>
      <c r="AF184" s="9"/>
      <c r="AG184" s="9"/>
      <c r="AH184" s="9"/>
      <c r="AI184" s="9"/>
    </row>
    <row r="185" spans="1:35" ht="15" customHeight="1">
      <c r="A185" s="62">
        <f>'Students Details'!A185</f>
        <v>179</v>
      </c>
      <c r="B185" s="128" t="str">
        <f>IF('Students Details'!B185="","",'Students Details'!B185)</f>
        <v/>
      </c>
      <c r="C185" s="129" t="str">
        <f>IF('Students Details'!C185="","",'Students Details'!C185)</f>
        <v/>
      </c>
      <c r="D185" s="130" t="str">
        <f t="shared" si="10"/>
        <v/>
      </c>
      <c r="E185" s="130" t="str">
        <f t="shared" si="11"/>
        <v/>
      </c>
      <c r="F185" s="130" t="str">
        <f t="shared" si="12"/>
        <v/>
      </c>
      <c r="G185" s="130" t="str">
        <f t="shared" si="13"/>
        <v/>
      </c>
      <c r="H185" s="130" t="str">
        <f t="shared" si="14"/>
        <v/>
      </c>
      <c r="I185" s="130" t="str">
        <f t="shared" si="15"/>
        <v/>
      </c>
      <c r="J185" s="132" t="str">
        <f t="shared" si="16"/>
        <v/>
      </c>
      <c r="K185" s="44"/>
      <c r="L185" s="133"/>
      <c r="M185" s="9"/>
      <c r="N185" s="9"/>
      <c r="O185" s="9"/>
      <c r="P185" s="9"/>
      <c r="Q185" s="9"/>
      <c r="R185" s="9"/>
      <c r="S185" s="9"/>
      <c r="T185" s="9"/>
      <c r="U185" s="9"/>
      <c r="V185" s="9"/>
      <c r="W185" s="9"/>
      <c r="X185" s="9"/>
      <c r="Y185" s="9"/>
      <c r="Z185" s="9"/>
      <c r="AA185" s="9"/>
      <c r="AB185" s="9"/>
      <c r="AC185" s="9"/>
      <c r="AD185" s="9"/>
      <c r="AE185" s="9"/>
      <c r="AF185" s="9"/>
      <c r="AG185" s="9"/>
      <c r="AH185" s="9"/>
      <c r="AI185" s="9"/>
    </row>
    <row r="186" spans="1:35" ht="15" customHeight="1">
      <c r="A186" s="62">
        <f>'Students Details'!A186</f>
        <v>180</v>
      </c>
      <c r="B186" s="128" t="str">
        <f>IF('Students Details'!B186="","",'Students Details'!B186)</f>
        <v/>
      </c>
      <c r="C186" s="129" t="str">
        <f>IF('Students Details'!C186="","",'Students Details'!C186)</f>
        <v/>
      </c>
      <c r="D186" s="130" t="str">
        <f t="shared" si="10"/>
        <v/>
      </c>
      <c r="E186" s="130" t="str">
        <f t="shared" si="11"/>
        <v/>
      </c>
      <c r="F186" s="130" t="str">
        <f t="shared" si="12"/>
        <v/>
      </c>
      <c r="G186" s="130" t="str">
        <f t="shared" si="13"/>
        <v/>
      </c>
      <c r="H186" s="130" t="str">
        <f t="shared" si="14"/>
        <v/>
      </c>
      <c r="I186" s="130" t="str">
        <f t="shared" si="15"/>
        <v/>
      </c>
      <c r="J186" s="132" t="str">
        <f t="shared" si="16"/>
        <v/>
      </c>
      <c r="K186" s="44"/>
      <c r="L186" s="133"/>
      <c r="M186" s="9"/>
      <c r="N186" s="9"/>
      <c r="O186" s="9"/>
      <c r="P186" s="9"/>
      <c r="Q186" s="9"/>
      <c r="R186" s="9"/>
      <c r="S186" s="9"/>
      <c r="T186" s="9"/>
      <c r="U186" s="9"/>
      <c r="V186" s="9"/>
      <c r="W186" s="9"/>
      <c r="X186" s="9"/>
      <c r="Y186" s="9"/>
      <c r="Z186" s="9"/>
      <c r="AA186" s="9"/>
      <c r="AB186" s="9"/>
      <c r="AC186" s="9"/>
      <c r="AD186" s="9"/>
      <c r="AE186" s="9"/>
      <c r="AF186" s="9"/>
      <c r="AG186" s="9"/>
      <c r="AH186" s="9"/>
      <c r="AI186" s="9"/>
    </row>
    <row r="187" spans="1:35" ht="15" customHeight="1">
      <c r="A187" s="62">
        <f>'Students Details'!A187</f>
        <v>0</v>
      </c>
      <c r="B187" s="128" t="str">
        <f>IF('Students Details'!B187="","",'Students Details'!B187)</f>
        <v/>
      </c>
      <c r="C187" s="129" t="str">
        <f>IF('Students Details'!C187="","",'Students Details'!C187)</f>
        <v/>
      </c>
      <c r="D187" s="130" t="str">
        <f t="shared" si="10"/>
        <v/>
      </c>
      <c r="E187" s="130" t="str">
        <f t="shared" si="11"/>
        <v/>
      </c>
      <c r="F187" s="130" t="str">
        <f t="shared" si="12"/>
        <v/>
      </c>
      <c r="G187" s="130" t="str">
        <f t="shared" si="13"/>
        <v/>
      </c>
      <c r="H187" s="130" t="str">
        <f t="shared" si="14"/>
        <v/>
      </c>
      <c r="I187" s="130" t="str">
        <f t="shared" si="15"/>
        <v/>
      </c>
      <c r="J187" s="132" t="str">
        <f t="shared" si="16"/>
        <v/>
      </c>
      <c r="K187" s="44"/>
      <c r="L187" s="133"/>
      <c r="M187" s="9"/>
      <c r="N187" s="9"/>
      <c r="O187" s="9"/>
      <c r="P187" s="9"/>
      <c r="Q187" s="9"/>
      <c r="R187" s="9"/>
      <c r="S187" s="9"/>
      <c r="T187" s="9"/>
      <c r="U187" s="9"/>
      <c r="V187" s="9"/>
      <c r="W187" s="9"/>
      <c r="X187" s="9"/>
      <c r="Y187" s="9"/>
      <c r="Z187" s="9"/>
      <c r="AA187" s="9"/>
      <c r="AB187" s="9"/>
      <c r="AC187" s="9"/>
      <c r="AD187" s="9"/>
      <c r="AE187" s="9"/>
      <c r="AF187" s="9"/>
      <c r="AG187" s="9"/>
      <c r="AH187" s="9"/>
      <c r="AI187" s="9"/>
    </row>
    <row r="188" spans="1:35" ht="15" customHeight="1">
      <c r="A188" s="62">
        <f>'Students Details'!A188</f>
        <v>0</v>
      </c>
      <c r="B188" s="128" t="str">
        <f>IF('Students Details'!B188="","",'Students Details'!B188)</f>
        <v/>
      </c>
      <c r="C188" s="129" t="str">
        <f>IF('Students Details'!C188="","",'Students Details'!C188)</f>
        <v/>
      </c>
      <c r="D188" s="130" t="str">
        <f t="shared" si="10"/>
        <v/>
      </c>
      <c r="E188" s="130" t="str">
        <f t="shared" si="11"/>
        <v/>
      </c>
      <c r="F188" s="130" t="str">
        <f t="shared" si="12"/>
        <v/>
      </c>
      <c r="G188" s="130" t="str">
        <f t="shared" si="13"/>
        <v/>
      </c>
      <c r="H188" s="130" t="str">
        <f t="shared" si="14"/>
        <v/>
      </c>
      <c r="I188" s="130" t="str">
        <f t="shared" si="15"/>
        <v/>
      </c>
      <c r="J188" s="132" t="str">
        <f t="shared" si="16"/>
        <v/>
      </c>
      <c r="K188" s="44"/>
      <c r="L188" s="133"/>
      <c r="M188" s="9"/>
      <c r="N188" s="9"/>
      <c r="O188" s="9"/>
      <c r="P188" s="9"/>
      <c r="Q188" s="9"/>
      <c r="R188" s="9"/>
      <c r="S188" s="9"/>
      <c r="T188" s="9"/>
      <c r="U188" s="9"/>
      <c r="V188" s="9"/>
      <c r="W188" s="9"/>
      <c r="X188" s="9"/>
      <c r="Y188" s="9"/>
      <c r="Z188" s="9"/>
      <c r="AA188" s="9"/>
      <c r="AB188" s="9"/>
      <c r="AC188" s="9"/>
      <c r="AD188" s="9"/>
      <c r="AE188" s="9"/>
      <c r="AF188" s="9"/>
      <c r="AG188" s="9"/>
      <c r="AH188" s="9"/>
      <c r="AI188" s="9"/>
    </row>
    <row r="189" spans="1:35" ht="15" customHeight="1">
      <c r="A189" s="62">
        <f>'Students Details'!A189</f>
        <v>0</v>
      </c>
      <c r="B189" s="128" t="str">
        <f>IF('Students Details'!B189="","",'Students Details'!B189)</f>
        <v/>
      </c>
      <c r="C189" s="129" t="str">
        <f>IF('Students Details'!C189="","",'Students Details'!C189)</f>
        <v/>
      </c>
      <c r="D189" s="130" t="str">
        <f t="shared" si="10"/>
        <v/>
      </c>
      <c r="E189" s="130" t="str">
        <f t="shared" si="11"/>
        <v/>
      </c>
      <c r="F189" s="130" t="str">
        <f t="shared" si="12"/>
        <v/>
      </c>
      <c r="G189" s="130" t="str">
        <f t="shared" si="13"/>
        <v/>
      </c>
      <c r="H189" s="130" t="str">
        <f t="shared" si="14"/>
        <v/>
      </c>
      <c r="I189" s="130" t="str">
        <f t="shared" si="15"/>
        <v/>
      </c>
      <c r="J189" s="132" t="str">
        <f t="shared" si="16"/>
        <v/>
      </c>
      <c r="K189" s="44"/>
      <c r="L189" s="133"/>
      <c r="M189" s="9"/>
      <c r="N189" s="9"/>
      <c r="O189" s="9"/>
      <c r="P189" s="9"/>
      <c r="Q189" s="9"/>
      <c r="R189" s="9"/>
      <c r="S189" s="9"/>
      <c r="T189" s="9"/>
      <c r="U189" s="9"/>
      <c r="V189" s="9"/>
      <c r="W189" s="9"/>
      <c r="X189" s="9"/>
      <c r="Y189" s="9"/>
      <c r="Z189" s="9"/>
      <c r="AA189" s="9"/>
      <c r="AB189" s="9"/>
      <c r="AC189" s="9"/>
      <c r="AD189" s="9"/>
      <c r="AE189" s="9"/>
      <c r="AF189" s="9"/>
      <c r="AG189" s="9"/>
      <c r="AH189" s="9"/>
      <c r="AI189" s="9"/>
    </row>
    <row r="190" spans="1:35" ht="15" customHeight="1">
      <c r="A190" s="62">
        <f>'Students Details'!A190</f>
        <v>0</v>
      </c>
      <c r="B190" s="128" t="str">
        <f>IF('Students Details'!B190="","",'Students Details'!B190)</f>
        <v/>
      </c>
      <c r="C190" s="129" t="str">
        <f>IF('Students Details'!C190="","",'Students Details'!C190)</f>
        <v/>
      </c>
      <c r="D190" s="130" t="str">
        <f t="shared" si="10"/>
        <v/>
      </c>
      <c r="E190" s="130" t="str">
        <f t="shared" si="11"/>
        <v/>
      </c>
      <c r="F190" s="130" t="str">
        <f t="shared" si="12"/>
        <v/>
      </c>
      <c r="G190" s="130" t="str">
        <f t="shared" si="13"/>
        <v/>
      </c>
      <c r="H190" s="130" t="str">
        <f t="shared" si="14"/>
        <v/>
      </c>
      <c r="I190" s="130" t="str">
        <f t="shared" si="15"/>
        <v/>
      </c>
      <c r="J190" s="132" t="str">
        <f t="shared" si="16"/>
        <v/>
      </c>
      <c r="K190" s="44"/>
      <c r="L190" s="133"/>
      <c r="M190" s="9"/>
      <c r="N190" s="9"/>
      <c r="O190" s="9"/>
      <c r="P190" s="9"/>
      <c r="Q190" s="9"/>
      <c r="R190" s="9"/>
      <c r="S190" s="9"/>
      <c r="T190" s="9"/>
      <c r="U190" s="9"/>
      <c r="V190" s="9"/>
      <c r="W190" s="9"/>
      <c r="X190" s="9"/>
      <c r="Y190" s="9"/>
      <c r="Z190" s="9"/>
      <c r="AA190" s="9"/>
      <c r="AB190" s="9"/>
      <c r="AC190" s="9"/>
      <c r="AD190" s="9"/>
      <c r="AE190" s="9"/>
      <c r="AF190" s="9"/>
      <c r="AG190" s="9"/>
      <c r="AH190" s="9"/>
      <c r="AI190" s="9"/>
    </row>
    <row r="191" spans="1:35" ht="15" customHeight="1">
      <c r="A191" s="62">
        <f>'Students Details'!A191</f>
        <v>0</v>
      </c>
      <c r="B191" s="128" t="str">
        <f>IF('Students Details'!B191="","",'Students Details'!B191)</f>
        <v/>
      </c>
      <c r="C191" s="129" t="str">
        <f>IF('Students Details'!C191="","",'Students Details'!C191)</f>
        <v/>
      </c>
      <c r="D191" s="130" t="str">
        <f t="shared" si="10"/>
        <v/>
      </c>
      <c r="E191" s="130" t="str">
        <f t="shared" si="11"/>
        <v/>
      </c>
      <c r="F191" s="130" t="str">
        <f t="shared" si="12"/>
        <v/>
      </c>
      <c r="G191" s="130" t="str">
        <f t="shared" si="13"/>
        <v/>
      </c>
      <c r="H191" s="130" t="str">
        <f t="shared" si="14"/>
        <v/>
      </c>
      <c r="I191" s="130" t="str">
        <f t="shared" si="15"/>
        <v/>
      </c>
      <c r="J191" s="132" t="str">
        <f t="shared" si="16"/>
        <v/>
      </c>
      <c r="K191" s="44"/>
      <c r="L191" s="133"/>
      <c r="M191" s="9"/>
      <c r="N191" s="9"/>
      <c r="O191" s="9"/>
      <c r="P191" s="9"/>
      <c r="Q191" s="9"/>
      <c r="R191" s="9"/>
      <c r="S191" s="9"/>
      <c r="T191" s="9"/>
      <c r="U191" s="9"/>
      <c r="V191" s="9"/>
      <c r="W191" s="9"/>
      <c r="X191" s="9"/>
      <c r="Y191" s="9"/>
      <c r="Z191" s="9"/>
      <c r="AA191" s="9"/>
      <c r="AB191" s="9"/>
      <c r="AC191" s="9"/>
      <c r="AD191" s="9"/>
      <c r="AE191" s="9"/>
      <c r="AF191" s="9"/>
      <c r="AG191" s="9"/>
      <c r="AH191" s="9"/>
      <c r="AI191" s="9"/>
    </row>
    <row r="192" spans="1:35" ht="15" customHeight="1">
      <c r="A192" s="62">
        <f>'Students Details'!A192</f>
        <v>0</v>
      </c>
      <c r="B192" s="128" t="str">
        <f>IF('Students Details'!B192="","",'Students Details'!B192)</f>
        <v/>
      </c>
      <c r="C192" s="129" t="str">
        <f>IF('Students Details'!C192="","",'Students Details'!C192)</f>
        <v/>
      </c>
      <c r="D192" s="130" t="str">
        <f t="shared" si="10"/>
        <v/>
      </c>
      <c r="E192" s="130" t="str">
        <f t="shared" si="11"/>
        <v/>
      </c>
      <c r="F192" s="130" t="str">
        <f t="shared" si="12"/>
        <v/>
      </c>
      <c r="G192" s="130" t="str">
        <f t="shared" si="13"/>
        <v/>
      </c>
      <c r="H192" s="130" t="str">
        <f t="shared" si="14"/>
        <v/>
      </c>
      <c r="I192" s="130" t="str">
        <f t="shared" si="15"/>
        <v/>
      </c>
      <c r="J192" s="132" t="str">
        <f t="shared" si="16"/>
        <v/>
      </c>
      <c r="K192" s="44"/>
      <c r="L192" s="133"/>
      <c r="M192" s="9"/>
      <c r="N192" s="9"/>
      <c r="O192" s="9"/>
      <c r="P192" s="9"/>
      <c r="Q192" s="9"/>
      <c r="R192" s="9"/>
      <c r="S192" s="9"/>
      <c r="T192" s="9"/>
      <c r="U192" s="9"/>
      <c r="V192" s="9"/>
      <c r="W192" s="9"/>
      <c r="X192" s="9"/>
      <c r="Y192" s="9"/>
      <c r="Z192" s="9"/>
      <c r="AA192" s="9"/>
      <c r="AB192" s="9"/>
      <c r="AC192" s="9"/>
      <c r="AD192" s="9"/>
      <c r="AE192" s="9"/>
      <c r="AF192" s="9"/>
      <c r="AG192" s="9"/>
      <c r="AH192" s="9"/>
      <c r="AI192" s="9"/>
    </row>
    <row r="193" spans="1:35" ht="15" customHeight="1">
      <c r="A193" s="62">
        <f>'Students Details'!A193</f>
        <v>0</v>
      </c>
      <c r="B193" s="128" t="str">
        <f>IF('Students Details'!B193="","",'Students Details'!B193)</f>
        <v/>
      </c>
      <c r="C193" s="129" t="str">
        <f>IF('Students Details'!C193="","",'Students Details'!C193)</f>
        <v/>
      </c>
      <c r="D193" s="130" t="str">
        <f t="shared" si="10"/>
        <v/>
      </c>
      <c r="E193" s="130" t="str">
        <f t="shared" si="11"/>
        <v/>
      </c>
      <c r="F193" s="130" t="str">
        <f t="shared" si="12"/>
        <v/>
      </c>
      <c r="G193" s="130" t="str">
        <f t="shared" si="13"/>
        <v/>
      </c>
      <c r="H193" s="130" t="str">
        <f t="shared" si="14"/>
        <v/>
      </c>
      <c r="I193" s="130" t="str">
        <f t="shared" si="15"/>
        <v/>
      </c>
      <c r="J193" s="132" t="str">
        <f t="shared" si="16"/>
        <v/>
      </c>
      <c r="K193" s="44"/>
      <c r="L193" s="133"/>
      <c r="M193" s="9"/>
      <c r="N193" s="9"/>
      <c r="O193" s="9"/>
      <c r="P193" s="9"/>
      <c r="Q193" s="9"/>
      <c r="R193" s="9"/>
      <c r="S193" s="9"/>
      <c r="T193" s="9"/>
      <c r="U193" s="9"/>
      <c r="V193" s="9"/>
      <c r="W193" s="9"/>
      <c r="X193" s="9"/>
      <c r="Y193" s="9"/>
      <c r="Z193" s="9"/>
      <c r="AA193" s="9"/>
      <c r="AB193" s="9"/>
      <c r="AC193" s="9"/>
      <c r="AD193" s="9"/>
      <c r="AE193" s="9"/>
      <c r="AF193" s="9"/>
      <c r="AG193" s="9"/>
      <c r="AH193" s="9"/>
      <c r="AI193" s="9"/>
    </row>
    <row r="194" spans="1:35" ht="15" customHeight="1">
      <c r="A194" s="62">
        <f>'Students Details'!A194</f>
        <v>0</v>
      </c>
      <c r="B194" s="128" t="str">
        <f>IF('Students Details'!B194="","",'Students Details'!B194)</f>
        <v/>
      </c>
      <c r="C194" s="129" t="str">
        <f>IF('Students Details'!C194="","",'Students Details'!C194)</f>
        <v/>
      </c>
      <c r="D194" s="130" t="str">
        <f t="shared" si="10"/>
        <v/>
      </c>
      <c r="E194" s="130" t="str">
        <f t="shared" si="11"/>
        <v/>
      </c>
      <c r="F194" s="130" t="str">
        <f t="shared" si="12"/>
        <v/>
      </c>
      <c r="G194" s="130" t="str">
        <f t="shared" si="13"/>
        <v/>
      </c>
      <c r="H194" s="130" t="str">
        <f t="shared" si="14"/>
        <v/>
      </c>
      <c r="I194" s="130" t="str">
        <f t="shared" si="15"/>
        <v/>
      </c>
      <c r="J194" s="132" t="str">
        <f t="shared" si="16"/>
        <v/>
      </c>
      <c r="K194" s="44"/>
      <c r="L194" s="133"/>
      <c r="M194" s="9"/>
      <c r="N194" s="9"/>
      <c r="O194" s="9"/>
      <c r="P194" s="9"/>
      <c r="Q194" s="9"/>
      <c r="R194" s="9"/>
      <c r="S194" s="9"/>
      <c r="T194" s="9"/>
      <c r="U194" s="9"/>
      <c r="V194" s="9"/>
      <c r="W194" s="9"/>
      <c r="X194" s="9"/>
      <c r="Y194" s="9"/>
      <c r="Z194" s="9"/>
      <c r="AA194" s="9"/>
      <c r="AB194" s="9"/>
      <c r="AC194" s="9"/>
      <c r="AD194" s="9"/>
      <c r="AE194" s="9"/>
      <c r="AF194" s="9"/>
      <c r="AG194" s="9"/>
      <c r="AH194" s="9"/>
      <c r="AI194" s="9"/>
    </row>
    <row r="195" spans="1:35" ht="15" customHeight="1">
      <c r="A195" s="62">
        <f>'Students Details'!A195</f>
        <v>0</v>
      </c>
      <c r="B195" s="128" t="str">
        <f>IF('Students Details'!B195="","",'Students Details'!B195)</f>
        <v/>
      </c>
      <c r="C195" s="129" t="str">
        <f>IF('Students Details'!C195="","",'Students Details'!C195)</f>
        <v/>
      </c>
      <c r="D195" s="130" t="str">
        <f t="shared" si="10"/>
        <v/>
      </c>
      <c r="E195" s="130" t="str">
        <f t="shared" si="11"/>
        <v/>
      </c>
      <c r="F195" s="130" t="str">
        <f t="shared" si="12"/>
        <v/>
      </c>
      <c r="G195" s="130" t="str">
        <f t="shared" si="13"/>
        <v/>
      </c>
      <c r="H195" s="130" t="str">
        <f t="shared" si="14"/>
        <v/>
      </c>
      <c r="I195" s="130" t="str">
        <f t="shared" si="15"/>
        <v/>
      </c>
      <c r="J195" s="132" t="str">
        <f t="shared" si="16"/>
        <v/>
      </c>
      <c r="K195" s="44"/>
      <c r="L195" s="133"/>
      <c r="M195" s="9"/>
      <c r="N195" s="9"/>
      <c r="O195" s="9"/>
      <c r="P195" s="9"/>
      <c r="Q195" s="9"/>
      <c r="R195" s="9"/>
      <c r="S195" s="9"/>
      <c r="T195" s="9"/>
      <c r="U195" s="9"/>
      <c r="V195" s="9"/>
      <c r="W195" s="9"/>
      <c r="X195" s="9"/>
      <c r="Y195" s="9"/>
      <c r="Z195" s="9"/>
      <c r="AA195" s="9"/>
      <c r="AB195" s="9"/>
      <c r="AC195" s="9"/>
      <c r="AD195" s="9"/>
      <c r="AE195" s="9"/>
      <c r="AF195" s="9"/>
      <c r="AG195" s="9"/>
      <c r="AH195" s="9"/>
      <c r="AI195" s="9"/>
    </row>
    <row r="196" spans="1:35" ht="15" customHeight="1">
      <c r="A196" s="62">
        <f>'Students Details'!A196</f>
        <v>0</v>
      </c>
      <c r="B196" s="128" t="str">
        <f>IF('Students Details'!B196="","",'Students Details'!B196)</f>
        <v/>
      </c>
      <c r="C196" s="129" t="str">
        <f>IF('Students Details'!C196="","",'Students Details'!C196)</f>
        <v/>
      </c>
      <c r="D196" s="130" t="str">
        <f t="shared" si="10"/>
        <v/>
      </c>
      <c r="E196" s="130" t="str">
        <f t="shared" si="11"/>
        <v/>
      </c>
      <c r="F196" s="130" t="str">
        <f t="shared" si="12"/>
        <v/>
      </c>
      <c r="G196" s="130" t="str">
        <f t="shared" si="13"/>
        <v/>
      </c>
      <c r="H196" s="130" t="str">
        <f t="shared" si="14"/>
        <v/>
      </c>
      <c r="I196" s="130" t="str">
        <f t="shared" si="15"/>
        <v/>
      </c>
      <c r="J196" s="132" t="str">
        <f t="shared" si="16"/>
        <v/>
      </c>
      <c r="K196" s="44"/>
      <c r="L196" s="133"/>
      <c r="M196" s="9"/>
      <c r="N196" s="9"/>
      <c r="O196" s="9"/>
      <c r="P196" s="9"/>
      <c r="Q196" s="9"/>
      <c r="R196" s="9"/>
      <c r="S196" s="9"/>
      <c r="T196" s="9"/>
      <c r="U196" s="9"/>
      <c r="V196" s="9"/>
      <c r="W196" s="9"/>
      <c r="X196" s="9"/>
      <c r="Y196" s="9"/>
      <c r="Z196" s="9"/>
      <c r="AA196" s="9"/>
      <c r="AB196" s="9"/>
      <c r="AC196" s="9"/>
      <c r="AD196" s="9"/>
      <c r="AE196" s="9"/>
      <c r="AF196" s="9"/>
      <c r="AG196" s="9"/>
      <c r="AH196" s="9"/>
      <c r="AI196" s="9"/>
    </row>
    <row r="197" spans="1:35" ht="15" customHeight="1">
      <c r="A197" s="62">
        <f>'Students Details'!A197</f>
        <v>0</v>
      </c>
      <c r="B197" s="128" t="str">
        <f>IF('Students Details'!B197="","",'Students Details'!B197)</f>
        <v/>
      </c>
      <c r="C197" s="129" t="str">
        <f>IF('Students Details'!C197="","",'Students Details'!C197)</f>
        <v/>
      </c>
      <c r="D197" s="130" t="str">
        <f t="shared" si="10"/>
        <v/>
      </c>
      <c r="E197" s="130" t="str">
        <f t="shared" si="11"/>
        <v/>
      </c>
      <c r="F197" s="130" t="str">
        <f t="shared" si="12"/>
        <v/>
      </c>
      <c r="G197" s="130" t="str">
        <f t="shared" si="13"/>
        <v/>
      </c>
      <c r="H197" s="130" t="str">
        <f t="shared" si="14"/>
        <v/>
      </c>
      <c r="I197" s="130" t="str">
        <f t="shared" si="15"/>
        <v/>
      </c>
      <c r="J197" s="132" t="str">
        <f t="shared" si="16"/>
        <v/>
      </c>
      <c r="K197" s="44"/>
      <c r="L197" s="133"/>
      <c r="M197" s="9"/>
      <c r="N197" s="9"/>
      <c r="O197" s="9"/>
      <c r="P197" s="9"/>
      <c r="Q197" s="9"/>
      <c r="R197" s="9"/>
      <c r="S197" s="9"/>
      <c r="T197" s="9"/>
      <c r="U197" s="9"/>
      <c r="V197" s="9"/>
      <c r="W197" s="9"/>
      <c r="X197" s="9"/>
      <c r="Y197" s="9"/>
      <c r="Z197" s="9"/>
      <c r="AA197" s="9"/>
      <c r="AB197" s="9"/>
      <c r="AC197" s="9"/>
      <c r="AD197" s="9"/>
      <c r="AE197" s="9"/>
      <c r="AF197" s="9"/>
      <c r="AG197" s="9"/>
      <c r="AH197" s="9"/>
      <c r="AI197" s="9"/>
    </row>
    <row r="198" spans="1:35" ht="15" customHeight="1">
      <c r="A198" s="62">
        <f>'Students Details'!A198</f>
        <v>0</v>
      </c>
      <c r="B198" s="128" t="str">
        <f>IF('Students Details'!B198="","",'Students Details'!B198)</f>
        <v/>
      </c>
      <c r="C198" s="129" t="str">
        <f>IF('Students Details'!C198="","",'Students Details'!C198)</f>
        <v/>
      </c>
      <c r="D198" s="130" t="str">
        <f t="shared" si="10"/>
        <v/>
      </c>
      <c r="E198" s="130" t="str">
        <f t="shared" si="11"/>
        <v/>
      </c>
      <c r="F198" s="130" t="str">
        <f t="shared" si="12"/>
        <v/>
      </c>
      <c r="G198" s="130" t="str">
        <f t="shared" si="13"/>
        <v/>
      </c>
      <c r="H198" s="130" t="str">
        <f t="shared" si="14"/>
        <v/>
      </c>
      <c r="I198" s="130" t="str">
        <f t="shared" si="15"/>
        <v/>
      </c>
      <c r="J198" s="132" t="str">
        <f t="shared" si="16"/>
        <v/>
      </c>
      <c r="K198" s="44"/>
      <c r="L198" s="133"/>
      <c r="M198" s="9"/>
      <c r="N198" s="9"/>
      <c r="O198" s="9"/>
      <c r="P198" s="9"/>
      <c r="Q198" s="9"/>
      <c r="R198" s="9"/>
      <c r="S198" s="9"/>
      <c r="T198" s="9"/>
      <c r="U198" s="9"/>
      <c r="V198" s="9"/>
      <c r="W198" s="9"/>
      <c r="X198" s="9"/>
      <c r="Y198" s="9"/>
      <c r="Z198" s="9"/>
      <c r="AA198" s="9"/>
      <c r="AB198" s="9"/>
      <c r="AC198" s="9"/>
      <c r="AD198" s="9"/>
      <c r="AE198" s="9"/>
      <c r="AF198" s="9"/>
      <c r="AG198" s="9"/>
      <c r="AH198" s="9"/>
      <c r="AI198" s="9"/>
    </row>
    <row r="199" spans="1:35" ht="15" customHeight="1">
      <c r="A199" s="62">
        <f>'Students Details'!A199</f>
        <v>0</v>
      </c>
      <c r="B199" s="128" t="str">
        <f>IF('Students Details'!B199="","",'Students Details'!B199)</f>
        <v/>
      </c>
      <c r="C199" s="129" t="str">
        <f>IF('Students Details'!C199="","",'Students Details'!C199)</f>
        <v/>
      </c>
      <c r="D199" s="130" t="str">
        <f t="shared" si="10"/>
        <v/>
      </c>
      <c r="E199" s="130" t="str">
        <f t="shared" si="11"/>
        <v/>
      </c>
      <c r="F199" s="130" t="str">
        <f t="shared" si="12"/>
        <v/>
      </c>
      <c r="G199" s="130" t="str">
        <f t="shared" si="13"/>
        <v/>
      </c>
      <c r="H199" s="130" t="str">
        <f t="shared" si="14"/>
        <v/>
      </c>
      <c r="I199" s="130" t="str">
        <f t="shared" si="15"/>
        <v/>
      </c>
      <c r="J199" s="132" t="str">
        <f t="shared" si="16"/>
        <v/>
      </c>
      <c r="K199" s="44"/>
      <c r="L199" s="133"/>
      <c r="M199" s="9"/>
      <c r="N199" s="9"/>
      <c r="O199" s="9"/>
      <c r="P199" s="9"/>
      <c r="Q199" s="9"/>
      <c r="R199" s="9"/>
      <c r="S199" s="9"/>
      <c r="T199" s="9"/>
      <c r="U199" s="9"/>
      <c r="V199" s="9"/>
      <c r="W199" s="9"/>
      <c r="X199" s="9"/>
      <c r="Y199" s="9"/>
      <c r="Z199" s="9"/>
      <c r="AA199" s="9"/>
      <c r="AB199" s="9"/>
      <c r="AC199" s="9"/>
      <c r="AD199" s="9"/>
      <c r="AE199" s="9"/>
      <c r="AF199" s="9"/>
      <c r="AG199" s="9"/>
      <c r="AH199" s="9"/>
      <c r="AI199" s="9"/>
    </row>
    <row r="200" spans="1:35" ht="15" customHeight="1">
      <c r="A200" s="62">
        <f>'Students Details'!A200</f>
        <v>0</v>
      </c>
      <c r="B200" s="128" t="str">
        <f>IF('Students Details'!B200="","",'Students Details'!B200)</f>
        <v/>
      </c>
      <c r="C200" s="129" t="str">
        <f>IF('Students Details'!C200="","",'Students Details'!C200)</f>
        <v/>
      </c>
      <c r="D200" s="130" t="str">
        <f t="shared" si="10"/>
        <v/>
      </c>
      <c r="E200" s="130" t="str">
        <f t="shared" si="11"/>
        <v/>
      </c>
      <c r="F200" s="130" t="str">
        <f t="shared" si="12"/>
        <v/>
      </c>
      <c r="G200" s="130" t="str">
        <f t="shared" si="13"/>
        <v/>
      </c>
      <c r="H200" s="130" t="str">
        <f t="shared" si="14"/>
        <v/>
      </c>
      <c r="I200" s="130" t="str">
        <f t="shared" si="15"/>
        <v/>
      </c>
      <c r="J200" s="132" t="str">
        <f t="shared" si="16"/>
        <v/>
      </c>
      <c r="K200" s="44"/>
      <c r="L200" s="133"/>
      <c r="M200" s="9"/>
      <c r="N200" s="9"/>
      <c r="O200" s="9"/>
      <c r="P200" s="9"/>
      <c r="Q200" s="9"/>
      <c r="R200" s="9"/>
      <c r="S200" s="9"/>
      <c r="T200" s="9"/>
      <c r="U200" s="9"/>
      <c r="V200" s="9"/>
      <c r="W200" s="9"/>
      <c r="X200" s="9"/>
      <c r="Y200" s="9"/>
      <c r="Z200" s="9"/>
      <c r="AA200" s="9"/>
      <c r="AB200" s="9"/>
      <c r="AC200" s="9"/>
      <c r="AD200" s="9"/>
      <c r="AE200" s="9"/>
      <c r="AF200" s="9"/>
      <c r="AG200" s="9"/>
      <c r="AH200" s="9"/>
      <c r="AI200" s="9"/>
    </row>
    <row r="201" spans="1:35" ht="15" customHeight="1">
      <c r="A201" s="62">
        <f>'Students Details'!A201</f>
        <v>0</v>
      </c>
      <c r="B201" s="128" t="str">
        <f>IF('Students Details'!B201="","",'Students Details'!B201)</f>
        <v/>
      </c>
      <c r="C201" s="129" t="str">
        <f>IF('Students Details'!C201="","",'Students Details'!C201)</f>
        <v/>
      </c>
      <c r="D201" s="130" t="str">
        <f t="shared" si="10"/>
        <v/>
      </c>
      <c r="E201" s="130" t="str">
        <f t="shared" si="11"/>
        <v/>
      </c>
      <c r="F201" s="130" t="str">
        <f t="shared" si="12"/>
        <v/>
      </c>
      <c r="G201" s="130" t="str">
        <f t="shared" si="13"/>
        <v/>
      </c>
      <c r="H201" s="130" t="str">
        <f t="shared" si="14"/>
        <v/>
      </c>
      <c r="I201" s="130" t="str">
        <f t="shared" si="15"/>
        <v/>
      </c>
      <c r="J201" s="132" t="str">
        <f t="shared" si="16"/>
        <v/>
      </c>
      <c r="K201" s="44"/>
      <c r="L201" s="133"/>
      <c r="M201" s="9"/>
      <c r="N201" s="9"/>
      <c r="O201" s="9"/>
      <c r="P201" s="9"/>
      <c r="Q201" s="9"/>
      <c r="R201" s="9"/>
      <c r="S201" s="9"/>
      <c r="T201" s="9"/>
      <c r="U201" s="9"/>
      <c r="V201" s="9"/>
      <c r="W201" s="9"/>
      <c r="X201" s="9"/>
      <c r="Y201" s="9"/>
      <c r="Z201" s="9"/>
      <c r="AA201" s="9"/>
      <c r="AB201" s="9"/>
      <c r="AC201" s="9"/>
      <c r="AD201" s="9"/>
      <c r="AE201" s="9"/>
      <c r="AF201" s="9"/>
      <c r="AG201" s="9"/>
      <c r="AH201" s="9"/>
      <c r="AI201" s="9"/>
    </row>
    <row r="202" spans="1:35" ht="15" customHeight="1">
      <c r="A202" s="62">
        <f>'Students Details'!A202</f>
        <v>0</v>
      </c>
      <c r="B202" s="128" t="str">
        <f>IF('Students Details'!B202="","",'Students Details'!B202)</f>
        <v/>
      </c>
      <c r="C202" s="129" t="str">
        <f>IF('Students Details'!C202="","",'Students Details'!C202)</f>
        <v/>
      </c>
      <c r="D202" s="130" t="str">
        <f t="shared" si="10"/>
        <v/>
      </c>
      <c r="E202" s="130" t="str">
        <f t="shared" si="11"/>
        <v/>
      </c>
      <c r="F202" s="130" t="str">
        <f t="shared" si="12"/>
        <v/>
      </c>
      <c r="G202" s="130" t="str">
        <f t="shared" si="13"/>
        <v/>
      </c>
      <c r="H202" s="130" t="str">
        <f t="shared" si="14"/>
        <v/>
      </c>
      <c r="I202" s="130" t="str">
        <f t="shared" si="15"/>
        <v/>
      </c>
      <c r="J202" s="132" t="str">
        <f t="shared" si="16"/>
        <v/>
      </c>
      <c r="K202" s="44"/>
      <c r="L202" s="133"/>
      <c r="M202" s="9"/>
      <c r="N202" s="9"/>
      <c r="O202" s="9"/>
      <c r="P202" s="9"/>
      <c r="Q202" s="9"/>
      <c r="R202" s="9"/>
      <c r="S202" s="9"/>
      <c r="T202" s="9"/>
      <c r="U202" s="9"/>
      <c r="V202" s="9"/>
      <c r="W202" s="9"/>
      <c r="X202" s="9"/>
      <c r="Y202" s="9"/>
      <c r="Z202" s="9"/>
      <c r="AA202" s="9"/>
      <c r="AB202" s="9"/>
      <c r="AC202" s="9"/>
      <c r="AD202" s="9"/>
      <c r="AE202" s="9"/>
      <c r="AF202" s="9"/>
      <c r="AG202" s="9"/>
      <c r="AH202" s="9"/>
      <c r="AI202" s="9"/>
    </row>
    <row r="203" spans="1:35" ht="15" customHeight="1">
      <c r="A203" s="62">
        <f>'Students Details'!A203</f>
        <v>0</v>
      </c>
      <c r="B203" s="128" t="str">
        <f>IF('Students Details'!B203="","",'Students Details'!B203)</f>
        <v/>
      </c>
      <c r="C203" s="129" t="str">
        <f>IF('Students Details'!C203="","",'Students Details'!C203)</f>
        <v/>
      </c>
      <c r="D203" s="130" t="str">
        <f t="shared" si="10"/>
        <v/>
      </c>
      <c r="E203" s="130" t="str">
        <f t="shared" si="11"/>
        <v/>
      </c>
      <c r="F203" s="130" t="str">
        <f t="shared" si="12"/>
        <v/>
      </c>
      <c r="G203" s="130" t="str">
        <f t="shared" si="13"/>
        <v/>
      </c>
      <c r="H203" s="130" t="str">
        <f t="shared" si="14"/>
        <v/>
      </c>
      <c r="I203" s="130" t="str">
        <f t="shared" si="15"/>
        <v/>
      </c>
      <c r="J203" s="132" t="str">
        <f t="shared" si="16"/>
        <v/>
      </c>
      <c r="K203" s="44"/>
      <c r="L203" s="133"/>
      <c r="M203" s="9"/>
      <c r="N203" s="9"/>
      <c r="O203" s="9"/>
      <c r="P203" s="9"/>
      <c r="Q203" s="9"/>
      <c r="R203" s="9"/>
      <c r="S203" s="9"/>
      <c r="T203" s="9"/>
      <c r="U203" s="9"/>
      <c r="V203" s="9"/>
      <c r="W203" s="9"/>
      <c r="X203" s="9"/>
      <c r="Y203" s="9"/>
      <c r="Z203" s="9"/>
      <c r="AA203" s="9"/>
      <c r="AB203" s="9"/>
      <c r="AC203" s="9"/>
      <c r="AD203" s="9"/>
      <c r="AE203" s="9"/>
      <c r="AF203" s="9"/>
      <c r="AG203" s="9"/>
      <c r="AH203" s="9"/>
      <c r="AI203" s="9"/>
    </row>
    <row r="204" spans="1:35" ht="15" customHeight="1">
      <c r="A204" s="62">
        <f>'Students Details'!A204</f>
        <v>0</v>
      </c>
      <c r="B204" s="128" t="str">
        <f>IF('Students Details'!B204="","",'Students Details'!B204)</f>
        <v/>
      </c>
      <c r="C204" s="129" t="str">
        <f>IF('Students Details'!C204="","",'Students Details'!C204)</f>
        <v/>
      </c>
      <c r="D204" s="130" t="str">
        <f t="shared" si="10"/>
        <v/>
      </c>
      <c r="E204" s="130" t="str">
        <f t="shared" si="11"/>
        <v/>
      </c>
      <c r="F204" s="130" t="str">
        <f t="shared" si="12"/>
        <v/>
      </c>
      <c r="G204" s="130" t="str">
        <f t="shared" si="13"/>
        <v/>
      </c>
      <c r="H204" s="130" t="str">
        <f t="shared" si="14"/>
        <v/>
      </c>
      <c r="I204" s="130" t="str">
        <f t="shared" si="15"/>
        <v/>
      </c>
      <c r="J204" s="132" t="str">
        <f t="shared" si="16"/>
        <v/>
      </c>
      <c r="K204" s="44"/>
      <c r="L204" s="133"/>
      <c r="M204" s="9"/>
      <c r="N204" s="9"/>
      <c r="O204" s="9"/>
      <c r="P204" s="9"/>
      <c r="Q204" s="9"/>
      <c r="R204" s="9"/>
      <c r="S204" s="9"/>
      <c r="T204" s="9"/>
      <c r="U204" s="9"/>
      <c r="V204" s="9"/>
      <c r="W204" s="9"/>
      <c r="X204" s="9"/>
      <c r="Y204" s="9"/>
      <c r="Z204" s="9"/>
      <c r="AA204" s="9"/>
      <c r="AB204" s="9"/>
      <c r="AC204" s="9"/>
      <c r="AD204" s="9"/>
      <c r="AE204" s="9"/>
      <c r="AF204" s="9"/>
      <c r="AG204" s="9"/>
      <c r="AH204" s="9"/>
      <c r="AI204" s="9"/>
    </row>
    <row r="205" spans="1:35" ht="15" customHeight="1">
      <c r="A205" s="62">
        <f>'Students Details'!A205</f>
        <v>0</v>
      </c>
      <c r="B205" s="128" t="str">
        <f>IF('Students Details'!B205="","",'Students Details'!B205)</f>
        <v/>
      </c>
      <c r="C205" s="129" t="str">
        <f>IF('Students Details'!C205="","",'Students Details'!C205)</f>
        <v/>
      </c>
      <c r="D205" s="130" t="str">
        <f t="shared" si="10"/>
        <v/>
      </c>
      <c r="E205" s="130" t="str">
        <f t="shared" si="11"/>
        <v/>
      </c>
      <c r="F205" s="130" t="str">
        <f t="shared" si="12"/>
        <v/>
      </c>
      <c r="G205" s="130" t="str">
        <f t="shared" si="13"/>
        <v/>
      </c>
      <c r="H205" s="130" t="str">
        <f t="shared" si="14"/>
        <v/>
      </c>
      <c r="I205" s="130" t="str">
        <f t="shared" si="15"/>
        <v/>
      </c>
      <c r="J205" s="132" t="str">
        <f t="shared" si="16"/>
        <v/>
      </c>
      <c r="K205" s="44"/>
      <c r="L205" s="133"/>
      <c r="M205" s="9"/>
      <c r="N205" s="9"/>
      <c r="O205" s="9"/>
      <c r="P205" s="9"/>
      <c r="Q205" s="9"/>
      <c r="R205" s="9"/>
      <c r="S205" s="9"/>
      <c r="T205" s="9"/>
      <c r="U205" s="9"/>
      <c r="V205" s="9"/>
      <c r="W205" s="9"/>
      <c r="X205" s="9"/>
      <c r="Y205" s="9"/>
      <c r="Z205" s="9"/>
      <c r="AA205" s="9"/>
      <c r="AB205" s="9"/>
      <c r="AC205" s="9"/>
      <c r="AD205" s="9"/>
      <c r="AE205" s="9"/>
      <c r="AF205" s="9"/>
      <c r="AG205" s="9"/>
      <c r="AH205" s="9"/>
      <c r="AI205" s="9"/>
    </row>
    <row r="206" spans="1:35" ht="15" customHeight="1">
      <c r="A206" s="62">
        <f>'Students Details'!A206</f>
        <v>0</v>
      </c>
      <c r="B206" s="128" t="str">
        <f>IF('Students Details'!B206="","",'Students Details'!B206)</f>
        <v/>
      </c>
      <c r="C206" s="129" t="str">
        <f>IF('Students Details'!C206="","",'Students Details'!C206)</f>
        <v/>
      </c>
      <c r="D206" s="130" t="str">
        <f t="shared" si="10"/>
        <v/>
      </c>
      <c r="E206" s="130" t="str">
        <f t="shared" si="11"/>
        <v/>
      </c>
      <c r="F206" s="130" t="str">
        <f t="shared" si="12"/>
        <v/>
      </c>
      <c r="G206" s="130" t="str">
        <f t="shared" si="13"/>
        <v/>
      </c>
      <c r="H206" s="130" t="str">
        <f t="shared" si="14"/>
        <v/>
      </c>
      <c r="I206" s="130" t="str">
        <f t="shared" si="15"/>
        <v/>
      </c>
      <c r="J206" s="132" t="str">
        <f t="shared" si="16"/>
        <v/>
      </c>
      <c r="K206" s="44"/>
      <c r="L206" s="133"/>
      <c r="M206" s="9"/>
      <c r="N206" s="9"/>
      <c r="O206" s="9"/>
      <c r="P206" s="9"/>
      <c r="Q206" s="9"/>
      <c r="R206" s="9"/>
      <c r="S206" s="9"/>
      <c r="T206" s="9"/>
      <c r="U206" s="9"/>
      <c r="V206" s="9"/>
      <c r="W206" s="9"/>
      <c r="X206" s="9"/>
      <c r="Y206" s="9"/>
      <c r="Z206" s="9"/>
      <c r="AA206" s="9"/>
      <c r="AB206" s="9"/>
      <c r="AC206" s="9"/>
      <c r="AD206" s="9"/>
      <c r="AE206" s="9"/>
      <c r="AF206" s="9"/>
      <c r="AG206" s="9"/>
      <c r="AH206" s="9"/>
      <c r="AI206" s="9"/>
    </row>
    <row r="207" spans="1:35" ht="15" customHeight="1">
      <c r="A207" s="39"/>
      <c r="B207" s="152"/>
      <c r="C207" s="153"/>
      <c r="D207" s="130"/>
      <c r="E207" s="130"/>
      <c r="F207" s="130"/>
      <c r="G207" s="130"/>
      <c r="H207" s="130"/>
      <c r="I207" s="130"/>
      <c r="J207" s="132"/>
      <c r="K207" s="44"/>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35" ht="15" customHeight="1">
      <c r="A208" s="89" t="s">
        <v>85</v>
      </c>
      <c r="B208" s="15">
        <f>COUNT(B6:B206)</f>
        <v>0</v>
      </c>
      <c r="C208" s="90" t="s">
        <v>86</v>
      </c>
      <c r="D208" s="91">
        <f>J208</f>
        <v>40</v>
      </c>
      <c r="E208" s="91">
        <f>J208</f>
        <v>40</v>
      </c>
      <c r="F208" s="91">
        <f>J208</f>
        <v>40</v>
      </c>
      <c r="G208" s="91">
        <f>J208</f>
        <v>40</v>
      </c>
      <c r="H208" s="91">
        <f>J208</f>
        <v>40</v>
      </c>
      <c r="I208" s="91">
        <f>J208</f>
        <v>40</v>
      </c>
      <c r="J208" s="91">
        <f>'CO-PO Mapping'!E30</f>
        <v>40</v>
      </c>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spans="1:35" ht="15" customHeight="1">
      <c r="A209" s="62"/>
      <c r="B209" s="112"/>
      <c r="C209" s="93" t="s">
        <v>87</v>
      </c>
      <c r="D209" s="113" t="str">
        <f t="shared" ref="D209:I209" si="17">IFERROR(D208*D6/100,"")</f>
        <v/>
      </c>
      <c r="E209" s="113" t="str">
        <f t="shared" si="17"/>
        <v/>
      </c>
      <c r="F209" s="113" t="str">
        <f t="shared" si="17"/>
        <v/>
      </c>
      <c r="G209" s="113" t="str">
        <f t="shared" si="17"/>
        <v/>
      </c>
      <c r="H209" s="113" t="str">
        <f t="shared" si="17"/>
        <v/>
      </c>
      <c r="I209" s="113" t="str">
        <f t="shared" si="17"/>
        <v/>
      </c>
      <c r="J209" s="113" t="str">
        <f>IF(J6=0,"",J208*J6/100)</f>
        <v/>
      </c>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spans="1:35" ht="15" customHeight="1">
      <c r="A210" s="62"/>
      <c r="B210" s="112"/>
      <c r="C210" s="93"/>
      <c r="D210" s="113"/>
      <c r="E210" s="113"/>
      <c r="F210" s="113"/>
      <c r="G210" s="113"/>
      <c r="H210" s="113"/>
      <c r="I210" s="113"/>
      <c r="J210" s="113"/>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spans="1:35" ht="15" customHeight="1">
      <c r="A211" s="62"/>
      <c r="B211" s="112"/>
      <c r="C211" s="143" t="s">
        <v>115</v>
      </c>
      <c r="D211" s="132">
        <f t="shared" ref="D211:J211" si="18">COUNTIF(D7:D206,"&gt;="&amp;D209)</f>
        <v>0</v>
      </c>
      <c r="E211" s="132">
        <f t="shared" si="18"/>
        <v>0</v>
      </c>
      <c r="F211" s="132">
        <f t="shared" si="18"/>
        <v>0</v>
      </c>
      <c r="G211" s="132">
        <f t="shared" si="18"/>
        <v>0</v>
      </c>
      <c r="H211" s="132">
        <f t="shared" si="18"/>
        <v>0</v>
      </c>
      <c r="I211" s="132">
        <f t="shared" si="18"/>
        <v>0</v>
      </c>
      <c r="J211" s="132">
        <f t="shared" si="18"/>
        <v>0</v>
      </c>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spans="1:35" ht="15" customHeight="1">
      <c r="A212" s="62"/>
      <c r="B212" s="112"/>
      <c r="C212" s="145"/>
      <c r="D212" s="132"/>
      <c r="E212" s="132"/>
      <c r="F212" s="132"/>
      <c r="G212" s="132"/>
      <c r="H212" s="132"/>
      <c r="I212" s="132"/>
      <c r="J212" s="132"/>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spans="1:35" ht="15" customHeight="1">
      <c r="A213" s="62"/>
      <c r="B213" s="112"/>
      <c r="C213" s="143" t="s">
        <v>116</v>
      </c>
      <c r="D213" s="132" t="e">
        <f t="shared" ref="D213:J213" si="19">D211/$B$208*100</f>
        <v>#DIV/0!</v>
      </c>
      <c r="E213" s="132" t="e">
        <f t="shared" si="19"/>
        <v>#DIV/0!</v>
      </c>
      <c r="F213" s="132" t="e">
        <f t="shared" si="19"/>
        <v>#DIV/0!</v>
      </c>
      <c r="G213" s="132" t="e">
        <f t="shared" si="19"/>
        <v>#DIV/0!</v>
      </c>
      <c r="H213" s="132" t="e">
        <f t="shared" si="19"/>
        <v>#DIV/0!</v>
      </c>
      <c r="I213" s="132" t="e">
        <f t="shared" si="19"/>
        <v>#DIV/0!</v>
      </c>
      <c r="J213" s="132" t="e">
        <f t="shared" si="19"/>
        <v>#DIV/0!</v>
      </c>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spans="1:35" ht="15" customHeight="1">
      <c r="A214" s="62"/>
      <c r="B214" s="112"/>
      <c r="C214" s="145"/>
      <c r="D214" s="132"/>
      <c r="E214" s="132"/>
      <c r="F214" s="132"/>
      <c r="G214" s="132"/>
      <c r="H214" s="132"/>
      <c r="I214" s="132"/>
      <c r="J214" s="132"/>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spans="1:35" ht="15" customHeight="1">
      <c r="A215" s="62"/>
      <c r="B215" s="112"/>
      <c r="C215" s="143" t="s">
        <v>90</v>
      </c>
      <c r="D215" s="146" t="str">
        <f>IF(D6="","",IF(D213&lt;='CO-PO Mapping'!$L$27,0,IF(D213&lt;='CO-PO Mapping'!$L$28,1,IF(D213&lt;='CO-PO Mapping'!$L$29,2,3))))</f>
        <v/>
      </c>
      <c r="E215" s="146" t="str">
        <f>IF(E6="","",IF(E213&lt;='CO-PO Mapping'!$L$27,0,IF(E213&lt;='CO-PO Mapping'!$L$28,1,IF(E213&lt;='CO-PO Mapping'!$L$29,2,3))))</f>
        <v/>
      </c>
      <c r="F215" s="146" t="str">
        <f>IF(F6="","",IF(F213&lt;='CO-PO Mapping'!$L$27,0,IF(F213&lt;='CO-PO Mapping'!$L$28,1,IF(F213&lt;='CO-PO Mapping'!$L$29,2,3))))</f>
        <v/>
      </c>
      <c r="G215" s="146" t="str">
        <f>IF(G6="","",IF(G213&lt;='CO-PO Mapping'!$L$27,0,IF(G213&lt;='CO-PO Mapping'!$L$28,1,IF(G213&lt;='CO-PO Mapping'!$L$29,2,3))))</f>
        <v/>
      </c>
      <c r="H215" s="146" t="str">
        <f>IF(H6="","",IF(H213&lt;='CO-PO Mapping'!$L$27,0,IF(H213&lt;='CO-PO Mapping'!$L$28,1,IF(H213&lt;='CO-PO Mapping'!$L$29,2,3))))</f>
        <v/>
      </c>
      <c r="I215" s="146" t="str">
        <f>IF(I6="","",IF(I213&lt;='CO-PO Mapping'!$L$27,0,IF(I213&lt;='CO-PO Mapping'!$L$28,1,IF(I213&lt;='CO-PO Mapping'!$L$29,2,3))))</f>
        <v/>
      </c>
      <c r="J215" s="146" t="e">
        <f>IF(J6="","",IF(J213&lt;='CO-PO Mapping'!$L$27,0,IF(J213&lt;='CO-PO Mapping'!$L$28,1,IF(J213&lt;='CO-PO Mapping'!$L$29,2,3))))</f>
        <v>#DIV/0!</v>
      </c>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spans="1:35" ht="15" hidden="1" customHeight="1">
      <c r="A216" s="62"/>
      <c r="B216" s="147"/>
      <c r="C216" s="93" t="b">
        <f>IF($B$216=1,C215,IF($B$216=2,#REF!,IF($B$216=3,#REF!)))</f>
        <v>0</v>
      </c>
      <c r="D216" s="100" t="str">
        <f t="shared" ref="D216:H216" si="20">IF($J$6="0","0",D215)</f>
        <v/>
      </c>
      <c r="E216" s="100" t="str">
        <f t="shared" si="20"/>
        <v/>
      </c>
      <c r="F216" s="100" t="str">
        <f t="shared" si="20"/>
        <v/>
      </c>
      <c r="G216" s="100" t="str">
        <f t="shared" si="20"/>
        <v/>
      </c>
      <c r="H216" s="100" t="str">
        <f t="shared" si="20"/>
        <v/>
      </c>
      <c r="I216" s="101"/>
      <c r="J216" s="100" t="e">
        <f>IF($J$6="0","0",J215)</f>
        <v>#DIV/0!</v>
      </c>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row>
    <row r="217" spans="1:35" ht="15.6">
      <c r="A217" s="33"/>
      <c r="B217" s="33"/>
      <c r="C217" s="150"/>
      <c r="D217" s="33"/>
      <c r="E217" s="33"/>
      <c r="F217" s="33"/>
      <c r="G217" s="33"/>
      <c r="H217" s="33"/>
      <c r="I217" s="33"/>
      <c r="J217" s="33"/>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spans="1:35" ht="15.6">
      <c r="A218" s="33"/>
      <c r="B218" s="33"/>
      <c r="C218" s="150"/>
      <c r="D218" s="33"/>
      <c r="E218" s="33"/>
      <c r="F218" s="33"/>
      <c r="G218" s="33"/>
      <c r="H218" s="33"/>
      <c r="I218" s="33"/>
      <c r="J218" s="33"/>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spans="1:35" ht="15.6">
      <c r="A219" s="33"/>
      <c r="B219" s="33"/>
      <c r="C219" s="150"/>
      <c r="D219" s="33"/>
      <c r="E219" s="33"/>
      <c r="F219" s="33"/>
      <c r="G219" s="33"/>
      <c r="H219" s="33"/>
      <c r="I219" s="33"/>
      <c r="J219" s="33"/>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spans="1:35" ht="15.6">
      <c r="A220" s="33"/>
      <c r="B220" s="33"/>
      <c r="C220" s="150"/>
      <c r="D220" s="33"/>
      <c r="E220" s="33"/>
      <c r="F220" s="33"/>
      <c r="G220" s="33"/>
      <c r="H220" s="33"/>
      <c r="I220" s="33"/>
      <c r="J220" s="33"/>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spans="1:35" ht="15.6">
      <c r="A221" s="33"/>
      <c r="B221" s="33"/>
      <c r="C221" s="150"/>
      <c r="D221" s="33"/>
      <c r="E221" s="33"/>
      <c r="F221" s="33"/>
      <c r="G221" s="33"/>
      <c r="H221" s="33"/>
      <c r="I221" s="33"/>
      <c r="J221" s="33"/>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spans="1:35" ht="15.6">
      <c r="A222" s="33"/>
      <c r="B222" s="33"/>
      <c r="C222" s="150"/>
      <c r="D222" s="33"/>
      <c r="E222" s="33"/>
      <c r="F222" s="33"/>
      <c r="G222" s="33"/>
      <c r="H222" s="33"/>
      <c r="I222" s="33"/>
      <c r="J222" s="33"/>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spans="1:35" ht="15.6">
      <c r="A223" s="33"/>
      <c r="B223" s="33"/>
      <c r="C223" s="150"/>
      <c r="D223" s="33"/>
      <c r="E223" s="33"/>
      <c r="F223" s="33"/>
      <c r="G223" s="33"/>
      <c r="H223" s="33"/>
      <c r="I223" s="33"/>
      <c r="J223" s="33"/>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spans="1:35" ht="15.6">
      <c r="A224" s="33"/>
      <c r="B224" s="33"/>
      <c r="C224" s="150"/>
      <c r="D224" s="33"/>
      <c r="E224" s="33"/>
      <c r="F224" s="33"/>
      <c r="G224" s="33"/>
      <c r="H224" s="33"/>
      <c r="I224" s="33"/>
      <c r="J224" s="33"/>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row>
    <row r="225" spans="1:35" ht="15.6">
      <c r="A225" s="33"/>
      <c r="B225" s="33"/>
      <c r="C225" s="150"/>
      <c r="D225" s="33"/>
      <c r="E225" s="33"/>
      <c r="F225" s="33"/>
      <c r="G225" s="33"/>
      <c r="H225" s="33"/>
      <c r="I225" s="33"/>
      <c r="J225" s="33"/>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spans="1:35" ht="15.6">
      <c r="A226" s="33"/>
      <c r="B226" s="33"/>
      <c r="C226" s="150"/>
      <c r="D226" s="33"/>
      <c r="E226" s="33"/>
      <c r="F226" s="33"/>
      <c r="G226" s="33"/>
      <c r="H226" s="33"/>
      <c r="I226" s="33"/>
      <c r="J226" s="33"/>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spans="1:35" ht="15.6">
      <c r="A227" s="33"/>
      <c r="B227" s="33"/>
      <c r="C227" s="150"/>
      <c r="D227" s="33"/>
      <c r="E227" s="33"/>
      <c r="F227" s="33"/>
      <c r="G227" s="33"/>
      <c r="H227" s="33"/>
      <c r="I227" s="33"/>
      <c r="J227" s="33"/>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spans="1:35" ht="15.6">
      <c r="A228" s="33"/>
      <c r="B228" s="33"/>
      <c r="C228" s="150"/>
      <c r="D228" s="33"/>
      <c r="E228" s="33"/>
      <c r="F228" s="33"/>
      <c r="G228" s="33"/>
      <c r="H228" s="33"/>
      <c r="I228" s="33"/>
      <c r="J228" s="33"/>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spans="1:35" ht="15.6">
      <c r="A229" s="33"/>
      <c r="B229" s="33"/>
      <c r="C229" s="150"/>
      <c r="D229" s="33"/>
      <c r="E229" s="33"/>
      <c r="F229" s="33"/>
      <c r="G229" s="33"/>
      <c r="H229" s="33"/>
      <c r="I229" s="33"/>
      <c r="J229" s="33"/>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spans="1:35" ht="15.6">
      <c r="A230" s="33"/>
      <c r="B230" s="33"/>
      <c r="C230" s="150"/>
      <c r="D230" s="33"/>
      <c r="E230" s="33"/>
      <c r="F230" s="33"/>
      <c r="G230" s="33"/>
      <c r="H230" s="33"/>
      <c r="I230" s="33"/>
      <c r="J230" s="33"/>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spans="1:35" ht="15.6">
      <c r="A231" s="33"/>
      <c r="B231" s="33"/>
      <c r="C231" s="150"/>
      <c r="D231" s="33"/>
      <c r="E231" s="33"/>
      <c r="F231" s="33"/>
      <c r="G231" s="33"/>
      <c r="H231" s="33"/>
      <c r="I231" s="33"/>
      <c r="J231" s="33"/>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spans="1:35" ht="15.6">
      <c r="A232" s="33"/>
      <c r="B232" s="33"/>
      <c r="C232" s="150"/>
      <c r="D232" s="33"/>
      <c r="E232" s="33"/>
      <c r="F232" s="33"/>
      <c r="G232" s="33"/>
      <c r="H232" s="33"/>
      <c r="I232" s="33"/>
      <c r="J232" s="33"/>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spans="1:35" ht="15.6">
      <c r="A233" s="33"/>
      <c r="B233" s="33"/>
      <c r="C233" s="150"/>
      <c r="D233" s="33"/>
      <c r="E233" s="33"/>
      <c r="F233" s="33"/>
      <c r="G233" s="33"/>
      <c r="H233" s="33"/>
      <c r="I233" s="33"/>
      <c r="J233" s="33"/>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spans="1:35" ht="15.6">
      <c r="A234" s="33"/>
      <c r="B234" s="33"/>
      <c r="C234" s="150"/>
      <c r="D234" s="33"/>
      <c r="E234" s="33"/>
      <c r="F234" s="33"/>
      <c r="G234" s="33"/>
      <c r="H234" s="33"/>
      <c r="I234" s="33"/>
      <c r="J234" s="33"/>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spans="1:35" ht="15.6">
      <c r="A235" s="33"/>
      <c r="B235" s="33"/>
      <c r="C235" s="150"/>
      <c r="D235" s="33"/>
      <c r="E235" s="33"/>
      <c r="F235" s="33"/>
      <c r="G235" s="33"/>
      <c r="H235" s="33"/>
      <c r="I235" s="33"/>
      <c r="J235" s="33"/>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spans="1:35" ht="15.6">
      <c r="A236" s="33"/>
      <c r="B236" s="33"/>
      <c r="C236" s="150"/>
      <c r="D236" s="33"/>
      <c r="E236" s="33"/>
      <c r="F236" s="33"/>
      <c r="G236" s="33"/>
      <c r="H236" s="33"/>
      <c r="I236" s="33"/>
      <c r="J236" s="33"/>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spans="1:35" ht="15.6">
      <c r="A237" s="33"/>
      <c r="B237" s="33"/>
      <c r="C237" s="150"/>
      <c r="D237" s="33"/>
      <c r="E237" s="33"/>
      <c r="F237" s="33"/>
      <c r="G237" s="33"/>
      <c r="H237" s="33"/>
      <c r="I237" s="33"/>
      <c r="J237" s="33"/>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spans="1:35" ht="15.6">
      <c r="A238" s="33"/>
      <c r="B238" s="33"/>
      <c r="C238" s="150"/>
      <c r="D238" s="33"/>
      <c r="E238" s="33"/>
      <c r="F238" s="33"/>
      <c r="G238" s="33"/>
      <c r="H238" s="33"/>
      <c r="I238" s="33"/>
      <c r="J238" s="33"/>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spans="1:35" ht="15.6">
      <c r="A239" s="33"/>
      <c r="B239" s="33"/>
      <c r="C239" s="150"/>
      <c r="D239" s="33"/>
      <c r="E239" s="33"/>
      <c r="F239" s="33"/>
      <c r="G239" s="33"/>
      <c r="H239" s="33"/>
      <c r="I239" s="33"/>
      <c r="J239" s="33"/>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spans="1:35" ht="15.6">
      <c r="A240" s="33"/>
      <c r="B240" s="33"/>
      <c r="C240" s="150"/>
      <c r="D240" s="33"/>
      <c r="E240" s="33"/>
      <c r="F240" s="33"/>
      <c r="G240" s="33"/>
      <c r="H240" s="33"/>
      <c r="I240" s="33"/>
      <c r="J240" s="33"/>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spans="1:35" ht="15.6">
      <c r="A241" s="33"/>
      <c r="B241" s="33"/>
      <c r="C241" s="150"/>
      <c r="D241" s="33"/>
      <c r="E241" s="33"/>
      <c r="F241" s="33"/>
      <c r="G241" s="33"/>
      <c r="H241" s="33"/>
      <c r="I241" s="33"/>
      <c r="J241" s="33"/>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spans="1:35" ht="15.6">
      <c r="A242" s="33"/>
      <c r="B242" s="33"/>
      <c r="C242" s="150"/>
      <c r="D242" s="33"/>
      <c r="E242" s="33"/>
      <c r="F242" s="33"/>
      <c r="G242" s="33"/>
      <c r="H242" s="33"/>
      <c r="I242" s="33"/>
      <c r="J242" s="33"/>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spans="1:35" ht="15.6">
      <c r="A243" s="33"/>
      <c r="B243" s="33"/>
      <c r="C243" s="150"/>
      <c r="D243" s="33"/>
      <c r="E243" s="33"/>
      <c r="F243" s="33"/>
      <c r="G243" s="33"/>
      <c r="H243" s="33"/>
      <c r="I243" s="33"/>
      <c r="J243" s="33"/>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spans="1:35" ht="15.6">
      <c r="A244" s="33"/>
      <c r="B244" s="33"/>
      <c r="C244" s="150"/>
      <c r="D244" s="33"/>
      <c r="E244" s="33"/>
      <c r="F244" s="33"/>
      <c r="G244" s="33"/>
      <c r="H244" s="33"/>
      <c r="I244" s="33"/>
      <c r="J244" s="33"/>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spans="1:35" ht="15.6">
      <c r="A245" s="33"/>
      <c r="B245" s="33"/>
      <c r="C245" s="150"/>
      <c r="D245" s="33"/>
      <c r="E245" s="33"/>
      <c r="F245" s="33"/>
      <c r="G245" s="33"/>
      <c r="H245" s="33"/>
      <c r="I245" s="33"/>
      <c r="J245" s="33"/>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spans="1:35" ht="15.6">
      <c r="A246" s="33"/>
      <c r="B246" s="33"/>
      <c r="C246" s="150"/>
      <c r="D246" s="33"/>
      <c r="E246" s="33"/>
      <c r="F246" s="33"/>
      <c r="G246" s="33"/>
      <c r="H246" s="33"/>
      <c r="I246" s="33"/>
      <c r="J246" s="33"/>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spans="1:35" ht="15.6">
      <c r="A247" s="33"/>
      <c r="B247" s="33"/>
      <c r="C247" s="150"/>
      <c r="D247" s="33"/>
      <c r="E247" s="33"/>
      <c r="F247" s="33"/>
      <c r="G247" s="33"/>
      <c r="H247" s="33"/>
      <c r="I247" s="33"/>
      <c r="J247" s="33"/>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spans="1:35" ht="15.6">
      <c r="A248" s="33"/>
      <c r="B248" s="33"/>
      <c r="C248" s="150"/>
      <c r="D248" s="33"/>
      <c r="E248" s="33"/>
      <c r="F248" s="33"/>
      <c r="G248" s="33"/>
      <c r="H248" s="33"/>
      <c r="I248" s="33"/>
      <c r="J248" s="33"/>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spans="1:35" ht="15.6">
      <c r="A249" s="33"/>
      <c r="B249" s="33"/>
      <c r="C249" s="150"/>
      <c r="D249" s="33"/>
      <c r="E249" s="33"/>
      <c r="F249" s="33"/>
      <c r="G249" s="33"/>
      <c r="H249" s="33"/>
      <c r="I249" s="33"/>
      <c r="J249" s="33"/>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spans="1:35" ht="15.6">
      <c r="A250" s="33"/>
      <c r="B250" s="33"/>
      <c r="C250" s="150"/>
      <c r="D250" s="33"/>
      <c r="E250" s="33"/>
      <c r="F250" s="33"/>
      <c r="G250" s="33"/>
      <c r="H250" s="33"/>
      <c r="I250" s="33"/>
      <c r="J250" s="33"/>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spans="1:35" ht="15.6">
      <c r="A251" s="33"/>
      <c r="B251" s="33"/>
      <c r="C251" s="150"/>
      <c r="D251" s="33"/>
      <c r="E251" s="33"/>
      <c r="F251" s="33"/>
      <c r="G251" s="33"/>
      <c r="H251" s="33"/>
      <c r="I251" s="33"/>
      <c r="J251" s="33"/>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spans="1:35" ht="15.6">
      <c r="A252" s="33"/>
      <c r="B252" s="33"/>
      <c r="C252" s="150"/>
      <c r="D252" s="33"/>
      <c r="E252" s="33"/>
      <c r="F252" s="33"/>
      <c r="G252" s="33"/>
      <c r="H252" s="33"/>
      <c r="I252" s="33"/>
      <c r="J252" s="33"/>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spans="1:35" ht="15.6">
      <c r="A253" s="33"/>
      <c r="B253" s="33"/>
      <c r="C253" s="150"/>
      <c r="D253" s="33"/>
      <c r="E253" s="33"/>
      <c r="F253" s="33"/>
      <c r="G253" s="33"/>
      <c r="H253" s="33"/>
      <c r="I253" s="33"/>
      <c r="J253" s="33"/>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spans="1:35" ht="15.6">
      <c r="A254" s="33"/>
      <c r="B254" s="33"/>
      <c r="C254" s="150"/>
      <c r="D254" s="33"/>
      <c r="E254" s="33"/>
      <c r="F254" s="33"/>
      <c r="G254" s="33"/>
      <c r="H254" s="33"/>
      <c r="I254" s="33"/>
      <c r="J254" s="33"/>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spans="1:35" ht="15.6">
      <c r="A255" s="33"/>
      <c r="B255" s="33"/>
      <c r="C255" s="150"/>
      <c r="D255" s="33"/>
      <c r="E255" s="33"/>
      <c r="F255" s="33"/>
      <c r="G255" s="33"/>
      <c r="H255" s="33"/>
      <c r="I255" s="33"/>
      <c r="J255" s="33"/>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spans="1:35" ht="15.6">
      <c r="A256" s="33"/>
      <c r="B256" s="33"/>
      <c r="C256" s="150"/>
      <c r="D256" s="33"/>
      <c r="E256" s="33"/>
      <c r="F256" s="33"/>
      <c r="G256" s="33"/>
      <c r="H256" s="33"/>
      <c r="I256" s="33"/>
      <c r="J256" s="33"/>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spans="1:35" ht="15.6">
      <c r="A257" s="33"/>
      <c r="B257" s="33"/>
      <c r="C257" s="150"/>
      <c r="D257" s="33"/>
      <c r="E257" s="33"/>
      <c r="F257" s="33"/>
      <c r="G257" s="33"/>
      <c r="H257" s="33"/>
      <c r="I257" s="33"/>
      <c r="J257" s="33"/>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spans="1:35" ht="15.6">
      <c r="A258" s="33"/>
      <c r="B258" s="33"/>
      <c r="C258" s="150"/>
      <c r="D258" s="33"/>
      <c r="E258" s="33"/>
      <c r="F258" s="33"/>
      <c r="G258" s="33"/>
      <c r="H258" s="33"/>
      <c r="I258" s="33"/>
      <c r="J258" s="33"/>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spans="1:35" ht="15.6">
      <c r="A259" s="33"/>
      <c r="B259" s="33"/>
      <c r="C259" s="150"/>
      <c r="D259" s="33"/>
      <c r="E259" s="33"/>
      <c r="F259" s="33"/>
      <c r="G259" s="33"/>
      <c r="H259" s="33"/>
      <c r="I259" s="33"/>
      <c r="J259" s="33"/>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spans="1:35" ht="15.6">
      <c r="A260" s="33"/>
      <c r="B260" s="33"/>
      <c r="C260" s="150"/>
      <c r="D260" s="33"/>
      <c r="E260" s="33"/>
      <c r="F260" s="33"/>
      <c r="G260" s="33"/>
      <c r="H260" s="33"/>
      <c r="I260" s="33"/>
      <c r="J260" s="33"/>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spans="1:35" ht="15.6">
      <c r="A261" s="33"/>
      <c r="B261" s="33"/>
      <c r="C261" s="150"/>
      <c r="D261" s="33"/>
      <c r="E261" s="33"/>
      <c r="F261" s="33"/>
      <c r="G261" s="33"/>
      <c r="H261" s="33"/>
      <c r="I261" s="33"/>
      <c r="J261" s="33"/>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spans="1:35" ht="15.6">
      <c r="A262" s="33"/>
      <c r="B262" s="33"/>
      <c r="C262" s="150"/>
      <c r="D262" s="33"/>
      <c r="E262" s="33"/>
      <c r="F262" s="33"/>
      <c r="G262" s="33"/>
      <c r="H262" s="33"/>
      <c r="I262" s="33"/>
      <c r="J262" s="33"/>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spans="1:35" ht="15.6">
      <c r="A263" s="33"/>
      <c r="B263" s="33"/>
      <c r="C263" s="150"/>
      <c r="D263" s="33"/>
      <c r="E263" s="33"/>
      <c r="F263" s="33"/>
      <c r="G263" s="33"/>
      <c r="H263" s="33"/>
      <c r="I263" s="33"/>
      <c r="J263" s="33"/>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spans="1:35" ht="15.6">
      <c r="A264" s="33"/>
      <c r="B264" s="33"/>
      <c r="C264" s="150"/>
      <c r="D264" s="33"/>
      <c r="E264" s="33"/>
      <c r="F264" s="33"/>
      <c r="G264" s="33"/>
      <c r="H264" s="33"/>
      <c r="I264" s="33"/>
      <c r="J264" s="33"/>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spans="1:35" ht="15.6">
      <c r="A265" s="33"/>
      <c r="B265" s="33"/>
      <c r="C265" s="150"/>
      <c r="D265" s="33"/>
      <c r="E265" s="33"/>
      <c r="F265" s="33"/>
      <c r="G265" s="33"/>
      <c r="H265" s="33"/>
      <c r="I265" s="33"/>
      <c r="J265" s="33"/>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spans="1:35" ht="15.6">
      <c r="A266" s="33"/>
      <c r="B266" s="33"/>
      <c r="C266" s="150"/>
      <c r="D266" s="33"/>
      <c r="E266" s="33"/>
      <c r="F266" s="33"/>
      <c r="G266" s="33"/>
      <c r="H266" s="33"/>
      <c r="I266" s="33"/>
      <c r="J266" s="33"/>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spans="1:35" ht="15.6">
      <c r="A267" s="33"/>
      <c r="B267" s="33"/>
      <c r="C267" s="150"/>
      <c r="D267" s="33"/>
      <c r="E267" s="33"/>
      <c r="F267" s="33"/>
      <c r="G267" s="33"/>
      <c r="H267" s="33"/>
      <c r="I267" s="33"/>
      <c r="J267" s="33"/>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spans="1:35" ht="15.6">
      <c r="A268" s="33"/>
      <c r="B268" s="33"/>
      <c r="C268" s="150"/>
      <c r="D268" s="33"/>
      <c r="E268" s="33"/>
      <c r="F268" s="33"/>
      <c r="G268" s="33"/>
      <c r="H268" s="33"/>
      <c r="I268" s="33"/>
      <c r="J268" s="33"/>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spans="1:35" ht="15.6">
      <c r="A269" s="33"/>
      <c r="B269" s="33"/>
      <c r="C269" s="150"/>
      <c r="D269" s="33"/>
      <c r="E269" s="33"/>
      <c r="F269" s="33"/>
      <c r="G269" s="33"/>
      <c r="H269" s="33"/>
      <c r="I269" s="33"/>
      <c r="J269" s="33"/>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spans="1:35" ht="15.6">
      <c r="A270" s="33"/>
      <c r="B270" s="33"/>
      <c r="C270" s="150"/>
      <c r="D270" s="33"/>
      <c r="E270" s="33"/>
      <c r="F270" s="33"/>
      <c r="G270" s="33"/>
      <c r="H270" s="33"/>
      <c r="I270" s="33"/>
      <c r="J270" s="33"/>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spans="1:35" ht="15.6">
      <c r="A271" s="33"/>
      <c r="B271" s="33"/>
      <c r="C271" s="150"/>
      <c r="D271" s="33"/>
      <c r="E271" s="33"/>
      <c r="F271" s="33"/>
      <c r="G271" s="33"/>
      <c r="H271" s="33"/>
      <c r="I271" s="33"/>
      <c r="J271" s="33"/>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spans="1:35" ht="15.6">
      <c r="A272" s="33"/>
      <c r="B272" s="33"/>
      <c r="C272" s="150"/>
      <c r="D272" s="33"/>
      <c r="E272" s="33"/>
      <c r="F272" s="33"/>
      <c r="G272" s="33"/>
      <c r="H272" s="33"/>
      <c r="I272" s="33"/>
      <c r="J272" s="33"/>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spans="1:35" ht="15.6">
      <c r="A273" s="33"/>
      <c r="B273" s="33"/>
      <c r="C273" s="150"/>
      <c r="D273" s="33"/>
      <c r="E273" s="33"/>
      <c r="F273" s="33"/>
      <c r="G273" s="33"/>
      <c r="H273" s="33"/>
      <c r="I273" s="33"/>
      <c r="J273" s="33"/>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spans="1:35" ht="15.6">
      <c r="A274" s="33"/>
      <c r="B274" s="33"/>
      <c r="C274" s="150"/>
      <c r="D274" s="33"/>
      <c r="E274" s="33"/>
      <c r="F274" s="33"/>
      <c r="G274" s="33"/>
      <c r="H274" s="33"/>
      <c r="I274" s="33"/>
      <c r="J274" s="33"/>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spans="1:35" ht="15.6">
      <c r="A275" s="33"/>
      <c r="B275" s="33"/>
      <c r="C275" s="150"/>
      <c r="D275" s="33"/>
      <c r="E275" s="33"/>
      <c r="F275" s="33"/>
      <c r="G275" s="33"/>
      <c r="H275" s="33"/>
      <c r="I275" s="33"/>
      <c r="J275" s="33"/>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spans="1:35" ht="15.6">
      <c r="A276" s="33"/>
      <c r="B276" s="33"/>
      <c r="C276" s="150"/>
      <c r="D276" s="33"/>
      <c r="E276" s="33"/>
      <c r="F276" s="33"/>
      <c r="G276" s="33"/>
      <c r="H276" s="33"/>
      <c r="I276" s="33"/>
      <c r="J276" s="33"/>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spans="1:35" ht="15.6">
      <c r="A277" s="33"/>
      <c r="B277" s="33"/>
      <c r="C277" s="150"/>
      <c r="D277" s="33"/>
      <c r="E277" s="33"/>
      <c r="F277" s="33"/>
      <c r="G277" s="33"/>
      <c r="H277" s="33"/>
      <c r="I277" s="33"/>
      <c r="J277" s="33"/>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spans="1:35" ht="15.6">
      <c r="A278" s="33"/>
      <c r="B278" s="33"/>
      <c r="C278" s="150"/>
      <c r="D278" s="33"/>
      <c r="E278" s="33"/>
      <c r="F278" s="33"/>
      <c r="G278" s="33"/>
      <c r="H278" s="33"/>
      <c r="I278" s="33"/>
      <c r="J278" s="33"/>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spans="1:35" ht="15.6">
      <c r="A279" s="33"/>
      <c r="B279" s="33"/>
      <c r="C279" s="150"/>
      <c r="D279" s="33"/>
      <c r="E279" s="33"/>
      <c r="F279" s="33"/>
      <c r="G279" s="33"/>
      <c r="H279" s="33"/>
      <c r="I279" s="33"/>
      <c r="J279" s="33"/>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spans="1:35" ht="15.6">
      <c r="A280" s="33"/>
      <c r="B280" s="33"/>
      <c r="C280" s="150"/>
      <c r="D280" s="33"/>
      <c r="E280" s="33"/>
      <c r="F280" s="33"/>
      <c r="G280" s="33"/>
      <c r="H280" s="33"/>
      <c r="I280" s="33"/>
      <c r="J280" s="33"/>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spans="1:35" ht="15.6">
      <c r="A281" s="33"/>
      <c r="B281" s="33"/>
      <c r="C281" s="150"/>
      <c r="D281" s="33"/>
      <c r="E281" s="33"/>
      <c r="F281" s="33"/>
      <c r="G281" s="33"/>
      <c r="H281" s="33"/>
      <c r="I281" s="33"/>
      <c r="J281" s="33"/>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spans="1:35" ht="15.6">
      <c r="A282" s="33"/>
      <c r="B282" s="33"/>
      <c r="C282" s="150"/>
      <c r="D282" s="33"/>
      <c r="E282" s="33"/>
      <c r="F282" s="33"/>
      <c r="G282" s="33"/>
      <c r="H282" s="33"/>
      <c r="I282" s="33"/>
      <c r="J282" s="33"/>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spans="1:35" ht="15.6">
      <c r="A283" s="33"/>
      <c r="B283" s="33"/>
      <c r="C283" s="150"/>
      <c r="D283" s="33"/>
      <c r="E283" s="33"/>
      <c r="F283" s="33"/>
      <c r="G283" s="33"/>
      <c r="H283" s="33"/>
      <c r="I283" s="33"/>
      <c r="J283" s="33"/>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spans="1:35" ht="15.6">
      <c r="A284" s="33"/>
      <c r="B284" s="33"/>
      <c r="C284" s="150"/>
      <c r="D284" s="33"/>
      <c r="E284" s="33"/>
      <c r="F284" s="33"/>
      <c r="G284" s="33"/>
      <c r="H284" s="33"/>
      <c r="I284" s="33"/>
      <c r="J284" s="33"/>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spans="1:35" ht="15.6">
      <c r="A285" s="33"/>
      <c r="B285" s="33"/>
      <c r="C285" s="150"/>
      <c r="D285" s="33"/>
      <c r="E285" s="33"/>
      <c r="F285" s="33"/>
      <c r="G285" s="33"/>
      <c r="H285" s="33"/>
      <c r="I285" s="33"/>
      <c r="J285" s="33"/>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spans="1:35" ht="15.6">
      <c r="A286" s="33"/>
      <c r="B286" s="33"/>
      <c r="C286" s="150"/>
      <c r="D286" s="33"/>
      <c r="E286" s="33"/>
      <c r="F286" s="33"/>
      <c r="G286" s="33"/>
      <c r="H286" s="33"/>
      <c r="I286" s="33"/>
      <c r="J286" s="33"/>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spans="1:35" ht="15.6">
      <c r="A287" s="33"/>
      <c r="B287" s="33"/>
      <c r="C287" s="150"/>
      <c r="D287" s="33"/>
      <c r="E287" s="33"/>
      <c r="F287" s="33"/>
      <c r="G287" s="33"/>
      <c r="H287" s="33"/>
      <c r="I287" s="33"/>
      <c r="J287" s="33"/>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spans="1:35" ht="15.6">
      <c r="A288" s="33"/>
      <c r="B288" s="33"/>
      <c r="C288" s="150"/>
      <c r="D288" s="33"/>
      <c r="E288" s="33"/>
      <c r="F288" s="33"/>
      <c r="G288" s="33"/>
      <c r="H288" s="33"/>
      <c r="I288" s="33"/>
      <c r="J288" s="33"/>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spans="1:35" ht="15.6">
      <c r="A289" s="33"/>
      <c r="B289" s="33"/>
      <c r="C289" s="150"/>
      <c r="D289" s="33"/>
      <c r="E289" s="33"/>
      <c r="F289" s="33"/>
      <c r="G289" s="33"/>
      <c r="H289" s="33"/>
      <c r="I289" s="33"/>
      <c r="J289" s="33"/>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spans="1:35" ht="15.6">
      <c r="A290" s="33"/>
      <c r="B290" s="33"/>
      <c r="C290" s="150"/>
      <c r="D290" s="33"/>
      <c r="E290" s="33"/>
      <c r="F290" s="33"/>
      <c r="G290" s="33"/>
      <c r="H290" s="33"/>
      <c r="I290" s="33"/>
      <c r="J290" s="33"/>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spans="1:35" ht="15.6">
      <c r="A291" s="33"/>
      <c r="B291" s="33"/>
      <c r="C291" s="150"/>
      <c r="D291" s="33"/>
      <c r="E291" s="33"/>
      <c r="F291" s="33"/>
      <c r="G291" s="33"/>
      <c r="H291" s="33"/>
      <c r="I291" s="33"/>
      <c r="J291" s="33"/>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spans="1:35" ht="15.6">
      <c r="A292" s="33"/>
      <c r="B292" s="33"/>
      <c r="C292" s="150"/>
      <c r="D292" s="33"/>
      <c r="E292" s="33"/>
      <c r="F292" s="33"/>
      <c r="G292" s="33"/>
      <c r="H292" s="33"/>
      <c r="I292" s="33"/>
      <c r="J292" s="33"/>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spans="1:35" ht="15.6">
      <c r="A293" s="33"/>
      <c r="B293" s="33"/>
      <c r="C293" s="150"/>
      <c r="D293" s="33"/>
      <c r="E293" s="33"/>
      <c r="F293" s="33"/>
      <c r="G293" s="33"/>
      <c r="H293" s="33"/>
      <c r="I293" s="33"/>
      <c r="J293" s="33"/>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spans="1:35" ht="15.6">
      <c r="A294" s="33"/>
      <c r="B294" s="33"/>
      <c r="C294" s="150"/>
      <c r="D294" s="33"/>
      <c r="E294" s="33"/>
      <c r="F294" s="33"/>
      <c r="G294" s="33"/>
      <c r="H294" s="33"/>
      <c r="I294" s="33"/>
      <c r="J294" s="33"/>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spans="1:35" ht="15.6">
      <c r="A295" s="33"/>
      <c r="B295" s="33"/>
      <c r="C295" s="150"/>
      <c r="D295" s="33"/>
      <c r="E295" s="33"/>
      <c r="F295" s="33"/>
      <c r="G295" s="33"/>
      <c r="H295" s="33"/>
      <c r="I295" s="33"/>
      <c r="J295" s="33"/>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spans="1:35" ht="15.6">
      <c r="A296" s="33"/>
      <c r="B296" s="33"/>
      <c r="C296" s="150"/>
      <c r="D296" s="33"/>
      <c r="E296" s="33"/>
      <c r="F296" s="33"/>
      <c r="G296" s="33"/>
      <c r="H296" s="33"/>
      <c r="I296" s="33"/>
      <c r="J296" s="33"/>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spans="1:35" ht="15.6">
      <c r="A297" s="33"/>
      <c r="B297" s="33"/>
      <c r="C297" s="150"/>
      <c r="D297" s="33"/>
      <c r="E297" s="33"/>
      <c r="F297" s="33"/>
      <c r="G297" s="33"/>
      <c r="H297" s="33"/>
      <c r="I297" s="33"/>
      <c r="J297" s="33"/>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spans="1:35" ht="15.6">
      <c r="A298" s="33"/>
      <c r="B298" s="33"/>
      <c r="C298" s="150"/>
      <c r="D298" s="33"/>
      <c r="E298" s="33"/>
      <c r="F298" s="33"/>
      <c r="G298" s="33"/>
      <c r="H298" s="33"/>
      <c r="I298" s="33"/>
      <c r="J298" s="33"/>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spans="1:35" ht="15.6">
      <c r="A299" s="33"/>
      <c r="B299" s="33"/>
      <c r="C299" s="150"/>
      <c r="D299" s="33"/>
      <c r="E299" s="33"/>
      <c r="F299" s="33"/>
      <c r="G299" s="33"/>
      <c r="H299" s="33"/>
      <c r="I299" s="33"/>
      <c r="J299" s="33"/>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spans="1:35" ht="15.6">
      <c r="A300" s="33"/>
      <c r="B300" s="33"/>
      <c r="C300" s="150"/>
      <c r="D300" s="33"/>
      <c r="E300" s="33"/>
      <c r="F300" s="33"/>
      <c r="G300" s="33"/>
      <c r="H300" s="33"/>
      <c r="I300" s="33"/>
      <c r="J300" s="33"/>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spans="1:35" ht="15.6">
      <c r="A301" s="33"/>
      <c r="B301" s="33"/>
      <c r="C301" s="150"/>
      <c r="D301" s="33"/>
      <c r="E301" s="33"/>
      <c r="F301" s="33"/>
      <c r="G301" s="33"/>
      <c r="H301" s="33"/>
      <c r="I301" s="33"/>
      <c r="J301" s="33"/>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spans="1:35" ht="15.6">
      <c r="A302" s="33"/>
      <c r="B302" s="33"/>
      <c r="C302" s="150"/>
      <c r="D302" s="33"/>
      <c r="E302" s="33"/>
      <c r="F302" s="33"/>
      <c r="G302" s="33"/>
      <c r="H302" s="33"/>
      <c r="I302" s="33"/>
      <c r="J302" s="33"/>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spans="1:35" ht="15.6">
      <c r="A303" s="33"/>
      <c r="B303" s="33"/>
      <c r="C303" s="150"/>
      <c r="D303" s="33"/>
      <c r="E303" s="33"/>
      <c r="F303" s="33"/>
      <c r="G303" s="33"/>
      <c r="H303" s="33"/>
      <c r="I303" s="33"/>
      <c r="J303" s="33"/>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spans="1:35" ht="15.6">
      <c r="A304" s="33"/>
      <c r="B304" s="33"/>
      <c r="C304" s="150"/>
      <c r="D304" s="33"/>
      <c r="E304" s="33"/>
      <c r="F304" s="33"/>
      <c r="G304" s="33"/>
      <c r="H304" s="33"/>
      <c r="I304" s="33"/>
      <c r="J304" s="33"/>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spans="1:35" ht="15.6">
      <c r="A305" s="33"/>
      <c r="B305" s="33"/>
      <c r="C305" s="150"/>
      <c r="D305" s="33"/>
      <c r="E305" s="33"/>
      <c r="F305" s="33"/>
      <c r="G305" s="33"/>
      <c r="H305" s="33"/>
      <c r="I305" s="33"/>
      <c r="J305" s="33"/>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spans="1:35" ht="15.6">
      <c r="A306" s="33"/>
      <c r="B306" s="33"/>
      <c r="C306" s="150"/>
      <c r="D306" s="33"/>
      <c r="E306" s="33"/>
      <c r="F306" s="33"/>
      <c r="G306" s="33"/>
      <c r="H306" s="33"/>
      <c r="I306" s="33"/>
      <c r="J306" s="33"/>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spans="1:35" ht="15.6">
      <c r="A307" s="33"/>
      <c r="B307" s="33"/>
      <c r="C307" s="150"/>
      <c r="D307" s="33"/>
      <c r="E307" s="33"/>
      <c r="F307" s="33"/>
      <c r="G307" s="33"/>
      <c r="H307" s="33"/>
      <c r="I307" s="33"/>
      <c r="J307" s="33"/>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spans="1:35" ht="15.6">
      <c r="A308" s="33"/>
      <c r="B308" s="33"/>
      <c r="C308" s="150"/>
      <c r="D308" s="33"/>
      <c r="E308" s="33"/>
      <c r="F308" s="33"/>
      <c r="G308" s="33"/>
      <c r="H308" s="33"/>
      <c r="I308" s="33"/>
      <c r="J308" s="33"/>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spans="1:35" ht="15.6">
      <c r="A309" s="33"/>
      <c r="B309" s="33"/>
      <c r="C309" s="150"/>
      <c r="D309" s="33"/>
      <c r="E309" s="33"/>
      <c r="F309" s="33"/>
      <c r="G309" s="33"/>
      <c r="H309" s="33"/>
      <c r="I309" s="33"/>
      <c r="J309" s="33"/>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spans="1:35" ht="15.6">
      <c r="A310" s="33"/>
      <c r="B310" s="33"/>
      <c r="C310" s="150"/>
      <c r="D310" s="33"/>
      <c r="E310" s="33"/>
      <c r="F310" s="33"/>
      <c r="G310" s="33"/>
      <c r="H310" s="33"/>
      <c r="I310" s="33"/>
      <c r="J310" s="33"/>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spans="1:35" ht="15.6">
      <c r="A311" s="33"/>
      <c r="B311" s="33"/>
      <c r="C311" s="150"/>
      <c r="D311" s="33"/>
      <c r="E311" s="33"/>
      <c r="F311" s="33"/>
      <c r="G311" s="33"/>
      <c r="H311" s="33"/>
      <c r="I311" s="33"/>
      <c r="J311" s="33"/>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spans="1:35" ht="15.6">
      <c r="A312" s="33"/>
      <c r="B312" s="33"/>
      <c r="C312" s="150"/>
      <c r="D312" s="33"/>
      <c r="E312" s="33"/>
      <c r="F312" s="33"/>
      <c r="G312" s="33"/>
      <c r="H312" s="33"/>
      <c r="I312" s="33"/>
      <c r="J312" s="33"/>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spans="1:35" ht="15.6">
      <c r="A313" s="33"/>
      <c r="B313" s="33"/>
      <c r="C313" s="150"/>
      <c r="D313" s="33"/>
      <c r="E313" s="33"/>
      <c r="F313" s="33"/>
      <c r="G313" s="33"/>
      <c r="H313" s="33"/>
      <c r="I313" s="33"/>
      <c r="J313" s="33"/>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spans="1:35" ht="15.6">
      <c r="A314" s="33"/>
      <c r="B314" s="33"/>
      <c r="C314" s="150"/>
      <c r="D314" s="33"/>
      <c r="E314" s="33"/>
      <c r="F314" s="33"/>
      <c r="G314" s="33"/>
      <c r="H314" s="33"/>
      <c r="I314" s="33"/>
      <c r="J314" s="33"/>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spans="1:35" ht="15.6">
      <c r="A315" s="33"/>
      <c r="B315" s="33"/>
      <c r="C315" s="150"/>
      <c r="D315" s="33"/>
      <c r="E315" s="33"/>
      <c r="F315" s="33"/>
      <c r="G315" s="33"/>
      <c r="H315" s="33"/>
      <c r="I315" s="33"/>
      <c r="J315" s="33"/>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spans="1:35" ht="15.6">
      <c r="A316" s="33"/>
      <c r="B316" s="33"/>
      <c r="C316" s="150"/>
      <c r="D316" s="33"/>
      <c r="E316" s="33"/>
      <c r="F316" s="33"/>
      <c r="G316" s="33"/>
      <c r="H316" s="33"/>
      <c r="I316" s="33"/>
      <c r="J316" s="33"/>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spans="1:35" ht="15.6">
      <c r="A317" s="33"/>
      <c r="B317" s="33"/>
      <c r="C317" s="150"/>
      <c r="D317" s="33"/>
      <c r="E317" s="33"/>
      <c r="F317" s="33"/>
      <c r="G317" s="33"/>
      <c r="H317" s="33"/>
      <c r="I317" s="33"/>
      <c r="J317" s="33"/>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spans="1:35" ht="15.6">
      <c r="A318" s="33"/>
      <c r="B318" s="33"/>
      <c r="C318" s="150"/>
      <c r="D318" s="33"/>
      <c r="E318" s="33"/>
      <c r="F318" s="33"/>
      <c r="G318" s="33"/>
      <c r="H318" s="33"/>
      <c r="I318" s="33"/>
      <c r="J318" s="33"/>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spans="1:35" ht="15.6">
      <c r="A319" s="33"/>
      <c r="B319" s="33"/>
      <c r="C319" s="150"/>
      <c r="D319" s="33"/>
      <c r="E319" s="33"/>
      <c r="F319" s="33"/>
      <c r="G319" s="33"/>
      <c r="H319" s="33"/>
      <c r="I319" s="33"/>
      <c r="J319" s="33"/>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spans="1:35" ht="15.6">
      <c r="A320" s="33"/>
      <c r="B320" s="33"/>
      <c r="C320" s="150"/>
      <c r="D320" s="33"/>
      <c r="E320" s="33"/>
      <c r="F320" s="33"/>
      <c r="G320" s="33"/>
      <c r="H320" s="33"/>
      <c r="I320" s="33"/>
      <c r="J320" s="33"/>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spans="1:35" ht="15.6">
      <c r="A321" s="33"/>
      <c r="B321" s="33"/>
      <c r="C321" s="150"/>
      <c r="D321" s="33"/>
      <c r="E321" s="33"/>
      <c r="F321" s="33"/>
      <c r="G321" s="33"/>
      <c r="H321" s="33"/>
      <c r="I321" s="33"/>
      <c r="J321" s="33"/>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spans="1:35" ht="15.6">
      <c r="A322" s="33"/>
      <c r="B322" s="33"/>
      <c r="C322" s="150"/>
      <c r="D322" s="33"/>
      <c r="E322" s="33"/>
      <c r="F322" s="33"/>
      <c r="G322" s="33"/>
      <c r="H322" s="33"/>
      <c r="I322" s="33"/>
      <c r="J322" s="33"/>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spans="1:35" ht="15.6">
      <c r="A323" s="33"/>
      <c r="B323" s="33"/>
      <c r="C323" s="150"/>
      <c r="D323" s="33"/>
      <c r="E323" s="33"/>
      <c r="F323" s="33"/>
      <c r="G323" s="33"/>
      <c r="H323" s="33"/>
      <c r="I323" s="33"/>
      <c r="J323" s="33"/>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spans="1:35" ht="15.6">
      <c r="A324" s="33"/>
      <c r="B324" s="33"/>
      <c r="C324" s="150"/>
      <c r="D324" s="33"/>
      <c r="E324" s="33"/>
      <c r="F324" s="33"/>
      <c r="G324" s="33"/>
      <c r="H324" s="33"/>
      <c r="I324" s="33"/>
      <c r="J324" s="33"/>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spans="1:35" ht="15.6">
      <c r="A325" s="33"/>
      <c r="B325" s="33"/>
      <c r="C325" s="150"/>
      <c r="D325" s="33"/>
      <c r="E325" s="33"/>
      <c r="F325" s="33"/>
      <c r="G325" s="33"/>
      <c r="H325" s="33"/>
      <c r="I325" s="33"/>
      <c r="J325" s="33"/>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row>
    <row r="326" spans="1:35" ht="15.6">
      <c r="A326" s="33"/>
      <c r="B326" s="33"/>
      <c r="C326" s="150"/>
      <c r="D326" s="33"/>
      <c r="E326" s="33"/>
      <c r="F326" s="33"/>
      <c r="G326" s="33"/>
      <c r="H326" s="33"/>
      <c r="I326" s="33"/>
      <c r="J326" s="33"/>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row>
    <row r="327" spans="1:35" ht="15.6">
      <c r="A327" s="33"/>
      <c r="B327" s="33"/>
      <c r="C327" s="150"/>
      <c r="D327" s="33"/>
      <c r="E327" s="33"/>
      <c r="F327" s="33"/>
      <c r="G327" s="33"/>
      <c r="H327" s="33"/>
      <c r="I327" s="33"/>
      <c r="J327" s="33"/>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row>
    <row r="328" spans="1:35" ht="15.6">
      <c r="A328" s="33"/>
      <c r="B328" s="33"/>
      <c r="C328" s="150"/>
      <c r="D328" s="33"/>
      <c r="E328" s="33"/>
      <c r="F328" s="33"/>
      <c r="G328" s="33"/>
      <c r="H328" s="33"/>
      <c r="I328" s="33"/>
      <c r="J328" s="33"/>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spans="1:35" ht="15.6">
      <c r="A329" s="33"/>
      <c r="B329" s="33"/>
      <c r="C329" s="150"/>
      <c r="D329" s="33"/>
      <c r="E329" s="33"/>
      <c r="F329" s="33"/>
      <c r="G329" s="33"/>
      <c r="H329" s="33"/>
      <c r="I329" s="33"/>
      <c r="J329" s="33"/>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spans="1:35" ht="15.6">
      <c r="A330" s="33"/>
      <c r="B330" s="33"/>
      <c r="C330" s="150"/>
      <c r="D330" s="33"/>
      <c r="E330" s="33"/>
      <c r="F330" s="33"/>
      <c r="G330" s="33"/>
      <c r="H330" s="33"/>
      <c r="I330" s="33"/>
      <c r="J330" s="33"/>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spans="1:35" ht="15.6">
      <c r="A331" s="33"/>
      <c r="B331" s="33"/>
      <c r="C331" s="150"/>
      <c r="D331" s="33"/>
      <c r="E331" s="33"/>
      <c r="F331" s="33"/>
      <c r="G331" s="33"/>
      <c r="H331" s="33"/>
      <c r="I331" s="33"/>
      <c r="J331" s="33"/>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spans="1:35" ht="15.6">
      <c r="A332" s="33"/>
      <c r="B332" s="33"/>
      <c r="C332" s="150"/>
      <c r="D332" s="33"/>
      <c r="E332" s="33"/>
      <c r="F332" s="33"/>
      <c r="G332" s="33"/>
      <c r="H332" s="33"/>
      <c r="I332" s="33"/>
      <c r="J332" s="33"/>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spans="1:35" ht="15.6">
      <c r="A333" s="33"/>
      <c r="B333" s="33"/>
      <c r="C333" s="150"/>
      <c r="D333" s="33"/>
      <c r="E333" s="33"/>
      <c r="F333" s="33"/>
      <c r="G333" s="33"/>
      <c r="H333" s="33"/>
      <c r="I333" s="33"/>
      <c r="J333" s="33"/>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spans="1:35" ht="15.6">
      <c r="A334" s="33"/>
      <c r="B334" s="33"/>
      <c r="C334" s="150"/>
      <c r="D334" s="33"/>
      <c r="E334" s="33"/>
      <c r="F334" s="33"/>
      <c r="G334" s="33"/>
      <c r="H334" s="33"/>
      <c r="I334" s="33"/>
      <c r="J334" s="33"/>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row>
    <row r="335" spans="1:35" ht="15.6">
      <c r="A335" s="33"/>
      <c r="B335" s="33"/>
      <c r="C335" s="150"/>
      <c r="D335" s="33"/>
      <c r="E335" s="33"/>
      <c r="F335" s="33"/>
      <c r="G335" s="33"/>
      <c r="H335" s="33"/>
      <c r="I335" s="33"/>
      <c r="J335" s="33"/>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spans="1:35" ht="15.6">
      <c r="A336" s="33"/>
      <c r="B336" s="33"/>
      <c r="C336" s="150"/>
      <c r="D336" s="33"/>
      <c r="E336" s="33"/>
      <c r="F336" s="33"/>
      <c r="G336" s="33"/>
      <c r="H336" s="33"/>
      <c r="I336" s="33"/>
      <c r="J336" s="33"/>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spans="1:35" ht="15.6">
      <c r="A337" s="33"/>
      <c r="B337" s="33"/>
      <c r="C337" s="150"/>
      <c r="D337" s="33"/>
      <c r="E337" s="33"/>
      <c r="F337" s="33"/>
      <c r="G337" s="33"/>
      <c r="H337" s="33"/>
      <c r="I337" s="33"/>
      <c r="J337" s="33"/>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spans="1:35" ht="15.6">
      <c r="A338" s="33"/>
      <c r="B338" s="33"/>
      <c r="C338" s="150"/>
      <c r="D338" s="33"/>
      <c r="E338" s="33"/>
      <c r="F338" s="33"/>
      <c r="G338" s="33"/>
      <c r="H338" s="33"/>
      <c r="I338" s="33"/>
      <c r="J338" s="33"/>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spans="1:35" ht="15.6">
      <c r="A339" s="33"/>
      <c r="B339" s="33"/>
      <c r="C339" s="150"/>
      <c r="D339" s="33"/>
      <c r="E339" s="33"/>
      <c r="F339" s="33"/>
      <c r="G339" s="33"/>
      <c r="H339" s="33"/>
      <c r="I339" s="33"/>
      <c r="J339" s="33"/>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spans="1:35" ht="15.6">
      <c r="A340" s="33"/>
      <c r="B340" s="33"/>
      <c r="C340" s="150"/>
      <c r="D340" s="33"/>
      <c r="E340" s="33"/>
      <c r="F340" s="33"/>
      <c r="G340" s="33"/>
      <c r="H340" s="33"/>
      <c r="I340" s="33"/>
      <c r="J340" s="33"/>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spans="1:35" ht="15.6">
      <c r="A341" s="33"/>
      <c r="B341" s="33"/>
      <c r="C341" s="150"/>
      <c r="D341" s="33"/>
      <c r="E341" s="33"/>
      <c r="F341" s="33"/>
      <c r="G341" s="33"/>
      <c r="H341" s="33"/>
      <c r="I341" s="33"/>
      <c r="J341" s="33"/>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spans="1:35" ht="15.6">
      <c r="A342" s="33"/>
      <c r="B342" s="33"/>
      <c r="C342" s="150"/>
      <c r="D342" s="33"/>
      <c r="E342" s="33"/>
      <c r="F342" s="33"/>
      <c r="G342" s="33"/>
      <c r="H342" s="33"/>
      <c r="I342" s="33"/>
      <c r="J342" s="33"/>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spans="1:35" ht="15.6">
      <c r="A343" s="33"/>
      <c r="B343" s="33"/>
      <c r="C343" s="150"/>
      <c r="D343" s="33"/>
      <c r="E343" s="33"/>
      <c r="F343" s="33"/>
      <c r="G343" s="33"/>
      <c r="H343" s="33"/>
      <c r="I343" s="33"/>
      <c r="J343" s="33"/>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spans="1:35" ht="15.6">
      <c r="A344" s="33"/>
      <c r="B344" s="33"/>
      <c r="C344" s="150"/>
      <c r="D344" s="33"/>
      <c r="E344" s="33"/>
      <c r="F344" s="33"/>
      <c r="G344" s="33"/>
      <c r="H344" s="33"/>
      <c r="I344" s="33"/>
      <c r="J344" s="33"/>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spans="1:35" ht="15.6">
      <c r="A345" s="33"/>
      <c r="B345" s="33"/>
      <c r="C345" s="150"/>
      <c r="D345" s="33"/>
      <c r="E345" s="33"/>
      <c r="F345" s="33"/>
      <c r="G345" s="33"/>
      <c r="H345" s="33"/>
      <c r="I345" s="33"/>
      <c r="J345" s="33"/>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spans="1:35" ht="15.6">
      <c r="A346" s="33"/>
      <c r="B346" s="33"/>
      <c r="C346" s="150"/>
      <c r="D346" s="33"/>
      <c r="E346" s="33"/>
      <c r="F346" s="33"/>
      <c r="G346" s="33"/>
      <c r="H346" s="33"/>
      <c r="I346" s="33"/>
      <c r="J346" s="33"/>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spans="1:35" ht="15.6">
      <c r="A347" s="33"/>
      <c r="B347" s="33"/>
      <c r="C347" s="150"/>
      <c r="D347" s="33"/>
      <c r="E347" s="33"/>
      <c r="F347" s="33"/>
      <c r="G347" s="33"/>
      <c r="H347" s="33"/>
      <c r="I347" s="33"/>
      <c r="J347" s="33"/>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spans="1:35" ht="15.6">
      <c r="A348" s="33"/>
      <c r="B348" s="33"/>
      <c r="C348" s="150"/>
      <c r="D348" s="33"/>
      <c r="E348" s="33"/>
      <c r="F348" s="33"/>
      <c r="G348" s="33"/>
      <c r="H348" s="33"/>
      <c r="I348" s="33"/>
      <c r="J348" s="33"/>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spans="1:35" ht="15.6">
      <c r="A349" s="33"/>
      <c r="B349" s="33"/>
      <c r="C349" s="150"/>
      <c r="D349" s="33"/>
      <c r="E349" s="33"/>
      <c r="F349" s="33"/>
      <c r="G349" s="33"/>
      <c r="H349" s="33"/>
      <c r="I349" s="33"/>
      <c r="J349" s="33"/>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spans="1:35" ht="15.6">
      <c r="A350" s="33"/>
      <c r="B350" s="33"/>
      <c r="C350" s="150"/>
      <c r="D350" s="33"/>
      <c r="E350" s="33"/>
      <c r="F350" s="33"/>
      <c r="G350" s="33"/>
      <c r="H350" s="33"/>
      <c r="I350" s="33"/>
      <c r="J350" s="33"/>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spans="1:35" ht="15.6">
      <c r="A351" s="33"/>
      <c r="B351" s="33"/>
      <c r="C351" s="150"/>
      <c r="D351" s="33"/>
      <c r="E351" s="33"/>
      <c r="F351" s="33"/>
      <c r="G351" s="33"/>
      <c r="H351" s="33"/>
      <c r="I351" s="33"/>
      <c r="J351" s="33"/>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spans="1:35" ht="15.6">
      <c r="A352" s="33"/>
      <c r="B352" s="33"/>
      <c r="C352" s="150"/>
      <c r="D352" s="33"/>
      <c r="E352" s="33"/>
      <c r="F352" s="33"/>
      <c r="G352" s="33"/>
      <c r="H352" s="33"/>
      <c r="I352" s="33"/>
      <c r="J352" s="33"/>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ht="15.6">
      <c r="A353" s="33"/>
      <c r="B353" s="33"/>
      <c r="C353" s="150"/>
      <c r="D353" s="33"/>
      <c r="E353" s="33"/>
      <c r="F353" s="33"/>
      <c r="G353" s="33"/>
      <c r="H353" s="33"/>
      <c r="I353" s="33"/>
      <c r="J353" s="33"/>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t="15.6">
      <c r="A354" s="33"/>
      <c r="B354" s="33"/>
      <c r="C354" s="150"/>
      <c r="D354" s="33"/>
      <c r="E354" s="33"/>
      <c r="F354" s="33"/>
      <c r="G354" s="33"/>
      <c r="H354" s="33"/>
      <c r="I354" s="33"/>
      <c r="J354" s="33"/>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spans="1:35" ht="15.6">
      <c r="A355" s="33"/>
      <c r="B355" s="33"/>
      <c r="C355" s="150"/>
      <c r="D355" s="33"/>
      <c r="E355" s="33"/>
      <c r="F355" s="33"/>
      <c r="G355" s="33"/>
      <c r="H355" s="33"/>
      <c r="I355" s="33"/>
      <c r="J355" s="33"/>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spans="1:35" ht="15.6">
      <c r="A356" s="33"/>
      <c r="B356" s="33"/>
      <c r="C356" s="150"/>
      <c r="D356" s="33"/>
      <c r="E356" s="33"/>
      <c r="F356" s="33"/>
      <c r="G356" s="33"/>
      <c r="H356" s="33"/>
      <c r="I356" s="33"/>
      <c r="J356" s="33"/>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spans="1:35" ht="15.6">
      <c r="A357" s="33"/>
      <c r="B357" s="33"/>
      <c r="C357" s="150"/>
      <c r="D357" s="33"/>
      <c r="E357" s="33"/>
      <c r="F357" s="33"/>
      <c r="G357" s="33"/>
      <c r="H357" s="33"/>
      <c r="I357" s="33"/>
      <c r="J357" s="33"/>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spans="1:35" ht="15.6">
      <c r="A358" s="33"/>
      <c r="B358" s="33"/>
      <c r="C358" s="150"/>
      <c r="D358" s="33"/>
      <c r="E358" s="33"/>
      <c r="F358" s="33"/>
      <c r="G358" s="33"/>
      <c r="H358" s="33"/>
      <c r="I358" s="33"/>
      <c r="J358" s="33"/>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spans="1:35" ht="15.6">
      <c r="A359" s="33"/>
      <c r="B359" s="33"/>
      <c r="C359" s="150"/>
      <c r="D359" s="33"/>
      <c r="E359" s="33"/>
      <c r="F359" s="33"/>
      <c r="G359" s="33"/>
      <c r="H359" s="33"/>
      <c r="I359" s="33"/>
      <c r="J359" s="33"/>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spans="1:35" ht="15.6">
      <c r="A360" s="33"/>
      <c r="B360" s="33"/>
      <c r="C360" s="150"/>
      <c r="D360" s="33"/>
      <c r="E360" s="33"/>
      <c r="F360" s="33"/>
      <c r="G360" s="33"/>
      <c r="H360" s="33"/>
      <c r="I360" s="33"/>
      <c r="J360" s="33"/>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spans="1:35" ht="15.6">
      <c r="A361" s="33"/>
      <c r="B361" s="33"/>
      <c r="C361" s="150"/>
      <c r="D361" s="33"/>
      <c r="E361" s="33"/>
      <c r="F361" s="33"/>
      <c r="G361" s="33"/>
      <c r="H361" s="33"/>
      <c r="I361" s="33"/>
      <c r="J361" s="33"/>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row>
    <row r="362" spans="1:35" ht="15.6">
      <c r="A362" s="33"/>
      <c r="B362" s="33"/>
      <c r="C362" s="150"/>
      <c r="D362" s="33"/>
      <c r="E362" s="33"/>
      <c r="F362" s="33"/>
      <c r="G362" s="33"/>
      <c r="H362" s="33"/>
      <c r="I362" s="33"/>
      <c r="J362" s="33"/>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row>
    <row r="363" spans="1:35" ht="15.6">
      <c r="A363" s="33"/>
      <c r="B363" s="33"/>
      <c r="C363" s="150"/>
      <c r="D363" s="33"/>
      <c r="E363" s="33"/>
      <c r="F363" s="33"/>
      <c r="G363" s="33"/>
      <c r="H363" s="33"/>
      <c r="I363" s="33"/>
      <c r="J363" s="33"/>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row>
    <row r="364" spans="1:35" ht="15.6">
      <c r="A364" s="33"/>
      <c r="B364" s="33"/>
      <c r="C364" s="150"/>
      <c r="D364" s="33"/>
      <c r="E364" s="33"/>
      <c r="F364" s="33"/>
      <c r="G364" s="33"/>
      <c r="H364" s="33"/>
      <c r="I364" s="33"/>
      <c r="J364" s="33"/>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spans="1:35" ht="15.6">
      <c r="A365" s="33"/>
      <c r="B365" s="33"/>
      <c r="C365" s="150"/>
      <c r="D365" s="33"/>
      <c r="E365" s="33"/>
      <c r="F365" s="33"/>
      <c r="G365" s="33"/>
      <c r="H365" s="33"/>
      <c r="I365" s="33"/>
      <c r="J365" s="33"/>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spans="1:35" ht="15.6">
      <c r="A366" s="33"/>
      <c r="B366" s="33"/>
      <c r="C366" s="150"/>
      <c r="D366" s="33"/>
      <c r="E366" s="33"/>
      <c r="F366" s="33"/>
      <c r="G366" s="33"/>
      <c r="H366" s="33"/>
      <c r="I366" s="33"/>
      <c r="J366" s="33"/>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spans="1:35" ht="15.6">
      <c r="A367" s="33"/>
      <c r="B367" s="33"/>
      <c r="C367" s="150"/>
      <c r="D367" s="33"/>
      <c r="E367" s="33"/>
      <c r="F367" s="33"/>
      <c r="G367" s="33"/>
      <c r="H367" s="33"/>
      <c r="I367" s="33"/>
      <c r="J367" s="33"/>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row>
    <row r="368" spans="1:35" ht="15.6">
      <c r="A368" s="33"/>
      <c r="B368" s="33"/>
      <c r="C368" s="150"/>
      <c r="D368" s="33"/>
      <c r="E368" s="33"/>
      <c r="F368" s="33"/>
      <c r="G368" s="33"/>
      <c r="H368" s="33"/>
      <c r="I368" s="33"/>
      <c r="J368" s="33"/>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row>
    <row r="369" spans="1:35" ht="15.6">
      <c r="A369" s="33"/>
      <c r="B369" s="33"/>
      <c r="C369" s="150"/>
      <c r="D369" s="33"/>
      <c r="E369" s="33"/>
      <c r="F369" s="33"/>
      <c r="G369" s="33"/>
      <c r="H369" s="33"/>
      <c r="I369" s="33"/>
      <c r="J369" s="33"/>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row>
    <row r="370" spans="1:35" ht="15.6">
      <c r="A370" s="33"/>
      <c r="B370" s="33"/>
      <c r="C370" s="150"/>
      <c r="D370" s="33"/>
      <c r="E370" s="33"/>
      <c r="F370" s="33"/>
      <c r="G370" s="33"/>
      <c r="H370" s="33"/>
      <c r="I370" s="33"/>
      <c r="J370" s="33"/>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row>
    <row r="371" spans="1:35" ht="15.6">
      <c r="A371" s="33"/>
      <c r="B371" s="33"/>
      <c r="C371" s="150"/>
      <c r="D371" s="33"/>
      <c r="E371" s="33"/>
      <c r="F371" s="33"/>
      <c r="G371" s="33"/>
      <c r="H371" s="33"/>
      <c r="I371" s="33"/>
      <c r="J371" s="33"/>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row>
    <row r="372" spans="1:35" ht="15.6">
      <c r="A372" s="33"/>
      <c r="B372" s="33"/>
      <c r="C372" s="150"/>
      <c r="D372" s="33"/>
      <c r="E372" s="33"/>
      <c r="F372" s="33"/>
      <c r="G372" s="33"/>
      <c r="H372" s="33"/>
      <c r="I372" s="33"/>
      <c r="J372" s="33"/>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row>
    <row r="373" spans="1:35" ht="15.6">
      <c r="A373" s="33"/>
      <c r="B373" s="33"/>
      <c r="C373" s="150"/>
      <c r="D373" s="33"/>
      <c r="E373" s="33"/>
      <c r="F373" s="33"/>
      <c r="G373" s="33"/>
      <c r="H373" s="33"/>
      <c r="I373" s="33"/>
      <c r="J373" s="33"/>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row>
    <row r="374" spans="1:35" ht="15.6">
      <c r="A374" s="33"/>
      <c r="B374" s="33"/>
      <c r="C374" s="150"/>
      <c r="D374" s="33"/>
      <c r="E374" s="33"/>
      <c r="F374" s="33"/>
      <c r="G374" s="33"/>
      <c r="H374" s="33"/>
      <c r="I374" s="33"/>
      <c r="J374" s="33"/>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row>
    <row r="375" spans="1:35" ht="15.6">
      <c r="A375" s="33"/>
      <c r="B375" s="33"/>
      <c r="C375" s="150"/>
      <c r="D375" s="33"/>
      <c r="E375" s="33"/>
      <c r="F375" s="33"/>
      <c r="G375" s="33"/>
      <c r="H375" s="33"/>
      <c r="I375" s="33"/>
      <c r="J375" s="33"/>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row>
    <row r="376" spans="1:35" ht="15.6">
      <c r="A376" s="33"/>
      <c r="B376" s="33"/>
      <c r="C376" s="150"/>
      <c r="D376" s="33"/>
      <c r="E376" s="33"/>
      <c r="F376" s="33"/>
      <c r="G376" s="33"/>
      <c r="H376" s="33"/>
      <c r="I376" s="33"/>
      <c r="J376" s="33"/>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row>
    <row r="377" spans="1:35" ht="15.6">
      <c r="A377" s="33"/>
      <c r="B377" s="33"/>
      <c r="C377" s="150"/>
      <c r="D377" s="33"/>
      <c r="E377" s="33"/>
      <c r="F377" s="33"/>
      <c r="G377" s="33"/>
      <c r="H377" s="33"/>
      <c r="I377" s="33"/>
      <c r="J377" s="33"/>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row>
    <row r="378" spans="1:35" ht="15.6">
      <c r="A378" s="33"/>
      <c r="B378" s="33"/>
      <c r="C378" s="150"/>
      <c r="D378" s="33"/>
      <c r="E378" s="33"/>
      <c r="F378" s="33"/>
      <c r="G378" s="33"/>
      <c r="H378" s="33"/>
      <c r="I378" s="33"/>
      <c r="J378" s="33"/>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row>
    <row r="379" spans="1:35" ht="15.6">
      <c r="A379" s="33"/>
      <c r="B379" s="33"/>
      <c r="C379" s="150"/>
      <c r="D379" s="33"/>
      <c r="E379" s="33"/>
      <c r="F379" s="33"/>
      <c r="G379" s="33"/>
      <c r="H379" s="33"/>
      <c r="I379" s="33"/>
      <c r="J379" s="33"/>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row>
    <row r="380" spans="1:35" ht="15.6">
      <c r="A380" s="33"/>
      <c r="B380" s="33"/>
      <c r="C380" s="150"/>
      <c r="D380" s="33"/>
      <c r="E380" s="33"/>
      <c r="F380" s="33"/>
      <c r="G380" s="33"/>
      <c r="H380" s="33"/>
      <c r="I380" s="33"/>
      <c r="J380" s="33"/>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row>
    <row r="381" spans="1:35" ht="15.6">
      <c r="A381" s="33"/>
      <c r="B381" s="33"/>
      <c r="C381" s="150"/>
      <c r="D381" s="33"/>
      <c r="E381" s="33"/>
      <c r="F381" s="33"/>
      <c r="G381" s="33"/>
      <c r="H381" s="33"/>
      <c r="I381" s="33"/>
      <c r="J381" s="33"/>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row>
    <row r="382" spans="1:35" ht="15.6">
      <c r="A382" s="33"/>
      <c r="B382" s="33"/>
      <c r="C382" s="150"/>
      <c r="D382" s="33"/>
      <c r="E382" s="33"/>
      <c r="F382" s="33"/>
      <c r="G382" s="33"/>
      <c r="H382" s="33"/>
      <c r="I382" s="33"/>
      <c r="J382" s="33"/>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row>
    <row r="383" spans="1:35" ht="15.6">
      <c r="A383" s="33"/>
      <c r="B383" s="33"/>
      <c r="C383" s="150"/>
      <c r="D383" s="33"/>
      <c r="E383" s="33"/>
      <c r="F383" s="33"/>
      <c r="G383" s="33"/>
      <c r="H383" s="33"/>
      <c r="I383" s="33"/>
      <c r="J383" s="33"/>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row>
    <row r="384" spans="1:35" ht="15.6">
      <c r="A384" s="33"/>
      <c r="B384" s="33"/>
      <c r="C384" s="150"/>
      <c r="D384" s="33"/>
      <c r="E384" s="33"/>
      <c r="F384" s="33"/>
      <c r="G384" s="33"/>
      <c r="H384" s="33"/>
      <c r="I384" s="33"/>
      <c r="J384" s="33"/>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row>
    <row r="385" spans="1:35" ht="15.6">
      <c r="A385" s="33"/>
      <c r="B385" s="33"/>
      <c r="C385" s="150"/>
      <c r="D385" s="33"/>
      <c r="E385" s="33"/>
      <c r="F385" s="33"/>
      <c r="G385" s="33"/>
      <c r="H385" s="33"/>
      <c r="I385" s="33"/>
      <c r="J385" s="33"/>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row>
    <row r="386" spans="1:35" ht="15.6">
      <c r="A386" s="33"/>
      <c r="B386" s="33"/>
      <c r="C386" s="150"/>
      <c r="D386" s="33"/>
      <c r="E386" s="33"/>
      <c r="F386" s="33"/>
      <c r="G386" s="33"/>
      <c r="H386" s="33"/>
      <c r="I386" s="33"/>
      <c r="J386" s="33"/>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row>
    <row r="387" spans="1:35" ht="15.6">
      <c r="A387" s="33"/>
      <c r="B387" s="33"/>
      <c r="C387" s="150"/>
      <c r="D387" s="33"/>
      <c r="E387" s="33"/>
      <c r="F387" s="33"/>
      <c r="G387" s="33"/>
      <c r="H387" s="33"/>
      <c r="I387" s="33"/>
      <c r="J387" s="33"/>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row>
    <row r="388" spans="1:35" ht="15.6">
      <c r="A388" s="33"/>
      <c r="B388" s="33"/>
      <c r="C388" s="150"/>
      <c r="D388" s="33"/>
      <c r="E388" s="33"/>
      <c r="F388" s="33"/>
      <c r="G388" s="33"/>
      <c r="H388" s="33"/>
      <c r="I388" s="33"/>
      <c r="J388" s="33"/>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row>
    <row r="389" spans="1:35" ht="15.6">
      <c r="A389" s="33"/>
      <c r="B389" s="33"/>
      <c r="C389" s="150"/>
      <c r="D389" s="33"/>
      <c r="E389" s="33"/>
      <c r="F389" s="33"/>
      <c r="G389" s="33"/>
      <c r="H389" s="33"/>
      <c r="I389" s="33"/>
      <c r="J389" s="33"/>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row>
    <row r="390" spans="1:35" ht="15.6">
      <c r="A390" s="33"/>
      <c r="B390" s="33"/>
      <c r="C390" s="150"/>
      <c r="D390" s="33"/>
      <c r="E390" s="33"/>
      <c r="F390" s="33"/>
      <c r="G390" s="33"/>
      <c r="H390" s="33"/>
      <c r="I390" s="33"/>
      <c r="J390" s="33"/>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row>
    <row r="391" spans="1:35" ht="15.6">
      <c r="A391" s="33"/>
      <c r="B391" s="33"/>
      <c r="C391" s="150"/>
      <c r="D391" s="33"/>
      <c r="E391" s="33"/>
      <c r="F391" s="33"/>
      <c r="G391" s="33"/>
      <c r="H391" s="33"/>
      <c r="I391" s="33"/>
      <c r="J391" s="33"/>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row>
    <row r="392" spans="1:35" ht="15.6">
      <c r="A392" s="33"/>
      <c r="B392" s="33"/>
      <c r="C392" s="150"/>
      <c r="D392" s="33"/>
      <c r="E392" s="33"/>
      <c r="F392" s="33"/>
      <c r="G392" s="33"/>
      <c r="H392" s="33"/>
      <c r="I392" s="33"/>
      <c r="J392" s="33"/>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row>
    <row r="393" spans="1:35" ht="15.6">
      <c r="A393" s="33"/>
      <c r="B393" s="33"/>
      <c r="C393" s="150"/>
      <c r="D393" s="33"/>
      <c r="E393" s="33"/>
      <c r="F393" s="33"/>
      <c r="G393" s="33"/>
      <c r="H393" s="33"/>
      <c r="I393" s="33"/>
      <c r="J393" s="33"/>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row>
    <row r="394" spans="1:35" ht="15.6">
      <c r="A394" s="33"/>
      <c r="B394" s="33"/>
      <c r="C394" s="150"/>
      <c r="D394" s="33"/>
      <c r="E394" s="33"/>
      <c r="F394" s="33"/>
      <c r="G394" s="33"/>
      <c r="H394" s="33"/>
      <c r="I394" s="33"/>
      <c r="J394" s="33"/>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row>
    <row r="395" spans="1:35" ht="15.6">
      <c r="A395" s="33"/>
      <c r="B395" s="33"/>
      <c r="C395" s="150"/>
      <c r="D395" s="33"/>
      <c r="E395" s="33"/>
      <c r="F395" s="33"/>
      <c r="G395" s="33"/>
      <c r="H395" s="33"/>
      <c r="I395" s="33"/>
      <c r="J395" s="33"/>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row>
    <row r="396" spans="1:35" ht="15.6">
      <c r="A396" s="33"/>
      <c r="B396" s="33"/>
      <c r="C396" s="150"/>
      <c r="D396" s="33"/>
      <c r="E396" s="33"/>
      <c r="F396" s="33"/>
      <c r="G396" s="33"/>
      <c r="H396" s="33"/>
      <c r="I396" s="33"/>
      <c r="J396" s="33"/>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row>
    <row r="397" spans="1:35" ht="15.6">
      <c r="A397" s="33"/>
      <c r="B397" s="33"/>
      <c r="C397" s="150"/>
      <c r="D397" s="33"/>
      <c r="E397" s="33"/>
      <c r="F397" s="33"/>
      <c r="G397" s="33"/>
      <c r="H397" s="33"/>
      <c r="I397" s="33"/>
      <c r="J397" s="33"/>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row>
    <row r="398" spans="1:35" ht="15.6">
      <c r="A398" s="33"/>
      <c r="B398" s="33"/>
      <c r="C398" s="150"/>
      <c r="D398" s="33"/>
      <c r="E398" s="33"/>
      <c r="F398" s="33"/>
      <c r="G398" s="33"/>
      <c r="H398" s="33"/>
      <c r="I398" s="33"/>
      <c r="J398" s="33"/>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row>
    <row r="399" spans="1:35" ht="15.6">
      <c r="A399" s="33"/>
      <c r="B399" s="33"/>
      <c r="C399" s="150"/>
      <c r="D399" s="33"/>
      <c r="E399" s="33"/>
      <c r="F399" s="33"/>
      <c r="G399" s="33"/>
      <c r="H399" s="33"/>
      <c r="I399" s="33"/>
      <c r="J399" s="33"/>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row>
    <row r="400" spans="1:35" ht="15.6">
      <c r="A400" s="33"/>
      <c r="B400" s="33"/>
      <c r="C400" s="150"/>
      <c r="D400" s="33"/>
      <c r="E400" s="33"/>
      <c r="F400" s="33"/>
      <c r="G400" s="33"/>
      <c r="H400" s="33"/>
      <c r="I400" s="33"/>
      <c r="J400" s="33"/>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row>
    <row r="401" spans="1:35" ht="15.6">
      <c r="A401" s="33"/>
      <c r="B401" s="33"/>
      <c r="C401" s="150"/>
      <c r="D401" s="33"/>
      <c r="E401" s="33"/>
      <c r="F401" s="33"/>
      <c r="G401" s="33"/>
      <c r="H401" s="33"/>
      <c r="I401" s="33"/>
      <c r="J401" s="33"/>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row>
    <row r="402" spans="1:35" ht="15.6">
      <c r="A402" s="33"/>
      <c r="B402" s="33"/>
      <c r="C402" s="150"/>
      <c r="D402" s="33"/>
      <c r="E402" s="33"/>
      <c r="F402" s="33"/>
      <c r="G402" s="33"/>
      <c r="H402" s="33"/>
      <c r="I402" s="33"/>
      <c r="J402" s="33"/>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row>
    <row r="403" spans="1:35" ht="15.6">
      <c r="A403" s="33"/>
      <c r="B403" s="33"/>
      <c r="C403" s="150"/>
      <c r="D403" s="33"/>
      <c r="E403" s="33"/>
      <c r="F403" s="33"/>
      <c r="G403" s="33"/>
      <c r="H403" s="33"/>
      <c r="I403" s="33"/>
      <c r="J403" s="33"/>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row>
    <row r="404" spans="1:35" ht="15.6">
      <c r="A404" s="33"/>
      <c r="B404" s="33"/>
      <c r="C404" s="150"/>
      <c r="D404" s="33"/>
      <c r="E404" s="33"/>
      <c r="F404" s="33"/>
      <c r="G404" s="33"/>
      <c r="H404" s="33"/>
      <c r="I404" s="33"/>
      <c r="J404" s="33"/>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row>
    <row r="405" spans="1:35" ht="15.6">
      <c r="A405" s="33"/>
      <c r="B405" s="33"/>
      <c r="C405" s="150"/>
      <c r="D405" s="33"/>
      <c r="E405" s="33"/>
      <c r="F405" s="33"/>
      <c r="G405" s="33"/>
      <c r="H405" s="33"/>
      <c r="I405" s="33"/>
      <c r="J405" s="33"/>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row>
    <row r="406" spans="1:35" ht="15.6">
      <c r="A406" s="33"/>
      <c r="B406" s="33"/>
      <c r="C406" s="150"/>
      <c r="D406" s="33"/>
      <c r="E406" s="33"/>
      <c r="F406" s="33"/>
      <c r="G406" s="33"/>
      <c r="H406" s="33"/>
      <c r="I406" s="33"/>
      <c r="J406" s="33"/>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row>
    <row r="407" spans="1:35" ht="15.6">
      <c r="A407" s="33"/>
      <c r="B407" s="33"/>
      <c r="C407" s="150"/>
      <c r="D407" s="33"/>
      <c r="E407" s="33"/>
      <c r="F407" s="33"/>
      <c r="G407" s="33"/>
      <c r="H407" s="33"/>
      <c r="I407" s="33"/>
      <c r="J407" s="33"/>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row>
    <row r="408" spans="1:35" ht="15.6">
      <c r="A408" s="33"/>
      <c r="B408" s="33"/>
      <c r="C408" s="150"/>
      <c r="D408" s="33"/>
      <c r="E408" s="33"/>
      <c r="F408" s="33"/>
      <c r="G408" s="33"/>
      <c r="H408" s="33"/>
      <c r="I408" s="33"/>
      <c r="J408" s="33"/>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row>
    <row r="409" spans="1:35" ht="15.6">
      <c r="A409" s="33"/>
      <c r="B409" s="33"/>
      <c r="C409" s="150"/>
      <c r="D409" s="33"/>
      <c r="E409" s="33"/>
      <c r="F409" s="33"/>
      <c r="G409" s="33"/>
      <c r="H409" s="33"/>
      <c r="I409" s="33"/>
      <c r="J409" s="33"/>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row>
    <row r="410" spans="1:35" ht="15.6">
      <c r="A410" s="33"/>
      <c r="B410" s="33"/>
      <c r="C410" s="150"/>
      <c r="D410" s="33"/>
      <c r="E410" s="33"/>
      <c r="F410" s="33"/>
      <c r="G410" s="33"/>
      <c r="H410" s="33"/>
      <c r="I410" s="33"/>
      <c r="J410" s="33"/>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row>
    <row r="411" spans="1:35" ht="15.6">
      <c r="A411" s="33"/>
      <c r="B411" s="33"/>
      <c r="C411" s="150"/>
      <c r="D411" s="33"/>
      <c r="E411" s="33"/>
      <c r="F411" s="33"/>
      <c r="G411" s="33"/>
      <c r="H411" s="33"/>
      <c r="I411" s="33"/>
      <c r="J411" s="33"/>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row>
    <row r="412" spans="1:35" ht="15.6">
      <c r="A412" s="33"/>
      <c r="B412" s="33"/>
      <c r="C412" s="150"/>
      <c r="D412" s="33"/>
      <c r="E412" s="33"/>
      <c r="F412" s="33"/>
      <c r="G412" s="33"/>
      <c r="H412" s="33"/>
      <c r="I412" s="33"/>
      <c r="J412" s="33"/>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row>
    <row r="413" spans="1:35" ht="15.6">
      <c r="A413" s="33"/>
      <c r="B413" s="33"/>
      <c r="C413" s="150"/>
      <c r="D413" s="33"/>
      <c r="E413" s="33"/>
      <c r="F413" s="33"/>
      <c r="G413" s="33"/>
      <c r="H413" s="33"/>
      <c r="I413" s="33"/>
      <c r="J413" s="33"/>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row>
    <row r="414" spans="1:35" ht="15.6">
      <c r="A414" s="33"/>
      <c r="B414" s="33"/>
      <c r="C414" s="150"/>
      <c r="D414" s="33"/>
      <c r="E414" s="33"/>
      <c r="F414" s="33"/>
      <c r="G414" s="33"/>
      <c r="H414" s="33"/>
      <c r="I414" s="33"/>
      <c r="J414" s="33"/>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row>
    <row r="415" spans="1:35" ht="15.6">
      <c r="A415" s="33"/>
      <c r="B415" s="33"/>
      <c r="C415" s="150"/>
      <c r="D415" s="33"/>
      <c r="E415" s="33"/>
      <c r="F415" s="33"/>
      <c r="G415" s="33"/>
      <c r="H415" s="33"/>
      <c r="I415" s="33"/>
      <c r="J415" s="33"/>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row>
    <row r="416" spans="1:35" ht="15.6">
      <c r="A416" s="33"/>
      <c r="B416" s="33"/>
      <c r="C416" s="150"/>
      <c r="D416" s="33"/>
      <c r="E416" s="33"/>
      <c r="F416" s="33"/>
      <c r="G416" s="33"/>
      <c r="H416" s="33"/>
      <c r="I416" s="33"/>
      <c r="J416" s="33"/>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row>
    <row r="417" spans="1:35" ht="15.6">
      <c r="A417" s="33"/>
      <c r="B417" s="33"/>
      <c r="C417" s="150"/>
      <c r="D417" s="33"/>
      <c r="E417" s="33"/>
      <c r="F417" s="33"/>
      <c r="G417" s="33"/>
      <c r="H417" s="33"/>
      <c r="I417" s="33"/>
      <c r="J417" s="33"/>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row>
    <row r="418" spans="1:35" ht="15.6">
      <c r="A418" s="33"/>
      <c r="B418" s="33"/>
      <c r="C418" s="150"/>
      <c r="D418" s="33"/>
      <c r="E418" s="33"/>
      <c r="F418" s="33"/>
      <c r="G418" s="33"/>
      <c r="H418" s="33"/>
      <c r="I418" s="33"/>
      <c r="J418" s="33"/>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row>
    <row r="419" spans="1:35" ht="15.6">
      <c r="A419" s="33"/>
      <c r="B419" s="33"/>
      <c r="C419" s="150"/>
      <c r="D419" s="33"/>
      <c r="E419" s="33"/>
      <c r="F419" s="33"/>
      <c r="G419" s="33"/>
      <c r="H419" s="33"/>
      <c r="I419" s="33"/>
      <c r="J419" s="33"/>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row>
    <row r="420" spans="1:35" ht="15.6">
      <c r="A420" s="33"/>
      <c r="B420" s="33"/>
      <c r="C420" s="150"/>
      <c r="D420" s="33"/>
      <c r="E420" s="33"/>
      <c r="F420" s="33"/>
      <c r="G420" s="33"/>
      <c r="H420" s="33"/>
      <c r="I420" s="33"/>
      <c r="J420" s="33"/>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row>
    <row r="421" spans="1:35" ht="15.6">
      <c r="A421" s="33"/>
      <c r="B421" s="33"/>
      <c r="C421" s="150"/>
      <c r="D421" s="33"/>
      <c r="E421" s="33"/>
      <c r="F421" s="33"/>
      <c r="G421" s="33"/>
      <c r="H421" s="33"/>
      <c r="I421" s="33"/>
      <c r="J421" s="33"/>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row>
    <row r="422" spans="1:35" ht="15.6">
      <c r="A422" s="33"/>
      <c r="B422" s="33"/>
      <c r="C422" s="150"/>
      <c r="D422" s="33"/>
      <c r="E422" s="33"/>
      <c r="F422" s="33"/>
      <c r="G422" s="33"/>
      <c r="H422" s="33"/>
      <c r="I422" s="33"/>
      <c r="J422" s="33"/>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row>
    <row r="423" spans="1:35" ht="15.6">
      <c r="A423" s="33"/>
      <c r="B423" s="33"/>
      <c r="C423" s="150"/>
      <c r="D423" s="33"/>
      <c r="E423" s="33"/>
      <c r="F423" s="33"/>
      <c r="G423" s="33"/>
      <c r="H423" s="33"/>
      <c r="I423" s="33"/>
      <c r="J423" s="33"/>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row>
    <row r="424" spans="1:35" ht="15.6">
      <c r="A424" s="33"/>
      <c r="B424" s="33"/>
      <c r="C424" s="150"/>
      <c r="D424" s="33"/>
      <c r="E424" s="33"/>
      <c r="F424" s="33"/>
      <c r="G424" s="33"/>
      <c r="H424" s="33"/>
      <c r="I424" s="33"/>
      <c r="J424" s="33"/>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row>
    <row r="425" spans="1:35" ht="15.6">
      <c r="A425" s="33"/>
      <c r="B425" s="33"/>
      <c r="C425" s="150"/>
      <c r="D425" s="33"/>
      <c r="E425" s="33"/>
      <c r="F425" s="33"/>
      <c r="G425" s="33"/>
      <c r="H425" s="33"/>
      <c r="I425" s="33"/>
      <c r="J425" s="33"/>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row>
    <row r="426" spans="1:35" ht="15.6">
      <c r="A426" s="33"/>
      <c r="B426" s="33"/>
      <c r="C426" s="150"/>
      <c r="D426" s="33"/>
      <c r="E426" s="33"/>
      <c r="F426" s="33"/>
      <c r="G426" s="33"/>
      <c r="H426" s="33"/>
      <c r="I426" s="33"/>
      <c r="J426" s="33"/>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row>
    <row r="427" spans="1:35" ht="15.6">
      <c r="A427" s="33"/>
      <c r="B427" s="33"/>
      <c r="C427" s="150"/>
      <c r="D427" s="33"/>
      <c r="E427" s="33"/>
      <c r="F427" s="33"/>
      <c r="G427" s="33"/>
      <c r="H427" s="33"/>
      <c r="I427" s="33"/>
      <c r="J427" s="33"/>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row>
    <row r="428" spans="1:35" ht="15.6">
      <c r="A428" s="33"/>
      <c r="B428" s="33"/>
      <c r="C428" s="150"/>
      <c r="D428" s="33"/>
      <c r="E428" s="33"/>
      <c r="F428" s="33"/>
      <c r="G428" s="33"/>
      <c r="H428" s="33"/>
      <c r="I428" s="33"/>
      <c r="J428" s="33"/>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row>
    <row r="429" spans="1:35" ht="15.6">
      <c r="A429" s="33"/>
      <c r="B429" s="33"/>
      <c r="C429" s="150"/>
      <c r="D429" s="33"/>
      <c r="E429" s="33"/>
      <c r="F429" s="33"/>
      <c r="G429" s="33"/>
      <c r="H429" s="33"/>
      <c r="I429" s="33"/>
      <c r="J429" s="33"/>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row>
    <row r="430" spans="1:35" ht="15.6">
      <c r="A430" s="33"/>
      <c r="B430" s="33"/>
      <c r="C430" s="150"/>
      <c r="D430" s="33"/>
      <c r="E430" s="33"/>
      <c r="F430" s="33"/>
      <c r="G430" s="33"/>
      <c r="H430" s="33"/>
      <c r="I430" s="33"/>
      <c r="J430" s="33"/>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row>
    <row r="431" spans="1:35" ht="15.6">
      <c r="A431" s="33"/>
      <c r="B431" s="33"/>
      <c r="C431" s="150"/>
      <c r="D431" s="33"/>
      <c r="E431" s="33"/>
      <c r="F431" s="33"/>
      <c r="G431" s="33"/>
      <c r="H431" s="33"/>
      <c r="I431" s="33"/>
      <c r="J431" s="33"/>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row>
    <row r="432" spans="1:35" ht="15.6">
      <c r="A432" s="33"/>
      <c r="B432" s="33"/>
      <c r="C432" s="150"/>
      <c r="D432" s="33"/>
      <c r="E432" s="33"/>
      <c r="F432" s="33"/>
      <c r="G432" s="33"/>
      <c r="H432" s="33"/>
      <c r="I432" s="33"/>
      <c r="J432" s="33"/>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row>
    <row r="433" spans="1:35" ht="15.6">
      <c r="A433" s="33"/>
      <c r="B433" s="33"/>
      <c r="C433" s="150"/>
      <c r="D433" s="33"/>
      <c r="E433" s="33"/>
      <c r="F433" s="33"/>
      <c r="G433" s="33"/>
      <c r="H433" s="33"/>
      <c r="I433" s="33"/>
      <c r="J433" s="33"/>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row>
    <row r="434" spans="1:35" ht="15.6">
      <c r="A434" s="33"/>
      <c r="B434" s="33"/>
      <c r="C434" s="150"/>
      <c r="D434" s="33"/>
      <c r="E434" s="33"/>
      <c r="F434" s="33"/>
      <c r="G434" s="33"/>
      <c r="H434" s="33"/>
      <c r="I434" s="33"/>
      <c r="J434" s="33"/>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row>
    <row r="435" spans="1:35" ht="15.6">
      <c r="A435" s="33"/>
      <c r="B435" s="33"/>
      <c r="C435" s="150"/>
      <c r="D435" s="33"/>
      <c r="E435" s="33"/>
      <c r="F435" s="33"/>
      <c r="G435" s="33"/>
      <c r="H435" s="33"/>
      <c r="I435" s="33"/>
      <c r="J435" s="33"/>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row>
    <row r="436" spans="1:35" ht="15.6">
      <c r="A436" s="33"/>
      <c r="B436" s="33"/>
      <c r="C436" s="150"/>
      <c r="D436" s="33"/>
      <c r="E436" s="33"/>
      <c r="F436" s="33"/>
      <c r="G436" s="33"/>
      <c r="H436" s="33"/>
      <c r="I436" s="33"/>
      <c r="J436" s="33"/>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row>
    <row r="437" spans="1:35" ht="15.6">
      <c r="A437" s="33"/>
      <c r="B437" s="33"/>
      <c r="C437" s="150"/>
      <c r="D437" s="33"/>
      <c r="E437" s="33"/>
      <c r="F437" s="33"/>
      <c r="G437" s="33"/>
      <c r="H437" s="33"/>
      <c r="I437" s="33"/>
      <c r="J437" s="33"/>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row>
    <row r="438" spans="1:35" ht="15.6">
      <c r="A438" s="33"/>
      <c r="B438" s="33"/>
      <c r="C438" s="150"/>
      <c r="D438" s="33"/>
      <c r="E438" s="33"/>
      <c r="F438" s="33"/>
      <c r="G438" s="33"/>
      <c r="H438" s="33"/>
      <c r="I438" s="33"/>
      <c r="J438" s="33"/>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row>
    <row r="439" spans="1:35" ht="15.6">
      <c r="A439" s="33"/>
      <c r="B439" s="33"/>
      <c r="C439" s="150"/>
      <c r="D439" s="33"/>
      <c r="E439" s="33"/>
      <c r="F439" s="33"/>
      <c r="G439" s="33"/>
      <c r="H439" s="33"/>
      <c r="I439" s="33"/>
      <c r="J439" s="33"/>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row>
    <row r="440" spans="1:35" ht="15.6">
      <c r="A440" s="33"/>
      <c r="B440" s="33"/>
      <c r="C440" s="150"/>
      <c r="D440" s="33"/>
      <c r="E440" s="33"/>
      <c r="F440" s="33"/>
      <c r="G440" s="33"/>
      <c r="H440" s="33"/>
      <c r="I440" s="33"/>
      <c r="J440" s="33"/>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row>
    <row r="441" spans="1:35" ht="15.6">
      <c r="A441" s="33"/>
      <c r="B441" s="33"/>
      <c r="C441" s="150"/>
      <c r="D441" s="33"/>
      <c r="E441" s="33"/>
      <c r="F441" s="33"/>
      <c r="G441" s="33"/>
      <c r="H441" s="33"/>
      <c r="I441" s="33"/>
      <c r="J441" s="33"/>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row>
    <row r="442" spans="1:35" ht="15.6">
      <c r="A442" s="33"/>
      <c r="B442" s="33"/>
      <c r="C442" s="150"/>
      <c r="D442" s="33"/>
      <c r="E442" s="33"/>
      <c r="F442" s="33"/>
      <c r="G442" s="33"/>
      <c r="H442" s="33"/>
      <c r="I442" s="33"/>
      <c r="J442" s="33"/>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row>
    <row r="443" spans="1:35" ht="15.6">
      <c r="A443" s="33"/>
      <c r="B443" s="33"/>
      <c r="C443" s="150"/>
      <c r="D443" s="33"/>
      <c r="E443" s="33"/>
      <c r="F443" s="33"/>
      <c r="G443" s="33"/>
      <c r="H443" s="33"/>
      <c r="I443" s="33"/>
      <c r="J443" s="33"/>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row>
    <row r="444" spans="1:35" ht="15.6">
      <c r="A444" s="33"/>
      <c r="B444" s="33"/>
      <c r="C444" s="150"/>
      <c r="D444" s="33"/>
      <c r="E444" s="33"/>
      <c r="F444" s="33"/>
      <c r="G444" s="33"/>
      <c r="H444" s="33"/>
      <c r="I444" s="33"/>
      <c r="J444" s="33"/>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row>
    <row r="445" spans="1:35" ht="15.6">
      <c r="A445" s="33"/>
      <c r="B445" s="33"/>
      <c r="C445" s="150"/>
      <c r="D445" s="33"/>
      <c r="E445" s="33"/>
      <c r="F445" s="33"/>
      <c r="G445" s="33"/>
      <c r="H445" s="33"/>
      <c r="I445" s="33"/>
      <c r="J445" s="33"/>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row>
    <row r="446" spans="1:35" ht="15.6">
      <c r="A446" s="33"/>
      <c r="B446" s="33"/>
      <c r="C446" s="150"/>
      <c r="D446" s="33"/>
      <c r="E446" s="33"/>
      <c r="F446" s="33"/>
      <c r="G446" s="33"/>
      <c r="H446" s="33"/>
      <c r="I446" s="33"/>
      <c r="J446" s="33"/>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row>
    <row r="447" spans="1:35" ht="15.6">
      <c r="A447" s="33"/>
      <c r="B447" s="33"/>
      <c r="C447" s="150"/>
      <c r="D447" s="33"/>
      <c r="E447" s="33"/>
      <c r="F447" s="33"/>
      <c r="G447" s="33"/>
      <c r="H447" s="33"/>
      <c r="I447" s="33"/>
      <c r="J447" s="33"/>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row>
    <row r="448" spans="1:35" ht="15.6">
      <c r="A448" s="33"/>
      <c r="B448" s="33"/>
      <c r="C448" s="150"/>
      <c r="D448" s="33"/>
      <c r="E448" s="33"/>
      <c r="F448" s="33"/>
      <c r="G448" s="33"/>
      <c r="H448" s="33"/>
      <c r="I448" s="33"/>
      <c r="J448" s="33"/>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row>
    <row r="449" spans="1:35" ht="15.6">
      <c r="A449" s="33"/>
      <c r="B449" s="33"/>
      <c r="C449" s="150"/>
      <c r="D449" s="33"/>
      <c r="E449" s="33"/>
      <c r="F449" s="33"/>
      <c r="G449" s="33"/>
      <c r="H449" s="33"/>
      <c r="I449" s="33"/>
      <c r="J449" s="33"/>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row>
    <row r="450" spans="1:35" ht="15.6">
      <c r="A450" s="33"/>
      <c r="B450" s="33"/>
      <c r="C450" s="150"/>
      <c r="D450" s="33"/>
      <c r="E450" s="33"/>
      <c r="F450" s="33"/>
      <c r="G450" s="33"/>
      <c r="H450" s="33"/>
      <c r="I450" s="33"/>
      <c r="J450" s="33"/>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row>
    <row r="451" spans="1:35" ht="15.6">
      <c r="A451" s="33"/>
      <c r="B451" s="33"/>
      <c r="C451" s="150"/>
      <c r="D451" s="33"/>
      <c r="E451" s="33"/>
      <c r="F451" s="33"/>
      <c r="G451" s="33"/>
      <c r="H451" s="33"/>
      <c r="I451" s="33"/>
      <c r="J451" s="33"/>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row>
    <row r="452" spans="1:35" ht="15.6">
      <c r="A452" s="33"/>
      <c r="B452" s="33"/>
      <c r="C452" s="150"/>
      <c r="D452" s="33"/>
      <c r="E452" s="33"/>
      <c r="F452" s="33"/>
      <c r="G452" s="33"/>
      <c r="H452" s="33"/>
      <c r="I452" s="33"/>
      <c r="J452" s="33"/>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row>
    <row r="453" spans="1:35" ht="15.6">
      <c r="A453" s="33"/>
      <c r="B453" s="33"/>
      <c r="C453" s="150"/>
      <c r="D453" s="33"/>
      <c r="E453" s="33"/>
      <c r="F453" s="33"/>
      <c r="G453" s="33"/>
      <c r="H453" s="33"/>
      <c r="I453" s="33"/>
      <c r="J453" s="33"/>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row>
    <row r="454" spans="1:35" ht="15.6">
      <c r="A454" s="33"/>
      <c r="B454" s="33"/>
      <c r="C454" s="150"/>
      <c r="D454" s="33"/>
      <c r="E454" s="33"/>
      <c r="F454" s="33"/>
      <c r="G454" s="33"/>
      <c r="H454" s="33"/>
      <c r="I454" s="33"/>
      <c r="J454" s="33"/>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row>
    <row r="455" spans="1:35" ht="15.6">
      <c r="A455" s="33"/>
      <c r="B455" s="33"/>
      <c r="C455" s="150"/>
      <c r="D455" s="33"/>
      <c r="E455" s="33"/>
      <c r="F455" s="33"/>
      <c r="G455" s="33"/>
      <c r="H455" s="33"/>
      <c r="I455" s="33"/>
      <c r="J455" s="33"/>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row>
    <row r="456" spans="1:35" ht="15.6">
      <c r="A456" s="33"/>
      <c r="B456" s="33"/>
      <c r="C456" s="150"/>
      <c r="D456" s="33"/>
      <c r="E456" s="33"/>
      <c r="F456" s="33"/>
      <c r="G456" s="33"/>
      <c r="H456" s="33"/>
      <c r="I456" s="33"/>
      <c r="J456" s="33"/>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row>
    <row r="457" spans="1:35" ht="15.6">
      <c r="A457" s="33"/>
      <c r="B457" s="33"/>
      <c r="C457" s="150"/>
      <c r="D457" s="33"/>
      <c r="E457" s="33"/>
      <c r="F457" s="33"/>
      <c r="G457" s="33"/>
      <c r="H457" s="33"/>
      <c r="I457" s="33"/>
      <c r="J457" s="33"/>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row>
    <row r="458" spans="1:35" ht="15.6">
      <c r="A458" s="33"/>
      <c r="B458" s="33"/>
      <c r="C458" s="150"/>
      <c r="D458" s="33"/>
      <c r="E458" s="33"/>
      <c r="F458" s="33"/>
      <c r="G458" s="33"/>
      <c r="H458" s="33"/>
      <c r="I458" s="33"/>
      <c r="J458" s="33"/>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row>
    <row r="459" spans="1:35" ht="15.6">
      <c r="A459" s="33"/>
      <c r="B459" s="33"/>
      <c r="C459" s="150"/>
      <c r="D459" s="33"/>
      <c r="E459" s="33"/>
      <c r="F459" s="33"/>
      <c r="G459" s="33"/>
      <c r="H459" s="33"/>
      <c r="I459" s="33"/>
      <c r="J459" s="33"/>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row>
    <row r="460" spans="1:35" ht="15.6">
      <c r="A460" s="33"/>
      <c r="B460" s="33"/>
      <c r="C460" s="150"/>
      <c r="D460" s="33"/>
      <c r="E460" s="33"/>
      <c r="F460" s="33"/>
      <c r="G460" s="33"/>
      <c r="H460" s="33"/>
      <c r="I460" s="33"/>
      <c r="J460" s="33"/>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row>
    <row r="461" spans="1:35" ht="15.6">
      <c r="A461" s="33"/>
      <c r="B461" s="33"/>
      <c r="C461" s="150"/>
      <c r="D461" s="33"/>
      <c r="E461" s="33"/>
      <c r="F461" s="33"/>
      <c r="G461" s="33"/>
      <c r="H461" s="33"/>
      <c r="I461" s="33"/>
      <c r="J461" s="33"/>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row>
    <row r="462" spans="1:35" ht="15.6">
      <c r="A462" s="33"/>
      <c r="B462" s="33"/>
      <c r="C462" s="150"/>
      <c r="D462" s="33"/>
      <c r="E462" s="33"/>
      <c r="F462" s="33"/>
      <c r="G462" s="33"/>
      <c r="H462" s="33"/>
      <c r="I462" s="33"/>
      <c r="J462" s="33"/>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row>
    <row r="463" spans="1:35" ht="15.6">
      <c r="A463" s="33"/>
      <c r="B463" s="33"/>
      <c r="C463" s="150"/>
      <c r="D463" s="33"/>
      <c r="E463" s="33"/>
      <c r="F463" s="33"/>
      <c r="G463" s="33"/>
      <c r="H463" s="33"/>
      <c r="I463" s="33"/>
      <c r="J463" s="33"/>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row>
    <row r="464" spans="1:35" ht="15.6">
      <c r="A464" s="33"/>
      <c r="B464" s="33"/>
      <c r="C464" s="150"/>
      <c r="D464" s="33"/>
      <c r="E464" s="33"/>
      <c r="F464" s="33"/>
      <c r="G464" s="33"/>
      <c r="H464" s="33"/>
      <c r="I464" s="33"/>
      <c r="J464" s="33"/>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row>
    <row r="465" spans="1:35" ht="15.6">
      <c r="A465" s="33"/>
      <c r="B465" s="33"/>
      <c r="C465" s="150"/>
      <c r="D465" s="33"/>
      <c r="E465" s="33"/>
      <c r="F465" s="33"/>
      <c r="G465" s="33"/>
      <c r="H465" s="33"/>
      <c r="I465" s="33"/>
      <c r="J465" s="33"/>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row>
    <row r="466" spans="1:35" ht="15.6">
      <c r="A466" s="33"/>
      <c r="B466" s="33"/>
      <c r="C466" s="150"/>
      <c r="D466" s="33"/>
      <c r="E466" s="33"/>
      <c r="F466" s="33"/>
      <c r="G466" s="33"/>
      <c r="H466" s="33"/>
      <c r="I466" s="33"/>
      <c r="J466" s="33"/>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row>
    <row r="467" spans="1:35" ht="15.6">
      <c r="A467" s="33"/>
      <c r="B467" s="33"/>
      <c r="C467" s="150"/>
      <c r="D467" s="33"/>
      <c r="E467" s="33"/>
      <c r="F467" s="33"/>
      <c r="G467" s="33"/>
      <c r="H467" s="33"/>
      <c r="I467" s="33"/>
      <c r="J467" s="33"/>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row>
    <row r="468" spans="1:35" ht="15.6">
      <c r="A468" s="33"/>
      <c r="B468" s="33"/>
      <c r="C468" s="150"/>
      <c r="D468" s="33"/>
      <c r="E468" s="33"/>
      <c r="F468" s="33"/>
      <c r="G468" s="33"/>
      <c r="H468" s="33"/>
      <c r="I468" s="33"/>
      <c r="J468" s="33"/>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row>
    <row r="469" spans="1:35" ht="15.6">
      <c r="A469" s="33"/>
      <c r="B469" s="33"/>
      <c r="C469" s="150"/>
      <c r="D469" s="33"/>
      <c r="E469" s="33"/>
      <c r="F469" s="33"/>
      <c r="G469" s="33"/>
      <c r="H469" s="33"/>
      <c r="I469" s="33"/>
      <c r="J469" s="33"/>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row>
    <row r="470" spans="1:35" ht="15.6">
      <c r="A470" s="33"/>
      <c r="B470" s="33"/>
      <c r="C470" s="150"/>
      <c r="D470" s="33"/>
      <c r="E470" s="33"/>
      <c r="F470" s="33"/>
      <c r="G470" s="33"/>
      <c r="H470" s="33"/>
      <c r="I470" s="33"/>
      <c r="J470" s="33"/>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row>
    <row r="471" spans="1:35" ht="15.6">
      <c r="A471" s="33"/>
      <c r="B471" s="33"/>
      <c r="C471" s="150"/>
      <c r="D471" s="33"/>
      <c r="E471" s="33"/>
      <c r="F471" s="33"/>
      <c r="G471" s="33"/>
      <c r="H471" s="33"/>
      <c r="I471" s="33"/>
      <c r="J471" s="33"/>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row>
    <row r="472" spans="1:35" ht="15.6">
      <c r="A472" s="33"/>
      <c r="B472" s="33"/>
      <c r="C472" s="150"/>
      <c r="D472" s="33"/>
      <c r="E472" s="33"/>
      <c r="F472" s="33"/>
      <c r="G472" s="33"/>
      <c r="H472" s="33"/>
      <c r="I472" s="33"/>
      <c r="J472" s="33"/>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row>
    <row r="473" spans="1:35" ht="15.6">
      <c r="A473" s="33"/>
      <c r="B473" s="33"/>
      <c r="C473" s="150"/>
      <c r="D473" s="33"/>
      <c r="E473" s="33"/>
      <c r="F473" s="33"/>
      <c r="G473" s="33"/>
      <c r="H473" s="33"/>
      <c r="I473" s="33"/>
      <c r="J473" s="33"/>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row>
    <row r="474" spans="1:35" ht="15.6">
      <c r="A474" s="33"/>
      <c r="B474" s="33"/>
      <c r="C474" s="150"/>
      <c r="D474" s="33"/>
      <c r="E474" s="33"/>
      <c r="F474" s="33"/>
      <c r="G474" s="33"/>
      <c r="H474" s="33"/>
      <c r="I474" s="33"/>
      <c r="J474" s="33"/>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row>
    <row r="475" spans="1:35" ht="15.6">
      <c r="A475" s="33"/>
      <c r="B475" s="33"/>
      <c r="C475" s="150"/>
      <c r="D475" s="33"/>
      <c r="E475" s="33"/>
      <c r="F475" s="33"/>
      <c r="G475" s="33"/>
      <c r="H475" s="33"/>
      <c r="I475" s="33"/>
      <c r="J475" s="33"/>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row>
    <row r="476" spans="1:35" ht="15.6">
      <c r="A476" s="33"/>
      <c r="B476" s="33"/>
      <c r="C476" s="150"/>
      <c r="D476" s="33"/>
      <c r="E476" s="33"/>
      <c r="F476" s="33"/>
      <c r="G476" s="33"/>
      <c r="H476" s="33"/>
      <c r="I476" s="33"/>
      <c r="J476" s="33"/>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row>
    <row r="477" spans="1:35" ht="15.6">
      <c r="A477" s="33"/>
      <c r="B477" s="33"/>
      <c r="C477" s="150"/>
      <c r="D477" s="33"/>
      <c r="E477" s="33"/>
      <c r="F477" s="33"/>
      <c r="G477" s="33"/>
      <c r="H477" s="33"/>
      <c r="I477" s="33"/>
      <c r="J477" s="33"/>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row>
    <row r="478" spans="1:35" ht="15.6">
      <c r="A478" s="33"/>
      <c r="B478" s="33"/>
      <c r="C478" s="150"/>
      <c r="D478" s="33"/>
      <c r="E478" s="33"/>
      <c r="F478" s="33"/>
      <c r="G478" s="33"/>
      <c r="H478" s="33"/>
      <c r="I478" s="33"/>
      <c r="J478" s="33"/>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row>
    <row r="479" spans="1:35" ht="15.6">
      <c r="A479" s="33"/>
      <c r="B479" s="33"/>
      <c r="C479" s="150"/>
      <c r="D479" s="33"/>
      <c r="E479" s="33"/>
      <c r="F479" s="33"/>
      <c r="G479" s="33"/>
      <c r="H479" s="33"/>
      <c r="I479" s="33"/>
      <c r="J479" s="33"/>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row>
    <row r="480" spans="1:35" ht="15.6">
      <c r="A480" s="33"/>
      <c r="B480" s="33"/>
      <c r="C480" s="150"/>
      <c r="D480" s="33"/>
      <c r="E480" s="33"/>
      <c r="F480" s="33"/>
      <c r="G480" s="33"/>
      <c r="H480" s="33"/>
      <c r="I480" s="33"/>
      <c r="J480" s="33"/>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row>
    <row r="481" spans="1:35" ht="15.6">
      <c r="A481" s="33"/>
      <c r="B481" s="33"/>
      <c r="C481" s="150"/>
      <c r="D481" s="33"/>
      <c r="E481" s="33"/>
      <c r="F481" s="33"/>
      <c r="G481" s="33"/>
      <c r="H481" s="33"/>
      <c r="I481" s="33"/>
      <c r="J481" s="33"/>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row>
    <row r="482" spans="1:35" ht="15.6">
      <c r="A482" s="33"/>
      <c r="B482" s="33"/>
      <c r="C482" s="150"/>
      <c r="D482" s="33"/>
      <c r="E482" s="33"/>
      <c r="F482" s="33"/>
      <c r="G482" s="33"/>
      <c r="H482" s="33"/>
      <c r="I482" s="33"/>
      <c r="J482" s="33"/>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row>
    <row r="483" spans="1:35" ht="15.6">
      <c r="A483" s="33"/>
      <c r="B483" s="33"/>
      <c r="C483" s="150"/>
      <c r="D483" s="33"/>
      <c r="E483" s="33"/>
      <c r="F483" s="33"/>
      <c r="G483" s="33"/>
      <c r="H483" s="33"/>
      <c r="I483" s="33"/>
      <c r="J483" s="33"/>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row>
    <row r="484" spans="1:35" ht="15.6">
      <c r="A484" s="33"/>
      <c r="B484" s="33"/>
      <c r="C484" s="150"/>
      <c r="D484" s="33"/>
      <c r="E484" s="33"/>
      <c r="F484" s="33"/>
      <c r="G484" s="33"/>
      <c r="H484" s="33"/>
      <c r="I484" s="33"/>
      <c r="J484" s="33"/>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row>
    <row r="485" spans="1:35" ht="15.6">
      <c r="A485" s="33"/>
      <c r="B485" s="33"/>
      <c r="C485" s="150"/>
      <c r="D485" s="33"/>
      <c r="E485" s="33"/>
      <c r="F485" s="33"/>
      <c r="G485" s="33"/>
      <c r="H485" s="33"/>
      <c r="I485" s="33"/>
      <c r="J485" s="33"/>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row>
    <row r="486" spans="1:35" ht="15.6">
      <c r="A486" s="33"/>
      <c r="B486" s="33"/>
      <c r="C486" s="150"/>
      <c r="D486" s="33"/>
      <c r="E486" s="33"/>
      <c r="F486" s="33"/>
      <c r="G486" s="33"/>
      <c r="H486" s="33"/>
      <c r="I486" s="33"/>
      <c r="J486" s="33"/>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row>
    <row r="487" spans="1:35" ht="15.6">
      <c r="A487" s="33"/>
      <c r="B487" s="33"/>
      <c r="C487" s="150"/>
      <c r="D487" s="33"/>
      <c r="E487" s="33"/>
      <c r="F487" s="33"/>
      <c r="G487" s="33"/>
      <c r="H487" s="33"/>
      <c r="I487" s="33"/>
      <c r="J487" s="33"/>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row>
    <row r="488" spans="1:35" ht="15.6">
      <c r="A488" s="33"/>
      <c r="B488" s="33"/>
      <c r="C488" s="150"/>
      <c r="D488" s="33"/>
      <c r="E488" s="33"/>
      <c r="F488" s="33"/>
      <c r="G488" s="33"/>
      <c r="H488" s="33"/>
      <c r="I488" s="33"/>
      <c r="J488" s="33"/>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row>
    <row r="489" spans="1:35" ht="15.6">
      <c r="A489" s="33"/>
      <c r="B489" s="33"/>
      <c r="C489" s="150"/>
      <c r="D489" s="33"/>
      <c r="E489" s="33"/>
      <c r="F489" s="33"/>
      <c r="G489" s="33"/>
      <c r="H489" s="33"/>
      <c r="I489" s="33"/>
      <c r="J489" s="33"/>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row>
    <row r="490" spans="1:35" ht="15.6">
      <c r="A490" s="33"/>
      <c r="B490" s="33"/>
      <c r="C490" s="150"/>
      <c r="D490" s="33"/>
      <c r="E490" s="33"/>
      <c r="F490" s="33"/>
      <c r="G490" s="33"/>
      <c r="H490" s="33"/>
      <c r="I490" s="33"/>
      <c r="J490" s="33"/>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row>
    <row r="491" spans="1:35" ht="15.6">
      <c r="A491" s="33"/>
      <c r="B491" s="33"/>
      <c r="C491" s="150"/>
      <c r="D491" s="33"/>
      <c r="E491" s="33"/>
      <c r="F491" s="33"/>
      <c r="G491" s="33"/>
      <c r="H491" s="33"/>
      <c r="I491" s="33"/>
      <c r="J491" s="33"/>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row>
    <row r="492" spans="1:35" ht="15.6">
      <c r="A492" s="33"/>
      <c r="B492" s="33"/>
      <c r="C492" s="150"/>
      <c r="D492" s="33"/>
      <c r="E492" s="33"/>
      <c r="F492" s="33"/>
      <c r="G492" s="33"/>
      <c r="H492" s="33"/>
      <c r="I492" s="33"/>
      <c r="J492" s="33"/>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row>
    <row r="493" spans="1:35" ht="15.6">
      <c r="A493" s="33"/>
      <c r="B493" s="33"/>
      <c r="C493" s="150"/>
      <c r="D493" s="33"/>
      <c r="E493" s="33"/>
      <c r="F493" s="33"/>
      <c r="G493" s="33"/>
      <c r="H493" s="33"/>
      <c r="I493" s="33"/>
      <c r="J493" s="33"/>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row>
    <row r="494" spans="1:35" ht="15.6">
      <c r="A494" s="33"/>
      <c r="B494" s="33"/>
      <c r="C494" s="150"/>
      <c r="D494" s="33"/>
      <c r="E494" s="33"/>
      <c r="F494" s="33"/>
      <c r="G494" s="33"/>
      <c r="H494" s="33"/>
      <c r="I494" s="33"/>
      <c r="J494" s="33"/>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row>
    <row r="495" spans="1:35" ht="15.6">
      <c r="A495" s="33"/>
      <c r="B495" s="33"/>
      <c r="C495" s="150"/>
      <c r="D495" s="33"/>
      <c r="E495" s="33"/>
      <c r="F495" s="33"/>
      <c r="G495" s="33"/>
      <c r="H495" s="33"/>
      <c r="I495" s="33"/>
      <c r="J495" s="33"/>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row>
    <row r="496" spans="1:35" ht="15.6">
      <c r="A496" s="33"/>
      <c r="B496" s="33"/>
      <c r="C496" s="150"/>
      <c r="D496" s="33"/>
      <c r="E496" s="33"/>
      <c r="F496" s="33"/>
      <c r="G496" s="33"/>
      <c r="H496" s="33"/>
      <c r="I496" s="33"/>
      <c r="J496" s="33"/>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row>
    <row r="497" spans="1:35" ht="15.6">
      <c r="A497" s="33"/>
      <c r="B497" s="33"/>
      <c r="C497" s="150"/>
      <c r="D497" s="33"/>
      <c r="E497" s="33"/>
      <c r="F497" s="33"/>
      <c r="G497" s="33"/>
      <c r="H497" s="33"/>
      <c r="I497" s="33"/>
      <c r="J497" s="33"/>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row>
    <row r="498" spans="1:35" ht="15.6">
      <c r="A498" s="33"/>
      <c r="B498" s="33"/>
      <c r="C498" s="150"/>
      <c r="D498" s="33"/>
      <c r="E498" s="33"/>
      <c r="F498" s="33"/>
      <c r="G498" s="33"/>
      <c r="H498" s="33"/>
      <c r="I498" s="33"/>
      <c r="J498" s="33"/>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row>
    <row r="499" spans="1:35" ht="15.6">
      <c r="A499" s="33"/>
      <c r="B499" s="33"/>
      <c r="C499" s="150"/>
      <c r="D499" s="33"/>
      <c r="E499" s="33"/>
      <c r="F499" s="33"/>
      <c r="G499" s="33"/>
      <c r="H499" s="33"/>
      <c r="I499" s="33"/>
      <c r="J499" s="33"/>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row>
    <row r="500" spans="1:35" ht="15.6">
      <c r="A500" s="33"/>
      <c r="B500" s="33"/>
      <c r="C500" s="150"/>
      <c r="D500" s="33"/>
      <c r="E500" s="33"/>
      <c r="F500" s="33"/>
      <c r="G500" s="33"/>
      <c r="H500" s="33"/>
      <c r="I500" s="33"/>
      <c r="J500" s="33"/>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row>
    <row r="501" spans="1:35" ht="15.6">
      <c r="A501" s="33"/>
      <c r="B501" s="33"/>
      <c r="C501" s="150"/>
      <c r="D501" s="33"/>
      <c r="E501" s="33"/>
      <c r="F501" s="33"/>
      <c r="G501" s="33"/>
      <c r="H501" s="33"/>
      <c r="I501" s="33"/>
      <c r="J501" s="33"/>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row>
    <row r="502" spans="1:35" ht="15.6">
      <c r="A502" s="33"/>
      <c r="B502" s="33"/>
      <c r="C502" s="150"/>
      <c r="D502" s="33"/>
      <c r="E502" s="33"/>
      <c r="F502" s="33"/>
      <c r="G502" s="33"/>
      <c r="H502" s="33"/>
      <c r="I502" s="33"/>
      <c r="J502" s="33"/>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row>
    <row r="503" spans="1:35" ht="15.6">
      <c r="A503" s="33"/>
      <c r="B503" s="33"/>
      <c r="C503" s="150"/>
      <c r="D503" s="33"/>
      <c r="E503" s="33"/>
      <c r="F503" s="33"/>
      <c r="G503" s="33"/>
      <c r="H503" s="33"/>
      <c r="I503" s="33"/>
      <c r="J503" s="33"/>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row>
    <row r="504" spans="1:35" ht="15.6">
      <c r="A504" s="33"/>
      <c r="B504" s="33"/>
      <c r="C504" s="150"/>
      <c r="D504" s="33"/>
      <c r="E504" s="33"/>
      <c r="F504" s="33"/>
      <c r="G504" s="33"/>
      <c r="H504" s="33"/>
      <c r="I504" s="33"/>
      <c r="J504" s="33"/>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row>
    <row r="505" spans="1:35" ht="15.6">
      <c r="A505" s="33"/>
      <c r="B505" s="33"/>
      <c r="C505" s="150"/>
      <c r="D505" s="33"/>
      <c r="E505" s="33"/>
      <c r="F505" s="33"/>
      <c r="G505" s="33"/>
      <c r="H505" s="33"/>
      <c r="I505" s="33"/>
      <c r="J505" s="33"/>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row>
    <row r="506" spans="1:35" ht="15.6">
      <c r="A506" s="33"/>
      <c r="B506" s="33"/>
      <c r="C506" s="150"/>
      <c r="D506" s="33"/>
      <c r="E506" s="33"/>
      <c r="F506" s="33"/>
      <c r="G506" s="33"/>
      <c r="H506" s="33"/>
      <c r="I506" s="33"/>
      <c r="J506" s="33"/>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row>
    <row r="507" spans="1:35" ht="15.6">
      <c r="A507" s="33"/>
      <c r="B507" s="33"/>
      <c r="C507" s="150"/>
      <c r="D507" s="33"/>
      <c r="E507" s="33"/>
      <c r="F507" s="33"/>
      <c r="G507" s="33"/>
      <c r="H507" s="33"/>
      <c r="I507" s="33"/>
      <c r="J507" s="33"/>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row>
    <row r="508" spans="1:35" ht="15.6">
      <c r="A508" s="33"/>
      <c r="B508" s="33"/>
      <c r="C508" s="150"/>
      <c r="D508" s="33"/>
      <c r="E508" s="33"/>
      <c r="F508" s="33"/>
      <c r="G508" s="33"/>
      <c r="H508" s="33"/>
      <c r="I508" s="33"/>
      <c r="J508" s="33"/>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row>
    <row r="509" spans="1:35" ht="15.6">
      <c r="A509" s="33"/>
      <c r="B509" s="33"/>
      <c r="C509" s="150"/>
      <c r="D509" s="33"/>
      <c r="E509" s="33"/>
      <c r="F509" s="33"/>
      <c r="G509" s="33"/>
      <c r="H509" s="33"/>
      <c r="I509" s="33"/>
      <c r="J509" s="33"/>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row>
    <row r="510" spans="1:35" ht="15.6">
      <c r="A510" s="33"/>
      <c r="B510" s="33"/>
      <c r="C510" s="150"/>
      <c r="D510" s="33"/>
      <c r="E510" s="33"/>
      <c r="F510" s="33"/>
      <c r="G510" s="33"/>
      <c r="H510" s="33"/>
      <c r="I510" s="33"/>
      <c r="J510" s="33"/>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row>
    <row r="511" spans="1:35" ht="15.6">
      <c r="A511" s="33"/>
      <c r="B511" s="33"/>
      <c r="C511" s="150"/>
      <c r="D511" s="33"/>
      <c r="E511" s="33"/>
      <c r="F511" s="33"/>
      <c r="G511" s="33"/>
      <c r="H511" s="33"/>
      <c r="I511" s="33"/>
      <c r="J511" s="33"/>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row>
    <row r="512" spans="1:35" ht="15.6">
      <c r="A512" s="33"/>
      <c r="B512" s="33"/>
      <c r="C512" s="150"/>
      <c r="D512" s="33"/>
      <c r="E512" s="33"/>
      <c r="F512" s="33"/>
      <c r="G512" s="33"/>
      <c r="H512" s="33"/>
      <c r="I512" s="33"/>
      <c r="J512" s="33"/>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row>
    <row r="513" spans="1:35" ht="15.6">
      <c r="A513" s="33"/>
      <c r="B513" s="33"/>
      <c r="C513" s="150"/>
      <c r="D513" s="33"/>
      <c r="E513" s="33"/>
      <c r="F513" s="33"/>
      <c r="G513" s="33"/>
      <c r="H513" s="33"/>
      <c r="I513" s="33"/>
      <c r="J513" s="33"/>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row>
    <row r="514" spans="1:35" ht="15.6">
      <c r="A514" s="33"/>
      <c r="B514" s="33"/>
      <c r="C514" s="150"/>
      <c r="D514" s="33"/>
      <c r="E514" s="33"/>
      <c r="F514" s="33"/>
      <c r="G514" s="33"/>
      <c r="H514" s="33"/>
      <c r="I514" s="33"/>
      <c r="J514" s="33"/>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row>
    <row r="515" spans="1:35" ht="15.6">
      <c r="A515" s="33"/>
      <c r="B515" s="33"/>
      <c r="C515" s="150"/>
      <c r="D515" s="33"/>
      <c r="E515" s="33"/>
      <c r="F515" s="33"/>
      <c r="G515" s="33"/>
      <c r="H515" s="33"/>
      <c r="I515" s="33"/>
      <c r="J515" s="33"/>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row>
    <row r="516" spans="1:35" ht="15.6">
      <c r="A516" s="33"/>
      <c r="B516" s="33"/>
      <c r="C516" s="150"/>
      <c r="D516" s="33"/>
      <c r="E516" s="33"/>
      <c r="F516" s="33"/>
      <c r="G516" s="33"/>
      <c r="H516" s="33"/>
      <c r="I516" s="33"/>
      <c r="J516" s="33"/>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row>
    <row r="517" spans="1:35" ht="15.6">
      <c r="A517" s="33"/>
      <c r="B517" s="33"/>
      <c r="C517" s="150"/>
      <c r="D517" s="33"/>
      <c r="E517" s="33"/>
      <c r="F517" s="33"/>
      <c r="G517" s="33"/>
      <c r="H517" s="33"/>
      <c r="I517" s="33"/>
      <c r="J517" s="33"/>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row>
    <row r="518" spans="1:35" ht="15.6">
      <c r="A518" s="33"/>
      <c r="B518" s="33"/>
      <c r="C518" s="150"/>
      <c r="D518" s="33"/>
      <c r="E518" s="33"/>
      <c r="F518" s="33"/>
      <c r="G518" s="33"/>
      <c r="H518" s="33"/>
      <c r="I518" s="33"/>
      <c r="J518" s="33"/>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row>
    <row r="519" spans="1:35" ht="15.6">
      <c r="A519" s="33"/>
      <c r="B519" s="33"/>
      <c r="C519" s="150"/>
      <c r="D519" s="33"/>
      <c r="E519" s="33"/>
      <c r="F519" s="33"/>
      <c r="G519" s="33"/>
      <c r="H519" s="33"/>
      <c r="I519" s="33"/>
      <c r="J519" s="33"/>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row>
    <row r="520" spans="1:35" ht="15.6">
      <c r="A520" s="33"/>
      <c r="B520" s="33"/>
      <c r="C520" s="150"/>
      <c r="D520" s="33"/>
      <c r="E520" s="33"/>
      <c r="F520" s="33"/>
      <c r="G520" s="33"/>
      <c r="H520" s="33"/>
      <c r="I520" s="33"/>
      <c r="J520" s="33"/>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row>
    <row r="521" spans="1:35" ht="15.6">
      <c r="A521" s="33"/>
      <c r="B521" s="33"/>
      <c r="C521" s="150"/>
      <c r="D521" s="33"/>
      <c r="E521" s="33"/>
      <c r="F521" s="33"/>
      <c r="G521" s="33"/>
      <c r="H521" s="33"/>
      <c r="I521" s="33"/>
      <c r="J521" s="33"/>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row>
    <row r="522" spans="1:35" ht="15.6">
      <c r="A522" s="33"/>
      <c r="B522" s="33"/>
      <c r="C522" s="150"/>
      <c r="D522" s="33"/>
      <c r="E522" s="33"/>
      <c r="F522" s="33"/>
      <c r="G522" s="33"/>
      <c r="H522" s="33"/>
      <c r="I522" s="33"/>
      <c r="J522" s="33"/>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row>
    <row r="523" spans="1:35" ht="15.6">
      <c r="A523" s="33"/>
      <c r="B523" s="33"/>
      <c r="C523" s="150"/>
      <c r="D523" s="33"/>
      <c r="E523" s="33"/>
      <c r="F523" s="33"/>
      <c r="G523" s="33"/>
      <c r="H523" s="33"/>
      <c r="I523" s="33"/>
      <c r="J523" s="33"/>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row>
    <row r="524" spans="1:35" ht="15.6">
      <c r="A524" s="33"/>
      <c r="B524" s="33"/>
      <c r="C524" s="150"/>
      <c r="D524" s="33"/>
      <c r="E524" s="33"/>
      <c r="F524" s="33"/>
      <c r="G524" s="33"/>
      <c r="H524" s="33"/>
      <c r="I524" s="33"/>
      <c r="J524" s="33"/>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row>
    <row r="525" spans="1:35" ht="15.6">
      <c r="A525" s="33"/>
      <c r="B525" s="33"/>
      <c r="C525" s="150"/>
      <c r="D525" s="33"/>
      <c r="E525" s="33"/>
      <c r="F525" s="33"/>
      <c r="G525" s="33"/>
      <c r="H525" s="33"/>
      <c r="I525" s="33"/>
      <c r="J525" s="33"/>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row>
    <row r="526" spans="1:35" ht="15.6">
      <c r="A526" s="33"/>
      <c r="B526" s="33"/>
      <c r="C526" s="150"/>
      <c r="D526" s="33"/>
      <c r="E526" s="33"/>
      <c r="F526" s="33"/>
      <c r="G526" s="33"/>
      <c r="H526" s="33"/>
      <c r="I526" s="33"/>
      <c r="J526" s="33"/>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row>
    <row r="527" spans="1:35" ht="15.6">
      <c r="A527" s="33"/>
      <c r="B527" s="33"/>
      <c r="C527" s="150"/>
      <c r="D527" s="33"/>
      <c r="E527" s="33"/>
      <c r="F527" s="33"/>
      <c r="G527" s="33"/>
      <c r="H527" s="33"/>
      <c r="I527" s="33"/>
      <c r="J527" s="33"/>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row>
    <row r="528" spans="1:35" ht="15.6">
      <c r="A528" s="33"/>
      <c r="B528" s="33"/>
      <c r="C528" s="150"/>
      <c r="D528" s="33"/>
      <c r="E528" s="33"/>
      <c r="F528" s="33"/>
      <c r="G528" s="33"/>
      <c r="H528" s="33"/>
      <c r="I528" s="33"/>
      <c r="J528" s="33"/>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row>
    <row r="529" spans="1:35" ht="15.6">
      <c r="A529" s="33"/>
      <c r="B529" s="33"/>
      <c r="C529" s="150"/>
      <c r="D529" s="33"/>
      <c r="E529" s="33"/>
      <c r="F529" s="33"/>
      <c r="G529" s="33"/>
      <c r="H529" s="33"/>
      <c r="I529" s="33"/>
      <c r="J529" s="33"/>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row>
    <row r="530" spans="1:35" ht="15.6">
      <c r="A530" s="33"/>
      <c r="B530" s="33"/>
      <c r="C530" s="150"/>
      <c r="D530" s="33"/>
      <c r="E530" s="33"/>
      <c r="F530" s="33"/>
      <c r="G530" s="33"/>
      <c r="H530" s="33"/>
      <c r="I530" s="33"/>
      <c r="J530" s="33"/>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row>
    <row r="531" spans="1:35" ht="15.6">
      <c r="A531" s="33"/>
      <c r="B531" s="33"/>
      <c r="C531" s="150"/>
      <c r="D531" s="33"/>
      <c r="E531" s="33"/>
      <c r="F531" s="33"/>
      <c r="G531" s="33"/>
      <c r="H531" s="33"/>
      <c r="I531" s="33"/>
      <c r="J531" s="33"/>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row>
    <row r="532" spans="1:35" ht="15.6">
      <c r="A532" s="33"/>
      <c r="B532" s="33"/>
      <c r="C532" s="150"/>
      <c r="D532" s="33"/>
      <c r="E532" s="33"/>
      <c r="F532" s="33"/>
      <c r="G532" s="33"/>
      <c r="H532" s="33"/>
      <c r="I532" s="33"/>
      <c r="J532" s="33"/>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row>
    <row r="533" spans="1:35" ht="15.6">
      <c r="A533" s="33"/>
      <c r="B533" s="33"/>
      <c r="C533" s="150"/>
      <c r="D533" s="33"/>
      <c r="E533" s="33"/>
      <c r="F533" s="33"/>
      <c r="G533" s="33"/>
      <c r="H533" s="33"/>
      <c r="I533" s="33"/>
      <c r="J533" s="33"/>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row>
    <row r="534" spans="1:35" ht="15.6">
      <c r="A534" s="33"/>
      <c r="B534" s="33"/>
      <c r="C534" s="150"/>
      <c r="D534" s="33"/>
      <c r="E534" s="33"/>
      <c r="F534" s="33"/>
      <c r="G534" s="33"/>
      <c r="H534" s="33"/>
      <c r="I534" s="33"/>
      <c r="J534" s="33"/>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row>
    <row r="535" spans="1:35" ht="15.6">
      <c r="A535" s="33"/>
      <c r="B535" s="33"/>
      <c r="C535" s="150"/>
      <c r="D535" s="33"/>
      <c r="E535" s="33"/>
      <c r="F535" s="33"/>
      <c r="G535" s="33"/>
      <c r="H535" s="33"/>
      <c r="I535" s="33"/>
      <c r="J535" s="33"/>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row>
    <row r="536" spans="1:35" ht="15.6">
      <c r="A536" s="33"/>
      <c r="B536" s="33"/>
      <c r="C536" s="150"/>
      <c r="D536" s="33"/>
      <c r="E536" s="33"/>
      <c r="F536" s="33"/>
      <c r="G536" s="33"/>
      <c r="H536" s="33"/>
      <c r="I536" s="33"/>
      <c r="J536" s="33"/>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row>
    <row r="537" spans="1:35" ht="15.6">
      <c r="A537" s="33"/>
      <c r="B537" s="33"/>
      <c r="C537" s="150"/>
      <c r="D537" s="33"/>
      <c r="E537" s="33"/>
      <c r="F537" s="33"/>
      <c r="G537" s="33"/>
      <c r="H537" s="33"/>
      <c r="I537" s="33"/>
      <c r="J537" s="33"/>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row>
    <row r="538" spans="1:35" ht="15.6">
      <c r="A538" s="33"/>
      <c r="B538" s="33"/>
      <c r="C538" s="150"/>
      <c r="D538" s="33"/>
      <c r="E538" s="33"/>
      <c r="F538" s="33"/>
      <c r="G538" s="33"/>
      <c r="H538" s="33"/>
      <c r="I538" s="33"/>
      <c r="J538" s="33"/>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row>
    <row r="539" spans="1:35" ht="15.6">
      <c r="A539" s="33"/>
      <c r="B539" s="33"/>
      <c r="C539" s="150"/>
      <c r="D539" s="33"/>
      <c r="E539" s="33"/>
      <c r="F539" s="33"/>
      <c r="G539" s="33"/>
      <c r="H539" s="33"/>
      <c r="I539" s="33"/>
      <c r="J539" s="33"/>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row>
    <row r="540" spans="1:35" ht="15.6">
      <c r="A540" s="33"/>
      <c r="B540" s="33"/>
      <c r="C540" s="150"/>
      <c r="D540" s="33"/>
      <c r="E540" s="33"/>
      <c r="F540" s="33"/>
      <c r="G540" s="33"/>
      <c r="H540" s="33"/>
      <c r="I540" s="33"/>
      <c r="J540" s="33"/>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row>
    <row r="541" spans="1:35" ht="15.6">
      <c r="A541" s="33"/>
      <c r="B541" s="33"/>
      <c r="C541" s="150"/>
      <c r="D541" s="33"/>
      <c r="E541" s="33"/>
      <c r="F541" s="33"/>
      <c r="G541" s="33"/>
      <c r="H541" s="33"/>
      <c r="I541" s="33"/>
      <c r="J541" s="33"/>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row>
    <row r="542" spans="1:35" ht="15.6">
      <c r="A542" s="33"/>
      <c r="B542" s="33"/>
      <c r="C542" s="150"/>
      <c r="D542" s="33"/>
      <c r="E542" s="33"/>
      <c r="F542" s="33"/>
      <c r="G542" s="33"/>
      <c r="H542" s="33"/>
      <c r="I542" s="33"/>
      <c r="J542" s="33"/>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row>
    <row r="543" spans="1:35" ht="15.6">
      <c r="A543" s="33"/>
      <c r="B543" s="33"/>
      <c r="C543" s="150"/>
      <c r="D543" s="33"/>
      <c r="E543" s="33"/>
      <c r="F543" s="33"/>
      <c r="G543" s="33"/>
      <c r="H543" s="33"/>
      <c r="I543" s="33"/>
      <c r="J543" s="33"/>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row>
    <row r="544" spans="1:35" ht="15.6">
      <c r="A544" s="33"/>
      <c r="B544" s="33"/>
      <c r="C544" s="150"/>
      <c r="D544" s="33"/>
      <c r="E544" s="33"/>
      <c r="F544" s="33"/>
      <c r="G544" s="33"/>
      <c r="H544" s="33"/>
      <c r="I544" s="33"/>
      <c r="J544" s="33"/>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row>
    <row r="545" spans="1:35" ht="15.6">
      <c r="A545" s="33"/>
      <c r="B545" s="33"/>
      <c r="C545" s="150"/>
      <c r="D545" s="33"/>
      <c r="E545" s="33"/>
      <c r="F545" s="33"/>
      <c r="G545" s="33"/>
      <c r="H545" s="33"/>
      <c r="I545" s="33"/>
      <c r="J545" s="33"/>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row>
    <row r="546" spans="1:35" ht="15.6">
      <c r="A546" s="33"/>
      <c r="B546" s="33"/>
      <c r="C546" s="150"/>
      <c r="D546" s="33"/>
      <c r="E546" s="33"/>
      <c r="F546" s="33"/>
      <c r="G546" s="33"/>
      <c r="H546" s="33"/>
      <c r="I546" s="33"/>
      <c r="J546" s="33"/>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row>
    <row r="547" spans="1:35" ht="15.6">
      <c r="A547" s="33"/>
      <c r="B547" s="33"/>
      <c r="C547" s="150"/>
      <c r="D547" s="33"/>
      <c r="E547" s="33"/>
      <c r="F547" s="33"/>
      <c r="G547" s="33"/>
      <c r="H547" s="33"/>
      <c r="I547" s="33"/>
      <c r="J547" s="33"/>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row>
    <row r="548" spans="1:35" ht="15.6">
      <c r="A548" s="33"/>
      <c r="B548" s="33"/>
      <c r="C548" s="150"/>
      <c r="D548" s="33"/>
      <c r="E548" s="33"/>
      <c r="F548" s="33"/>
      <c r="G548" s="33"/>
      <c r="H548" s="33"/>
      <c r="I548" s="33"/>
      <c r="J548" s="33"/>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row>
    <row r="549" spans="1:35" ht="15.6">
      <c r="A549" s="33"/>
      <c r="B549" s="33"/>
      <c r="C549" s="150"/>
      <c r="D549" s="33"/>
      <c r="E549" s="33"/>
      <c r="F549" s="33"/>
      <c r="G549" s="33"/>
      <c r="H549" s="33"/>
      <c r="I549" s="33"/>
      <c r="J549" s="33"/>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row>
    <row r="550" spans="1:35" ht="15.6">
      <c r="A550" s="33"/>
      <c r="B550" s="33"/>
      <c r="C550" s="150"/>
      <c r="D550" s="33"/>
      <c r="E550" s="33"/>
      <c r="F550" s="33"/>
      <c r="G550" s="33"/>
      <c r="H550" s="33"/>
      <c r="I550" s="33"/>
      <c r="J550" s="33"/>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row>
    <row r="551" spans="1:35" ht="15.6">
      <c r="A551" s="33"/>
      <c r="B551" s="33"/>
      <c r="C551" s="150"/>
      <c r="D551" s="33"/>
      <c r="E551" s="33"/>
      <c r="F551" s="33"/>
      <c r="G551" s="33"/>
      <c r="H551" s="33"/>
      <c r="I551" s="33"/>
      <c r="J551" s="33"/>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row>
    <row r="552" spans="1:35" ht="15.6">
      <c r="A552" s="33"/>
      <c r="B552" s="33"/>
      <c r="C552" s="150"/>
      <c r="D552" s="33"/>
      <c r="E552" s="33"/>
      <c r="F552" s="33"/>
      <c r="G552" s="33"/>
      <c r="H552" s="33"/>
      <c r="I552" s="33"/>
      <c r="J552" s="33"/>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row>
    <row r="553" spans="1:35" ht="15.6">
      <c r="A553" s="33"/>
      <c r="B553" s="33"/>
      <c r="C553" s="150"/>
      <c r="D553" s="33"/>
      <c r="E553" s="33"/>
      <c r="F553" s="33"/>
      <c r="G553" s="33"/>
      <c r="H553" s="33"/>
      <c r="I553" s="33"/>
      <c r="J553" s="33"/>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row>
    <row r="554" spans="1:35" ht="15.6">
      <c r="A554" s="33"/>
      <c r="B554" s="33"/>
      <c r="C554" s="150"/>
      <c r="D554" s="33"/>
      <c r="E554" s="33"/>
      <c r="F554" s="33"/>
      <c r="G554" s="33"/>
      <c r="H554" s="33"/>
      <c r="I554" s="33"/>
      <c r="J554" s="33"/>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row>
    <row r="555" spans="1:35" ht="15.6">
      <c r="A555" s="33"/>
      <c r="B555" s="33"/>
      <c r="C555" s="150"/>
      <c r="D555" s="33"/>
      <c r="E555" s="33"/>
      <c r="F555" s="33"/>
      <c r="G555" s="33"/>
      <c r="H555" s="33"/>
      <c r="I555" s="33"/>
      <c r="J555" s="33"/>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row>
    <row r="556" spans="1:35" ht="15.6">
      <c r="A556" s="33"/>
      <c r="B556" s="33"/>
      <c r="C556" s="150"/>
      <c r="D556" s="33"/>
      <c r="E556" s="33"/>
      <c r="F556" s="33"/>
      <c r="G556" s="33"/>
      <c r="H556" s="33"/>
      <c r="I556" s="33"/>
      <c r="J556" s="33"/>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row>
    <row r="557" spans="1:35" ht="15.6">
      <c r="A557" s="33"/>
      <c r="B557" s="33"/>
      <c r="C557" s="150"/>
      <c r="D557" s="33"/>
      <c r="E557" s="33"/>
      <c r="F557" s="33"/>
      <c r="G557" s="33"/>
      <c r="H557" s="33"/>
      <c r="I557" s="33"/>
      <c r="J557" s="33"/>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row>
    <row r="558" spans="1:35" ht="15.6">
      <c r="A558" s="33"/>
      <c r="B558" s="33"/>
      <c r="C558" s="150"/>
      <c r="D558" s="33"/>
      <c r="E558" s="33"/>
      <c r="F558" s="33"/>
      <c r="G558" s="33"/>
      <c r="H558" s="33"/>
      <c r="I558" s="33"/>
      <c r="J558" s="33"/>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row>
    <row r="559" spans="1:35" ht="15.6">
      <c r="A559" s="33"/>
      <c r="B559" s="33"/>
      <c r="C559" s="150"/>
      <c r="D559" s="33"/>
      <c r="E559" s="33"/>
      <c r="F559" s="33"/>
      <c r="G559" s="33"/>
      <c r="H559" s="33"/>
      <c r="I559" s="33"/>
      <c r="J559" s="33"/>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row>
    <row r="560" spans="1:35" ht="15.6">
      <c r="A560" s="33"/>
      <c r="B560" s="33"/>
      <c r="C560" s="150"/>
      <c r="D560" s="33"/>
      <c r="E560" s="33"/>
      <c r="F560" s="33"/>
      <c r="G560" s="33"/>
      <c r="H560" s="33"/>
      <c r="I560" s="33"/>
      <c r="J560" s="33"/>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row>
    <row r="561" spans="1:35" ht="15.6">
      <c r="A561" s="33"/>
      <c r="B561" s="33"/>
      <c r="C561" s="150"/>
      <c r="D561" s="33"/>
      <c r="E561" s="33"/>
      <c r="F561" s="33"/>
      <c r="G561" s="33"/>
      <c r="H561" s="33"/>
      <c r="I561" s="33"/>
      <c r="J561" s="33"/>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row>
    <row r="562" spans="1:35" ht="15.6">
      <c r="A562" s="33"/>
      <c r="B562" s="33"/>
      <c r="C562" s="150"/>
      <c r="D562" s="33"/>
      <c r="E562" s="33"/>
      <c r="F562" s="33"/>
      <c r="G562" s="33"/>
      <c r="H562" s="33"/>
      <c r="I562" s="33"/>
      <c r="J562" s="33"/>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row>
    <row r="563" spans="1:35" ht="15.6">
      <c r="A563" s="33"/>
      <c r="B563" s="33"/>
      <c r="C563" s="150"/>
      <c r="D563" s="33"/>
      <c r="E563" s="33"/>
      <c r="F563" s="33"/>
      <c r="G563" s="33"/>
      <c r="H563" s="33"/>
      <c r="I563" s="33"/>
      <c r="J563" s="33"/>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row>
    <row r="564" spans="1:35" ht="15.6">
      <c r="A564" s="33"/>
      <c r="B564" s="33"/>
      <c r="C564" s="150"/>
      <c r="D564" s="33"/>
      <c r="E564" s="33"/>
      <c r="F564" s="33"/>
      <c r="G564" s="33"/>
      <c r="H564" s="33"/>
      <c r="I564" s="33"/>
      <c r="J564" s="33"/>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row>
    <row r="565" spans="1:35" ht="15.6">
      <c r="A565" s="33"/>
      <c r="B565" s="33"/>
      <c r="C565" s="150"/>
      <c r="D565" s="33"/>
      <c r="E565" s="33"/>
      <c r="F565" s="33"/>
      <c r="G565" s="33"/>
      <c r="H565" s="33"/>
      <c r="I565" s="33"/>
      <c r="J565" s="33"/>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row>
    <row r="566" spans="1:35" ht="15.6">
      <c r="A566" s="33"/>
      <c r="B566" s="33"/>
      <c r="C566" s="150"/>
      <c r="D566" s="33"/>
      <c r="E566" s="33"/>
      <c r="F566" s="33"/>
      <c r="G566" s="33"/>
      <c r="H566" s="33"/>
      <c r="I566" s="33"/>
      <c r="J566" s="33"/>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row>
    <row r="567" spans="1:35" ht="15.6">
      <c r="A567" s="33"/>
      <c r="B567" s="33"/>
      <c r="C567" s="150"/>
      <c r="D567" s="33"/>
      <c r="E567" s="33"/>
      <c r="F567" s="33"/>
      <c r="G567" s="33"/>
      <c r="H567" s="33"/>
      <c r="I567" s="33"/>
      <c r="J567" s="33"/>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row>
    <row r="568" spans="1:35" ht="15.6">
      <c r="A568" s="33"/>
      <c r="B568" s="33"/>
      <c r="C568" s="150"/>
      <c r="D568" s="33"/>
      <c r="E568" s="33"/>
      <c r="F568" s="33"/>
      <c r="G568" s="33"/>
      <c r="H568" s="33"/>
      <c r="I568" s="33"/>
      <c r="J568" s="33"/>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row>
    <row r="569" spans="1:35" ht="15.6">
      <c r="A569" s="33"/>
      <c r="B569" s="33"/>
      <c r="C569" s="150"/>
      <c r="D569" s="33"/>
      <c r="E569" s="33"/>
      <c r="F569" s="33"/>
      <c r="G569" s="33"/>
      <c r="H569" s="33"/>
      <c r="I569" s="33"/>
      <c r="J569" s="33"/>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row>
    <row r="570" spans="1:35" ht="15.6">
      <c r="A570" s="33"/>
      <c r="B570" s="33"/>
      <c r="C570" s="150"/>
      <c r="D570" s="33"/>
      <c r="E570" s="33"/>
      <c r="F570" s="33"/>
      <c r="G570" s="33"/>
      <c r="H570" s="33"/>
      <c r="I570" s="33"/>
      <c r="J570" s="33"/>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row>
    <row r="571" spans="1:35" ht="15.6">
      <c r="A571" s="33"/>
      <c r="B571" s="33"/>
      <c r="C571" s="150"/>
      <c r="D571" s="33"/>
      <c r="E571" s="33"/>
      <c r="F571" s="33"/>
      <c r="G571" s="33"/>
      <c r="H571" s="33"/>
      <c r="I571" s="33"/>
      <c r="J571" s="33"/>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row>
    <row r="572" spans="1:35" ht="15.6">
      <c r="A572" s="33"/>
      <c r="B572" s="33"/>
      <c r="C572" s="150"/>
      <c r="D572" s="33"/>
      <c r="E572" s="33"/>
      <c r="F572" s="33"/>
      <c r="G572" s="33"/>
      <c r="H572" s="33"/>
      <c r="I572" s="33"/>
      <c r="J572" s="33"/>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row>
    <row r="573" spans="1:35" ht="15.6">
      <c r="A573" s="33"/>
      <c r="B573" s="33"/>
      <c r="C573" s="150"/>
      <c r="D573" s="33"/>
      <c r="E573" s="33"/>
      <c r="F573" s="33"/>
      <c r="G573" s="33"/>
      <c r="H573" s="33"/>
      <c r="I573" s="33"/>
      <c r="J573" s="33"/>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row>
    <row r="574" spans="1:35" ht="15.6">
      <c r="A574" s="33"/>
      <c r="B574" s="33"/>
      <c r="C574" s="150"/>
      <c r="D574" s="33"/>
      <c r="E574" s="33"/>
      <c r="F574" s="33"/>
      <c r="G574" s="33"/>
      <c r="H574" s="33"/>
      <c r="I574" s="33"/>
      <c r="J574" s="33"/>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row>
    <row r="575" spans="1:35" ht="15.6">
      <c r="A575" s="33"/>
      <c r="B575" s="33"/>
      <c r="C575" s="150"/>
      <c r="D575" s="33"/>
      <c r="E575" s="33"/>
      <c r="F575" s="33"/>
      <c r="G575" s="33"/>
      <c r="H575" s="33"/>
      <c r="I575" s="33"/>
      <c r="J575" s="33"/>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row>
    <row r="576" spans="1:35" ht="15.6">
      <c r="A576" s="33"/>
      <c r="B576" s="33"/>
      <c r="C576" s="150"/>
      <c r="D576" s="33"/>
      <c r="E576" s="33"/>
      <c r="F576" s="33"/>
      <c r="G576" s="33"/>
      <c r="H576" s="33"/>
      <c r="I576" s="33"/>
      <c r="J576" s="33"/>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row>
    <row r="577" spans="1:35" ht="15.6">
      <c r="A577" s="33"/>
      <c r="B577" s="33"/>
      <c r="C577" s="150"/>
      <c r="D577" s="33"/>
      <c r="E577" s="33"/>
      <c r="F577" s="33"/>
      <c r="G577" s="33"/>
      <c r="H577" s="33"/>
      <c r="I577" s="33"/>
      <c r="J577" s="33"/>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row>
    <row r="578" spans="1:35" ht="15.6">
      <c r="A578" s="33"/>
      <c r="B578" s="33"/>
      <c r="C578" s="150"/>
      <c r="D578" s="33"/>
      <c r="E578" s="33"/>
      <c r="F578" s="33"/>
      <c r="G578" s="33"/>
      <c r="H578" s="33"/>
      <c r="I578" s="33"/>
      <c r="J578" s="33"/>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row>
    <row r="579" spans="1:35" ht="15.6">
      <c r="A579" s="33"/>
      <c r="B579" s="33"/>
      <c r="C579" s="150"/>
      <c r="D579" s="33"/>
      <c r="E579" s="33"/>
      <c r="F579" s="33"/>
      <c r="G579" s="33"/>
      <c r="H579" s="33"/>
      <c r="I579" s="33"/>
      <c r="J579" s="33"/>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row>
    <row r="580" spans="1:35" ht="15.6">
      <c r="A580" s="33"/>
      <c r="B580" s="33"/>
      <c r="C580" s="150"/>
      <c r="D580" s="33"/>
      <c r="E580" s="33"/>
      <c r="F580" s="33"/>
      <c r="G580" s="33"/>
      <c r="H580" s="33"/>
      <c r="I580" s="33"/>
      <c r="J580" s="33"/>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row>
    <row r="581" spans="1:35" ht="15.6">
      <c r="A581" s="33"/>
      <c r="B581" s="33"/>
      <c r="C581" s="150"/>
      <c r="D581" s="33"/>
      <c r="E581" s="33"/>
      <c r="F581" s="33"/>
      <c r="G581" s="33"/>
      <c r="H581" s="33"/>
      <c r="I581" s="33"/>
      <c r="J581" s="33"/>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row>
    <row r="582" spans="1:35" ht="15.6">
      <c r="A582" s="33"/>
      <c r="B582" s="33"/>
      <c r="C582" s="150"/>
      <c r="D582" s="33"/>
      <c r="E582" s="33"/>
      <c r="F582" s="33"/>
      <c r="G582" s="33"/>
      <c r="H582" s="33"/>
      <c r="I582" s="33"/>
      <c r="J582" s="33"/>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row>
    <row r="583" spans="1:35" ht="15.6">
      <c r="A583" s="33"/>
      <c r="B583" s="33"/>
      <c r="C583" s="150"/>
      <c r="D583" s="33"/>
      <c r="E583" s="33"/>
      <c r="F583" s="33"/>
      <c r="G583" s="33"/>
      <c r="H583" s="33"/>
      <c r="I583" s="33"/>
      <c r="J583" s="33"/>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row>
    <row r="584" spans="1:35" ht="15.6">
      <c r="A584" s="33"/>
      <c r="B584" s="33"/>
      <c r="C584" s="150"/>
      <c r="D584" s="33"/>
      <c r="E584" s="33"/>
      <c r="F584" s="33"/>
      <c r="G584" s="33"/>
      <c r="H584" s="33"/>
      <c r="I584" s="33"/>
      <c r="J584" s="33"/>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row>
    <row r="585" spans="1:35" ht="15.6">
      <c r="A585" s="33"/>
      <c r="B585" s="33"/>
      <c r="C585" s="150"/>
      <c r="D585" s="33"/>
      <c r="E585" s="33"/>
      <c r="F585" s="33"/>
      <c r="G585" s="33"/>
      <c r="H585" s="33"/>
      <c r="I585" s="33"/>
      <c r="J585" s="33"/>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row>
    <row r="586" spans="1:35" ht="15.6">
      <c r="A586" s="33"/>
      <c r="B586" s="33"/>
      <c r="C586" s="150"/>
      <c r="D586" s="33"/>
      <c r="E586" s="33"/>
      <c r="F586" s="33"/>
      <c r="G586" s="33"/>
      <c r="H586" s="33"/>
      <c r="I586" s="33"/>
      <c r="J586" s="33"/>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row>
    <row r="587" spans="1:35" ht="15.6">
      <c r="A587" s="33"/>
      <c r="B587" s="33"/>
      <c r="C587" s="150"/>
      <c r="D587" s="33"/>
      <c r="E587" s="33"/>
      <c r="F587" s="33"/>
      <c r="G587" s="33"/>
      <c r="H587" s="33"/>
      <c r="I587" s="33"/>
      <c r="J587" s="33"/>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row>
    <row r="588" spans="1:35" ht="15.6">
      <c r="A588" s="33"/>
      <c r="B588" s="33"/>
      <c r="C588" s="150"/>
      <c r="D588" s="33"/>
      <c r="E588" s="33"/>
      <c r="F588" s="33"/>
      <c r="G588" s="33"/>
      <c r="H588" s="33"/>
      <c r="I588" s="33"/>
      <c r="J588" s="33"/>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row>
    <row r="589" spans="1:35" ht="15.6">
      <c r="A589" s="33"/>
      <c r="B589" s="33"/>
      <c r="C589" s="150"/>
      <c r="D589" s="33"/>
      <c r="E589" s="33"/>
      <c r="F589" s="33"/>
      <c r="G589" s="33"/>
      <c r="H589" s="33"/>
      <c r="I589" s="33"/>
      <c r="J589" s="33"/>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row>
    <row r="590" spans="1:35" ht="15.6">
      <c r="A590" s="33"/>
      <c r="B590" s="33"/>
      <c r="C590" s="150"/>
      <c r="D590" s="33"/>
      <c r="E590" s="33"/>
      <c r="F590" s="33"/>
      <c r="G590" s="33"/>
      <c r="H590" s="33"/>
      <c r="I590" s="33"/>
      <c r="J590" s="33"/>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row>
    <row r="591" spans="1:35" ht="15.6">
      <c r="A591" s="33"/>
      <c r="B591" s="33"/>
      <c r="C591" s="150"/>
      <c r="D591" s="33"/>
      <c r="E591" s="33"/>
      <c r="F591" s="33"/>
      <c r="G591" s="33"/>
      <c r="H591" s="33"/>
      <c r="I591" s="33"/>
      <c r="J591" s="33"/>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row>
    <row r="592" spans="1:35" ht="15.6">
      <c r="A592" s="33"/>
      <c r="B592" s="33"/>
      <c r="C592" s="150"/>
      <c r="D592" s="33"/>
      <c r="E592" s="33"/>
      <c r="F592" s="33"/>
      <c r="G592" s="33"/>
      <c r="H592" s="33"/>
      <c r="I592" s="33"/>
      <c r="J592" s="33"/>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row>
    <row r="593" spans="1:35" ht="15.6">
      <c r="A593" s="33"/>
      <c r="B593" s="33"/>
      <c r="C593" s="150"/>
      <c r="D593" s="33"/>
      <c r="E593" s="33"/>
      <c r="F593" s="33"/>
      <c r="G593" s="33"/>
      <c r="H593" s="33"/>
      <c r="I593" s="33"/>
      <c r="J593" s="33"/>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row>
    <row r="594" spans="1:35" ht="15.6">
      <c r="A594" s="33"/>
      <c r="B594" s="33"/>
      <c r="C594" s="150"/>
      <c r="D594" s="33"/>
      <c r="E594" s="33"/>
      <c r="F594" s="33"/>
      <c r="G594" s="33"/>
      <c r="H594" s="33"/>
      <c r="I594" s="33"/>
      <c r="J594" s="33"/>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row>
    <row r="595" spans="1:35" ht="15.6">
      <c r="A595" s="33"/>
      <c r="B595" s="33"/>
      <c r="C595" s="150"/>
      <c r="D595" s="33"/>
      <c r="E595" s="33"/>
      <c r="F595" s="33"/>
      <c r="G595" s="33"/>
      <c r="H595" s="33"/>
      <c r="I595" s="33"/>
      <c r="J595" s="33"/>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row>
    <row r="596" spans="1:35" ht="15.6">
      <c r="A596" s="33"/>
      <c r="B596" s="33"/>
      <c r="C596" s="150"/>
      <c r="D596" s="33"/>
      <c r="E596" s="33"/>
      <c r="F596" s="33"/>
      <c r="G596" s="33"/>
      <c r="H596" s="33"/>
      <c r="I596" s="33"/>
      <c r="J596" s="33"/>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row>
    <row r="597" spans="1:35" ht="15.6">
      <c r="A597" s="33"/>
      <c r="B597" s="33"/>
      <c r="C597" s="150"/>
      <c r="D597" s="33"/>
      <c r="E597" s="33"/>
      <c r="F597" s="33"/>
      <c r="G597" s="33"/>
      <c r="H597" s="33"/>
      <c r="I597" s="33"/>
      <c r="J597" s="33"/>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row>
    <row r="598" spans="1:35" ht="15.6">
      <c r="A598" s="33"/>
      <c r="B598" s="33"/>
      <c r="C598" s="150"/>
      <c r="D598" s="33"/>
      <c r="E598" s="33"/>
      <c r="F598" s="33"/>
      <c r="G598" s="33"/>
      <c r="H598" s="33"/>
      <c r="I598" s="33"/>
      <c r="J598" s="33"/>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row>
    <row r="599" spans="1:35" ht="15.6">
      <c r="A599" s="33"/>
      <c r="B599" s="33"/>
      <c r="C599" s="150"/>
      <c r="D599" s="33"/>
      <c r="E599" s="33"/>
      <c r="F599" s="33"/>
      <c r="G599" s="33"/>
      <c r="H599" s="33"/>
      <c r="I599" s="33"/>
      <c r="J599" s="33"/>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row>
    <row r="600" spans="1:35" ht="15.6">
      <c r="A600" s="33"/>
      <c r="B600" s="33"/>
      <c r="C600" s="150"/>
      <c r="D600" s="33"/>
      <c r="E600" s="33"/>
      <c r="F600" s="33"/>
      <c r="G600" s="33"/>
      <c r="H600" s="33"/>
      <c r="I600" s="33"/>
      <c r="J600" s="33"/>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row>
    <row r="601" spans="1:35" ht="15.6">
      <c r="A601" s="33"/>
      <c r="B601" s="33"/>
      <c r="C601" s="150"/>
      <c r="D601" s="33"/>
      <c r="E601" s="33"/>
      <c r="F601" s="33"/>
      <c r="G601" s="33"/>
      <c r="H601" s="33"/>
      <c r="I601" s="33"/>
      <c r="J601" s="33"/>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row>
    <row r="602" spans="1:35" ht="15.6">
      <c r="A602" s="33"/>
      <c r="B602" s="33"/>
      <c r="C602" s="150"/>
      <c r="D602" s="33"/>
      <c r="E602" s="33"/>
      <c r="F602" s="33"/>
      <c r="G602" s="33"/>
      <c r="H602" s="33"/>
      <c r="I602" s="33"/>
      <c r="J602" s="33"/>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row>
    <row r="603" spans="1:35" ht="15.6">
      <c r="A603" s="33"/>
      <c r="B603" s="33"/>
      <c r="C603" s="150"/>
      <c r="D603" s="33"/>
      <c r="E603" s="33"/>
      <c r="F603" s="33"/>
      <c r="G603" s="33"/>
      <c r="H603" s="33"/>
      <c r="I603" s="33"/>
      <c r="J603" s="33"/>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row>
    <row r="604" spans="1:35" ht="15.6">
      <c r="A604" s="33"/>
      <c r="B604" s="33"/>
      <c r="C604" s="150"/>
      <c r="D604" s="33"/>
      <c r="E604" s="33"/>
      <c r="F604" s="33"/>
      <c r="G604" s="33"/>
      <c r="H604" s="33"/>
      <c r="I604" s="33"/>
      <c r="J604" s="33"/>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row>
    <row r="605" spans="1:35" ht="15.6">
      <c r="A605" s="33"/>
      <c r="B605" s="33"/>
      <c r="C605" s="150"/>
      <c r="D605" s="33"/>
      <c r="E605" s="33"/>
      <c r="F605" s="33"/>
      <c r="G605" s="33"/>
      <c r="H605" s="33"/>
      <c r="I605" s="33"/>
      <c r="J605" s="33"/>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row>
    <row r="606" spans="1:35" ht="15.6">
      <c r="A606" s="33"/>
      <c r="B606" s="33"/>
      <c r="C606" s="150"/>
      <c r="D606" s="33"/>
      <c r="E606" s="33"/>
      <c r="F606" s="33"/>
      <c r="G606" s="33"/>
      <c r="H606" s="33"/>
      <c r="I606" s="33"/>
      <c r="J606" s="33"/>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row>
    <row r="607" spans="1:35" ht="15.6">
      <c r="A607" s="33"/>
      <c r="B607" s="33"/>
      <c r="C607" s="150"/>
      <c r="D607" s="33"/>
      <c r="E607" s="33"/>
      <c r="F607" s="33"/>
      <c r="G607" s="33"/>
      <c r="H607" s="33"/>
      <c r="I607" s="33"/>
      <c r="J607" s="33"/>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row>
    <row r="608" spans="1:35" ht="15.6">
      <c r="A608" s="33"/>
      <c r="B608" s="33"/>
      <c r="C608" s="150"/>
      <c r="D608" s="33"/>
      <c r="E608" s="33"/>
      <c r="F608" s="33"/>
      <c r="G608" s="33"/>
      <c r="H608" s="33"/>
      <c r="I608" s="33"/>
      <c r="J608" s="33"/>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row>
    <row r="609" spans="1:35" ht="15.6">
      <c r="A609" s="33"/>
      <c r="B609" s="33"/>
      <c r="C609" s="150"/>
      <c r="D609" s="33"/>
      <c r="E609" s="33"/>
      <c r="F609" s="33"/>
      <c r="G609" s="33"/>
      <c r="H609" s="33"/>
      <c r="I609" s="33"/>
      <c r="J609" s="33"/>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row>
    <row r="610" spans="1:35" ht="15.6">
      <c r="A610" s="33"/>
      <c r="B610" s="33"/>
      <c r="C610" s="150"/>
      <c r="D610" s="33"/>
      <c r="E610" s="33"/>
      <c r="F610" s="33"/>
      <c r="G610" s="33"/>
      <c r="H610" s="33"/>
      <c r="I610" s="33"/>
      <c r="J610" s="33"/>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row>
    <row r="611" spans="1:35" ht="15.6">
      <c r="A611" s="33"/>
      <c r="B611" s="33"/>
      <c r="C611" s="150"/>
      <c r="D611" s="33"/>
      <c r="E611" s="33"/>
      <c r="F611" s="33"/>
      <c r="G611" s="33"/>
      <c r="H611" s="33"/>
      <c r="I611" s="33"/>
      <c r="J611" s="33"/>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row>
    <row r="612" spans="1:35" ht="15.6">
      <c r="A612" s="33"/>
      <c r="B612" s="33"/>
      <c r="C612" s="150"/>
      <c r="D612" s="33"/>
      <c r="E612" s="33"/>
      <c r="F612" s="33"/>
      <c r="G612" s="33"/>
      <c r="H612" s="33"/>
      <c r="I612" s="33"/>
      <c r="J612" s="33"/>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row>
    <row r="613" spans="1:35" ht="15.6">
      <c r="A613" s="33"/>
      <c r="B613" s="33"/>
      <c r="C613" s="150"/>
      <c r="D613" s="33"/>
      <c r="E613" s="33"/>
      <c r="F613" s="33"/>
      <c r="G613" s="33"/>
      <c r="H613" s="33"/>
      <c r="I613" s="33"/>
      <c r="J613" s="33"/>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row>
    <row r="614" spans="1:35" ht="15.6">
      <c r="A614" s="33"/>
      <c r="B614" s="33"/>
      <c r="C614" s="150"/>
      <c r="D614" s="33"/>
      <c r="E614" s="33"/>
      <c r="F614" s="33"/>
      <c r="G614" s="33"/>
      <c r="H614" s="33"/>
      <c r="I614" s="33"/>
      <c r="J614" s="33"/>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row>
    <row r="615" spans="1:35" ht="15.6">
      <c r="A615" s="33"/>
      <c r="B615" s="33"/>
      <c r="C615" s="150"/>
      <c r="D615" s="33"/>
      <c r="E615" s="33"/>
      <c r="F615" s="33"/>
      <c r="G615" s="33"/>
      <c r="H615" s="33"/>
      <c r="I615" s="33"/>
      <c r="J615" s="33"/>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row>
    <row r="616" spans="1:35" ht="15.6">
      <c r="A616" s="33"/>
      <c r="B616" s="33"/>
      <c r="C616" s="150"/>
      <c r="D616" s="33"/>
      <c r="E616" s="33"/>
      <c r="F616" s="33"/>
      <c r="G616" s="33"/>
      <c r="H616" s="33"/>
      <c r="I616" s="33"/>
      <c r="J616" s="33"/>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row>
    <row r="617" spans="1:35" ht="15.6">
      <c r="A617" s="33"/>
      <c r="B617" s="33"/>
      <c r="C617" s="150"/>
      <c r="D617" s="33"/>
      <c r="E617" s="33"/>
      <c r="F617" s="33"/>
      <c r="G617" s="33"/>
      <c r="H617" s="33"/>
      <c r="I617" s="33"/>
      <c r="J617" s="33"/>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row>
    <row r="618" spans="1:35" ht="15.6">
      <c r="A618" s="33"/>
      <c r="B618" s="33"/>
      <c r="C618" s="150"/>
      <c r="D618" s="33"/>
      <c r="E618" s="33"/>
      <c r="F618" s="33"/>
      <c r="G618" s="33"/>
      <c r="H618" s="33"/>
      <c r="I618" s="33"/>
      <c r="J618" s="33"/>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row>
    <row r="619" spans="1:35" ht="15.6">
      <c r="A619" s="33"/>
      <c r="B619" s="33"/>
      <c r="C619" s="150"/>
      <c r="D619" s="33"/>
      <c r="E619" s="33"/>
      <c r="F619" s="33"/>
      <c r="G619" s="33"/>
      <c r="H619" s="33"/>
      <c r="I619" s="33"/>
      <c r="J619" s="33"/>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row>
    <row r="620" spans="1:35" ht="15.6">
      <c r="A620" s="33"/>
      <c r="B620" s="33"/>
      <c r="C620" s="150"/>
      <c r="D620" s="33"/>
      <c r="E620" s="33"/>
      <c r="F620" s="33"/>
      <c r="G620" s="33"/>
      <c r="H620" s="33"/>
      <c r="I620" s="33"/>
      <c r="J620" s="33"/>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row>
    <row r="621" spans="1:35" ht="15.6">
      <c r="A621" s="33"/>
      <c r="B621" s="33"/>
      <c r="C621" s="150"/>
      <c r="D621" s="33"/>
      <c r="E621" s="33"/>
      <c r="F621" s="33"/>
      <c r="G621" s="33"/>
      <c r="H621" s="33"/>
      <c r="I621" s="33"/>
      <c r="J621" s="33"/>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row>
    <row r="622" spans="1:35" ht="15.6">
      <c r="A622" s="33"/>
      <c r="B622" s="33"/>
      <c r="C622" s="150"/>
      <c r="D622" s="33"/>
      <c r="E622" s="33"/>
      <c r="F622" s="33"/>
      <c r="G622" s="33"/>
      <c r="H622" s="33"/>
      <c r="I622" s="33"/>
      <c r="J622" s="33"/>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row>
    <row r="623" spans="1:35" ht="15.6">
      <c r="A623" s="33"/>
      <c r="B623" s="33"/>
      <c r="C623" s="150"/>
      <c r="D623" s="33"/>
      <c r="E623" s="33"/>
      <c r="F623" s="33"/>
      <c r="G623" s="33"/>
      <c r="H623" s="33"/>
      <c r="I623" s="33"/>
      <c r="J623" s="33"/>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row>
    <row r="624" spans="1:35" ht="15.6">
      <c r="A624" s="33"/>
      <c r="B624" s="33"/>
      <c r="C624" s="150"/>
      <c r="D624" s="33"/>
      <c r="E624" s="33"/>
      <c r="F624" s="33"/>
      <c r="G624" s="33"/>
      <c r="H624" s="33"/>
      <c r="I624" s="33"/>
      <c r="J624" s="33"/>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row>
    <row r="625" spans="1:35" ht="15.6">
      <c r="A625" s="33"/>
      <c r="B625" s="33"/>
      <c r="C625" s="150"/>
      <c r="D625" s="33"/>
      <c r="E625" s="33"/>
      <c r="F625" s="33"/>
      <c r="G625" s="33"/>
      <c r="H625" s="33"/>
      <c r="I625" s="33"/>
      <c r="J625" s="33"/>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row>
    <row r="626" spans="1:35" ht="15.6">
      <c r="A626" s="33"/>
      <c r="B626" s="33"/>
      <c r="C626" s="150"/>
      <c r="D626" s="33"/>
      <c r="E626" s="33"/>
      <c r="F626" s="33"/>
      <c r="G626" s="33"/>
      <c r="H626" s="33"/>
      <c r="I626" s="33"/>
      <c r="J626" s="33"/>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row>
    <row r="627" spans="1:35" ht="15.6">
      <c r="A627" s="33"/>
      <c r="B627" s="33"/>
      <c r="C627" s="150"/>
      <c r="D627" s="33"/>
      <c r="E627" s="33"/>
      <c r="F627" s="33"/>
      <c r="G627" s="33"/>
      <c r="H627" s="33"/>
      <c r="I627" s="33"/>
      <c r="J627" s="33"/>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row>
    <row r="628" spans="1:35" ht="15.6">
      <c r="A628" s="33"/>
      <c r="B628" s="33"/>
      <c r="C628" s="150"/>
      <c r="D628" s="33"/>
      <c r="E628" s="33"/>
      <c r="F628" s="33"/>
      <c r="G628" s="33"/>
      <c r="H628" s="33"/>
      <c r="I628" s="33"/>
      <c r="J628" s="33"/>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row>
    <row r="629" spans="1:35" ht="15.6">
      <c r="A629" s="33"/>
      <c r="B629" s="33"/>
      <c r="C629" s="150"/>
      <c r="D629" s="33"/>
      <c r="E629" s="33"/>
      <c r="F629" s="33"/>
      <c r="G629" s="33"/>
      <c r="H629" s="33"/>
      <c r="I629" s="33"/>
      <c r="J629" s="33"/>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row>
    <row r="630" spans="1:35" ht="15.6">
      <c r="A630" s="33"/>
      <c r="B630" s="33"/>
      <c r="C630" s="150"/>
      <c r="D630" s="33"/>
      <c r="E630" s="33"/>
      <c r="F630" s="33"/>
      <c r="G630" s="33"/>
      <c r="H630" s="33"/>
      <c r="I630" s="33"/>
      <c r="J630" s="33"/>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row>
    <row r="631" spans="1:35" ht="15.6">
      <c r="A631" s="33"/>
      <c r="B631" s="33"/>
      <c r="C631" s="150"/>
      <c r="D631" s="33"/>
      <c r="E631" s="33"/>
      <c r="F631" s="33"/>
      <c r="G631" s="33"/>
      <c r="H631" s="33"/>
      <c r="I631" s="33"/>
      <c r="J631" s="33"/>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row>
    <row r="632" spans="1:35" ht="15.6">
      <c r="A632" s="33"/>
      <c r="B632" s="33"/>
      <c r="C632" s="150"/>
      <c r="D632" s="33"/>
      <c r="E632" s="33"/>
      <c r="F632" s="33"/>
      <c r="G632" s="33"/>
      <c r="H632" s="33"/>
      <c r="I632" s="33"/>
      <c r="J632" s="33"/>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row>
    <row r="633" spans="1:35" ht="15.6">
      <c r="A633" s="33"/>
      <c r="B633" s="33"/>
      <c r="C633" s="150"/>
      <c r="D633" s="33"/>
      <c r="E633" s="33"/>
      <c r="F633" s="33"/>
      <c r="G633" s="33"/>
      <c r="H633" s="33"/>
      <c r="I633" s="33"/>
      <c r="J633" s="33"/>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row>
    <row r="634" spans="1:35" ht="15.6">
      <c r="A634" s="33"/>
      <c r="B634" s="33"/>
      <c r="C634" s="150"/>
      <c r="D634" s="33"/>
      <c r="E634" s="33"/>
      <c r="F634" s="33"/>
      <c r="G634" s="33"/>
      <c r="H634" s="33"/>
      <c r="I634" s="33"/>
      <c r="J634" s="33"/>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row>
    <row r="635" spans="1:35" ht="15.6">
      <c r="A635" s="33"/>
      <c r="B635" s="33"/>
      <c r="C635" s="150"/>
      <c r="D635" s="33"/>
      <c r="E635" s="33"/>
      <c r="F635" s="33"/>
      <c r="G635" s="33"/>
      <c r="H635" s="33"/>
      <c r="I635" s="33"/>
      <c r="J635" s="33"/>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row>
    <row r="636" spans="1:35" ht="15.6">
      <c r="A636" s="33"/>
      <c r="B636" s="33"/>
      <c r="C636" s="150"/>
      <c r="D636" s="33"/>
      <c r="E636" s="33"/>
      <c r="F636" s="33"/>
      <c r="G636" s="33"/>
      <c r="H636" s="33"/>
      <c r="I636" s="33"/>
      <c r="J636" s="33"/>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row>
    <row r="637" spans="1:35" ht="15.6">
      <c r="A637" s="33"/>
      <c r="B637" s="33"/>
      <c r="C637" s="150"/>
      <c r="D637" s="33"/>
      <c r="E637" s="33"/>
      <c r="F637" s="33"/>
      <c r="G637" s="33"/>
      <c r="H637" s="33"/>
      <c r="I637" s="33"/>
      <c r="J637" s="33"/>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row>
    <row r="638" spans="1:35" ht="15.6">
      <c r="A638" s="33"/>
      <c r="B638" s="33"/>
      <c r="C638" s="150"/>
      <c r="D638" s="33"/>
      <c r="E638" s="33"/>
      <c r="F638" s="33"/>
      <c r="G638" s="33"/>
      <c r="H638" s="33"/>
      <c r="I638" s="33"/>
      <c r="J638" s="33"/>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row>
    <row r="639" spans="1:35" ht="15.6">
      <c r="A639" s="33"/>
      <c r="B639" s="33"/>
      <c r="C639" s="150"/>
      <c r="D639" s="33"/>
      <c r="E639" s="33"/>
      <c r="F639" s="33"/>
      <c r="G639" s="33"/>
      <c r="H639" s="33"/>
      <c r="I639" s="33"/>
      <c r="J639" s="33"/>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row>
    <row r="640" spans="1:35" ht="15.6">
      <c r="A640" s="33"/>
      <c r="B640" s="33"/>
      <c r="C640" s="150"/>
      <c r="D640" s="33"/>
      <c r="E640" s="33"/>
      <c r="F640" s="33"/>
      <c r="G640" s="33"/>
      <c r="H640" s="33"/>
      <c r="I640" s="33"/>
      <c r="J640" s="33"/>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row>
    <row r="641" spans="1:35" ht="15.6">
      <c r="A641" s="33"/>
      <c r="B641" s="33"/>
      <c r="C641" s="150"/>
      <c r="D641" s="33"/>
      <c r="E641" s="33"/>
      <c r="F641" s="33"/>
      <c r="G641" s="33"/>
      <c r="H641" s="33"/>
      <c r="I641" s="33"/>
      <c r="J641" s="33"/>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row>
    <row r="642" spans="1:35" ht="15.6">
      <c r="A642" s="33"/>
      <c r="B642" s="33"/>
      <c r="C642" s="150"/>
      <c r="D642" s="33"/>
      <c r="E642" s="33"/>
      <c r="F642" s="33"/>
      <c r="G642" s="33"/>
      <c r="H642" s="33"/>
      <c r="I642" s="33"/>
      <c r="J642" s="33"/>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row>
    <row r="643" spans="1:35" ht="15.6">
      <c r="A643" s="33"/>
      <c r="B643" s="33"/>
      <c r="C643" s="150"/>
      <c r="D643" s="33"/>
      <c r="E643" s="33"/>
      <c r="F643" s="33"/>
      <c r="G643" s="33"/>
      <c r="H643" s="33"/>
      <c r="I643" s="33"/>
      <c r="J643" s="33"/>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row>
    <row r="644" spans="1:35" ht="15.6">
      <c r="A644" s="33"/>
      <c r="B644" s="33"/>
      <c r="C644" s="150"/>
      <c r="D644" s="33"/>
      <c r="E644" s="33"/>
      <c r="F644" s="33"/>
      <c r="G644" s="33"/>
      <c r="H644" s="33"/>
      <c r="I644" s="33"/>
      <c r="J644" s="33"/>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row>
    <row r="645" spans="1:35" ht="15.6">
      <c r="A645" s="33"/>
      <c r="B645" s="33"/>
      <c r="C645" s="150"/>
      <c r="D645" s="33"/>
      <c r="E645" s="33"/>
      <c r="F645" s="33"/>
      <c r="G645" s="33"/>
      <c r="H645" s="33"/>
      <c r="I645" s="33"/>
      <c r="J645" s="33"/>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row>
    <row r="646" spans="1:35" ht="15.6">
      <c r="A646" s="33"/>
      <c r="B646" s="33"/>
      <c r="C646" s="150"/>
      <c r="D646" s="33"/>
      <c r="E646" s="33"/>
      <c r="F646" s="33"/>
      <c r="G646" s="33"/>
      <c r="H646" s="33"/>
      <c r="I646" s="33"/>
      <c r="J646" s="33"/>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row>
    <row r="647" spans="1:35" ht="15.6">
      <c r="A647" s="33"/>
      <c r="B647" s="33"/>
      <c r="C647" s="150"/>
      <c r="D647" s="33"/>
      <c r="E647" s="33"/>
      <c r="F647" s="33"/>
      <c r="G647" s="33"/>
      <c r="H647" s="33"/>
      <c r="I647" s="33"/>
      <c r="J647" s="33"/>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row>
    <row r="648" spans="1:35" ht="15.6">
      <c r="A648" s="33"/>
      <c r="B648" s="33"/>
      <c r="C648" s="150"/>
      <c r="D648" s="33"/>
      <c r="E648" s="33"/>
      <c r="F648" s="33"/>
      <c r="G648" s="33"/>
      <c r="H648" s="33"/>
      <c r="I648" s="33"/>
      <c r="J648" s="33"/>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row>
    <row r="649" spans="1:35" ht="15.6">
      <c r="A649" s="33"/>
      <c r="B649" s="33"/>
      <c r="C649" s="150"/>
      <c r="D649" s="33"/>
      <c r="E649" s="33"/>
      <c r="F649" s="33"/>
      <c r="G649" s="33"/>
      <c r="H649" s="33"/>
      <c r="I649" s="33"/>
      <c r="J649" s="33"/>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row>
    <row r="650" spans="1:35" ht="15.6">
      <c r="A650" s="33"/>
      <c r="B650" s="33"/>
      <c r="C650" s="150"/>
      <c r="D650" s="33"/>
      <c r="E650" s="33"/>
      <c r="F650" s="33"/>
      <c r="G650" s="33"/>
      <c r="H650" s="33"/>
      <c r="I650" s="33"/>
      <c r="J650" s="33"/>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row>
    <row r="651" spans="1:35" ht="15.6">
      <c r="A651" s="33"/>
      <c r="B651" s="33"/>
      <c r="C651" s="150"/>
      <c r="D651" s="33"/>
      <c r="E651" s="33"/>
      <c r="F651" s="33"/>
      <c r="G651" s="33"/>
      <c r="H651" s="33"/>
      <c r="I651" s="33"/>
      <c r="J651" s="33"/>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row>
    <row r="652" spans="1:35" ht="15.6">
      <c r="A652" s="33"/>
      <c r="B652" s="33"/>
      <c r="C652" s="150"/>
      <c r="D652" s="33"/>
      <c r="E652" s="33"/>
      <c r="F652" s="33"/>
      <c r="G652" s="33"/>
      <c r="H652" s="33"/>
      <c r="I652" s="33"/>
      <c r="J652" s="33"/>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row>
    <row r="653" spans="1:35" ht="15.6">
      <c r="A653" s="33"/>
      <c r="B653" s="33"/>
      <c r="C653" s="150"/>
      <c r="D653" s="33"/>
      <c r="E653" s="33"/>
      <c r="F653" s="33"/>
      <c r="G653" s="33"/>
      <c r="H653" s="33"/>
      <c r="I653" s="33"/>
      <c r="J653" s="33"/>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row>
    <row r="654" spans="1:35" ht="15.6">
      <c r="A654" s="33"/>
      <c r="B654" s="33"/>
      <c r="C654" s="150"/>
      <c r="D654" s="33"/>
      <c r="E654" s="33"/>
      <c r="F654" s="33"/>
      <c r="G654" s="33"/>
      <c r="H654" s="33"/>
      <c r="I654" s="33"/>
      <c r="J654" s="33"/>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row>
    <row r="655" spans="1:35" ht="15.6">
      <c r="A655" s="33"/>
      <c r="B655" s="33"/>
      <c r="C655" s="150"/>
      <c r="D655" s="33"/>
      <c r="E655" s="33"/>
      <c r="F655" s="33"/>
      <c r="G655" s="33"/>
      <c r="H655" s="33"/>
      <c r="I655" s="33"/>
      <c r="J655" s="33"/>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row>
    <row r="656" spans="1:35" ht="15.6">
      <c r="A656" s="33"/>
      <c r="B656" s="33"/>
      <c r="C656" s="150"/>
      <c r="D656" s="33"/>
      <c r="E656" s="33"/>
      <c r="F656" s="33"/>
      <c r="G656" s="33"/>
      <c r="H656" s="33"/>
      <c r="I656" s="33"/>
      <c r="J656" s="33"/>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row>
    <row r="657" spans="1:35" ht="15.6">
      <c r="A657" s="33"/>
      <c r="B657" s="33"/>
      <c r="C657" s="150"/>
      <c r="D657" s="33"/>
      <c r="E657" s="33"/>
      <c r="F657" s="33"/>
      <c r="G657" s="33"/>
      <c r="H657" s="33"/>
      <c r="I657" s="33"/>
      <c r="J657" s="33"/>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row>
    <row r="658" spans="1:35" ht="15.6">
      <c r="A658" s="33"/>
      <c r="B658" s="33"/>
      <c r="C658" s="150"/>
      <c r="D658" s="33"/>
      <c r="E658" s="33"/>
      <c r="F658" s="33"/>
      <c r="G658" s="33"/>
      <c r="H658" s="33"/>
      <c r="I658" s="33"/>
      <c r="J658" s="33"/>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row>
    <row r="659" spans="1:35" ht="15.6">
      <c r="A659" s="33"/>
      <c r="B659" s="33"/>
      <c r="C659" s="150"/>
      <c r="D659" s="33"/>
      <c r="E659" s="33"/>
      <c r="F659" s="33"/>
      <c r="G659" s="33"/>
      <c r="H659" s="33"/>
      <c r="I659" s="33"/>
      <c r="J659" s="33"/>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row>
    <row r="660" spans="1:35" ht="15.6">
      <c r="A660" s="33"/>
      <c r="B660" s="33"/>
      <c r="C660" s="150"/>
      <c r="D660" s="33"/>
      <c r="E660" s="33"/>
      <c r="F660" s="33"/>
      <c r="G660" s="33"/>
      <c r="H660" s="33"/>
      <c r="I660" s="33"/>
      <c r="J660" s="33"/>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row>
    <row r="661" spans="1:35" ht="15.6">
      <c r="A661" s="33"/>
      <c r="B661" s="33"/>
      <c r="C661" s="150"/>
      <c r="D661" s="33"/>
      <c r="E661" s="33"/>
      <c r="F661" s="33"/>
      <c r="G661" s="33"/>
      <c r="H661" s="33"/>
      <c r="I661" s="33"/>
      <c r="J661" s="33"/>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row>
    <row r="662" spans="1:35" ht="15.6">
      <c r="A662" s="33"/>
      <c r="B662" s="33"/>
      <c r="C662" s="150"/>
      <c r="D662" s="33"/>
      <c r="E662" s="33"/>
      <c r="F662" s="33"/>
      <c r="G662" s="33"/>
      <c r="H662" s="33"/>
      <c r="I662" s="33"/>
      <c r="J662" s="33"/>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row>
    <row r="663" spans="1:35" ht="15.6">
      <c r="A663" s="33"/>
      <c r="B663" s="33"/>
      <c r="C663" s="150"/>
      <c r="D663" s="33"/>
      <c r="E663" s="33"/>
      <c r="F663" s="33"/>
      <c r="G663" s="33"/>
      <c r="H663" s="33"/>
      <c r="I663" s="33"/>
      <c r="J663" s="33"/>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row>
    <row r="664" spans="1:35" ht="15.6">
      <c r="A664" s="33"/>
      <c r="B664" s="33"/>
      <c r="C664" s="150"/>
      <c r="D664" s="33"/>
      <c r="E664" s="33"/>
      <c r="F664" s="33"/>
      <c r="G664" s="33"/>
      <c r="H664" s="33"/>
      <c r="I664" s="33"/>
      <c r="J664" s="33"/>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row>
    <row r="665" spans="1:35" ht="15.6">
      <c r="A665" s="33"/>
      <c r="B665" s="33"/>
      <c r="C665" s="150"/>
      <c r="D665" s="33"/>
      <c r="E665" s="33"/>
      <c r="F665" s="33"/>
      <c r="G665" s="33"/>
      <c r="H665" s="33"/>
      <c r="I665" s="33"/>
      <c r="J665" s="33"/>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row>
    <row r="666" spans="1:35" ht="15.6">
      <c r="A666" s="33"/>
      <c r="B666" s="33"/>
      <c r="C666" s="150"/>
      <c r="D666" s="33"/>
      <c r="E666" s="33"/>
      <c r="F666" s="33"/>
      <c r="G666" s="33"/>
      <c r="H666" s="33"/>
      <c r="I666" s="33"/>
      <c r="J666" s="33"/>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row>
    <row r="667" spans="1:35" ht="15.6">
      <c r="A667" s="33"/>
      <c r="B667" s="33"/>
      <c r="C667" s="150"/>
      <c r="D667" s="33"/>
      <c r="E667" s="33"/>
      <c r="F667" s="33"/>
      <c r="G667" s="33"/>
      <c r="H667" s="33"/>
      <c r="I667" s="33"/>
      <c r="J667" s="33"/>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row>
    <row r="668" spans="1:35" ht="15.6">
      <c r="A668" s="33"/>
      <c r="B668" s="33"/>
      <c r="C668" s="150"/>
      <c r="D668" s="33"/>
      <c r="E668" s="33"/>
      <c r="F668" s="33"/>
      <c r="G668" s="33"/>
      <c r="H668" s="33"/>
      <c r="I668" s="33"/>
      <c r="J668" s="33"/>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row>
    <row r="669" spans="1:35" ht="15.6">
      <c r="A669" s="33"/>
      <c r="B669" s="33"/>
      <c r="C669" s="150"/>
      <c r="D669" s="33"/>
      <c r="E669" s="33"/>
      <c r="F669" s="33"/>
      <c r="G669" s="33"/>
      <c r="H669" s="33"/>
      <c r="I669" s="33"/>
      <c r="J669" s="33"/>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row>
    <row r="670" spans="1:35" ht="15.6">
      <c r="A670" s="33"/>
      <c r="B670" s="33"/>
      <c r="C670" s="150"/>
      <c r="D670" s="33"/>
      <c r="E670" s="33"/>
      <c r="F670" s="33"/>
      <c r="G670" s="33"/>
      <c r="H670" s="33"/>
      <c r="I670" s="33"/>
      <c r="J670" s="33"/>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row>
    <row r="671" spans="1:35" ht="15.6">
      <c r="A671" s="33"/>
      <c r="B671" s="33"/>
      <c r="C671" s="150"/>
      <c r="D671" s="33"/>
      <c r="E671" s="33"/>
      <c r="F671" s="33"/>
      <c r="G671" s="33"/>
      <c r="H671" s="33"/>
      <c r="I671" s="33"/>
      <c r="J671" s="33"/>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row>
    <row r="672" spans="1:35" ht="15.6">
      <c r="A672" s="33"/>
      <c r="B672" s="33"/>
      <c r="C672" s="150"/>
      <c r="D672" s="33"/>
      <c r="E672" s="33"/>
      <c r="F672" s="33"/>
      <c r="G672" s="33"/>
      <c r="H672" s="33"/>
      <c r="I672" s="33"/>
      <c r="J672" s="33"/>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row>
    <row r="673" spans="1:35" ht="15.6">
      <c r="A673" s="33"/>
      <c r="B673" s="33"/>
      <c r="C673" s="150"/>
      <c r="D673" s="33"/>
      <c r="E673" s="33"/>
      <c r="F673" s="33"/>
      <c r="G673" s="33"/>
      <c r="H673" s="33"/>
      <c r="I673" s="33"/>
      <c r="J673" s="33"/>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row>
    <row r="674" spans="1:35" ht="15.6">
      <c r="A674" s="33"/>
      <c r="B674" s="33"/>
      <c r="C674" s="150"/>
      <c r="D674" s="33"/>
      <c r="E674" s="33"/>
      <c r="F674" s="33"/>
      <c r="G674" s="33"/>
      <c r="H674" s="33"/>
      <c r="I674" s="33"/>
      <c r="J674" s="33"/>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row>
    <row r="675" spans="1:35" ht="15.6">
      <c r="A675" s="33"/>
      <c r="B675" s="33"/>
      <c r="C675" s="150"/>
      <c r="D675" s="33"/>
      <c r="E675" s="33"/>
      <c r="F675" s="33"/>
      <c r="G675" s="33"/>
      <c r="H675" s="33"/>
      <c r="I675" s="33"/>
      <c r="J675" s="33"/>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row>
    <row r="676" spans="1:35" ht="15.6">
      <c r="A676" s="33"/>
      <c r="B676" s="33"/>
      <c r="C676" s="150"/>
      <c r="D676" s="33"/>
      <c r="E676" s="33"/>
      <c r="F676" s="33"/>
      <c r="G676" s="33"/>
      <c r="H676" s="33"/>
      <c r="I676" s="33"/>
      <c r="J676" s="33"/>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row>
    <row r="677" spans="1:35" ht="15.6">
      <c r="A677" s="33"/>
      <c r="B677" s="33"/>
      <c r="C677" s="150"/>
      <c r="D677" s="33"/>
      <c r="E677" s="33"/>
      <c r="F677" s="33"/>
      <c r="G677" s="33"/>
      <c r="H677" s="33"/>
      <c r="I677" s="33"/>
      <c r="J677" s="33"/>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row>
    <row r="678" spans="1:35" ht="15.6">
      <c r="A678" s="33"/>
      <c r="B678" s="33"/>
      <c r="C678" s="150"/>
      <c r="D678" s="33"/>
      <c r="E678" s="33"/>
      <c r="F678" s="33"/>
      <c r="G678" s="33"/>
      <c r="H678" s="33"/>
      <c r="I678" s="33"/>
      <c r="J678" s="33"/>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row>
    <row r="679" spans="1:35" ht="15.6">
      <c r="A679" s="33"/>
      <c r="B679" s="33"/>
      <c r="C679" s="150"/>
      <c r="D679" s="33"/>
      <c r="E679" s="33"/>
      <c r="F679" s="33"/>
      <c r="G679" s="33"/>
      <c r="H679" s="33"/>
      <c r="I679" s="33"/>
      <c r="J679" s="33"/>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row>
    <row r="680" spans="1:35" ht="15.6">
      <c r="A680" s="33"/>
      <c r="B680" s="33"/>
      <c r="C680" s="150"/>
      <c r="D680" s="33"/>
      <c r="E680" s="33"/>
      <c r="F680" s="33"/>
      <c r="G680" s="33"/>
      <c r="H680" s="33"/>
      <c r="I680" s="33"/>
      <c r="J680" s="33"/>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row>
    <row r="681" spans="1:35" ht="15.6">
      <c r="A681" s="33"/>
      <c r="B681" s="33"/>
      <c r="C681" s="150"/>
      <c r="D681" s="33"/>
      <c r="E681" s="33"/>
      <c r="F681" s="33"/>
      <c r="G681" s="33"/>
      <c r="H681" s="33"/>
      <c r="I681" s="33"/>
      <c r="J681" s="33"/>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row>
    <row r="682" spans="1:35" ht="15.6">
      <c r="A682" s="33"/>
      <c r="B682" s="33"/>
      <c r="C682" s="150"/>
      <c r="D682" s="33"/>
      <c r="E682" s="33"/>
      <c r="F682" s="33"/>
      <c r="G682" s="33"/>
      <c r="H682" s="33"/>
      <c r="I682" s="33"/>
      <c r="J682" s="33"/>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row>
    <row r="683" spans="1:35" ht="15.6">
      <c r="A683" s="33"/>
      <c r="B683" s="33"/>
      <c r="C683" s="150"/>
      <c r="D683" s="33"/>
      <c r="E683" s="33"/>
      <c r="F683" s="33"/>
      <c r="G683" s="33"/>
      <c r="H683" s="33"/>
      <c r="I683" s="33"/>
      <c r="J683" s="33"/>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row>
    <row r="684" spans="1:35" ht="15.6">
      <c r="A684" s="33"/>
      <c r="B684" s="33"/>
      <c r="C684" s="150"/>
      <c r="D684" s="33"/>
      <c r="E684" s="33"/>
      <c r="F684" s="33"/>
      <c r="G684" s="33"/>
      <c r="H684" s="33"/>
      <c r="I684" s="33"/>
      <c r="J684" s="33"/>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row>
    <row r="685" spans="1:35" ht="15.6">
      <c r="A685" s="33"/>
      <c r="B685" s="33"/>
      <c r="C685" s="150"/>
      <c r="D685" s="33"/>
      <c r="E685" s="33"/>
      <c r="F685" s="33"/>
      <c r="G685" s="33"/>
      <c r="H685" s="33"/>
      <c r="I685" s="33"/>
      <c r="J685" s="33"/>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row>
    <row r="686" spans="1:35" ht="15.6">
      <c r="A686" s="33"/>
      <c r="B686" s="33"/>
      <c r="C686" s="150"/>
      <c r="D686" s="33"/>
      <c r="E686" s="33"/>
      <c r="F686" s="33"/>
      <c r="G686" s="33"/>
      <c r="H686" s="33"/>
      <c r="I686" s="33"/>
      <c r="J686" s="33"/>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row>
    <row r="687" spans="1:35" ht="15.6">
      <c r="A687" s="33"/>
      <c r="B687" s="33"/>
      <c r="C687" s="150"/>
      <c r="D687" s="33"/>
      <c r="E687" s="33"/>
      <c r="F687" s="33"/>
      <c r="G687" s="33"/>
      <c r="H687" s="33"/>
      <c r="I687" s="33"/>
      <c r="J687" s="33"/>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row>
    <row r="688" spans="1:35" ht="15.6">
      <c r="A688" s="33"/>
      <c r="B688" s="33"/>
      <c r="C688" s="150"/>
      <c r="D688" s="33"/>
      <c r="E688" s="33"/>
      <c r="F688" s="33"/>
      <c r="G688" s="33"/>
      <c r="H688" s="33"/>
      <c r="I688" s="33"/>
      <c r="J688" s="33"/>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row>
    <row r="689" spans="1:35" ht="15.6">
      <c r="A689" s="33"/>
      <c r="B689" s="33"/>
      <c r="C689" s="150"/>
      <c r="D689" s="33"/>
      <c r="E689" s="33"/>
      <c r="F689" s="33"/>
      <c r="G689" s="33"/>
      <c r="H689" s="33"/>
      <c r="I689" s="33"/>
      <c r="J689" s="33"/>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row>
    <row r="690" spans="1:35" ht="15.6">
      <c r="A690" s="33"/>
      <c r="B690" s="33"/>
      <c r="C690" s="150"/>
      <c r="D690" s="33"/>
      <c r="E690" s="33"/>
      <c r="F690" s="33"/>
      <c r="G690" s="33"/>
      <c r="H690" s="33"/>
      <c r="I690" s="33"/>
      <c r="J690" s="33"/>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row>
    <row r="691" spans="1:35" ht="15.6">
      <c r="A691" s="33"/>
      <c r="B691" s="33"/>
      <c r="C691" s="150"/>
      <c r="D691" s="33"/>
      <c r="E691" s="33"/>
      <c r="F691" s="33"/>
      <c r="G691" s="33"/>
      <c r="H691" s="33"/>
      <c r="I691" s="33"/>
      <c r="J691" s="33"/>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row>
    <row r="692" spans="1:35" ht="15.6">
      <c r="A692" s="33"/>
      <c r="B692" s="33"/>
      <c r="C692" s="150"/>
      <c r="D692" s="33"/>
      <c r="E692" s="33"/>
      <c r="F692" s="33"/>
      <c r="G692" s="33"/>
      <c r="H692" s="33"/>
      <c r="I692" s="33"/>
      <c r="J692" s="33"/>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row>
    <row r="693" spans="1:35" ht="15.6">
      <c r="A693" s="33"/>
      <c r="B693" s="33"/>
      <c r="C693" s="150"/>
      <c r="D693" s="33"/>
      <c r="E693" s="33"/>
      <c r="F693" s="33"/>
      <c r="G693" s="33"/>
      <c r="H693" s="33"/>
      <c r="I693" s="33"/>
      <c r="J693" s="33"/>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row>
    <row r="694" spans="1:35" ht="15.6">
      <c r="A694" s="33"/>
      <c r="B694" s="33"/>
      <c r="C694" s="150"/>
      <c r="D694" s="33"/>
      <c r="E694" s="33"/>
      <c r="F694" s="33"/>
      <c r="G694" s="33"/>
      <c r="H694" s="33"/>
      <c r="I694" s="33"/>
      <c r="J694" s="33"/>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row>
    <row r="695" spans="1:35" ht="15.6">
      <c r="A695" s="33"/>
      <c r="B695" s="33"/>
      <c r="C695" s="150"/>
      <c r="D695" s="33"/>
      <c r="E695" s="33"/>
      <c r="F695" s="33"/>
      <c r="G695" s="33"/>
      <c r="H695" s="33"/>
      <c r="I695" s="33"/>
      <c r="J695" s="33"/>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row>
    <row r="696" spans="1:35" ht="15.6">
      <c r="A696" s="33"/>
      <c r="B696" s="33"/>
      <c r="C696" s="150"/>
      <c r="D696" s="33"/>
      <c r="E696" s="33"/>
      <c r="F696" s="33"/>
      <c r="G696" s="33"/>
      <c r="H696" s="33"/>
      <c r="I696" s="33"/>
      <c r="J696" s="33"/>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row>
    <row r="697" spans="1:35" ht="15.6">
      <c r="A697" s="33"/>
      <c r="B697" s="33"/>
      <c r="C697" s="150"/>
      <c r="D697" s="33"/>
      <c r="E697" s="33"/>
      <c r="F697" s="33"/>
      <c r="G697" s="33"/>
      <c r="H697" s="33"/>
      <c r="I697" s="33"/>
      <c r="J697" s="33"/>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row>
    <row r="698" spans="1:35" ht="15.6">
      <c r="A698" s="33"/>
      <c r="B698" s="33"/>
      <c r="C698" s="150"/>
      <c r="D698" s="33"/>
      <c r="E698" s="33"/>
      <c r="F698" s="33"/>
      <c r="G698" s="33"/>
      <c r="H698" s="33"/>
      <c r="I698" s="33"/>
      <c r="J698" s="33"/>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row>
    <row r="699" spans="1:35" ht="15.6">
      <c r="A699" s="33"/>
      <c r="B699" s="33"/>
      <c r="C699" s="150"/>
      <c r="D699" s="33"/>
      <c r="E699" s="33"/>
      <c r="F699" s="33"/>
      <c r="G699" s="33"/>
      <c r="H699" s="33"/>
      <c r="I699" s="33"/>
      <c r="J699" s="33"/>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row>
    <row r="700" spans="1:35" ht="15.6">
      <c r="A700" s="33"/>
      <c r="B700" s="33"/>
      <c r="C700" s="150"/>
      <c r="D700" s="33"/>
      <c r="E700" s="33"/>
      <c r="F700" s="33"/>
      <c r="G700" s="33"/>
      <c r="H700" s="33"/>
      <c r="I700" s="33"/>
      <c r="J700" s="33"/>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row>
    <row r="701" spans="1:35" ht="15.6">
      <c r="A701" s="33"/>
      <c r="B701" s="33"/>
      <c r="C701" s="150"/>
      <c r="D701" s="33"/>
      <c r="E701" s="33"/>
      <c r="F701" s="33"/>
      <c r="G701" s="33"/>
      <c r="H701" s="33"/>
      <c r="I701" s="33"/>
      <c r="J701" s="33"/>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row>
    <row r="702" spans="1:35" ht="15.6">
      <c r="A702" s="33"/>
      <c r="B702" s="33"/>
      <c r="C702" s="150"/>
      <c r="D702" s="33"/>
      <c r="E702" s="33"/>
      <c r="F702" s="33"/>
      <c r="G702" s="33"/>
      <c r="H702" s="33"/>
      <c r="I702" s="33"/>
      <c r="J702" s="33"/>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row>
    <row r="703" spans="1:35" ht="15.6">
      <c r="A703" s="33"/>
      <c r="B703" s="33"/>
      <c r="C703" s="150"/>
      <c r="D703" s="33"/>
      <c r="E703" s="33"/>
      <c r="F703" s="33"/>
      <c r="G703" s="33"/>
      <c r="H703" s="33"/>
      <c r="I703" s="33"/>
      <c r="J703" s="33"/>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row>
    <row r="704" spans="1:35" ht="15.6">
      <c r="A704" s="33"/>
      <c r="B704" s="33"/>
      <c r="C704" s="150"/>
      <c r="D704" s="33"/>
      <c r="E704" s="33"/>
      <c r="F704" s="33"/>
      <c r="G704" s="33"/>
      <c r="H704" s="33"/>
      <c r="I704" s="33"/>
      <c r="J704" s="33"/>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row>
    <row r="705" spans="1:35" ht="15.6">
      <c r="A705" s="33"/>
      <c r="B705" s="33"/>
      <c r="C705" s="150"/>
      <c r="D705" s="33"/>
      <c r="E705" s="33"/>
      <c r="F705" s="33"/>
      <c r="G705" s="33"/>
      <c r="H705" s="33"/>
      <c r="I705" s="33"/>
      <c r="J705" s="33"/>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row>
    <row r="706" spans="1:35" ht="15.6">
      <c r="A706" s="33"/>
      <c r="B706" s="33"/>
      <c r="C706" s="150"/>
      <c r="D706" s="33"/>
      <c r="E706" s="33"/>
      <c r="F706" s="33"/>
      <c r="G706" s="33"/>
      <c r="H706" s="33"/>
      <c r="I706" s="33"/>
      <c r="J706" s="33"/>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row>
    <row r="707" spans="1:35" ht="15.6">
      <c r="A707" s="33"/>
      <c r="B707" s="33"/>
      <c r="C707" s="150"/>
      <c r="D707" s="33"/>
      <c r="E707" s="33"/>
      <c r="F707" s="33"/>
      <c r="G707" s="33"/>
      <c r="H707" s="33"/>
      <c r="I707" s="33"/>
      <c r="J707" s="33"/>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row>
    <row r="708" spans="1:35" ht="15.6">
      <c r="A708" s="33"/>
      <c r="B708" s="33"/>
      <c r="C708" s="150"/>
      <c r="D708" s="33"/>
      <c r="E708" s="33"/>
      <c r="F708" s="33"/>
      <c r="G708" s="33"/>
      <c r="H708" s="33"/>
      <c r="I708" s="33"/>
      <c r="J708" s="33"/>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row>
    <row r="709" spans="1:35" ht="15.6">
      <c r="A709" s="33"/>
      <c r="B709" s="33"/>
      <c r="C709" s="150"/>
      <c r="D709" s="33"/>
      <c r="E709" s="33"/>
      <c r="F709" s="33"/>
      <c r="G709" s="33"/>
      <c r="H709" s="33"/>
      <c r="I709" s="33"/>
      <c r="J709" s="33"/>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row>
    <row r="710" spans="1:35" ht="15.6">
      <c r="A710" s="33"/>
      <c r="B710" s="33"/>
      <c r="C710" s="150"/>
      <c r="D710" s="33"/>
      <c r="E710" s="33"/>
      <c r="F710" s="33"/>
      <c r="G710" s="33"/>
      <c r="H710" s="33"/>
      <c r="I710" s="33"/>
      <c r="J710" s="33"/>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row>
    <row r="711" spans="1:35" ht="15.6">
      <c r="A711" s="33"/>
      <c r="B711" s="33"/>
      <c r="C711" s="150"/>
      <c r="D711" s="33"/>
      <c r="E711" s="33"/>
      <c r="F711" s="33"/>
      <c r="G711" s="33"/>
      <c r="H711" s="33"/>
      <c r="I711" s="33"/>
      <c r="J711" s="33"/>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row>
    <row r="712" spans="1:35" ht="15.6">
      <c r="A712" s="33"/>
      <c r="B712" s="33"/>
      <c r="C712" s="150"/>
      <c r="D712" s="33"/>
      <c r="E712" s="33"/>
      <c r="F712" s="33"/>
      <c r="G712" s="33"/>
      <c r="H712" s="33"/>
      <c r="I712" s="33"/>
      <c r="J712" s="33"/>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row>
    <row r="713" spans="1:35" ht="15.6">
      <c r="A713" s="33"/>
      <c r="B713" s="33"/>
      <c r="C713" s="150"/>
      <c r="D713" s="33"/>
      <c r="E713" s="33"/>
      <c r="F713" s="33"/>
      <c r="G713" s="33"/>
      <c r="H713" s="33"/>
      <c r="I713" s="33"/>
      <c r="J713" s="33"/>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row>
    <row r="714" spans="1:35" ht="15.6">
      <c r="A714" s="33"/>
      <c r="B714" s="33"/>
      <c r="C714" s="150"/>
      <c r="D714" s="33"/>
      <c r="E714" s="33"/>
      <c r="F714" s="33"/>
      <c r="G714" s="33"/>
      <c r="H714" s="33"/>
      <c r="I714" s="33"/>
      <c r="J714" s="33"/>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row>
    <row r="715" spans="1:35" ht="15.6">
      <c r="A715" s="33"/>
      <c r="B715" s="33"/>
      <c r="C715" s="150"/>
      <c r="D715" s="33"/>
      <c r="E715" s="33"/>
      <c r="F715" s="33"/>
      <c r="G715" s="33"/>
      <c r="H715" s="33"/>
      <c r="I715" s="33"/>
      <c r="J715" s="33"/>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row>
    <row r="716" spans="1:35" ht="15.6">
      <c r="A716" s="33"/>
      <c r="B716" s="33"/>
      <c r="C716" s="150"/>
      <c r="D716" s="33"/>
      <c r="E716" s="33"/>
      <c r="F716" s="33"/>
      <c r="G716" s="33"/>
      <c r="H716" s="33"/>
      <c r="I716" s="33"/>
      <c r="J716" s="33"/>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row>
    <row r="717" spans="1:35" ht="15.6">
      <c r="A717" s="33"/>
      <c r="B717" s="33"/>
      <c r="C717" s="150"/>
      <c r="D717" s="33"/>
      <c r="E717" s="33"/>
      <c r="F717" s="33"/>
      <c r="G717" s="33"/>
      <c r="H717" s="33"/>
      <c r="I717" s="33"/>
      <c r="J717" s="33"/>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row>
    <row r="718" spans="1:35" ht="15.6">
      <c r="A718" s="33"/>
      <c r="B718" s="33"/>
      <c r="C718" s="150"/>
      <c r="D718" s="33"/>
      <c r="E718" s="33"/>
      <c r="F718" s="33"/>
      <c r="G718" s="33"/>
      <c r="H718" s="33"/>
      <c r="I718" s="33"/>
      <c r="J718" s="33"/>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row>
    <row r="719" spans="1:35" ht="15.6">
      <c r="A719" s="33"/>
      <c r="B719" s="33"/>
      <c r="C719" s="150"/>
      <c r="D719" s="33"/>
      <c r="E719" s="33"/>
      <c r="F719" s="33"/>
      <c r="G719" s="33"/>
      <c r="H719" s="33"/>
      <c r="I719" s="33"/>
      <c r="J719" s="33"/>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row>
    <row r="720" spans="1:35" ht="15.6">
      <c r="A720" s="33"/>
      <c r="B720" s="33"/>
      <c r="C720" s="150"/>
      <c r="D720" s="33"/>
      <c r="E720" s="33"/>
      <c r="F720" s="33"/>
      <c r="G720" s="33"/>
      <c r="H720" s="33"/>
      <c r="I720" s="33"/>
      <c r="J720" s="33"/>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row>
    <row r="721" spans="1:35" ht="15.6">
      <c r="A721" s="33"/>
      <c r="B721" s="33"/>
      <c r="C721" s="150"/>
      <c r="D721" s="33"/>
      <c r="E721" s="33"/>
      <c r="F721" s="33"/>
      <c r="G721" s="33"/>
      <c r="H721" s="33"/>
      <c r="I721" s="33"/>
      <c r="J721" s="33"/>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row>
    <row r="722" spans="1:35" ht="15.6">
      <c r="A722" s="33"/>
      <c r="B722" s="33"/>
      <c r="C722" s="150"/>
      <c r="D722" s="33"/>
      <c r="E722" s="33"/>
      <c r="F722" s="33"/>
      <c r="G722" s="33"/>
      <c r="H722" s="33"/>
      <c r="I722" s="33"/>
      <c r="J722" s="33"/>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row>
    <row r="723" spans="1:35" ht="15.6">
      <c r="A723" s="33"/>
      <c r="B723" s="33"/>
      <c r="C723" s="150"/>
      <c r="D723" s="33"/>
      <c r="E723" s="33"/>
      <c r="F723" s="33"/>
      <c r="G723" s="33"/>
      <c r="H723" s="33"/>
      <c r="I723" s="33"/>
      <c r="J723" s="33"/>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row>
    <row r="724" spans="1:35" ht="15.6">
      <c r="A724" s="33"/>
      <c r="B724" s="33"/>
      <c r="C724" s="150"/>
      <c r="D724" s="33"/>
      <c r="E724" s="33"/>
      <c r="F724" s="33"/>
      <c r="G724" s="33"/>
      <c r="H724" s="33"/>
      <c r="I724" s="33"/>
      <c r="J724" s="33"/>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row>
    <row r="725" spans="1:35" ht="15.6">
      <c r="A725" s="33"/>
      <c r="B725" s="33"/>
      <c r="C725" s="150"/>
      <c r="D725" s="33"/>
      <c r="E725" s="33"/>
      <c r="F725" s="33"/>
      <c r="G725" s="33"/>
      <c r="H725" s="33"/>
      <c r="I725" s="33"/>
      <c r="J725" s="33"/>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row>
    <row r="726" spans="1:35" ht="15.6">
      <c r="A726" s="33"/>
      <c r="B726" s="33"/>
      <c r="C726" s="150"/>
      <c r="D726" s="33"/>
      <c r="E726" s="33"/>
      <c r="F726" s="33"/>
      <c r="G726" s="33"/>
      <c r="H726" s="33"/>
      <c r="I726" s="33"/>
      <c r="J726" s="33"/>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row>
    <row r="727" spans="1:35" ht="15.6">
      <c r="A727" s="33"/>
      <c r="B727" s="33"/>
      <c r="C727" s="150"/>
      <c r="D727" s="33"/>
      <c r="E727" s="33"/>
      <c r="F727" s="33"/>
      <c r="G727" s="33"/>
      <c r="H727" s="33"/>
      <c r="I727" s="33"/>
      <c r="J727" s="33"/>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row>
    <row r="728" spans="1:35" ht="15.6">
      <c r="A728" s="33"/>
      <c r="B728" s="33"/>
      <c r="C728" s="150"/>
      <c r="D728" s="33"/>
      <c r="E728" s="33"/>
      <c r="F728" s="33"/>
      <c r="G728" s="33"/>
      <c r="H728" s="33"/>
      <c r="I728" s="33"/>
      <c r="J728" s="33"/>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row>
    <row r="729" spans="1:35" ht="15.6">
      <c r="A729" s="33"/>
      <c r="B729" s="33"/>
      <c r="C729" s="150"/>
      <c r="D729" s="33"/>
      <c r="E729" s="33"/>
      <c r="F729" s="33"/>
      <c r="G729" s="33"/>
      <c r="H729" s="33"/>
      <c r="I729" s="33"/>
      <c r="J729" s="33"/>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row>
    <row r="730" spans="1:35" ht="15.6">
      <c r="A730" s="33"/>
      <c r="B730" s="33"/>
      <c r="C730" s="150"/>
      <c r="D730" s="33"/>
      <c r="E730" s="33"/>
      <c r="F730" s="33"/>
      <c r="G730" s="33"/>
      <c r="H730" s="33"/>
      <c r="I730" s="33"/>
      <c r="J730" s="33"/>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row>
    <row r="731" spans="1:35" ht="15.6">
      <c r="A731" s="33"/>
      <c r="B731" s="33"/>
      <c r="C731" s="150"/>
      <c r="D731" s="33"/>
      <c r="E731" s="33"/>
      <c r="F731" s="33"/>
      <c r="G731" s="33"/>
      <c r="H731" s="33"/>
      <c r="I731" s="33"/>
      <c r="J731" s="33"/>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row>
    <row r="732" spans="1:35" ht="15.6">
      <c r="A732" s="33"/>
      <c r="B732" s="33"/>
      <c r="C732" s="150"/>
      <c r="D732" s="33"/>
      <c r="E732" s="33"/>
      <c r="F732" s="33"/>
      <c r="G732" s="33"/>
      <c r="H732" s="33"/>
      <c r="I732" s="33"/>
      <c r="J732" s="33"/>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row>
    <row r="733" spans="1:35" ht="15.6">
      <c r="A733" s="33"/>
      <c r="B733" s="33"/>
      <c r="C733" s="150"/>
      <c r="D733" s="33"/>
      <c r="E733" s="33"/>
      <c r="F733" s="33"/>
      <c r="G733" s="33"/>
      <c r="H733" s="33"/>
      <c r="I733" s="33"/>
      <c r="J733" s="33"/>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row>
    <row r="734" spans="1:35" ht="15.6">
      <c r="A734" s="33"/>
      <c r="B734" s="33"/>
      <c r="C734" s="150"/>
      <c r="D734" s="33"/>
      <c r="E734" s="33"/>
      <c r="F734" s="33"/>
      <c r="G734" s="33"/>
      <c r="H734" s="33"/>
      <c r="I734" s="33"/>
      <c r="J734" s="33"/>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row>
    <row r="735" spans="1:35" ht="15.6">
      <c r="A735" s="33"/>
      <c r="B735" s="33"/>
      <c r="C735" s="150"/>
      <c r="D735" s="33"/>
      <c r="E735" s="33"/>
      <c r="F735" s="33"/>
      <c r="G735" s="33"/>
      <c r="H735" s="33"/>
      <c r="I735" s="33"/>
      <c r="J735" s="33"/>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row>
    <row r="736" spans="1:35" ht="15.6">
      <c r="A736" s="33"/>
      <c r="B736" s="33"/>
      <c r="C736" s="150"/>
      <c r="D736" s="33"/>
      <c r="E736" s="33"/>
      <c r="F736" s="33"/>
      <c r="G736" s="33"/>
      <c r="H736" s="33"/>
      <c r="I736" s="33"/>
      <c r="J736" s="33"/>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row>
    <row r="737" spans="1:35" ht="15.6">
      <c r="A737" s="33"/>
      <c r="B737" s="33"/>
      <c r="C737" s="150"/>
      <c r="D737" s="33"/>
      <c r="E737" s="33"/>
      <c r="F737" s="33"/>
      <c r="G737" s="33"/>
      <c r="H737" s="33"/>
      <c r="I737" s="33"/>
      <c r="J737" s="33"/>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row>
    <row r="738" spans="1:35" ht="15.6">
      <c r="A738" s="33"/>
      <c r="B738" s="33"/>
      <c r="C738" s="150"/>
      <c r="D738" s="33"/>
      <c r="E738" s="33"/>
      <c r="F738" s="33"/>
      <c r="G738" s="33"/>
      <c r="H738" s="33"/>
      <c r="I738" s="33"/>
      <c r="J738" s="33"/>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row>
    <row r="739" spans="1:35" ht="15.6">
      <c r="A739" s="33"/>
      <c r="B739" s="33"/>
      <c r="C739" s="150"/>
      <c r="D739" s="33"/>
      <c r="E739" s="33"/>
      <c r="F739" s="33"/>
      <c r="G739" s="33"/>
      <c r="H739" s="33"/>
      <c r="I739" s="33"/>
      <c r="J739" s="33"/>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row>
    <row r="740" spans="1:35" ht="15.6">
      <c r="A740" s="33"/>
      <c r="B740" s="33"/>
      <c r="C740" s="150"/>
      <c r="D740" s="33"/>
      <c r="E740" s="33"/>
      <c r="F740" s="33"/>
      <c r="G740" s="33"/>
      <c r="H740" s="33"/>
      <c r="I740" s="33"/>
      <c r="J740" s="33"/>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row>
    <row r="741" spans="1:35" ht="15.6">
      <c r="A741" s="33"/>
      <c r="B741" s="33"/>
      <c r="C741" s="150"/>
      <c r="D741" s="33"/>
      <c r="E741" s="33"/>
      <c r="F741" s="33"/>
      <c r="G741" s="33"/>
      <c r="H741" s="33"/>
      <c r="I741" s="33"/>
      <c r="J741" s="33"/>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row>
    <row r="742" spans="1:35" ht="15.6">
      <c r="A742" s="33"/>
      <c r="B742" s="33"/>
      <c r="C742" s="150"/>
      <c r="D742" s="33"/>
      <c r="E742" s="33"/>
      <c r="F742" s="33"/>
      <c r="G742" s="33"/>
      <c r="H742" s="33"/>
      <c r="I742" s="33"/>
      <c r="J742" s="33"/>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row>
    <row r="743" spans="1:35" ht="15.6">
      <c r="A743" s="33"/>
      <c r="B743" s="33"/>
      <c r="C743" s="150"/>
      <c r="D743" s="33"/>
      <c r="E743" s="33"/>
      <c r="F743" s="33"/>
      <c r="G743" s="33"/>
      <c r="H743" s="33"/>
      <c r="I743" s="33"/>
      <c r="J743" s="33"/>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row>
    <row r="744" spans="1:35" ht="15.6">
      <c r="A744" s="33"/>
      <c r="B744" s="33"/>
      <c r="C744" s="150"/>
      <c r="D744" s="33"/>
      <c r="E744" s="33"/>
      <c r="F744" s="33"/>
      <c r="G744" s="33"/>
      <c r="H744" s="33"/>
      <c r="I744" s="33"/>
      <c r="J744" s="33"/>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row>
    <row r="745" spans="1:35" ht="15.6">
      <c r="A745" s="33"/>
      <c r="B745" s="33"/>
      <c r="C745" s="150"/>
      <c r="D745" s="33"/>
      <c r="E745" s="33"/>
      <c r="F745" s="33"/>
      <c r="G745" s="33"/>
      <c r="H745" s="33"/>
      <c r="I745" s="33"/>
      <c r="J745" s="33"/>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row>
    <row r="746" spans="1:35" ht="15.6">
      <c r="A746" s="33"/>
      <c r="B746" s="33"/>
      <c r="C746" s="150"/>
      <c r="D746" s="33"/>
      <c r="E746" s="33"/>
      <c r="F746" s="33"/>
      <c r="G746" s="33"/>
      <c r="H746" s="33"/>
      <c r="I746" s="33"/>
      <c r="J746" s="33"/>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row>
    <row r="747" spans="1:35" ht="15.6">
      <c r="A747" s="33"/>
      <c r="B747" s="33"/>
      <c r="C747" s="150"/>
      <c r="D747" s="33"/>
      <c r="E747" s="33"/>
      <c r="F747" s="33"/>
      <c r="G747" s="33"/>
      <c r="H747" s="33"/>
      <c r="I747" s="33"/>
      <c r="J747" s="33"/>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row>
    <row r="748" spans="1:35" ht="15.6">
      <c r="A748" s="33"/>
      <c r="B748" s="33"/>
      <c r="C748" s="150"/>
      <c r="D748" s="33"/>
      <c r="E748" s="33"/>
      <c r="F748" s="33"/>
      <c r="G748" s="33"/>
      <c r="H748" s="33"/>
      <c r="I748" s="33"/>
      <c r="J748" s="33"/>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row>
    <row r="749" spans="1:35" ht="15.6">
      <c r="A749" s="33"/>
      <c r="B749" s="33"/>
      <c r="C749" s="150"/>
      <c r="D749" s="33"/>
      <c r="E749" s="33"/>
      <c r="F749" s="33"/>
      <c r="G749" s="33"/>
      <c r="H749" s="33"/>
      <c r="I749" s="33"/>
      <c r="J749" s="33"/>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row>
    <row r="750" spans="1:35" ht="15.6">
      <c r="A750" s="33"/>
      <c r="B750" s="33"/>
      <c r="C750" s="150"/>
      <c r="D750" s="33"/>
      <c r="E750" s="33"/>
      <c r="F750" s="33"/>
      <c r="G750" s="33"/>
      <c r="H750" s="33"/>
      <c r="I750" s="33"/>
      <c r="J750" s="33"/>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row>
    <row r="751" spans="1:35" ht="15.6">
      <c r="A751" s="33"/>
      <c r="B751" s="33"/>
      <c r="C751" s="150"/>
      <c r="D751" s="33"/>
      <c r="E751" s="33"/>
      <c r="F751" s="33"/>
      <c r="G751" s="33"/>
      <c r="H751" s="33"/>
      <c r="I751" s="33"/>
      <c r="J751" s="33"/>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row>
    <row r="752" spans="1:35" ht="15.6">
      <c r="A752" s="33"/>
      <c r="B752" s="33"/>
      <c r="C752" s="150"/>
      <c r="D752" s="33"/>
      <c r="E752" s="33"/>
      <c r="F752" s="33"/>
      <c r="G752" s="33"/>
      <c r="H752" s="33"/>
      <c r="I752" s="33"/>
      <c r="J752" s="33"/>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row>
    <row r="753" spans="1:35" ht="15.6">
      <c r="A753" s="33"/>
      <c r="B753" s="33"/>
      <c r="C753" s="150"/>
      <c r="D753" s="33"/>
      <c r="E753" s="33"/>
      <c r="F753" s="33"/>
      <c r="G753" s="33"/>
      <c r="H753" s="33"/>
      <c r="I753" s="33"/>
      <c r="J753" s="33"/>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row>
    <row r="754" spans="1:35" ht="15.6">
      <c r="A754" s="33"/>
      <c r="B754" s="33"/>
      <c r="C754" s="150"/>
      <c r="D754" s="33"/>
      <c r="E754" s="33"/>
      <c r="F754" s="33"/>
      <c r="G754" s="33"/>
      <c r="H754" s="33"/>
      <c r="I754" s="33"/>
      <c r="J754" s="33"/>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row>
    <row r="755" spans="1:35" ht="15.6">
      <c r="A755" s="33"/>
      <c r="B755" s="33"/>
      <c r="C755" s="150"/>
      <c r="D755" s="33"/>
      <c r="E755" s="33"/>
      <c r="F755" s="33"/>
      <c r="G755" s="33"/>
      <c r="H755" s="33"/>
      <c r="I755" s="33"/>
      <c r="J755" s="33"/>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row>
    <row r="756" spans="1:35" ht="15.6">
      <c r="A756" s="33"/>
      <c r="B756" s="33"/>
      <c r="C756" s="150"/>
      <c r="D756" s="33"/>
      <c r="E756" s="33"/>
      <c r="F756" s="33"/>
      <c r="G756" s="33"/>
      <c r="H756" s="33"/>
      <c r="I756" s="33"/>
      <c r="J756" s="33"/>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row>
    <row r="757" spans="1:35" ht="15.6">
      <c r="A757" s="33"/>
      <c r="B757" s="33"/>
      <c r="C757" s="150"/>
      <c r="D757" s="33"/>
      <c r="E757" s="33"/>
      <c r="F757" s="33"/>
      <c r="G757" s="33"/>
      <c r="H757" s="33"/>
      <c r="I757" s="33"/>
      <c r="J757" s="33"/>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row>
    <row r="758" spans="1:35" ht="15.6">
      <c r="A758" s="33"/>
      <c r="B758" s="33"/>
      <c r="C758" s="150"/>
      <c r="D758" s="33"/>
      <c r="E758" s="33"/>
      <c r="F758" s="33"/>
      <c r="G758" s="33"/>
      <c r="H758" s="33"/>
      <c r="I758" s="33"/>
      <c r="J758" s="33"/>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row>
    <row r="759" spans="1:35" ht="15.6">
      <c r="A759" s="33"/>
      <c r="B759" s="33"/>
      <c r="C759" s="150"/>
      <c r="D759" s="33"/>
      <c r="E759" s="33"/>
      <c r="F759" s="33"/>
      <c r="G759" s="33"/>
      <c r="H759" s="33"/>
      <c r="I759" s="33"/>
      <c r="J759" s="33"/>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row>
    <row r="760" spans="1:35" ht="15.6">
      <c r="A760" s="33"/>
      <c r="B760" s="33"/>
      <c r="C760" s="150"/>
      <c r="D760" s="33"/>
      <c r="E760" s="33"/>
      <c r="F760" s="33"/>
      <c r="G760" s="33"/>
      <c r="H760" s="33"/>
      <c r="I760" s="33"/>
      <c r="J760" s="33"/>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row>
    <row r="761" spans="1:35" ht="15.6">
      <c r="A761" s="33"/>
      <c r="B761" s="33"/>
      <c r="C761" s="150"/>
      <c r="D761" s="33"/>
      <c r="E761" s="33"/>
      <c r="F761" s="33"/>
      <c r="G761" s="33"/>
      <c r="H761" s="33"/>
      <c r="I761" s="33"/>
      <c r="J761" s="33"/>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row>
    <row r="762" spans="1:35" ht="15.6">
      <c r="A762" s="33"/>
      <c r="B762" s="33"/>
      <c r="C762" s="150"/>
      <c r="D762" s="33"/>
      <c r="E762" s="33"/>
      <c r="F762" s="33"/>
      <c r="G762" s="33"/>
      <c r="H762" s="33"/>
      <c r="I762" s="33"/>
      <c r="J762" s="33"/>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row>
    <row r="763" spans="1:35" ht="15.6">
      <c r="A763" s="33"/>
      <c r="B763" s="33"/>
      <c r="C763" s="150"/>
      <c r="D763" s="33"/>
      <c r="E763" s="33"/>
      <c r="F763" s="33"/>
      <c r="G763" s="33"/>
      <c r="H763" s="33"/>
      <c r="I763" s="33"/>
      <c r="J763" s="33"/>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row>
    <row r="764" spans="1:35" ht="15.6">
      <c r="A764" s="33"/>
      <c r="B764" s="33"/>
      <c r="C764" s="150"/>
      <c r="D764" s="33"/>
      <c r="E764" s="33"/>
      <c r="F764" s="33"/>
      <c r="G764" s="33"/>
      <c r="H764" s="33"/>
      <c r="I764" s="33"/>
      <c r="J764" s="33"/>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row>
    <row r="765" spans="1:35" ht="15.6">
      <c r="A765" s="33"/>
      <c r="B765" s="33"/>
      <c r="C765" s="150"/>
      <c r="D765" s="33"/>
      <c r="E765" s="33"/>
      <c r="F765" s="33"/>
      <c r="G765" s="33"/>
      <c r="H765" s="33"/>
      <c r="I765" s="33"/>
      <c r="J765" s="33"/>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row>
    <row r="766" spans="1:35" ht="15.6">
      <c r="A766" s="33"/>
      <c r="B766" s="33"/>
      <c r="C766" s="150"/>
      <c r="D766" s="33"/>
      <c r="E766" s="33"/>
      <c r="F766" s="33"/>
      <c r="G766" s="33"/>
      <c r="H766" s="33"/>
      <c r="I766" s="33"/>
      <c r="J766" s="33"/>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row>
    <row r="767" spans="1:35" ht="15.6">
      <c r="A767" s="33"/>
      <c r="B767" s="33"/>
      <c r="C767" s="150"/>
      <c r="D767" s="33"/>
      <c r="E767" s="33"/>
      <c r="F767" s="33"/>
      <c r="G767" s="33"/>
      <c r="H767" s="33"/>
      <c r="I767" s="33"/>
      <c r="J767" s="33"/>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row>
    <row r="768" spans="1:35" ht="15.6">
      <c r="A768" s="33"/>
      <c r="B768" s="33"/>
      <c r="C768" s="150"/>
      <c r="D768" s="33"/>
      <c r="E768" s="33"/>
      <c r="F768" s="33"/>
      <c r="G768" s="33"/>
      <c r="H768" s="33"/>
      <c r="I768" s="33"/>
      <c r="J768" s="33"/>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row>
    <row r="769" spans="1:35" ht="15.6">
      <c r="A769" s="33"/>
      <c r="B769" s="33"/>
      <c r="C769" s="150"/>
      <c r="D769" s="33"/>
      <c r="E769" s="33"/>
      <c r="F769" s="33"/>
      <c r="G769" s="33"/>
      <c r="H769" s="33"/>
      <c r="I769" s="33"/>
      <c r="J769" s="33"/>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row>
    <row r="770" spans="1:35" ht="15.6">
      <c r="A770" s="33"/>
      <c r="B770" s="33"/>
      <c r="C770" s="150"/>
      <c r="D770" s="33"/>
      <c r="E770" s="33"/>
      <c r="F770" s="33"/>
      <c r="G770" s="33"/>
      <c r="H770" s="33"/>
      <c r="I770" s="33"/>
      <c r="J770" s="33"/>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row>
    <row r="771" spans="1:35" ht="15.6">
      <c r="A771" s="33"/>
      <c r="B771" s="33"/>
      <c r="C771" s="150"/>
      <c r="D771" s="33"/>
      <c r="E771" s="33"/>
      <c r="F771" s="33"/>
      <c r="G771" s="33"/>
      <c r="H771" s="33"/>
      <c r="I771" s="33"/>
      <c r="J771" s="33"/>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row>
    <row r="772" spans="1:35" ht="15.6">
      <c r="A772" s="33"/>
      <c r="B772" s="33"/>
      <c r="C772" s="150"/>
      <c r="D772" s="33"/>
      <c r="E772" s="33"/>
      <c r="F772" s="33"/>
      <c r="G772" s="33"/>
      <c r="H772" s="33"/>
      <c r="I772" s="33"/>
      <c r="J772" s="33"/>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row>
    <row r="773" spans="1:35" ht="15.6">
      <c r="A773" s="33"/>
      <c r="B773" s="33"/>
      <c r="C773" s="150"/>
      <c r="D773" s="33"/>
      <c r="E773" s="33"/>
      <c r="F773" s="33"/>
      <c r="G773" s="33"/>
      <c r="H773" s="33"/>
      <c r="I773" s="33"/>
      <c r="J773" s="33"/>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row>
    <row r="774" spans="1:35" ht="15.6">
      <c r="A774" s="33"/>
      <c r="B774" s="33"/>
      <c r="C774" s="150"/>
      <c r="D774" s="33"/>
      <c r="E774" s="33"/>
      <c r="F774" s="33"/>
      <c r="G774" s="33"/>
      <c r="H774" s="33"/>
      <c r="I774" s="33"/>
      <c r="J774" s="33"/>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row>
    <row r="775" spans="1:35" ht="15.6">
      <c r="A775" s="33"/>
      <c r="B775" s="33"/>
      <c r="C775" s="150"/>
      <c r="D775" s="33"/>
      <c r="E775" s="33"/>
      <c r="F775" s="33"/>
      <c r="G775" s="33"/>
      <c r="H775" s="33"/>
      <c r="I775" s="33"/>
      <c r="J775" s="33"/>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row>
    <row r="776" spans="1:35" ht="15.6">
      <c r="A776" s="33"/>
      <c r="B776" s="33"/>
      <c r="C776" s="150"/>
      <c r="D776" s="33"/>
      <c r="E776" s="33"/>
      <c r="F776" s="33"/>
      <c r="G776" s="33"/>
      <c r="H776" s="33"/>
      <c r="I776" s="33"/>
      <c r="J776" s="33"/>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row>
    <row r="777" spans="1:35" ht="15.6">
      <c r="A777" s="33"/>
      <c r="B777" s="33"/>
      <c r="C777" s="150"/>
      <c r="D777" s="33"/>
      <c r="E777" s="33"/>
      <c r="F777" s="33"/>
      <c r="G777" s="33"/>
      <c r="H777" s="33"/>
      <c r="I777" s="33"/>
      <c r="J777" s="33"/>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row>
    <row r="778" spans="1:35" ht="15.6">
      <c r="A778" s="33"/>
      <c r="B778" s="33"/>
      <c r="C778" s="150"/>
      <c r="D778" s="33"/>
      <c r="E778" s="33"/>
      <c r="F778" s="33"/>
      <c r="G778" s="33"/>
      <c r="H778" s="33"/>
      <c r="I778" s="33"/>
      <c r="J778" s="33"/>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row>
    <row r="779" spans="1:35" ht="15.6">
      <c r="A779" s="33"/>
      <c r="B779" s="33"/>
      <c r="C779" s="150"/>
      <c r="D779" s="33"/>
      <c r="E779" s="33"/>
      <c r="F779" s="33"/>
      <c r="G779" s="33"/>
      <c r="H779" s="33"/>
      <c r="I779" s="33"/>
      <c r="J779" s="33"/>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row>
    <row r="780" spans="1:35" ht="15.6">
      <c r="A780" s="33"/>
      <c r="B780" s="33"/>
      <c r="C780" s="150"/>
      <c r="D780" s="33"/>
      <c r="E780" s="33"/>
      <c r="F780" s="33"/>
      <c r="G780" s="33"/>
      <c r="H780" s="33"/>
      <c r="I780" s="33"/>
      <c r="J780" s="33"/>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row>
    <row r="781" spans="1:35" ht="15.6">
      <c r="A781" s="33"/>
      <c r="B781" s="33"/>
      <c r="C781" s="150"/>
      <c r="D781" s="33"/>
      <c r="E781" s="33"/>
      <c r="F781" s="33"/>
      <c r="G781" s="33"/>
      <c r="H781" s="33"/>
      <c r="I781" s="33"/>
      <c r="J781" s="33"/>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row>
    <row r="782" spans="1:35" ht="15.6">
      <c r="A782" s="33"/>
      <c r="B782" s="33"/>
      <c r="C782" s="150"/>
      <c r="D782" s="33"/>
      <c r="E782" s="33"/>
      <c r="F782" s="33"/>
      <c r="G782" s="33"/>
      <c r="H782" s="33"/>
      <c r="I782" s="33"/>
      <c r="J782" s="33"/>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row>
    <row r="783" spans="1:35" ht="15.6">
      <c r="A783" s="33"/>
      <c r="B783" s="33"/>
      <c r="C783" s="150"/>
      <c r="D783" s="33"/>
      <c r="E783" s="33"/>
      <c r="F783" s="33"/>
      <c r="G783" s="33"/>
      <c r="H783" s="33"/>
      <c r="I783" s="33"/>
      <c r="J783" s="33"/>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row>
    <row r="784" spans="1:35" ht="15.6">
      <c r="A784" s="33"/>
      <c r="B784" s="33"/>
      <c r="C784" s="150"/>
      <c r="D784" s="33"/>
      <c r="E784" s="33"/>
      <c r="F784" s="33"/>
      <c r="G784" s="33"/>
      <c r="H784" s="33"/>
      <c r="I784" s="33"/>
      <c r="J784" s="33"/>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row>
    <row r="785" spans="1:35" ht="15.6">
      <c r="A785" s="33"/>
      <c r="B785" s="33"/>
      <c r="C785" s="150"/>
      <c r="D785" s="33"/>
      <c r="E785" s="33"/>
      <c r="F785" s="33"/>
      <c r="G785" s="33"/>
      <c r="H785" s="33"/>
      <c r="I785" s="33"/>
      <c r="J785" s="33"/>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row>
    <row r="786" spans="1:35" ht="15.6">
      <c r="A786" s="33"/>
      <c r="B786" s="33"/>
      <c r="C786" s="150"/>
      <c r="D786" s="33"/>
      <c r="E786" s="33"/>
      <c r="F786" s="33"/>
      <c r="G786" s="33"/>
      <c r="H786" s="33"/>
      <c r="I786" s="33"/>
      <c r="J786" s="33"/>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row>
    <row r="787" spans="1:35" ht="15.6">
      <c r="A787" s="33"/>
      <c r="B787" s="33"/>
      <c r="C787" s="150"/>
      <c r="D787" s="33"/>
      <c r="E787" s="33"/>
      <c r="F787" s="33"/>
      <c r="G787" s="33"/>
      <c r="H787" s="33"/>
      <c r="I787" s="33"/>
      <c r="J787" s="33"/>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row>
    <row r="788" spans="1:35" ht="15.6">
      <c r="A788" s="33"/>
      <c r="B788" s="33"/>
      <c r="C788" s="150"/>
      <c r="D788" s="33"/>
      <c r="E788" s="33"/>
      <c r="F788" s="33"/>
      <c r="G788" s="33"/>
      <c r="H788" s="33"/>
      <c r="I788" s="33"/>
      <c r="J788" s="33"/>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row>
    <row r="789" spans="1:35" ht="15.6">
      <c r="A789" s="33"/>
      <c r="B789" s="33"/>
      <c r="C789" s="150"/>
      <c r="D789" s="33"/>
      <c r="E789" s="33"/>
      <c r="F789" s="33"/>
      <c r="G789" s="33"/>
      <c r="H789" s="33"/>
      <c r="I789" s="33"/>
      <c r="J789" s="33"/>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row>
    <row r="790" spans="1:35" ht="15.6">
      <c r="A790" s="33"/>
      <c r="B790" s="33"/>
      <c r="C790" s="150"/>
      <c r="D790" s="33"/>
      <c r="E790" s="33"/>
      <c r="F790" s="33"/>
      <c r="G790" s="33"/>
      <c r="H790" s="33"/>
      <c r="I790" s="33"/>
      <c r="J790" s="33"/>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row>
    <row r="791" spans="1:35" ht="15.6">
      <c r="A791" s="33"/>
      <c r="B791" s="33"/>
      <c r="C791" s="150"/>
      <c r="D791" s="33"/>
      <c r="E791" s="33"/>
      <c r="F791" s="33"/>
      <c r="G791" s="33"/>
      <c r="H791" s="33"/>
      <c r="I791" s="33"/>
      <c r="J791" s="33"/>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row>
    <row r="792" spans="1:35" ht="15.6">
      <c r="A792" s="33"/>
      <c r="B792" s="33"/>
      <c r="C792" s="150"/>
      <c r="D792" s="33"/>
      <c r="E792" s="33"/>
      <c r="F792" s="33"/>
      <c r="G792" s="33"/>
      <c r="H792" s="33"/>
      <c r="I792" s="33"/>
      <c r="J792" s="33"/>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row>
    <row r="793" spans="1:35" ht="15.6">
      <c r="A793" s="33"/>
      <c r="B793" s="33"/>
      <c r="C793" s="150"/>
      <c r="D793" s="33"/>
      <c r="E793" s="33"/>
      <c r="F793" s="33"/>
      <c r="G793" s="33"/>
      <c r="H793" s="33"/>
      <c r="I793" s="33"/>
      <c r="J793" s="33"/>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row>
    <row r="794" spans="1:35" ht="15.6">
      <c r="A794" s="33"/>
      <c r="B794" s="33"/>
      <c r="C794" s="150"/>
      <c r="D794" s="33"/>
      <c r="E794" s="33"/>
      <c r="F794" s="33"/>
      <c r="G794" s="33"/>
      <c r="H794" s="33"/>
      <c r="I794" s="33"/>
      <c r="J794" s="33"/>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row>
    <row r="795" spans="1:35" ht="15.6">
      <c r="A795" s="33"/>
      <c r="B795" s="33"/>
      <c r="C795" s="150"/>
      <c r="D795" s="33"/>
      <c r="E795" s="33"/>
      <c r="F795" s="33"/>
      <c r="G795" s="33"/>
      <c r="H795" s="33"/>
      <c r="I795" s="33"/>
      <c r="J795" s="33"/>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row>
    <row r="796" spans="1:35" ht="15.6">
      <c r="A796" s="33"/>
      <c r="B796" s="33"/>
      <c r="C796" s="150"/>
      <c r="D796" s="33"/>
      <c r="E796" s="33"/>
      <c r="F796" s="33"/>
      <c r="G796" s="33"/>
      <c r="H796" s="33"/>
      <c r="I796" s="33"/>
      <c r="J796" s="33"/>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row>
    <row r="797" spans="1:35" ht="15.6">
      <c r="A797" s="33"/>
      <c r="B797" s="33"/>
      <c r="C797" s="150"/>
      <c r="D797" s="33"/>
      <c r="E797" s="33"/>
      <c r="F797" s="33"/>
      <c r="G797" s="33"/>
      <c r="H797" s="33"/>
      <c r="I797" s="33"/>
      <c r="J797" s="33"/>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row>
    <row r="798" spans="1:35" ht="15.6">
      <c r="A798" s="33"/>
      <c r="B798" s="33"/>
      <c r="C798" s="150"/>
      <c r="D798" s="33"/>
      <c r="E798" s="33"/>
      <c r="F798" s="33"/>
      <c r="G798" s="33"/>
      <c r="H798" s="33"/>
      <c r="I798" s="33"/>
      <c r="J798" s="33"/>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row>
    <row r="799" spans="1:35" ht="15.6">
      <c r="A799" s="33"/>
      <c r="B799" s="33"/>
      <c r="C799" s="150"/>
      <c r="D799" s="33"/>
      <c r="E799" s="33"/>
      <c r="F799" s="33"/>
      <c r="G799" s="33"/>
      <c r="H799" s="33"/>
      <c r="I799" s="33"/>
      <c r="J799" s="33"/>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row>
    <row r="800" spans="1:35" ht="15.6">
      <c r="A800" s="33"/>
      <c r="B800" s="33"/>
      <c r="C800" s="150"/>
      <c r="D800" s="33"/>
      <c r="E800" s="33"/>
      <c r="F800" s="33"/>
      <c r="G800" s="33"/>
      <c r="H800" s="33"/>
      <c r="I800" s="33"/>
      <c r="J800" s="33"/>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row>
    <row r="801" spans="1:35" ht="15.6">
      <c r="A801" s="33"/>
      <c r="B801" s="33"/>
      <c r="C801" s="150"/>
      <c r="D801" s="33"/>
      <c r="E801" s="33"/>
      <c r="F801" s="33"/>
      <c r="G801" s="33"/>
      <c r="H801" s="33"/>
      <c r="I801" s="33"/>
      <c r="J801" s="33"/>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row>
    <row r="802" spans="1:35" ht="15.6">
      <c r="A802" s="33"/>
      <c r="B802" s="33"/>
      <c r="C802" s="150"/>
      <c r="D802" s="33"/>
      <c r="E802" s="33"/>
      <c r="F802" s="33"/>
      <c r="G802" s="33"/>
      <c r="H802" s="33"/>
      <c r="I802" s="33"/>
      <c r="J802" s="33"/>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row>
    <row r="803" spans="1:35" ht="15.6">
      <c r="A803" s="33"/>
      <c r="B803" s="33"/>
      <c r="C803" s="150"/>
      <c r="D803" s="33"/>
      <c r="E803" s="33"/>
      <c r="F803" s="33"/>
      <c r="G803" s="33"/>
      <c r="H803" s="33"/>
      <c r="I803" s="33"/>
      <c r="J803" s="33"/>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row>
    <row r="804" spans="1:35" ht="15.6">
      <c r="A804" s="33"/>
      <c r="B804" s="33"/>
      <c r="C804" s="150"/>
      <c r="D804" s="33"/>
      <c r="E804" s="33"/>
      <c r="F804" s="33"/>
      <c r="G804" s="33"/>
      <c r="H804" s="33"/>
      <c r="I804" s="33"/>
      <c r="J804" s="33"/>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row>
    <row r="805" spans="1:35" ht="15.6">
      <c r="A805" s="33"/>
      <c r="B805" s="33"/>
      <c r="C805" s="150"/>
      <c r="D805" s="33"/>
      <c r="E805" s="33"/>
      <c r="F805" s="33"/>
      <c r="G805" s="33"/>
      <c r="H805" s="33"/>
      <c r="I805" s="33"/>
      <c r="J805" s="33"/>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row>
    <row r="806" spans="1:35" ht="15.6">
      <c r="A806" s="33"/>
      <c r="B806" s="33"/>
      <c r="C806" s="150"/>
      <c r="D806" s="33"/>
      <c r="E806" s="33"/>
      <c r="F806" s="33"/>
      <c r="G806" s="33"/>
      <c r="H806" s="33"/>
      <c r="I806" s="33"/>
      <c r="J806" s="33"/>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row>
    <row r="807" spans="1:35" ht="15.6">
      <c r="A807" s="33"/>
      <c r="B807" s="33"/>
      <c r="C807" s="150"/>
      <c r="D807" s="33"/>
      <c r="E807" s="33"/>
      <c r="F807" s="33"/>
      <c r="G807" s="33"/>
      <c r="H807" s="33"/>
      <c r="I807" s="33"/>
      <c r="J807" s="33"/>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row>
    <row r="808" spans="1:35" ht="15.6">
      <c r="A808" s="33"/>
      <c r="B808" s="33"/>
      <c r="C808" s="150"/>
      <c r="D808" s="33"/>
      <c r="E808" s="33"/>
      <c r="F808" s="33"/>
      <c r="G808" s="33"/>
      <c r="H808" s="33"/>
      <c r="I808" s="33"/>
      <c r="J808" s="33"/>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row>
    <row r="809" spans="1:35" ht="15.6">
      <c r="A809" s="33"/>
      <c r="B809" s="33"/>
      <c r="C809" s="150"/>
      <c r="D809" s="33"/>
      <c r="E809" s="33"/>
      <c r="F809" s="33"/>
      <c r="G809" s="33"/>
      <c r="H809" s="33"/>
      <c r="I809" s="33"/>
      <c r="J809" s="33"/>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row>
    <row r="810" spans="1:35" ht="15.6">
      <c r="A810" s="33"/>
      <c r="B810" s="33"/>
      <c r="C810" s="150"/>
      <c r="D810" s="33"/>
      <c r="E810" s="33"/>
      <c r="F810" s="33"/>
      <c r="G810" s="33"/>
      <c r="H810" s="33"/>
      <c r="I810" s="33"/>
      <c r="J810" s="33"/>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row>
    <row r="811" spans="1:35" ht="15.6">
      <c r="A811" s="33"/>
      <c r="B811" s="33"/>
      <c r="C811" s="150"/>
      <c r="D811" s="33"/>
      <c r="E811" s="33"/>
      <c r="F811" s="33"/>
      <c r="G811" s="33"/>
      <c r="H811" s="33"/>
      <c r="I811" s="33"/>
      <c r="J811" s="33"/>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row>
    <row r="812" spans="1:35" ht="15.6">
      <c r="A812" s="33"/>
      <c r="B812" s="33"/>
      <c r="C812" s="150"/>
      <c r="D812" s="33"/>
      <c r="E812" s="33"/>
      <c r="F812" s="33"/>
      <c r="G812" s="33"/>
      <c r="H812" s="33"/>
      <c r="I812" s="33"/>
      <c r="J812" s="33"/>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row>
    <row r="813" spans="1:35" ht="15.6">
      <c r="A813" s="33"/>
      <c r="B813" s="33"/>
      <c r="C813" s="150"/>
      <c r="D813" s="33"/>
      <c r="E813" s="33"/>
      <c r="F813" s="33"/>
      <c r="G813" s="33"/>
      <c r="H813" s="33"/>
      <c r="I813" s="33"/>
      <c r="J813" s="33"/>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row>
    <row r="814" spans="1:35" ht="15.6">
      <c r="A814" s="33"/>
      <c r="B814" s="33"/>
      <c r="C814" s="150"/>
      <c r="D814" s="33"/>
      <c r="E814" s="33"/>
      <c r="F814" s="33"/>
      <c r="G814" s="33"/>
      <c r="H814" s="33"/>
      <c r="I814" s="33"/>
      <c r="J814" s="33"/>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row>
    <row r="815" spans="1:35" ht="15.6">
      <c r="A815" s="33"/>
      <c r="B815" s="33"/>
      <c r="C815" s="150"/>
      <c r="D815" s="33"/>
      <c r="E815" s="33"/>
      <c r="F815" s="33"/>
      <c r="G815" s="33"/>
      <c r="H815" s="33"/>
      <c r="I815" s="33"/>
      <c r="J815" s="33"/>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row>
    <row r="816" spans="1:35" ht="15.6">
      <c r="A816" s="33"/>
      <c r="B816" s="33"/>
      <c r="C816" s="150"/>
      <c r="D816" s="33"/>
      <c r="E816" s="33"/>
      <c r="F816" s="33"/>
      <c r="G816" s="33"/>
      <c r="H816" s="33"/>
      <c r="I816" s="33"/>
      <c r="J816" s="33"/>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row>
    <row r="817" spans="1:35" ht="15.6">
      <c r="A817" s="33"/>
      <c r="B817" s="33"/>
      <c r="C817" s="150"/>
      <c r="D817" s="33"/>
      <c r="E817" s="33"/>
      <c r="F817" s="33"/>
      <c r="G817" s="33"/>
      <c r="H817" s="33"/>
      <c r="I817" s="33"/>
      <c r="J817" s="33"/>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row>
    <row r="818" spans="1:35" ht="15.6">
      <c r="A818" s="33"/>
      <c r="B818" s="33"/>
      <c r="C818" s="150"/>
      <c r="D818" s="33"/>
      <c r="E818" s="33"/>
      <c r="F818" s="33"/>
      <c r="G818" s="33"/>
      <c r="H818" s="33"/>
      <c r="I818" s="33"/>
      <c r="J818" s="33"/>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row>
    <row r="819" spans="1:35" ht="15.6">
      <c r="A819" s="33"/>
      <c r="B819" s="33"/>
      <c r="C819" s="150"/>
      <c r="D819" s="33"/>
      <c r="E819" s="33"/>
      <c r="F819" s="33"/>
      <c r="G819" s="33"/>
      <c r="H819" s="33"/>
      <c r="I819" s="33"/>
      <c r="J819" s="33"/>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row>
    <row r="820" spans="1:35" ht="15.6">
      <c r="A820" s="33"/>
      <c r="B820" s="33"/>
      <c r="C820" s="150"/>
      <c r="D820" s="33"/>
      <c r="E820" s="33"/>
      <c r="F820" s="33"/>
      <c r="G820" s="33"/>
      <c r="H820" s="33"/>
      <c r="I820" s="33"/>
      <c r="J820" s="33"/>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row>
    <row r="821" spans="1:35" ht="15.6">
      <c r="A821" s="33"/>
      <c r="B821" s="33"/>
      <c r="C821" s="150"/>
      <c r="D821" s="33"/>
      <c r="E821" s="33"/>
      <c r="F821" s="33"/>
      <c r="G821" s="33"/>
      <c r="H821" s="33"/>
      <c r="I821" s="33"/>
      <c r="J821" s="33"/>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row>
    <row r="822" spans="1:35" ht="15.6">
      <c r="A822" s="33"/>
      <c r="B822" s="33"/>
      <c r="C822" s="150"/>
      <c r="D822" s="33"/>
      <c r="E822" s="33"/>
      <c r="F822" s="33"/>
      <c r="G822" s="33"/>
      <c r="H822" s="33"/>
      <c r="I822" s="33"/>
      <c r="J822" s="33"/>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row>
    <row r="823" spans="1:35" ht="15.6">
      <c r="A823" s="33"/>
      <c r="B823" s="33"/>
      <c r="C823" s="150"/>
      <c r="D823" s="33"/>
      <c r="E823" s="33"/>
      <c r="F823" s="33"/>
      <c r="G823" s="33"/>
      <c r="H823" s="33"/>
      <c r="I823" s="33"/>
      <c r="J823" s="33"/>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row>
    <row r="824" spans="1:35" ht="15.6">
      <c r="A824" s="33"/>
      <c r="B824" s="33"/>
      <c r="C824" s="150"/>
      <c r="D824" s="33"/>
      <c r="E824" s="33"/>
      <c r="F824" s="33"/>
      <c r="G824" s="33"/>
      <c r="H824" s="33"/>
      <c r="I824" s="33"/>
      <c r="J824" s="33"/>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row>
    <row r="825" spans="1:35" ht="15.6">
      <c r="A825" s="33"/>
      <c r="B825" s="33"/>
      <c r="C825" s="150"/>
      <c r="D825" s="33"/>
      <c r="E825" s="33"/>
      <c r="F825" s="33"/>
      <c r="G825" s="33"/>
      <c r="H825" s="33"/>
      <c r="I825" s="33"/>
      <c r="J825" s="33"/>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row>
    <row r="826" spans="1:35" ht="15.6">
      <c r="A826" s="33"/>
      <c r="B826" s="33"/>
      <c r="C826" s="150"/>
      <c r="D826" s="33"/>
      <c r="E826" s="33"/>
      <c r="F826" s="33"/>
      <c r="G826" s="33"/>
      <c r="H826" s="33"/>
      <c r="I826" s="33"/>
      <c r="J826" s="33"/>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row>
    <row r="827" spans="1:35" ht="15.6">
      <c r="A827" s="33"/>
      <c r="B827" s="33"/>
      <c r="C827" s="150"/>
      <c r="D827" s="33"/>
      <c r="E827" s="33"/>
      <c r="F827" s="33"/>
      <c r="G827" s="33"/>
      <c r="H827" s="33"/>
      <c r="I827" s="33"/>
      <c r="J827" s="33"/>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row>
    <row r="828" spans="1:35" ht="15.6">
      <c r="A828" s="33"/>
      <c r="B828" s="33"/>
      <c r="C828" s="150"/>
      <c r="D828" s="33"/>
      <c r="E828" s="33"/>
      <c r="F828" s="33"/>
      <c r="G828" s="33"/>
      <c r="H828" s="33"/>
      <c r="I828" s="33"/>
      <c r="J828" s="33"/>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row>
    <row r="829" spans="1:35" ht="15.6">
      <c r="A829" s="33"/>
      <c r="B829" s="33"/>
      <c r="C829" s="150"/>
      <c r="D829" s="33"/>
      <c r="E829" s="33"/>
      <c r="F829" s="33"/>
      <c r="G829" s="33"/>
      <c r="H829" s="33"/>
      <c r="I829" s="33"/>
      <c r="J829" s="33"/>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row>
    <row r="830" spans="1:35" ht="15.6">
      <c r="A830" s="33"/>
      <c r="B830" s="33"/>
      <c r="C830" s="150"/>
      <c r="D830" s="33"/>
      <c r="E830" s="33"/>
      <c r="F830" s="33"/>
      <c r="G830" s="33"/>
      <c r="H830" s="33"/>
      <c r="I830" s="33"/>
      <c r="J830" s="33"/>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row>
    <row r="831" spans="1:35" ht="15.6">
      <c r="A831" s="33"/>
      <c r="B831" s="33"/>
      <c r="C831" s="150"/>
      <c r="D831" s="33"/>
      <c r="E831" s="33"/>
      <c r="F831" s="33"/>
      <c r="G831" s="33"/>
      <c r="H831" s="33"/>
      <c r="I831" s="33"/>
      <c r="J831" s="33"/>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row>
    <row r="832" spans="1:35" ht="15.6">
      <c r="A832" s="33"/>
      <c r="B832" s="33"/>
      <c r="C832" s="150"/>
      <c r="D832" s="33"/>
      <c r="E832" s="33"/>
      <c r="F832" s="33"/>
      <c r="G832" s="33"/>
      <c r="H832" s="33"/>
      <c r="I832" s="33"/>
      <c r="J832" s="33"/>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row>
    <row r="833" spans="1:35" ht="15.6">
      <c r="A833" s="33"/>
      <c r="B833" s="33"/>
      <c r="C833" s="150"/>
      <c r="D833" s="33"/>
      <c r="E833" s="33"/>
      <c r="F833" s="33"/>
      <c r="G833" s="33"/>
      <c r="H833" s="33"/>
      <c r="I833" s="33"/>
      <c r="J833" s="33"/>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row>
    <row r="834" spans="1:35" ht="15.6">
      <c r="A834" s="33"/>
      <c r="B834" s="33"/>
      <c r="C834" s="150"/>
      <c r="D834" s="33"/>
      <c r="E834" s="33"/>
      <c r="F834" s="33"/>
      <c r="G834" s="33"/>
      <c r="H834" s="33"/>
      <c r="I834" s="33"/>
      <c r="J834" s="33"/>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row>
    <row r="835" spans="1:35" ht="15.6">
      <c r="A835" s="33"/>
      <c r="B835" s="33"/>
      <c r="C835" s="150"/>
      <c r="D835" s="33"/>
      <c r="E835" s="33"/>
      <c r="F835" s="33"/>
      <c r="G835" s="33"/>
      <c r="H835" s="33"/>
      <c r="I835" s="33"/>
      <c r="J835" s="33"/>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row>
    <row r="836" spans="1:35" ht="15.6">
      <c r="A836" s="33"/>
      <c r="B836" s="33"/>
      <c r="C836" s="150"/>
      <c r="D836" s="33"/>
      <c r="E836" s="33"/>
      <c r="F836" s="33"/>
      <c r="G836" s="33"/>
      <c r="H836" s="33"/>
      <c r="I836" s="33"/>
      <c r="J836" s="33"/>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row>
    <row r="837" spans="1:35" ht="15.6">
      <c r="A837" s="33"/>
      <c r="B837" s="33"/>
      <c r="C837" s="150"/>
      <c r="D837" s="33"/>
      <c r="E837" s="33"/>
      <c r="F837" s="33"/>
      <c r="G837" s="33"/>
      <c r="H837" s="33"/>
      <c r="I837" s="33"/>
      <c r="J837" s="33"/>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row>
    <row r="838" spans="1:35" ht="15.6">
      <c r="A838" s="33"/>
      <c r="B838" s="33"/>
      <c r="C838" s="150"/>
      <c r="D838" s="33"/>
      <c r="E838" s="33"/>
      <c r="F838" s="33"/>
      <c r="G838" s="33"/>
      <c r="H838" s="33"/>
      <c r="I838" s="33"/>
      <c r="J838" s="33"/>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row>
    <row r="839" spans="1:35" ht="15.6">
      <c r="A839" s="33"/>
      <c r="B839" s="33"/>
      <c r="C839" s="150"/>
      <c r="D839" s="33"/>
      <c r="E839" s="33"/>
      <c r="F839" s="33"/>
      <c r="G839" s="33"/>
      <c r="H839" s="33"/>
      <c r="I839" s="33"/>
      <c r="J839" s="33"/>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row>
    <row r="840" spans="1:35" ht="15.6">
      <c r="A840" s="33"/>
      <c r="B840" s="33"/>
      <c r="C840" s="150"/>
      <c r="D840" s="33"/>
      <c r="E840" s="33"/>
      <c r="F840" s="33"/>
      <c r="G840" s="33"/>
      <c r="H840" s="33"/>
      <c r="I840" s="33"/>
      <c r="J840" s="33"/>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row>
    <row r="841" spans="1:35" ht="15.6">
      <c r="A841" s="33"/>
      <c r="B841" s="33"/>
      <c r="C841" s="150"/>
      <c r="D841" s="33"/>
      <c r="E841" s="33"/>
      <c r="F841" s="33"/>
      <c r="G841" s="33"/>
      <c r="H841" s="33"/>
      <c r="I841" s="33"/>
      <c r="J841" s="33"/>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row>
    <row r="842" spans="1:35" ht="15.6">
      <c r="A842" s="33"/>
      <c r="B842" s="33"/>
      <c r="C842" s="150"/>
      <c r="D842" s="33"/>
      <c r="E842" s="33"/>
      <c r="F842" s="33"/>
      <c r="G842" s="33"/>
      <c r="H842" s="33"/>
      <c r="I842" s="33"/>
      <c r="J842" s="33"/>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row>
    <row r="843" spans="1:35" ht="15.6">
      <c r="A843" s="33"/>
      <c r="B843" s="33"/>
      <c r="C843" s="150"/>
      <c r="D843" s="33"/>
      <c r="E843" s="33"/>
      <c r="F843" s="33"/>
      <c r="G843" s="33"/>
      <c r="H843" s="33"/>
      <c r="I843" s="33"/>
      <c r="J843" s="33"/>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row>
    <row r="844" spans="1:35" ht="15.6">
      <c r="A844" s="33"/>
      <c r="B844" s="33"/>
      <c r="C844" s="150"/>
      <c r="D844" s="33"/>
      <c r="E844" s="33"/>
      <c r="F844" s="33"/>
      <c r="G844" s="33"/>
      <c r="H844" s="33"/>
      <c r="I844" s="33"/>
      <c r="J844" s="33"/>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row>
    <row r="845" spans="1:35" ht="15.6">
      <c r="A845" s="33"/>
      <c r="B845" s="33"/>
      <c r="C845" s="150"/>
      <c r="D845" s="33"/>
      <c r="E845" s="33"/>
      <c r="F845" s="33"/>
      <c r="G845" s="33"/>
      <c r="H845" s="33"/>
      <c r="I845" s="33"/>
      <c r="J845" s="33"/>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row>
    <row r="846" spans="1:35" ht="15.6">
      <c r="A846" s="33"/>
      <c r="B846" s="33"/>
      <c r="C846" s="150"/>
      <c r="D846" s="33"/>
      <c r="E846" s="33"/>
      <c r="F846" s="33"/>
      <c r="G846" s="33"/>
      <c r="H846" s="33"/>
      <c r="I846" s="33"/>
      <c r="J846" s="33"/>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row>
    <row r="847" spans="1:35" ht="15.6">
      <c r="A847" s="33"/>
      <c r="B847" s="33"/>
      <c r="C847" s="150"/>
      <c r="D847" s="33"/>
      <c r="E847" s="33"/>
      <c r="F847" s="33"/>
      <c r="G847" s="33"/>
      <c r="H847" s="33"/>
      <c r="I847" s="33"/>
      <c r="J847" s="33"/>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row>
    <row r="848" spans="1:35" ht="15.6">
      <c r="A848" s="33"/>
      <c r="B848" s="33"/>
      <c r="C848" s="150"/>
      <c r="D848" s="33"/>
      <c r="E848" s="33"/>
      <c r="F848" s="33"/>
      <c r="G848" s="33"/>
      <c r="H848" s="33"/>
      <c r="I848" s="33"/>
      <c r="J848" s="33"/>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row>
    <row r="849" spans="1:35" ht="15.6">
      <c r="A849" s="33"/>
      <c r="B849" s="33"/>
      <c r="C849" s="150"/>
      <c r="D849" s="33"/>
      <c r="E849" s="33"/>
      <c r="F849" s="33"/>
      <c r="G849" s="33"/>
      <c r="H849" s="33"/>
      <c r="I849" s="33"/>
      <c r="J849" s="33"/>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row>
    <row r="850" spans="1:35" ht="15.6">
      <c r="A850" s="33"/>
      <c r="B850" s="33"/>
      <c r="C850" s="150"/>
      <c r="D850" s="33"/>
      <c r="E850" s="33"/>
      <c r="F850" s="33"/>
      <c r="G850" s="33"/>
      <c r="H850" s="33"/>
      <c r="I850" s="33"/>
      <c r="J850" s="33"/>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row>
    <row r="851" spans="1:35" ht="15.6">
      <c r="A851" s="33"/>
      <c r="B851" s="33"/>
      <c r="C851" s="150"/>
      <c r="D851" s="33"/>
      <c r="E851" s="33"/>
      <c r="F851" s="33"/>
      <c r="G851" s="33"/>
      <c r="H851" s="33"/>
      <c r="I851" s="33"/>
      <c r="J851" s="33"/>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row>
    <row r="852" spans="1:35" ht="15.6">
      <c r="A852" s="33"/>
      <c r="B852" s="33"/>
      <c r="C852" s="150"/>
      <c r="D852" s="33"/>
      <c r="E852" s="33"/>
      <c r="F852" s="33"/>
      <c r="G852" s="33"/>
      <c r="H852" s="33"/>
      <c r="I852" s="33"/>
      <c r="J852" s="33"/>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row>
    <row r="853" spans="1:35" ht="15.6">
      <c r="A853" s="33"/>
      <c r="B853" s="33"/>
      <c r="C853" s="150"/>
      <c r="D853" s="33"/>
      <c r="E853" s="33"/>
      <c r="F853" s="33"/>
      <c r="G853" s="33"/>
      <c r="H853" s="33"/>
      <c r="I853" s="33"/>
      <c r="J853" s="33"/>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row>
    <row r="854" spans="1:35" ht="15.6">
      <c r="A854" s="33"/>
      <c r="B854" s="33"/>
      <c r="C854" s="150"/>
      <c r="D854" s="33"/>
      <c r="E854" s="33"/>
      <c r="F854" s="33"/>
      <c r="G854" s="33"/>
      <c r="H854" s="33"/>
      <c r="I854" s="33"/>
      <c r="J854" s="33"/>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row>
    <row r="855" spans="1:35" ht="15.6">
      <c r="A855" s="33"/>
      <c r="B855" s="33"/>
      <c r="C855" s="150"/>
      <c r="D855" s="33"/>
      <c r="E855" s="33"/>
      <c r="F855" s="33"/>
      <c r="G855" s="33"/>
      <c r="H855" s="33"/>
      <c r="I855" s="33"/>
      <c r="J855" s="33"/>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row>
    <row r="856" spans="1:35" ht="15.6">
      <c r="A856" s="33"/>
      <c r="B856" s="33"/>
      <c r="C856" s="150"/>
      <c r="D856" s="33"/>
      <c r="E856" s="33"/>
      <c r="F856" s="33"/>
      <c r="G856" s="33"/>
      <c r="H856" s="33"/>
      <c r="I856" s="33"/>
      <c r="J856" s="33"/>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row>
    <row r="857" spans="1:35" ht="15.6">
      <c r="A857" s="33"/>
      <c r="B857" s="33"/>
      <c r="C857" s="150"/>
      <c r="D857" s="33"/>
      <c r="E857" s="33"/>
      <c r="F857" s="33"/>
      <c r="G857" s="33"/>
      <c r="H857" s="33"/>
      <c r="I857" s="33"/>
      <c r="J857" s="33"/>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row>
    <row r="858" spans="1:35" ht="15.6">
      <c r="A858" s="33"/>
      <c r="B858" s="33"/>
      <c r="C858" s="150"/>
      <c r="D858" s="33"/>
      <c r="E858" s="33"/>
      <c r="F858" s="33"/>
      <c r="G858" s="33"/>
      <c r="H858" s="33"/>
      <c r="I858" s="33"/>
      <c r="J858" s="33"/>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row>
    <row r="859" spans="1:35" ht="15.6">
      <c r="A859" s="33"/>
      <c r="B859" s="33"/>
      <c r="C859" s="150"/>
      <c r="D859" s="33"/>
      <c r="E859" s="33"/>
      <c r="F859" s="33"/>
      <c r="G859" s="33"/>
      <c r="H859" s="33"/>
      <c r="I859" s="33"/>
      <c r="J859" s="33"/>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row>
    <row r="860" spans="1:35" ht="15.6">
      <c r="A860" s="33"/>
      <c r="B860" s="33"/>
      <c r="C860" s="150"/>
      <c r="D860" s="33"/>
      <c r="E860" s="33"/>
      <c r="F860" s="33"/>
      <c r="G860" s="33"/>
      <c r="H860" s="33"/>
      <c r="I860" s="33"/>
      <c r="J860" s="33"/>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row>
    <row r="861" spans="1:35" ht="15.6">
      <c r="A861" s="33"/>
      <c r="B861" s="33"/>
      <c r="C861" s="150"/>
      <c r="D861" s="33"/>
      <c r="E861" s="33"/>
      <c r="F861" s="33"/>
      <c r="G861" s="33"/>
      <c r="H861" s="33"/>
      <c r="I861" s="33"/>
      <c r="J861" s="33"/>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row>
    <row r="862" spans="1:35" ht="15.6">
      <c r="A862" s="33"/>
      <c r="B862" s="33"/>
      <c r="C862" s="150"/>
      <c r="D862" s="33"/>
      <c r="E862" s="33"/>
      <c r="F862" s="33"/>
      <c r="G862" s="33"/>
      <c r="H862" s="33"/>
      <c r="I862" s="33"/>
      <c r="J862" s="33"/>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row>
    <row r="863" spans="1:35" ht="15.6">
      <c r="A863" s="33"/>
      <c r="B863" s="33"/>
      <c r="C863" s="150"/>
      <c r="D863" s="33"/>
      <c r="E863" s="33"/>
      <c r="F863" s="33"/>
      <c r="G863" s="33"/>
      <c r="H863" s="33"/>
      <c r="I863" s="33"/>
      <c r="J863" s="33"/>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row>
    <row r="864" spans="1:35" ht="15.6">
      <c r="A864" s="33"/>
      <c r="B864" s="33"/>
      <c r="C864" s="150"/>
      <c r="D864" s="33"/>
      <c r="E864" s="33"/>
      <c r="F864" s="33"/>
      <c r="G864" s="33"/>
      <c r="H864" s="33"/>
      <c r="I864" s="33"/>
      <c r="J864" s="33"/>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row>
    <row r="865" spans="1:35" ht="15.6">
      <c r="A865" s="33"/>
      <c r="B865" s="33"/>
      <c r="C865" s="150"/>
      <c r="D865" s="33"/>
      <c r="E865" s="33"/>
      <c r="F865" s="33"/>
      <c r="G865" s="33"/>
      <c r="H865" s="33"/>
      <c r="I865" s="33"/>
      <c r="J865" s="33"/>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row>
    <row r="866" spans="1:35" ht="15.6">
      <c r="A866" s="33"/>
      <c r="B866" s="33"/>
      <c r="C866" s="150"/>
      <c r="D866" s="33"/>
      <c r="E866" s="33"/>
      <c r="F866" s="33"/>
      <c r="G866" s="33"/>
      <c r="H866" s="33"/>
      <c r="I866" s="33"/>
      <c r="J866" s="33"/>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row>
    <row r="867" spans="1:35" ht="15.6">
      <c r="A867" s="33"/>
      <c r="B867" s="33"/>
      <c r="C867" s="150"/>
      <c r="D867" s="33"/>
      <c r="E867" s="33"/>
      <c r="F867" s="33"/>
      <c r="G867" s="33"/>
      <c r="H867" s="33"/>
      <c r="I867" s="33"/>
      <c r="J867" s="33"/>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row>
    <row r="868" spans="1:35" ht="15.6">
      <c r="A868" s="33"/>
      <c r="B868" s="33"/>
      <c r="C868" s="150"/>
      <c r="D868" s="33"/>
      <c r="E868" s="33"/>
      <c r="F868" s="33"/>
      <c r="G868" s="33"/>
      <c r="H868" s="33"/>
      <c r="I868" s="33"/>
      <c r="J868" s="33"/>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row>
    <row r="869" spans="1:35" ht="15.6">
      <c r="A869" s="33"/>
      <c r="B869" s="33"/>
      <c r="C869" s="150"/>
      <c r="D869" s="33"/>
      <c r="E869" s="33"/>
      <c r="F869" s="33"/>
      <c r="G869" s="33"/>
      <c r="H869" s="33"/>
      <c r="I869" s="33"/>
      <c r="J869" s="33"/>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row>
    <row r="870" spans="1:35" ht="15.6">
      <c r="A870" s="33"/>
      <c r="B870" s="33"/>
      <c r="C870" s="150"/>
      <c r="D870" s="33"/>
      <c r="E870" s="33"/>
      <c r="F870" s="33"/>
      <c r="G870" s="33"/>
      <c r="H870" s="33"/>
      <c r="I870" s="33"/>
      <c r="J870" s="33"/>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row>
    <row r="871" spans="1:35" ht="15.6">
      <c r="A871" s="33"/>
      <c r="B871" s="33"/>
      <c r="C871" s="150"/>
      <c r="D871" s="33"/>
      <c r="E871" s="33"/>
      <c r="F871" s="33"/>
      <c r="G871" s="33"/>
      <c r="H871" s="33"/>
      <c r="I871" s="33"/>
      <c r="J871" s="33"/>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row>
    <row r="872" spans="1:35" ht="15.6">
      <c r="A872" s="33"/>
      <c r="B872" s="33"/>
      <c r="C872" s="150"/>
      <c r="D872" s="33"/>
      <c r="E872" s="33"/>
      <c r="F872" s="33"/>
      <c r="G872" s="33"/>
      <c r="H872" s="33"/>
      <c r="I872" s="33"/>
      <c r="J872" s="33"/>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row>
    <row r="873" spans="1:35" ht="15.6">
      <c r="A873" s="33"/>
      <c r="B873" s="33"/>
      <c r="C873" s="150"/>
      <c r="D873" s="33"/>
      <c r="E873" s="33"/>
      <c r="F873" s="33"/>
      <c r="G873" s="33"/>
      <c r="H873" s="33"/>
      <c r="I873" s="33"/>
      <c r="J873" s="33"/>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row>
    <row r="874" spans="1:35" ht="15.6">
      <c r="A874" s="33"/>
      <c r="B874" s="33"/>
      <c r="C874" s="150"/>
      <c r="D874" s="33"/>
      <c r="E874" s="33"/>
      <c r="F874" s="33"/>
      <c r="G874" s="33"/>
      <c r="H874" s="33"/>
      <c r="I874" s="33"/>
      <c r="J874" s="33"/>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row>
    <row r="875" spans="1:35" ht="15.6">
      <c r="A875" s="33"/>
      <c r="B875" s="33"/>
      <c r="C875" s="150"/>
      <c r="D875" s="33"/>
      <c r="E875" s="33"/>
      <c r="F875" s="33"/>
      <c r="G875" s="33"/>
      <c r="H875" s="33"/>
      <c r="I875" s="33"/>
      <c r="J875" s="33"/>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row>
    <row r="876" spans="1:35" ht="15.6">
      <c r="A876" s="33"/>
      <c r="B876" s="33"/>
      <c r="C876" s="150"/>
      <c r="D876" s="33"/>
      <c r="E876" s="33"/>
      <c r="F876" s="33"/>
      <c r="G876" s="33"/>
      <c r="H876" s="33"/>
      <c r="I876" s="33"/>
      <c r="J876" s="33"/>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row>
    <row r="877" spans="1:35" ht="15.6">
      <c r="A877" s="33"/>
      <c r="B877" s="33"/>
      <c r="C877" s="150"/>
      <c r="D877" s="33"/>
      <c r="E877" s="33"/>
      <c r="F877" s="33"/>
      <c r="G877" s="33"/>
      <c r="H877" s="33"/>
      <c r="I877" s="33"/>
      <c r="J877" s="33"/>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row>
    <row r="878" spans="1:35" ht="15.6">
      <c r="A878" s="33"/>
      <c r="B878" s="33"/>
      <c r="C878" s="150"/>
      <c r="D878" s="33"/>
      <c r="E878" s="33"/>
      <c r="F878" s="33"/>
      <c r="G878" s="33"/>
      <c r="H878" s="33"/>
      <c r="I878" s="33"/>
      <c r="J878" s="33"/>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row>
    <row r="879" spans="1:35" ht="15.6">
      <c r="A879" s="33"/>
      <c r="B879" s="33"/>
      <c r="C879" s="150"/>
      <c r="D879" s="33"/>
      <c r="E879" s="33"/>
      <c r="F879" s="33"/>
      <c r="G879" s="33"/>
      <c r="H879" s="33"/>
      <c r="I879" s="33"/>
      <c r="J879" s="33"/>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row>
    <row r="880" spans="1:35" ht="15.6">
      <c r="A880" s="33"/>
      <c r="B880" s="33"/>
      <c r="C880" s="150"/>
      <c r="D880" s="33"/>
      <c r="E880" s="33"/>
      <c r="F880" s="33"/>
      <c r="G880" s="33"/>
      <c r="H880" s="33"/>
      <c r="I880" s="33"/>
      <c r="J880" s="33"/>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row>
    <row r="881" spans="1:35" ht="15.6">
      <c r="A881" s="33"/>
      <c r="B881" s="33"/>
      <c r="C881" s="150"/>
      <c r="D881" s="33"/>
      <c r="E881" s="33"/>
      <c r="F881" s="33"/>
      <c r="G881" s="33"/>
      <c r="H881" s="33"/>
      <c r="I881" s="33"/>
      <c r="J881" s="33"/>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row>
    <row r="882" spans="1:35" ht="15.6">
      <c r="A882" s="33"/>
      <c r="B882" s="33"/>
      <c r="C882" s="150"/>
      <c r="D882" s="33"/>
      <c r="E882" s="33"/>
      <c r="F882" s="33"/>
      <c r="G882" s="33"/>
      <c r="H882" s="33"/>
      <c r="I882" s="33"/>
      <c r="J882" s="33"/>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row>
    <row r="883" spans="1:35" ht="15.6">
      <c r="A883" s="33"/>
      <c r="B883" s="33"/>
      <c r="C883" s="150"/>
      <c r="D883" s="33"/>
      <c r="E883" s="33"/>
      <c r="F883" s="33"/>
      <c r="G883" s="33"/>
      <c r="H883" s="33"/>
      <c r="I883" s="33"/>
      <c r="J883" s="33"/>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row>
    <row r="884" spans="1:35" ht="15.6">
      <c r="A884" s="33"/>
      <c r="B884" s="33"/>
      <c r="C884" s="150"/>
      <c r="D884" s="33"/>
      <c r="E884" s="33"/>
      <c r="F884" s="33"/>
      <c r="G884" s="33"/>
      <c r="H884" s="33"/>
      <c r="I884" s="33"/>
      <c r="J884" s="33"/>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row>
    <row r="885" spans="1:35" ht="15.6">
      <c r="A885" s="33"/>
      <c r="B885" s="33"/>
      <c r="C885" s="150"/>
      <c r="D885" s="33"/>
      <c r="E885" s="33"/>
      <c r="F885" s="33"/>
      <c r="G885" s="33"/>
      <c r="H885" s="33"/>
      <c r="I885" s="33"/>
      <c r="J885" s="33"/>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row>
    <row r="886" spans="1:35" ht="15.6">
      <c r="A886" s="33"/>
      <c r="B886" s="33"/>
      <c r="C886" s="150"/>
      <c r="D886" s="33"/>
      <c r="E886" s="33"/>
      <c r="F886" s="33"/>
      <c r="G886" s="33"/>
      <c r="H886" s="33"/>
      <c r="I886" s="33"/>
      <c r="J886" s="33"/>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row>
    <row r="887" spans="1:35" ht="15.6">
      <c r="A887" s="33"/>
      <c r="B887" s="33"/>
      <c r="C887" s="150"/>
      <c r="D887" s="33"/>
      <c r="E887" s="33"/>
      <c r="F887" s="33"/>
      <c r="G887" s="33"/>
      <c r="H887" s="33"/>
      <c r="I887" s="33"/>
      <c r="J887" s="33"/>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row>
    <row r="888" spans="1:35" ht="15.6">
      <c r="A888" s="33"/>
      <c r="B888" s="33"/>
      <c r="C888" s="150"/>
      <c r="D888" s="33"/>
      <c r="E888" s="33"/>
      <c r="F888" s="33"/>
      <c r="G888" s="33"/>
      <c r="H888" s="33"/>
      <c r="I888" s="33"/>
      <c r="J888" s="33"/>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row>
    <row r="889" spans="1:35" ht="15.6">
      <c r="A889" s="33"/>
      <c r="B889" s="33"/>
      <c r="C889" s="150"/>
      <c r="D889" s="33"/>
      <c r="E889" s="33"/>
      <c r="F889" s="33"/>
      <c r="G889" s="33"/>
      <c r="H889" s="33"/>
      <c r="I889" s="33"/>
      <c r="J889" s="33"/>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row>
    <row r="890" spans="1:35" ht="15.6">
      <c r="A890" s="33"/>
      <c r="B890" s="33"/>
      <c r="C890" s="150"/>
      <c r="D890" s="33"/>
      <c r="E890" s="33"/>
      <c r="F890" s="33"/>
      <c r="G890" s="33"/>
      <c r="H890" s="33"/>
      <c r="I890" s="33"/>
      <c r="J890" s="33"/>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row>
    <row r="891" spans="1:35" ht="15.6">
      <c r="A891" s="33"/>
      <c r="B891" s="33"/>
      <c r="C891" s="150"/>
      <c r="D891" s="33"/>
      <c r="E891" s="33"/>
      <c r="F891" s="33"/>
      <c r="G891" s="33"/>
      <c r="H891" s="33"/>
      <c r="I891" s="33"/>
      <c r="J891" s="33"/>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row>
    <row r="892" spans="1:35" ht="15.6">
      <c r="A892" s="33"/>
      <c r="B892" s="33"/>
      <c r="C892" s="150"/>
      <c r="D892" s="33"/>
      <c r="E892" s="33"/>
      <c r="F892" s="33"/>
      <c r="G892" s="33"/>
      <c r="H892" s="33"/>
      <c r="I892" s="33"/>
      <c r="J892" s="33"/>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row>
    <row r="893" spans="1:35" ht="15.6">
      <c r="A893" s="33"/>
      <c r="B893" s="33"/>
      <c r="C893" s="150"/>
      <c r="D893" s="33"/>
      <c r="E893" s="33"/>
      <c r="F893" s="33"/>
      <c r="G893" s="33"/>
      <c r="H893" s="33"/>
      <c r="I893" s="33"/>
      <c r="J893" s="33"/>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row>
    <row r="894" spans="1:35" ht="15.6">
      <c r="A894" s="33"/>
      <c r="B894" s="33"/>
      <c r="C894" s="150"/>
      <c r="D894" s="33"/>
      <c r="E894" s="33"/>
      <c r="F894" s="33"/>
      <c r="G894" s="33"/>
      <c r="H894" s="33"/>
      <c r="I894" s="33"/>
      <c r="J894" s="33"/>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row>
    <row r="895" spans="1:35" ht="15.6">
      <c r="A895" s="33"/>
      <c r="B895" s="33"/>
      <c r="C895" s="150"/>
      <c r="D895" s="33"/>
      <c r="E895" s="33"/>
      <c r="F895" s="33"/>
      <c r="G895" s="33"/>
      <c r="H895" s="33"/>
      <c r="I895" s="33"/>
      <c r="J895" s="33"/>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row>
    <row r="896" spans="1:35" ht="15.6">
      <c r="A896" s="33"/>
      <c r="B896" s="33"/>
      <c r="C896" s="150"/>
      <c r="D896" s="33"/>
      <c r="E896" s="33"/>
      <c r="F896" s="33"/>
      <c r="G896" s="33"/>
      <c r="H896" s="33"/>
      <c r="I896" s="33"/>
      <c r="J896" s="33"/>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row>
    <row r="897" spans="1:35" ht="15.6">
      <c r="A897" s="33"/>
      <c r="B897" s="33"/>
      <c r="C897" s="150"/>
      <c r="D897" s="33"/>
      <c r="E897" s="33"/>
      <c r="F897" s="33"/>
      <c r="G897" s="33"/>
      <c r="H897" s="33"/>
      <c r="I897" s="33"/>
      <c r="J897" s="33"/>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row>
    <row r="898" spans="1:35" ht="15.6">
      <c r="A898" s="33"/>
      <c r="B898" s="33"/>
      <c r="C898" s="150"/>
      <c r="D898" s="33"/>
      <c r="E898" s="33"/>
      <c r="F898" s="33"/>
      <c r="G898" s="33"/>
      <c r="H898" s="33"/>
      <c r="I898" s="33"/>
      <c r="J898" s="33"/>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row>
    <row r="899" spans="1:35" ht="15.6">
      <c r="A899" s="33"/>
      <c r="B899" s="33"/>
      <c r="C899" s="150"/>
      <c r="D899" s="33"/>
      <c r="E899" s="33"/>
      <c r="F899" s="33"/>
      <c r="G899" s="33"/>
      <c r="H899" s="33"/>
      <c r="I899" s="33"/>
      <c r="J899" s="33"/>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row>
    <row r="900" spans="1:35" ht="15.6">
      <c r="A900" s="33"/>
      <c r="B900" s="33"/>
      <c r="C900" s="150"/>
      <c r="D900" s="33"/>
      <c r="E900" s="33"/>
      <c r="F900" s="33"/>
      <c r="G900" s="33"/>
      <c r="H900" s="33"/>
      <c r="I900" s="33"/>
      <c r="J900" s="33"/>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row>
    <row r="901" spans="1:35" ht="15.6">
      <c r="A901" s="33"/>
      <c r="B901" s="33"/>
      <c r="C901" s="150"/>
      <c r="D901" s="33"/>
      <c r="E901" s="33"/>
      <c r="F901" s="33"/>
      <c r="G901" s="33"/>
      <c r="H901" s="33"/>
      <c r="I901" s="33"/>
      <c r="J901" s="33"/>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row>
    <row r="902" spans="1:35" ht="15.6">
      <c r="A902" s="33"/>
      <c r="B902" s="33"/>
      <c r="C902" s="150"/>
      <c r="D902" s="33"/>
      <c r="E902" s="33"/>
      <c r="F902" s="33"/>
      <c r="G902" s="33"/>
      <c r="H902" s="33"/>
      <c r="I902" s="33"/>
      <c r="J902" s="33"/>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row>
    <row r="903" spans="1:35" ht="15.6">
      <c r="A903" s="33"/>
      <c r="B903" s="33"/>
      <c r="C903" s="150"/>
      <c r="D903" s="33"/>
      <c r="E903" s="33"/>
      <c r="F903" s="33"/>
      <c r="G903" s="33"/>
      <c r="H903" s="33"/>
      <c r="I903" s="33"/>
      <c r="J903" s="33"/>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row>
    <row r="904" spans="1:35" ht="15.6">
      <c r="A904" s="33"/>
      <c r="B904" s="33"/>
      <c r="C904" s="150"/>
      <c r="D904" s="33"/>
      <c r="E904" s="33"/>
      <c r="F904" s="33"/>
      <c r="G904" s="33"/>
      <c r="H904" s="33"/>
      <c r="I904" s="33"/>
      <c r="J904" s="33"/>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row>
    <row r="905" spans="1:35" ht="15.6">
      <c r="A905" s="33"/>
      <c r="B905" s="33"/>
      <c r="C905" s="150"/>
      <c r="D905" s="33"/>
      <c r="E905" s="33"/>
      <c r="F905" s="33"/>
      <c r="G905" s="33"/>
      <c r="H905" s="33"/>
      <c r="I905" s="33"/>
      <c r="J905" s="33"/>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row>
    <row r="906" spans="1:35" ht="15.6">
      <c r="A906" s="33"/>
      <c r="B906" s="33"/>
      <c r="C906" s="150"/>
      <c r="D906" s="33"/>
      <c r="E906" s="33"/>
      <c r="F906" s="33"/>
      <c r="G906" s="33"/>
      <c r="H906" s="33"/>
      <c r="I906" s="33"/>
      <c r="J906" s="33"/>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row>
    <row r="907" spans="1:35" ht="15.6">
      <c r="A907" s="33"/>
      <c r="B907" s="33"/>
      <c r="C907" s="150"/>
      <c r="D907" s="33"/>
      <c r="E907" s="33"/>
      <c r="F907" s="33"/>
      <c r="G907" s="33"/>
      <c r="H907" s="33"/>
      <c r="I907" s="33"/>
      <c r="J907" s="33"/>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row>
    <row r="908" spans="1:35" ht="15.6">
      <c r="A908" s="33"/>
      <c r="B908" s="33"/>
      <c r="C908" s="150"/>
      <c r="D908" s="33"/>
      <c r="E908" s="33"/>
      <c r="F908" s="33"/>
      <c r="G908" s="33"/>
      <c r="H908" s="33"/>
      <c r="I908" s="33"/>
      <c r="J908" s="33"/>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row>
    <row r="909" spans="1:35" ht="15.6">
      <c r="A909" s="33"/>
      <c r="B909" s="33"/>
      <c r="C909" s="150"/>
      <c r="D909" s="33"/>
      <c r="E909" s="33"/>
      <c r="F909" s="33"/>
      <c r="G909" s="33"/>
      <c r="H909" s="33"/>
      <c r="I909" s="33"/>
      <c r="J909" s="33"/>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row>
    <row r="910" spans="1:35" ht="15.6">
      <c r="A910" s="33"/>
      <c r="B910" s="33"/>
      <c r="C910" s="150"/>
      <c r="D910" s="33"/>
      <c r="E910" s="33"/>
      <c r="F910" s="33"/>
      <c r="G910" s="33"/>
      <c r="H910" s="33"/>
      <c r="I910" s="33"/>
      <c r="J910" s="33"/>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row>
    <row r="911" spans="1:35" ht="15.6">
      <c r="A911" s="33"/>
      <c r="B911" s="33"/>
      <c r="C911" s="150"/>
      <c r="D911" s="33"/>
      <c r="E911" s="33"/>
      <c r="F911" s="33"/>
      <c r="G911" s="33"/>
      <c r="H911" s="33"/>
      <c r="I911" s="33"/>
      <c r="J911" s="33"/>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row>
    <row r="912" spans="1:35" ht="15.6">
      <c r="A912" s="33"/>
      <c r="B912" s="33"/>
      <c r="C912" s="150"/>
      <c r="D912" s="33"/>
      <c r="E912" s="33"/>
      <c r="F912" s="33"/>
      <c r="G912" s="33"/>
      <c r="H912" s="33"/>
      <c r="I912" s="33"/>
      <c r="J912" s="33"/>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row>
    <row r="913" spans="1:35" ht="15.6">
      <c r="A913" s="33"/>
      <c r="B913" s="33"/>
      <c r="C913" s="150"/>
      <c r="D913" s="33"/>
      <c r="E913" s="33"/>
      <c r="F913" s="33"/>
      <c r="G913" s="33"/>
      <c r="H913" s="33"/>
      <c r="I913" s="33"/>
      <c r="J913" s="33"/>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row>
    <row r="914" spans="1:35" ht="15.6">
      <c r="A914" s="33"/>
      <c r="B914" s="33"/>
      <c r="C914" s="150"/>
      <c r="D914" s="33"/>
      <c r="E914" s="33"/>
      <c r="F914" s="33"/>
      <c r="G914" s="33"/>
      <c r="H914" s="33"/>
      <c r="I914" s="33"/>
      <c r="J914" s="33"/>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row>
    <row r="915" spans="1:35" ht="15.6">
      <c r="A915" s="33"/>
      <c r="B915" s="33"/>
      <c r="C915" s="150"/>
      <c r="D915" s="33"/>
      <c r="E915" s="33"/>
      <c r="F915" s="33"/>
      <c r="G915" s="33"/>
      <c r="H915" s="33"/>
      <c r="I915" s="33"/>
      <c r="J915" s="33"/>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row>
    <row r="916" spans="1:35" ht="15.6">
      <c r="A916" s="33"/>
      <c r="B916" s="33"/>
      <c r="C916" s="150"/>
      <c r="D916" s="33"/>
      <c r="E916" s="33"/>
      <c r="F916" s="33"/>
      <c r="G916" s="33"/>
      <c r="H916" s="33"/>
      <c r="I916" s="33"/>
      <c r="J916" s="33"/>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row>
    <row r="917" spans="1:35" ht="15.6">
      <c r="A917" s="33"/>
      <c r="B917" s="33"/>
      <c r="C917" s="150"/>
      <c r="D917" s="33"/>
      <c r="E917" s="33"/>
      <c r="F917" s="33"/>
      <c r="G917" s="33"/>
      <c r="H917" s="33"/>
      <c r="I917" s="33"/>
      <c r="J917" s="33"/>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row>
    <row r="918" spans="1:35" ht="15.6">
      <c r="A918" s="33"/>
      <c r="B918" s="33"/>
      <c r="C918" s="150"/>
      <c r="D918" s="33"/>
      <c r="E918" s="33"/>
      <c r="F918" s="33"/>
      <c r="G918" s="33"/>
      <c r="H918" s="33"/>
      <c r="I918" s="33"/>
      <c r="J918" s="33"/>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row>
    <row r="919" spans="1:35" ht="15.6">
      <c r="A919" s="33"/>
      <c r="B919" s="33"/>
      <c r="C919" s="150"/>
      <c r="D919" s="33"/>
      <c r="E919" s="33"/>
      <c r="F919" s="33"/>
      <c r="G919" s="33"/>
      <c r="H919" s="33"/>
      <c r="I919" s="33"/>
      <c r="J919" s="33"/>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row>
    <row r="920" spans="1:35" ht="15.6">
      <c r="A920" s="33"/>
      <c r="B920" s="33"/>
      <c r="C920" s="150"/>
      <c r="D920" s="33"/>
      <c r="E920" s="33"/>
      <c r="F920" s="33"/>
      <c r="G920" s="33"/>
      <c r="H920" s="33"/>
      <c r="I920" s="33"/>
      <c r="J920" s="33"/>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row>
    <row r="921" spans="1:35" ht="15.6">
      <c r="A921" s="33"/>
      <c r="B921" s="33"/>
      <c r="C921" s="150"/>
      <c r="D921" s="33"/>
      <c r="E921" s="33"/>
      <c r="F921" s="33"/>
      <c r="G921" s="33"/>
      <c r="H921" s="33"/>
      <c r="I921" s="33"/>
      <c r="J921" s="33"/>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row>
    <row r="922" spans="1:35" ht="15.6">
      <c r="A922" s="33"/>
      <c r="B922" s="33"/>
      <c r="C922" s="150"/>
      <c r="D922" s="33"/>
      <c r="E922" s="33"/>
      <c r="F922" s="33"/>
      <c r="G922" s="33"/>
      <c r="H922" s="33"/>
      <c r="I922" s="33"/>
      <c r="J922" s="33"/>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row>
    <row r="923" spans="1:35" ht="15.6">
      <c r="A923" s="33"/>
      <c r="B923" s="33"/>
      <c r="C923" s="150"/>
      <c r="D923" s="33"/>
      <c r="E923" s="33"/>
      <c r="F923" s="33"/>
      <c r="G923" s="33"/>
      <c r="H923" s="33"/>
      <c r="I923" s="33"/>
      <c r="J923" s="33"/>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row>
    <row r="924" spans="1:35" ht="15.6">
      <c r="A924" s="33"/>
      <c r="B924" s="33"/>
      <c r="C924" s="150"/>
      <c r="D924" s="33"/>
      <c r="E924" s="33"/>
      <c r="F924" s="33"/>
      <c r="G924" s="33"/>
      <c r="H924" s="33"/>
      <c r="I924" s="33"/>
      <c r="J924" s="33"/>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row>
    <row r="925" spans="1:35" ht="15.6">
      <c r="A925" s="33"/>
      <c r="B925" s="33"/>
      <c r="C925" s="150"/>
      <c r="D925" s="33"/>
      <c r="E925" s="33"/>
      <c r="F925" s="33"/>
      <c r="G925" s="33"/>
      <c r="H925" s="33"/>
      <c r="I925" s="33"/>
      <c r="J925" s="33"/>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row>
    <row r="926" spans="1:35" ht="15.6">
      <c r="A926" s="33"/>
      <c r="B926" s="33"/>
      <c r="C926" s="150"/>
      <c r="D926" s="33"/>
      <c r="E926" s="33"/>
      <c r="F926" s="33"/>
      <c r="G926" s="33"/>
      <c r="H926" s="33"/>
      <c r="I926" s="33"/>
      <c r="J926" s="33"/>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row>
    <row r="927" spans="1:35" ht="15.6">
      <c r="A927" s="33"/>
      <c r="B927" s="33"/>
      <c r="C927" s="150"/>
      <c r="D927" s="33"/>
      <c r="E927" s="33"/>
      <c r="F927" s="33"/>
      <c r="G927" s="33"/>
      <c r="H927" s="33"/>
      <c r="I927" s="33"/>
      <c r="J927" s="33"/>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row>
    <row r="928" spans="1:35" ht="15.6">
      <c r="A928" s="33"/>
      <c r="B928" s="33"/>
      <c r="C928" s="150"/>
      <c r="D928" s="33"/>
      <c r="E928" s="33"/>
      <c r="F928" s="33"/>
      <c r="G928" s="33"/>
      <c r="H928" s="33"/>
      <c r="I928" s="33"/>
      <c r="J928" s="33"/>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row>
    <row r="929" spans="1:35" ht="15.6">
      <c r="A929" s="33"/>
      <c r="B929" s="33"/>
      <c r="C929" s="150"/>
      <c r="D929" s="33"/>
      <c r="E929" s="33"/>
      <c r="F929" s="33"/>
      <c r="G929" s="33"/>
      <c r="H929" s="33"/>
      <c r="I929" s="33"/>
      <c r="J929" s="33"/>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row>
    <row r="930" spans="1:35" ht="15.6">
      <c r="A930" s="33"/>
      <c r="B930" s="33"/>
      <c r="C930" s="150"/>
      <c r="D930" s="33"/>
      <c r="E930" s="33"/>
      <c r="F930" s="33"/>
      <c r="G930" s="33"/>
      <c r="H930" s="33"/>
      <c r="I930" s="33"/>
      <c r="J930" s="33"/>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row>
    <row r="931" spans="1:35" ht="15.6">
      <c r="A931" s="33"/>
      <c r="B931" s="33"/>
      <c r="C931" s="150"/>
      <c r="D931" s="33"/>
      <c r="E931" s="33"/>
      <c r="F931" s="33"/>
      <c r="G931" s="33"/>
      <c r="H931" s="33"/>
      <c r="I931" s="33"/>
      <c r="J931" s="33"/>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row>
    <row r="932" spans="1:35" ht="15.6">
      <c r="A932" s="33"/>
      <c r="B932" s="33"/>
      <c r="C932" s="150"/>
      <c r="D932" s="33"/>
      <c r="E932" s="33"/>
      <c r="F932" s="33"/>
      <c r="G932" s="33"/>
      <c r="H932" s="33"/>
      <c r="I932" s="33"/>
      <c r="J932" s="33"/>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row>
    <row r="933" spans="1:35" ht="15.6">
      <c r="A933" s="33"/>
      <c r="B933" s="33"/>
      <c r="C933" s="150"/>
      <c r="D933" s="33"/>
      <c r="E933" s="33"/>
      <c r="F933" s="33"/>
      <c r="G933" s="33"/>
      <c r="H933" s="33"/>
      <c r="I933" s="33"/>
      <c r="J933" s="33"/>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row>
    <row r="934" spans="1:35" ht="15.6">
      <c r="A934" s="33"/>
      <c r="B934" s="33"/>
      <c r="C934" s="150"/>
      <c r="D934" s="33"/>
      <c r="E934" s="33"/>
      <c r="F934" s="33"/>
      <c r="G934" s="33"/>
      <c r="H934" s="33"/>
      <c r="I934" s="33"/>
      <c r="J934" s="33"/>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row>
    <row r="935" spans="1:35" ht="15.6">
      <c r="A935" s="33"/>
      <c r="B935" s="33"/>
      <c r="C935" s="150"/>
      <c r="D935" s="33"/>
      <c r="E935" s="33"/>
      <c r="F935" s="33"/>
      <c r="G935" s="33"/>
      <c r="H935" s="33"/>
      <c r="I935" s="33"/>
      <c r="J935" s="33"/>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row>
    <row r="936" spans="1:35" ht="15.6">
      <c r="A936" s="33"/>
      <c r="B936" s="33"/>
      <c r="C936" s="150"/>
      <c r="D936" s="33"/>
      <c r="E936" s="33"/>
      <c r="F936" s="33"/>
      <c r="G936" s="33"/>
      <c r="H936" s="33"/>
      <c r="I936" s="33"/>
      <c r="J936" s="33"/>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row>
    <row r="937" spans="1:35" ht="15.6">
      <c r="A937" s="33"/>
      <c r="B937" s="33"/>
      <c r="C937" s="150"/>
      <c r="D937" s="33"/>
      <c r="E937" s="33"/>
      <c r="F937" s="33"/>
      <c r="G937" s="33"/>
      <c r="H937" s="33"/>
      <c r="I937" s="33"/>
      <c r="J937" s="33"/>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row>
    <row r="938" spans="1:35" ht="15.6">
      <c r="A938" s="33"/>
      <c r="B938" s="33"/>
      <c r="C938" s="150"/>
      <c r="D938" s="33"/>
      <c r="E938" s="33"/>
      <c r="F938" s="33"/>
      <c r="G938" s="33"/>
      <c r="H938" s="33"/>
      <c r="I938" s="33"/>
      <c r="J938" s="33"/>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row>
    <row r="939" spans="1:35" ht="15.6">
      <c r="A939" s="33"/>
      <c r="B939" s="33"/>
      <c r="C939" s="150"/>
      <c r="D939" s="33"/>
      <c r="E939" s="33"/>
      <c r="F939" s="33"/>
      <c r="G939" s="33"/>
      <c r="H939" s="33"/>
      <c r="I939" s="33"/>
      <c r="J939" s="33"/>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row>
    <row r="940" spans="1:35" ht="15.6">
      <c r="A940" s="33"/>
      <c r="B940" s="33"/>
      <c r="C940" s="150"/>
      <c r="D940" s="33"/>
      <c r="E940" s="33"/>
      <c r="F940" s="33"/>
      <c r="G940" s="33"/>
      <c r="H940" s="33"/>
      <c r="I940" s="33"/>
      <c r="J940" s="33"/>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row>
    <row r="941" spans="1:35" ht="15.6">
      <c r="A941" s="33"/>
      <c r="B941" s="33"/>
      <c r="C941" s="150"/>
      <c r="D941" s="33"/>
      <c r="E941" s="33"/>
      <c r="F941" s="33"/>
      <c r="G941" s="33"/>
      <c r="H941" s="33"/>
      <c r="I941" s="33"/>
      <c r="J941" s="33"/>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row>
    <row r="942" spans="1:35" ht="15.6">
      <c r="A942" s="33"/>
      <c r="B942" s="33"/>
      <c r="C942" s="150"/>
      <c r="D942" s="33"/>
      <c r="E942" s="33"/>
      <c r="F942" s="33"/>
      <c r="G942" s="33"/>
      <c r="H942" s="33"/>
      <c r="I942" s="33"/>
      <c r="J942" s="33"/>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row>
    <row r="943" spans="1:35" ht="15.6">
      <c r="A943" s="33"/>
      <c r="B943" s="33"/>
      <c r="C943" s="150"/>
      <c r="D943" s="33"/>
      <c r="E943" s="33"/>
      <c r="F943" s="33"/>
      <c r="G943" s="33"/>
      <c r="H943" s="33"/>
      <c r="I943" s="33"/>
      <c r="J943" s="33"/>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row>
    <row r="944" spans="1:35" ht="15.6">
      <c r="A944" s="33"/>
      <c r="B944" s="33"/>
      <c r="C944" s="150"/>
      <c r="D944" s="33"/>
      <c r="E944" s="33"/>
      <c r="F944" s="33"/>
      <c r="G944" s="33"/>
      <c r="H944" s="33"/>
      <c r="I944" s="33"/>
      <c r="J944" s="33"/>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row>
    <row r="945" spans="1:35" ht="15.6">
      <c r="A945" s="33"/>
      <c r="B945" s="33"/>
      <c r="C945" s="150"/>
      <c r="D945" s="33"/>
      <c r="E945" s="33"/>
      <c r="F945" s="33"/>
      <c r="G945" s="33"/>
      <c r="H945" s="33"/>
      <c r="I945" s="33"/>
      <c r="J945" s="33"/>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row>
    <row r="946" spans="1:35" ht="15.6">
      <c r="A946" s="33"/>
      <c r="B946" s="33"/>
      <c r="C946" s="150"/>
      <c r="D946" s="33"/>
      <c r="E946" s="33"/>
      <c r="F946" s="33"/>
      <c r="G946" s="33"/>
      <c r="H946" s="33"/>
      <c r="I946" s="33"/>
      <c r="J946" s="33"/>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row>
    <row r="947" spans="1:35" ht="15.6">
      <c r="A947" s="33"/>
      <c r="B947" s="33"/>
      <c r="C947" s="150"/>
      <c r="D947" s="33"/>
      <c r="E947" s="33"/>
      <c r="F947" s="33"/>
      <c r="G947" s="33"/>
      <c r="H947" s="33"/>
      <c r="I947" s="33"/>
      <c r="J947" s="33"/>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row>
    <row r="948" spans="1:35" ht="15.6">
      <c r="A948" s="33"/>
      <c r="B948" s="33"/>
      <c r="C948" s="150"/>
      <c r="D948" s="33"/>
      <c r="E948" s="33"/>
      <c r="F948" s="33"/>
      <c r="G948" s="33"/>
      <c r="H948" s="33"/>
      <c r="I948" s="33"/>
      <c r="J948" s="33"/>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row>
    <row r="949" spans="1:35" ht="15.6">
      <c r="A949" s="33"/>
      <c r="B949" s="33"/>
      <c r="C949" s="150"/>
      <c r="D949" s="33"/>
      <c r="E949" s="33"/>
      <c r="F949" s="33"/>
      <c r="G949" s="33"/>
      <c r="H949" s="33"/>
      <c r="I949" s="33"/>
      <c r="J949" s="33"/>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row>
    <row r="950" spans="1:35" ht="15.6">
      <c r="A950" s="33"/>
      <c r="B950" s="33"/>
      <c r="C950" s="150"/>
      <c r="D950" s="33"/>
      <c r="E950" s="33"/>
      <c r="F950" s="33"/>
      <c r="G950" s="33"/>
      <c r="H950" s="33"/>
      <c r="I950" s="33"/>
      <c r="J950" s="33"/>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row>
    <row r="951" spans="1:35" ht="15.6">
      <c r="A951" s="33"/>
      <c r="B951" s="33"/>
      <c r="C951" s="150"/>
      <c r="D951" s="33"/>
      <c r="E951" s="33"/>
      <c r="F951" s="33"/>
      <c r="G951" s="33"/>
      <c r="H951" s="33"/>
      <c r="I951" s="33"/>
      <c r="J951" s="33"/>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row>
    <row r="952" spans="1:35" ht="15.6">
      <c r="A952" s="33"/>
      <c r="B952" s="33"/>
      <c r="C952" s="150"/>
      <c r="D952" s="33"/>
      <c r="E952" s="33"/>
      <c r="F952" s="33"/>
      <c r="G952" s="33"/>
      <c r="H952" s="33"/>
      <c r="I952" s="33"/>
      <c r="J952" s="33"/>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row>
    <row r="953" spans="1:35" ht="15.6">
      <c r="A953" s="33"/>
      <c r="B953" s="33"/>
      <c r="C953" s="150"/>
      <c r="D953" s="33"/>
      <c r="E953" s="33"/>
      <c r="F953" s="33"/>
      <c r="G953" s="33"/>
      <c r="H953" s="33"/>
      <c r="I953" s="33"/>
      <c r="J953" s="33"/>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row>
    <row r="954" spans="1:35" ht="15.6">
      <c r="A954" s="33"/>
      <c r="B954" s="33"/>
      <c r="C954" s="150"/>
      <c r="D954" s="33"/>
      <c r="E954" s="33"/>
      <c r="F954" s="33"/>
      <c r="G954" s="33"/>
      <c r="H954" s="33"/>
      <c r="I954" s="33"/>
      <c r="J954" s="33"/>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row>
    <row r="955" spans="1:35" ht="15.6">
      <c r="A955" s="33"/>
      <c r="B955" s="33"/>
      <c r="C955" s="150"/>
      <c r="D955" s="33"/>
      <c r="E955" s="33"/>
      <c r="F955" s="33"/>
      <c r="G955" s="33"/>
      <c r="H955" s="33"/>
      <c r="I955" s="33"/>
      <c r="J955" s="33"/>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row>
    <row r="956" spans="1:35" ht="15.6">
      <c r="A956" s="33"/>
      <c r="B956" s="33"/>
      <c r="C956" s="150"/>
      <c r="D956" s="33"/>
      <c r="E956" s="33"/>
      <c r="F956" s="33"/>
      <c r="G956" s="33"/>
      <c r="H956" s="33"/>
      <c r="I956" s="33"/>
      <c r="J956" s="33"/>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row>
    <row r="957" spans="1:35" ht="15.6">
      <c r="A957" s="33"/>
      <c r="B957" s="33"/>
      <c r="C957" s="150"/>
      <c r="D957" s="33"/>
      <c r="E957" s="33"/>
      <c r="F957" s="33"/>
      <c r="G957" s="33"/>
      <c r="H957" s="33"/>
      <c r="I957" s="33"/>
      <c r="J957" s="33"/>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row>
    <row r="958" spans="1:35" ht="15.6">
      <c r="A958" s="33"/>
      <c r="B958" s="33"/>
      <c r="C958" s="150"/>
      <c r="D958" s="33"/>
      <c r="E958" s="33"/>
      <c r="F958" s="33"/>
      <c r="G958" s="33"/>
      <c r="H958" s="33"/>
      <c r="I958" s="33"/>
      <c r="J958" s="33"/>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row>
    <row r="959" spans="1:35" ht="15.6">
      <c r="A959" s="33"/>
      <c r="B959" s="33"/>
      <c r="C959" s="150"/>
      <c r="D959" s="33"/>
      <c r="E959" s="33"/>
      <c r="F959" s="33"/>
      <c r="G959" s="33"/>
      <c r="H959" s="33"/>
      <c r="I959" s="33"/>
      <c r="J959" s="33"/>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row>
    <row r="960" spans="1:35" ht="15.6">
      <c r="A960" s="33"/>
      <c r="B960" s="33"/>
      <c r="C960" s="150"/>
      <c r="D960" s="33"/>
      <c r="E960" s="33"/>
      <c r="F960" s="33"/>
      <c r="G960" s="33"/>
      <c r="H960" s="33"/>
      <c r="I960" s="33"/>
      <c r="J960" s="33"/>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row>
    <row r="961" spans="1:35" ht="15.6">
      <c r="A961" s="33"/>
      <c r="B961" s="33"/>
      <c r="C961" s="150"/>
      <c r="D961" s="33"/>
      <c r="E961" s="33"/>
      <c r="F961" s="33"/>
      <c r="G961" s="33"/>
      <c r="H961" s="33"/>
      <c r="I961" s="33"/>
      <c r="J961" s="33"/>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row>
    <row r="962" spans="1:35" ht="15.6">
      <c r="A962" s="33"/>
      <c r="B962" s="33"/>
      <c r="C962" s="150"/>
      <c r="D962" s="33"/>
      <c r="E962" s="33"/>
      <c r="F962" s="33"/>
      <c r="G962" s="33"/>
      <c r="H962" s="33"/>
      <c r="I962" s="33"/>
      <c r="J962" s="33"/>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row>
    <row r="963" spans="1:35" ht="15.6">
      <c r="A963" s="33"/>
      <c r="B963" s="33"/>
      <c r="C963" s="150"/>
      <c r="D963" s="33"/>
      <c r="E963" s="33"/>
      <c r="F963" s="33"/>
      <c r="G963" s="33"/>
      <c r="H963" s="33"/>
      <c r="I963" s="33"/>
      <c r="J963" s="33"/>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row>
    <row r="964" spans="1:35" ht="15.6">
      <c r="A964" s="33"/>
      <c r="B964" s="33"/>
      <c r="C964" s="150"/>
      <c r="D964" s="33"/>
      <c r="E964" s="33"/>
      <c r="F964" s="33"/>
      <c r="G964" s="33"/>
      <c r="H964" s="33"/>
      <c r="I964" s="33"/>
      <c r="J964" s="33"/>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row>
    <row r="965" spans="1:35" ht="15.6">
      <c r="A965" s="33"/>
      <c r="B965" s="33"/>
      <c r="C965" s="150"/>
      <c r="D965" s="33"/>
      <c r="E965" s="33"/>
      <c r="F965" s="33"/>
      <c r="G965" s="33"/>
      <c r="H965" s="33"/>
      <c r="I965" s="33"/>
      <c r="J965" s="33"/>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row>
    <row r="966" spans="1:35" ht="15.6">
      <c r="A966" s="33"/>
      <c r="B966" s="33"/>
      <c r="C966" s="150"/>
      <c r="D966" s="33"/>
      <c r="E966" s="33"/>
      <c r="F966" s="33"/>
      <c r="G966" s="33"/>
      <c r="H966" s="33"/>
      <c r="I966" s="33"/>
      <c r="J966" s="33"/>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row>
    <row r="967" spans="1:35" ht="15.6">
      <c r="A967" s="33"/>
      <c r="B967" s="33"/>
      <c r="C967" s="150"/>
      <c r="D967" s="33"/>
      <c r="E967" s="33"/>
      <c r="F967" s="33"/>
      <c r="G967" s="33"/>
      <c r="H967" s="33"/>
      <c r="I967" s="33"/>
      <c r="J967" s="33"/>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row>
    <row r="968" spans="1:35" ht="15.6">
      <c r="A968" s="33"/>
      <c r="B968" s="33"/>
      <c r="C968" s="150"/>
      <c r="D968" s="33"/>
      <c r="E968" s="33"/>
      <c r="F968" s="33"/>
      <c r="G968" s="33"/>
      <c r="H968" s="33"/>
      <c r="I968" s="33"/>
      <c r="J968" s="33"/>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row>
    <row r="969" spans="1:35" ht="15.6">
      <c r="A969" s="33"/>
      <c r="B969" s="33"/>
      <c r="C969" s="150"/>
      <c r="D969" s="33"/>
      <c r="E969" s="33"/>
      <c r="F969" s="33"/>
      <c r="G969" s="33"/>
      <c r="H969" s="33"/>
      <c r="I969" s="33"/>
      <c r="J969" s="33"/>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row>
    <row r="970" spans="1:35" ht="15.6">
      <c r="A970" s="33"/>
      <c r="B970" s="33"/>
      <c r="C970" s="150"/>
      <c r="D970" s="33"/>
      <c r="E970" s="33"/>
      <c r="F970" s="33"/>
      <c r="G970" s="33"/>
      <c r="H970" s="33"/>
      <c r="I970" s="33"/>
      <c r="J970" s="33"/>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row>
    <row r="971" spans="1:35" ht="15.6">
      <c r="A971" s="33"/>
      <c r="B971" s="33"/>
      <c r="C971" s="150"/>
      <c r="D971" s="33"/>
      <c r="E971" s="33"/>
      <c r="F971" s="33"/>
      <c r="G971" s="33"/>
      <c r="H971" s="33"/>
      <c r="I971" s="33"/>
      <c r="J971" s="33"/>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row>
    <row r="972" spans="1:35" ht="15.6">
      <c r="A972" s="33"/>
      <c r="B972" s="33"/>
      <c r="C972" s="150"/>
      <c r="D972" s="33"/>
      <c r="E972" s="33"/>
      <c r="F972" s="33"/>
      <c r="G972" s="33"/>
      <c r="H972" s="33"/>
      <c r="I972" s="33"/>
      <c r="J972" s="33"/>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row>
    <row r="973" spans="1:35" ht="15.6">
      <c r="A973" s="33"/>
      <c r="B973" s="33"/>
      <c r="C973" s="150"/>
      <c r="D973" s="33"/>
      <c r="E973" s="33"/>
      <c r="F973" s="33"/>
      <c r="G973" s="33"/>
      <c r="H973" s="33"/>
      <c r="I973" s="33"/>
      <c r="J973" s="33"/>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row>
    <row r="974" spans="1:35" ht="15.6">
      <c r="A974" s="33"/>
      <c r="B974" s="33"/>
      <c r="C974" s="150"/>
      <c r="D974" s="33"/>
      <c r="E974" s="33"/>
      <c r="F974" s="33"/>
      <c r="G974" s="33"/>
      <c r="H974" s="33"/>
      <c r="I974" s="33"/>
      <c r="J974" s="33"/>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row>
    <row r="975" spans="1:35" ht="15.6">
      <c r="A975" s="33"/>
      <c r="B975" s="33"/>
      <c r="C975" s="150"/>
      <c r="D975" s="33"/>
      <c r="E975" s="33"/>
      <c r="F975" s="33"/>
      <c r="G975" s="33"/>
      <c r="H975" s="33"/>
      <c r="I975" s="33"/>
      <c r="J975" s="33"/>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row>
    <row r="976" spans="1:35" ht="15.6">
      <c r="A976" s="33"/>
      <c r="B976" s="33"/>
      <c r="C976" s="150"/>
      <c r="D976" s="33"/>
      <c r="E976" s="33"/>
      <c r="F976" s="33"/>
      <c r="G976" s="33"/>
      <c r="H976" s="33"/>
      <c r="I976" s="33"/>
      <c r="J976" s="33"/>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row>
    <row r="977" spans="1:35" ht="15.6">
      <c r="A977" s="33"/>
      <c r="B977" s="33"/>
      <c r="C977" s="150"/>
      <c r="D977" s="33"/>
      <c r="E977" s="33"/>
      <c r="F977" s="33"/>
      <c r="G977" s="33"/>
      <c r="H977" s="33"/>
      <c r="I977" s="33"/>
      <c r="J977" s="33"/>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row>
    <row r="978" spans="1:35" ht="15.6">
      <c r="A978" s="33"/>
      <c r="B978" s="33"/>
      <c r="C978" s="150"/>
      <c r="D978" s="33"/>
      <c r="E978" s="33"/>
      <c r="F978" s="33"/>
      <c r="G978" s="33"/>
      <c r="H978" s="33"/>
      <c r="I978" s="33"/>
      <c r="J978" s="33"/>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row>
    <row r="979" spans="1:35" ht="15.6">
      <c r="A979" s="33"/>
      <c r="B979" s="33"/>
      <c r="C979" s="150"/>
      <c r="D979" s="33"/>
      <c r="E979" s="33"/>
      <c r="F979" s="33"/>
      <c r="G979" s="33"/>
      <c r="H979" s="33"/>
      <c r="I979" s="33"/>
      <c r="J979" s="33"/>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row>
    <row r="980" spans="1:35" ht="15.6">
      <c r="A980" s="33"/>
      <c r="B980" s="33"/>
      <c r="C980" s="150"/>
      <c r="D980" s="33"/>
      <c r="E980" s="33"/>
      <c r="F980" s="33"/>
      <c r="G980" s="33"/>
      <c r="H980" s="33"/>
      <c r="I980" s="33"/>
      <c r="J980" s="33"/>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row>
    <row r="981" spans="1:35" ht="15.6">
      <c r="A981" s="33"/>
      <c r="B981" s="33"/>
      <c r="C981" s="150"/>
      <c r="D981" s="33"/>
      <c r="E981" s="33"/>
      <c r="F981" s="33"/>
      <c r="G981" s="33"/>
      <c r="H981" s="33"/>
      <c r="I981" s="33"/>
      <c r="J981" s="33"/>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row>
    <row r="982" spans="1:35" ht="15.6">
      <c r="A982" s="33"/>
      <c r="B982" s="33"/>
      <c r="C982" s="150"/>
      <c r="D982" s="33"/>
      <c r="E982" s="33"/>
      <c r="F982" s="33"/>
      <c r="G982" s="33"/>
      <c r="H982" s="33"/>
      <c r="I982" s="33"/>
      <c r="J982" s="33"/>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row>
    <row r="983" spans="1:35" ht="15.6">
      <c r="A983" s="33"/>
      <c r="B983" s="33"/>
      <c r="C983" s="150"/>
      <c r="D983" s="33"/>
      <c r="E983" s="33"/>
      <c r="F983" s="33"/>
      <c r="G983" s="33"/>
      <c r="H983" s="33"/>
      <c r="I983" s="33"/>
      <c r="J983" s="33"/>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row>
    <row r="984" spans="1:35" ht="15.6">
      <c r="A984" s="33"/>
      <c r="B984" s="33"/>
      <c r="C984" s="150"/>
      <c r="D984" s="33"/>
      <c r="E984" s="33"/>
      <c r="F984" s="33"/>
      <c r="G984" s="33"/>
      <c r="H984" s="33"/>
      <c r="I984" s="33"/>
      <c r="J984" s="33"/>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row>
    <row r="985" spans="1:35" ht="15.6">
      <c r="A985" s="33"/>
      <c r="B985" s="33"/>
      <c r="C985" s="150"/>
      <c r="D985" s="33"/>
      <c r="E985" s="33"/>
      <c r="F985" s="33"/>
      <c r="G985" s="33"/>
      <c r="H985" s="33"/>
      <c r="I985" s="33"/>
      <c r="J985" s="33"/>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row>
    <row r="986" spans="1:35" ht="15.6">
      <c r="A986" s="33"/>
      <c r="B986" s="33"/>
      <c r="C986" s="150"/>
      <c r="D986" s="33"/>
      <c r="E986" s="33"/>
      <c r="F986" s="33"/>
      <c r="G986" s="33"/>
      <c r="H986" s="33"/>
      <c r="I986" s="33"/>
      <c r="J986" s="33"/>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row>
    <row r="987" spans="1:35" ht="15.6">
      <c r="A987" s="33"/>
      <c r="B987" s="33"/>
      <c r="C987" s="150"/>
      <c r="D987" s="33"/>
      <c r="E987" s="33"/>
      <c r="F987" s="33"/>
      <c r="G987" s="33"/>
      <c r="H987" s="33"/>
      <c r="I987" s="33"/>
      <c r="J987" s="33"/>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row>
    <row r="988" spans="1:35" ht="15.6">
      <c r="A988" s="33"/>
      <c r="B988" s="33"/>
      <c r="C988" s="150"/>
      <c r="D988" s="33"/>
      <c r="E988" s="33"/>
      <c r="F988" s="33"/>
      <c r="G988" s="33"/>
      <c r="H988" s="33"/>
      <c r="I988" s="33"/>
      <c r="J988" s="33"/>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row>
    <row r="989" spans="1:35" ht="15.6">
      <c r="A989" s="33"/>
      <c r="B989" s="33"/>
      <c r="C989" s="150"/>
      <c r="D989" s="33"/>
      <c r="E989" s="33"/>
      <c r="F989" s="33"/>
      <c r="G989" s="33"/>
      <c r="H989" s="33"/>
      <c r="I989" s="33"/>
      <c r="J989" s="33"/>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row>
    <row r="990" spans="1:35" ht="15.6">
      <c r="A990" s="33"/>
      <c r="B990" s="33"/>
      <c r="C990" s="150"/>
      <c r="D990" s="33"/>
      <c r="E990" s="33"/>
      <c r="F990" s="33"/>
      <c r="G990" s="33"/>
      <c r="H990" s="33"/>
      <c r="I990" s="33"/>
      <c r="J990" s="33"/>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row>
    <row r="991" spans="1:35" ht="15.6">
      <c r="A991" s="33"/>
      <c r="B991" s="33"/>
      <c r="C991" s="150"/>
      <c r="D991" s="33"/>
      <c r="E991" s="33"/>
      <c r="F991" s="33"/>
      <c r="G991" s="33"/>
      <c r="H991" s="33"/>
      <c r="I991" s="33"/>
      <c r="J991" s="33"/>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row>
    <row r="992" spans="1:35" ht="15.6">
      <c r="A992" s="33"/>
      <c r="B992" s="33"/>
      <c r="C992" s="150"/>
      <c r="D992" s="33"/>
      <c r="E992" s="33"/>
      <c r="F992" s="33"/>
      <c r="G992" s="33"/>
      <c r="H992" s="33"/>
      <c r="I992" s="33"/>
      <c r="J992" s="33"/>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row>
    <row r="993" spans="1:35" ht="15.6">
      <c r="A993" s="33"/>
      <c r="B993" s="33"/>
      <c r="C993" s="150"/>
      <c r="D993" s="33"/>
      <c r="E993" s="33"/>
      <c r="F993" s="33"/>
      <c r="G993" s="33"/>
      <c r="H993" s="33"/>
      <c r="I993" s="33"/>
      <c r="J993" s="33"/>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row>
    <row r="994" spans="1:35" ht="15.6">
      <c r="A994" s="33"/>
      <c r="B994" s="33"/>
      <c r="C994" s="150"/>
      <c r="D994" s="33"/>
      <c r="E994" s="33"/>
      <c r="F994" s="33"/>
      <c r="G994" s="33"/>
      <c r="H994" s="33"/>
      <c r="I994" s="33"/>
      <c r="J994" s="33"/>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row>
    <row r="995" spans="1:35" ht="15.6">
      <c r="A995" s="33"/>
      <c r="B995" s="33"/>
      <c r="C995" s="150"/>
      <c r="D995" s="33"/>
      <c r="E995" s="33"/>
      <c r="F995" s="33"/>
      <c r="G995" s="33"/>
      <c r="H995" s="33"/>
      <c r="I995" s="33"/>
      <c r="J995" s="33"/>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row>
    <row r="996" spans="1:35" ht="15.6">
      <c r="A996" s="33"/>
      <c r="B996" s="33"/>
      <c r="C996" s="150"/>
      <c r="D996" s="33"/>
      <c r="E996" s="33"/>
      <c r="F996" s="33"/>
      <c r="G996" s="33"/>
      <c r="H996" s="33"/>
      <c r="I996" s="33"/>
      <c r="J996" s="33"/>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row>
    <row r="997" spans="1:35" ht="15.6">
      <c r="A997" s="33"/>
      <c r="B997" s="33"/>
      <c r="C997" s="150"/>
      <c r="D997" s="33"/>
      <c r="E997" s="33"/>
      <c r="F997" s="33"/>
      <c r="G997" s="33"/>
      <c r="H997" s="33"/>
      <c r="I997" s="33"/>
      <c r="J997" s="33"/>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row>
    <row r="998" spans="1:35" ht="15.6">
      <c r="A998" s="33"/>
      <c r="B998" s="33"/>
      <c r="C998" s="150"/>
      <c r="D998" s="33"/>
      <c r="E998" s="33"/>
      <c r="F998" s="33"/>
      <c r="G998" s="33"/>
      <c r="H998" s="33"/>
      <c r="I998" s="33"/>
      <c r="J998" s="33"/>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row>
    <row r="999" spans="1:35" ht="15.6">
      <c r="A999" s="33"/>
      <c r="B999" s="33"/>
      <c r="C999" s="150"/>
      <c r="D999" s="33"/>
      <c r="E999" s="33"/>
      <c r="F999" s="33"/>
      <c r="G999" s="33"/>
      <c r="H999" s="33"/>
      <c r="I999" s="33"/>
      <c r="J999" s="33"/>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row>
    <row r="1000" spans="1:35" ht="15.6">
      <c r="A1000" s="33"/>
      <c r="B1000" s="33"/>
      <c r="C1000" s="150"/>
      <c r="D1000" s="33"/>
      <c r="E1000" s="33"/>
      <c r="F1000" s="33"/>
      <c r="G1000" s="33"/>
      <c r="H1000" s="33"/>
      <c r="I1000" s="33"/>
      <c r="J1000" s="33"/>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row>
  </sheetData>
  <mergeCells count="16">
    <mergeCell ref="H4:H5"/>
    <mergeCell ref="I4:I5"/>
    <mergeCell ref="J4:J5"/>
    <mergeCell ref="M16:O17"/>
    <mergeCell ref="A1:K1"/>
    <mergeCell ref="B2:J2"/>
    <mergeCell ref="K2:K6"/>
    <mergeCell ref="M2:O2"/>
    <mergeCell ref="A3:J3"/>
    <mergeCell ref="A4:A5"/>
    <mergeCell ref="B4:B5"/>
    <mergeCell ref="C4:C5"/>
    <mergeCell ref="D4:D5"/>
    <mergeCell ref="E4:E5"/>
    <mergeCell ref="F4:F5"/>
    <mergeCell ref="G4:G5"/>
  </mergeCells>
  <pageMargins left="0.7" right="0.7" top="0.75" bottom="0.75" header="0" footer="0"/>
  <pageSetup orientation="landscape"/>
  <rowBreaks count="1" manualBreakCount="1">
    <brk id="10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000"/>
  <sheetViews>
    <sheetView workbookViewId="0">
      <selection activeCell="M32" sqref="M32"/>
    </sheetView>
  </sheetViews>
  <sheetFormatPr defaultColWidth="14.44140625" defaultRowHeight="15" customHeight="1"/>
  <cols>
    <col min="1" max="1" width="11" customWidth="1"/>
    <col min="2" max="2" width="10.44140625" customWidth="1"/>
    <col min="3" max="3" width="10.109375" customWidth="1"/>
    <col min="4" max="4" width="10.88671875" customWidth="1"/>
    <col min="5" max="5" width="9.6640625" customWidth="1"/>
    <col min="6" max="6" width="9.44140625" customWidth="1"/>
    <col min="7" max="8" width="10.33203125" customWidth="1"/>
    <col min="9" max="13" width="8.88671875" customWidth="1"/>
    <col min="14" max="15" width="10" customWidth="1"/>
    <col min="16" max="16" width="9.109375" customWidth="1"/>
    <col min="17" max="17" width="10.109375" customWidth="1"/>
    <col min="18" max="34" width="9.109375" customWidth="1"/>
  </cols>
  <sheetData>
    <row r="1" spans="1:34" ht="15.75" customHeight="1">
      <c r="A1" s="388" t="str">
        <f>'CO-PO Mapping'!A1:N1</f>
        <v xml:space="preserve">Robotics </v>
      </c>
      <c r="B1" s="374"/>
      <c r="C1" s="374"/>
      <c r="D1" s="374"/>
      <c r="E1" s="374"/>
      <c r="F1" s="374"/>
      <c r="G1" s="374"/>
      <c r="H1" s="374"/>
      <c r="I1" s="4"/>
      <c r="J1" s="4"/>
      <c r="K1" s="1"/>
      <c r="L1" s="1"/>
      <c r="M1" s="1"/>
      <c r="N1" s="1"/>
      <c r="O1" s="1"/>
      <c r="P1" s="1"/>
      <c r="Q1" s="1"/>
      <c r="R1" s="1"/>
      <c r="S1" s="1"/>
      <c r="T1" s="1"/>
      <c r="U1" s="1"/>
      <c r="V1" s="1"/>
      <c r="W1" s="1"/>
      <c r="X1" s="1"/>
      <c r="Y1" s="1"/>
      <c r="Z1" s="1"/>
      <c r="AA1" s="1"/>
      <c r="AB1" s="1"/>
      <c r="AC1" s="1"/>
      <c r="AD1" s="1"/>
      <c r="AE1" s="1"/>
      <c r="AF1" s="1"/>
      <c r="AG1" s="1"/>
      <c r="AH1" s="1"/>
    </row>
    <row r="2" spans="1:34" ht="15.75" customHeight="1">
      <c r="A2" s="154">
        <f>'CO-PO Mapping'!A2</f>
        <v>3110002</v>
      </c>
      <c r="B2" s="389" t="str">
        <f>'CO-PO Mapping'!B2:N2</f>
        <v>English</v>
      </c>
      <c r="C2" s="374"/>
      <c r="D2" s="374"/>
      <c r="E2" s="374"/>
      <c r="F2" s="374"/>
      <c r="G2" s="374"/>
      <c r="H2" s="374"/>
      <c r="I2" s="1"/>
      <c r="J2" s="1"/>
      <c r="K2" s="1"/>
      <c r="L2" s="1"/>
      <c r="M2" s="1"/>
      <c r="N2" s="1"/>
      <c r="O2" s="1"/>
      <c r="P2" s="1"/>
      <c r="Q2" s="1"/>
      <c r="R2" s="1"/>
      <c r="S2" s="1"/>
      <c r="T2" s="1"/>
      <c r="U2" s="1"/>
      <c r="V2" s="1"/>
      <c r="W2" s="1"/>
      <c r="X2" s="1"/>
      <c r="Y2" s="1"/>
      <c r="Z2" s="1"/>
      <c r="AA2" s="1"/>
      <c r="AB2" s="1"/>
      <c r="AC2" s="1"/>
      <c r="AD2" s="1"/>
      <c r="AE2" s="1"/>
      <c r="AF2" s="1"/>
      <c r="AG2" s="1"/>
      <c r="AH2" s="1"/>
    </row>
    <row r="3" spans="1:34" ht="15.75" customHeight="1">
      <c r="A3" s="389" t="s">
        <v>119</v>
      </c>
      <c r="B3" s="374"/>
      <c r="C3" s="374"/>
      <c r="D3" s="374"/>
      <c r="E3" s="374"/>
      <c r="F3" s="374"/>
      <c r="G3" s="374"/>
      <c r="H3" s="374"/>
      <c r="I3" s="1"/>
      <c r="J3" s="1"/>
      <c r="K3" s="1"/>
      <c r="L3" s="1"/>
      <c r="M3" s="1"/>
      <c r="N3" s="1"/>
      <c r="O3" s="1"/>
      <c r="P3" s="1"/>
      <c r="Q3" s="1"/>
      <c r="R3" s="1"/>
      <c r="S3" s="1"/>
      <c r="T3" s="1"/>
      <c r="U3" s="1"/>
      <c r="V3" s="1"/>
      <c r="W3" s="1"/>
      <c r="X3" s="1"/>
      <c r="Y3" s="1"/>
      <c r="Z3" s="1"/>
      <c r="AA3" s="1"/>
      <c r="AB3" s="1"/>
      <c r="AC3" s="1"/>
      <c r="AD3" s="1"/>
      <c r="AE3" s="1"/>
      <c r="AF3" s="1"/>
      <c r="AG3" s="1"/>
      <c r="AH3" s="1"/>
    </row>
    <row r="4" spans="1:34" ht="15.75" customHeight="1">
      <c r="A4" s="390" t="s">
        <v>120</v>
      </c>
      <c r="B4" s="374"/>
      <c r="C4" s="374"/>
      <c r="D4" s="374"/>
      <c r="E4" s="374"/>
      <c r="F4" s="374"/>
      <c r="G4" s="374"/>
      <c r="H4" s="374"/>
      <c r="I4" s="1"/>
      <c r="J4" s="1"/>
      <c r="K4" s="1"/>
      <c r="L4" s="155"/>
      <c r="M4" s="156"/>
      <c r="N4" s="1"/>
      <c r="O4" s="1"/>
      <c r="P4" s="1"/>
      <c r="Q4" s="1"/>
      <c r="R4" s="1"/>
      <c r="S4" s="1"/>
      <c r="T4" s="1"/>
      <c r="U4" s="1"/>
      <c r="V4" s="1"/>
      <c r="W4" s="1"/>
      <c r="X4" s="1"/>
      <c r="Y4" s="1"/>
      <c r="Z4" s="1"/>
      <c r="AA4" s="1"/>
      <c r="AB4" s="1"/>
      <c r="AC4" s="1"/>
      <c r="AD4" s="1"/>
      <c r="AE4" s="1"/>
      <c r="AF4" s="1"/>
      <c r="AG4" s="1"/>
      <c r="AH4" s="1"/>
    </row>
    <row r="5" spans="1:34" ht="15.75" customHeight="1">
      <c r="A5" s="157"/>
      <c r="B5" s="157"/>
      <c r="C5" s="157"/>
      <c r="D5" s="157"/>
      <c r="E5" s="157"/>
      <c r="F5" s="157"/>
      <c r="G5" s="157"/>
      <c r="H5" s="157"/>
      <c r="I5" s="154"/>
      <c r="J5" s="154"/>
      <c r="K5" s="1"/>
      <c r="L5" s="1"/>
      <c r="M5" s="1"/>
      <c r="N5" s="1"/>
      <c r="O5" s="1"/>
      <c r="P5" s="1"/>
      <c r="Q5" s="1"/>
      <c r="R5" s="1"/>
      <c r="S5" s="1"/>
      <c r="T5" s="1"/>
      <c r="U5" s="1"/>
      <c r="V5" s="1"/>
      <c r="W5" s="1"/>
      <c r="X5" s="1"/>
      <c r="Y5" s="1"/>
      <c r="Z5" s="1"/>
      <c r="AA5" s="1"/>
      <c r="AB5" s="1"/>
      <c r="AC5" s="1"/>
      <c r="AD5" s="1"/>
      <c r="AE5" s="1"/>
      <c r="AF5" s="1"/>
      <c r="AG5" s="1"/>
      <c r="AH5" s="1"/>
    </row>
    <row r="6" spans="1:34" ht="15.75" customHeight="1">
      <c r="A6" s="345">
        <f>A2</f>
        <v>3110002</v>
      </c>
      <c r="B6" s="339" t="s">
        <v>121</v>
      </c>
      <c r="C6" s="342"/>
      <c r="D6" s="345" t="s">
        <v>122</v>
      </c>
      <c r="E6" s="339" t="s">
        <v>123</v>
      </c>
      <c r="F6" s="340"/>
      <c r="G6" s="345" t="s">
        <v>124</v>
      </c>
      <c r="H6" s="345" t="s">
        <v>73</v>
      </c>
      <c r="I6" s="1"/>
      <c r="J6" s="1"/>
      <c r="K6" s="1"/>
      <c r="L6" s="1"/>
      <c r="M6" s="1"/>
      <c r="N6" s="1"/>
      <c r="O6" s="1"/>
      <c r="P6" s="1"/>
      <c r="Q6" s="1"/>
      <c r="R6" s="1"/>
      <c r="S6" s="1"/>
      <c r="T6" s="1"/>
      <c r="U6" s="1"/>
      <c r="V6" s="1"/>
      <c r="W6" s="1"/>
      <c r="X6" s="1"/>
      <c r="Y6" s="1"/>
      <c r="Z6" s="1"/>
      <c r="AA6" s="1"/>
      <c r="AB6" s="1"/>
      <c r="AC6" s="1"/>
      <c r="AD6" s="1"/>
      <c r="AE6" s="1"/>
      <c r="AF6" s="1"/>
      <c r="AG6" s="1"/>
      <c r="AH6" s="1"/>
    </row>
    <row r="7" spans="1:34" ht="30.75" customHeight="1">
      <c r="A7" s="385"/>
      <c r="B7" s="15" t="s">
        <v>125</v>
      </c>
      <c r="C7" s="3" t="s">
        <v>26</v>
      </c>
      <c r="D7" s="346"/>
      <c r="E7" s="15" t="s">
        <v>27</v>
      </c>
      <c r="F7" s="15" t="s">
        <v>28</v>
      </c>
      <c r="G7" s="346"/>
      <c r="H7" s="346"/>
      <c r="I7" s="1"/>
      <c r="J7" s="1"/>
      <c r="K7" s="1"/>
      <c r="L7" s="1"/>
      <c r="M7" s="1"/>
      <c r="N7" s="1"/>
      <c r="O7" s="1"/>
      <c r="P7" s="1"/>
      <c r="Q7" s="1"/>
      <c r="R7" s="1"/>
      <c r="S7" s="1"/>
      <c r="T7" s="1"/>
      <c r="U7" s="1"/>
      <c r="V7" s="1"/>
      <c r="W7" s="1"/>
      <c r="X7" s="1"/>
      <c r="Y7" s="1"/>
      <c r="Z7" s="1"/>
      <c r="AA7" s="1"/>
      <c r="AB7" s="1"/>
      <c r="AC7" s="1"/>
      <c r="AD7" s="1"/>
      <c r="AE7" s="1"/>
      <c r="AF7" s="1"/>
      <c r="AG7" s="1"/>
      <c r="AH7" s="1"/>
    </row>
    <row r="8" spans="1:34" ht="15.75" customHeight="1">
      <c r="A8" s="346"/>
      <c r="B8" s="158" t="str">
        <f>'CO-PO Mapping'!B28</f>
        <v/>
      </c>
      <c r="C8" s="159" t="str">
        <f>'CO-PO Mapping'!C28</f>
        <v/>
      </c>
      <c r="D8" s="158">
        <f>SUM(B8:C8)</f>
        <v>0</v>
      </c>
      <c r="E8" s="158" t="str">
        <f>'CO-PO Mapping'!E28</f>
        <v/>
      </c>
      <c r="F8" s="158" t="str">
        <f>'CO-PO Mapping'!F28</f>
        <v/>
      </c>
      <c r="G8" s="158">
        <f>SUM(E8:F8)</f>
        <v>0</v>
      </c>
      <c r="H8" s="158">
        <f>D8+G8</f>
        <v>0</v>
      </c>
      <c r="I8" s="1"/>
      <c r="J8" s="1"/>
      <c r="K8" s="1"/>
      <c r="L8" s="1"/>
      <c r="M8" s="1"/>
      <c r="N8" s="1"/>
      <c r="O8" s="1"/>
      <c r="P8" s="1"/>
      <c r="Q8" s="1"/>
      <c r="R8" s="1"/>
      <c r="S8" s="1"/>
      <c r="T8" s="1"/>
      <c r="U8" s="1"/>
      <c r="V8" s="1"/>
      <c r="W8" s="1"/>
      <c r="X8" s="1"/>
      <c r="Y8" s="1"/>
      <c r="Z8" s="1"/>
      <c r="AA8" s="1"/>
      <c r="AB8" s="1"/>
      <c r="AC8" s="1"/>
      <c r="AD8" s="1"/>
      <c r="AE8" s="1"/>
      <c r="AF8" s="1"/>
      <c r="AG8" s="1"/>
      <c r="AH8" s="1"/>
    </row>
    <row r="9" spans="1:34" ht="15.75" customHeight="1">
      <c r="A9" s="17" t="s">
        <v>29</v>
      </c>
      <c r="B9" s="83" t="str">
        <f>IF('CO-PO Mapping'!F17="","",M!D215)</f>
        <v/>
      </c>
      <c r="C9" s="160" t="str">
        <f>IF('CO-PO Mapping'!H17="","",I!D215)</f>
        <v/>
      </c>
      <c r="D9" s="24" t="str">
        <f t="shared" ref="D9:D14" si="0">IF(B9="",C9,IF(C9="",B9,(($B$8/$D$8)*B9)+(($C$8/$D$8)*C9)))</f>
        <v/>
      </c>
      <c r="E9" s="83" t="str">
        <f>IF('CO-PO Mapping'!E17="","",E!D215)</f>
        <v/>
      </c>
      <c r="F9" s="83" t="str">
        <f>IF('CO-PO Mapping'!G17="","",V!D215)</f>
        <v/>
      </c>
      <c r="G9" s="24" t="str">
        <f t="shared" ref="G9:G14" si="1">IF(E9="",F9,IF(F9="",E9,(($E$8/$G$8)*E9)+(($F$8/$G$8)*F9)))</f>
        <v/>
      </c>
      <c r="H9" s="24" t="str">
        <f t="shared" ref="H9:H14" si="2">IFERROR(IF(D9="",(G9),IF(G9="",(D9),(($G$8/$H$8)*G9)+(($D$8/$H$8)*D9))),"")</f>
        <v/>
      </c>
      <c r="I9" s="1"/>
      <c r="J9" s="161"/>
      <c r="K9" s="1"/>
      <c r="L9" s="1"/>
      <c r="M9" s="1"/>
      <c r="N9" s="1"/>
      <c r="O9" s="1"/>
      <c r="P9" s="1"/>
      <c r="Q9" s="1"/>
      <c r="R9" s="1"/>
      <c r="S9" s="1"/>
      <c r="T9" s="1"/>
      <c r="U9" s="1"/>
      <c r="V9" s="1"/>
      <c r="W9" s="1"/>
      <c r="X9" s="1"/>
      <c r="Y9" s="1"/>
      <c r="Z9" s="1"/>
      <c r="AA9" s="1"/>
      <c r="AB9" s="1"/>
      <c r="AC9" s="1"/>
      <c r="AD9" s="1"/>
      <c r="AE9" s="1"/>
      <c r="AF9" s="1"/>
      <c r="AG9" s="1"/>
      <c r="AH9" s="1"/>
    </row>
    <row r="10" spans="1:34" ht="15.75" customHeight="1">
      <c r="A10" s="17" t="s">
        <v>30</v>
      </c>
      <c r="B10" s="83" t="str">
        <f>IF('CO-PO Mapping'!F17="","",M!E215)</f>
        <v/>
      </c>
      <c r="C10" s="160" t="str">
        <f>IF('CO-PO Mapping'!H17="","",I!E215)</f>
        <v/>
      </c>
      <c r="D10" s="24" t="str">
        <f t="shared" si="0"/>
        <v/>
      </c>
      <c r="E10" s="83" t="str">
        <f>IF('CO-PO Mapping'!E17="","",E!E215)</f>
        <v/>
      </c>
      <c r="F10" s="83" t="str">
        <f>IF('CO-PO Mapping'!G17="","",V!E215)</f>
        <v/>
      </c>
      <c r="G10" s="24" t="str">
        <f t="shared" si="1"/>
        <v/>
      </c>
      <c r="H10" s="24" t="str">
        <f t="shared" si="2"/>
        <v/>
      </c>
      <c r="I10" s="1"/>
      <c r="J10" s="161"/>
      <c r="K10" s="1"/>
      <c r="L10" s="1"/>
      <c r="M10" s="1"/>
      <c r="N10" s="1"/>
      <c r="O10" s="1"/>
      <c r="P10" s="1"/>
      <c r="Q10" s="1"/>
      <c r="R10" s="1"/>
      <c r="S10" s="1"/>
      <c r="T10" s="1"/>
      <c r="U10" s="1"/>
      <c r="V10" s="1"/>
      <c r="W10" s="1"/>
      <c r="X10" s="1"/>
      <c r="Y10" s="1"/>
      <c r="Z10" s="1"/>
      <c r="AA10" s="1"/>
      <c r="AB10" s="1"/>
      <c r="AC10" s="1"/>
      <c r="AD10" s="1"/>
      <c r="AE10" s="1"/>
      <c r="AF10" s="1"/>
      <c r="AG10" s="1"/>
      <c r="AH10" s="1"/>
    </row>
    <row r="11" spans="1:34" ht="15.75" customHeight="1">
      <c r="A11" s="17" t="s">
        <v>32</v>
      </c>
      <c r="B11" s="83" t="str">
        <f>IF('CO-PO Mapping'!F17="","",M!F215)</f>
        <v/>
      </c>
      <c r="C11" s="160" t="str">
        <f>IF('CO-PO Mapping'!H17="","",I!F215)</f>
        <v/>
      </c>
      <c r="D11" s="24" t="str">
        <f t="shared" si="0"/>
        <v/>
      </c>
      <c r="E11" s="83" t="str">
        <f>IF('CO-PO Mapping'!E17="","",E!F215)</f>
        <v/>
      </c>
      <c r="F11" s="83" t="str">
        <f>IF('CO-PO Mapping'!G17="","",V!F215)</f>
        <v/>
      </c>
      <c r="G11" s="24" t="str">
        <f t="shared" si="1"/>
        <v/>
      </c>
      <c r="H11" s="24" t="str">
        <f t="shared" si="2"/>
        <v/>
      </c>
      <c r="I11" s="1"/>
      <c r="J11" s="161"/>
      <c r="K11" s="1"/>
      <c r="L11" s="1"/>
      <c r="M11" s="1"/>
      <c r="N11" s="1"/>
      <c r="O11" s="1"/>
      <c r="P11" s="1"/>
      <c r="Q11" s="1"/>
      <c r="R11" s="1"/>
      <c r="S11" s="1"/>
      <c r="T11" s="1"/>
      <c r="U11" s="1"/>
      <c r="V11" s="1"/>
      <c r="W11" s="1"/>
      <c r="X11" s="1"/>
      <c r="Y11" s="1"/>
      <c r="Z11" s="1"/>
      <c r="AA11" s="1"/>
      <c r="AB11" s="1"/>
      <c r="AC11" s="1"/>
      <c r="AD11" s="1"/>
      <c r="AE11" s="1"/>
      <c r="AF11" s="1"/>
      <c r="AG11" s="1"/>
      <c r="AH11" s="1"/>
    </row>
    <row r="12" spans="1:34" ht="15.75" customHeight="1">
      <c r="A12" s="17" t="s">
        <v>35</v>
      </c>
      <c r="B12" s="83" t="str">
        <f>IF('CO-PO Mapping'!F17="","",M!G215)</f>
        <v/>
      </c>
      <c r="C12" s="160" t="str">
        <f>IF('CO-PO Mapping'!H17="","",I!G215)</f>
        <v/>
      </c>
      <c r="D12" s="24" t="str">
        <f t="shared" si="0"/>
        <v/>
      </c>
      <c r="E12" s="83" t="str">
        <f>IF('CO-PO Mapping'!E17="","",E!G215)</f>
        <v/>
      </c>
      <c r="F12" s="83" t="str">
        <f>IF('CO-PO Mapping'!G17="","",V!G215)</f>
        <v/>
      </c>
      <c r="G12" s="24" t="str">
        <f t="shared" si="1"/>
        <v/>
      </c>
      <c r="H12" s="24" t="str">
        <f t="shared" si="2"/>
        <v/>
      </c>
      <c r="I12" s="1"/>
      <c r="J12" s="161"/>
      <c r="K12" s="1"/>
      <c r="L12" s="1"/>
      <c r="M12" s="1"/>
      <c r="N12" s="1"/>
      <c r="O12" s="1"/>
      <c r="P12" s="1"/>
      <c r="Q12" s="1"/>
      <c r="R12" s="1"/>
      <c r="S12" s="1"/>
      <c r="T12" s="1"/>
      <c r="U12" s="1"/>
      <c r="V12" s="1"/>
      <c r="W12" s="1"/>
      <c r="X12" s="1"/>
      <c r="Y12" s="1"/>
      <c r="Z12" s="1"/>
      <c r="AA12" s="1"/>
      <c r="AB12" s="1"/>
      <c r="AC12" s="1"/>
      <c r="AD12" s="1"/>
      <c r="AE12" s="1"/>
      <c r="AF12" s="1"/>
      <c r="AG12" s="1"/>
      <c r="AH12" s="1"/>
    </row>
    <row r="13" spans="1:34" ht="15.75" customHeight="1">
      <c r="A13" s="17" t="s">
        <v>36</v>
      </c>
      <c r="B13" s="83" t="str">
        <f>IF('CO-PO Mapping'!F17="","",M!H215)</f>
        <v/>
      </c>
      <c r="C13" s="160" t="str">
        <f>IF('CO-PO Mapping'!H17="","",I!H215)</f>
        <v/>
      </c>
      <c r="D13" s="24" t="str">
        <f t="shared" si="0"/>
        <v/>
      </c>
      <c r="E13" s="83" t="str">
        <f>IF('CO-PO Mapping'!E17="","",E!H215)</f>
        <v/>
      </c>
      <c r="F13" s="83" t="str">
        <f>IF('CO-PO Mapping'!G17="","",V!H215)</f>
        <v/>
      </c>
      <c r="G13" s="24" t="str">
        <f t="shared" si="1"/>
        <v/>
      </c>
      <c r="H13" s="24" t="str">
        <f t="shared" si="2"/>
        <v/>
      </c>
      <c r="I13" s="1"/>
      <c r="J13" s="161"/>
      <c r="K13" s="1"/>
      <c r="L13" s="1"/>
      <c r="M13" s="1"/>
      <c r="N13" s="1"/>
      <c r="O13" s="1"/>
      <c r="P13" s="1"/>
      <c r="Q13" s="1"/>
      <c r="R13" s="1"/>
      <c r="S13" s="1"/>
      <c r="T13" s="1"/>
      <c r="U13" s="1"/>
      <c r="V13" s="1"/>
      <c r="W13" s="1"/>
      <c r="X13" s="1"/>
      <c r="Y13" s="1"/>
      <c r="Z13" s="1"/>
      <c r="AA13" s="1"/>
      <c r="AB13" s="1"/>
      <c r="AC13" s="1"/>
      <c r="AD13" s="1"/>
      <c r="AE13" s="1"/>
      <c r="AF13" s="1"/>
      <c r="AG13" s="1"/>
      <c r="AH13" s="1"/>
    </row>
    <row r="14" spans="1:34" ht="15.75" customHeight="1">
      <c r="A14" s="17" t="s">
        <v>37</v>
      </c>
      <c r="B14" s="83" t="str">
        <f>IF('CO-PO Mapping'!F17="","",M!I215)</f>
        <v/>
      </c>
      <c r="C14" s="160" t="str">
        <f>IF('CO-PO Mapping'!H17="","",I!I215)</f>
        <v/>
      </c>
      <c r="D14" s="24" t="str">
        <f t="shared" si="0"/>
        <v/>
      </c>
      <c r="E14" s="83" t="str">
        <f>IF('CO-PO Mapping'!E17="","",E!I215)</f>
        <v/>
      </c>
      <c r="F14" s="83" t="str">
        <f>IF('CO-PO Mapping'!G17="","",V!I215)</f>
        <v/>
      </c>
      <c r="G14" s="24" t="str">
        <f t="shared" si="1"/>
        <v/>
      </c>
      <c r="H14" s="24" t="str">
        <f t="shared" si="2"/>
        <v/>
      </c>
      <c r="I14" s="1"/>
      <c r="J14" s="161"/>
      <c r="K14" s="1"/>
      <c r="L14" s="1"/>
      <c r="M14" s="1"/>
      <c r="N14" s="1"/>
      <c r="O14" s="1"/>
      <c r="P14" s="1"/>
      <c r="Q14" s="1"/>
      <c r="R14" s="1"/>
      <c r="S14" s="1"/>
      <c r="T14" s="1"/>
      <c r="U14" s="1"/>
      <c r="V14" s="1"/>
      <c r="W14" s="1"/>
      <c r="X14" s="1"/>
      <c r="Y14" s="1"/>
      <c r="Z14" s="1"/>
      <c r="AA14" s="1"/>
      <c r="AB14" s="1"/>
      <c r="AC14" s="1"/>
      <c r="AD14" s="1"/>
      <c r="AE14" s="1"/>
      <c r="AF14" s="1"/>
      <c r="AG14" s="1"/>
      <c r="AH14" s="1"/>
    </row>
    <row r="15" spans="1:34" ht="15.75" customHeight="1">
      <c r="A15" s="4"/>
      <c r="B15" s="4"/>
      <c r="C15" s="4"/>
      <c r="D15" s="4"/>
      <c r="E15" s="4"/>
      <c r="F15" s="4"/>
      <c r="G15" s="4"/>
      <c r="H15" s="4"/>
      <c r="I15" s="4"/>
      <c r="J15" s="4"/>
      <c r="K15" s="1"/>
      <c r="L15" s="1"/>
      <c r="M15" s="1"/>
      <c r="N15" s="1"/>
      <c r="O15" s="1"/>
      <c r="P15" s="1"/>
      <c r="Q15" s="1"/>
      <c r="R15" s="1"/>
      <c r="S15" s="1"/>
      <c r="T15" s="1"/>
      <c r="U15" s="1"/>
      <c r="V15" s="1"/>
      <c r="W15" s="1"/>
      <c r="X15" s="1"/>
      <c r="Y15" s="1"/>
      <c r="Z15" s="1"/>
      <c r="AA15" s="1"/>
      <c r="AB15" s="1"/>
      <c r="AC15" s="1"/>
      <c r="AD15" s="1"/>
      <c r="AE15" s="1"/>
      <c r="AF15" s="1"/>
      <c r="AG15" s="1"/>
      <c r="AH15" s="1"/>
    </row>
    <row r="16" spans="1:34" ht="15.75" customHeight="1">
      <c r="A16" s="357">
        <f>A2</f>
        <v>3110002</v>
      </c>
      <c r="B16" s="8" t="s">
        <v>29</v>
      </c>
      <c r="C16" s="8" t="s">
        <v>30</v>
      </c>
      <c r="D16" s="8" t="s">
        <v>32</v>
      </c>
      <c r="E16" s="8" t="s">
        <v>35</v>
      </c>
      <c r="F16" s="8" t="s">
        <v>36</v>
      </c>
      <c r="G16" s="8" t="s">
        <v>37</v>
      </c>
      <c r="H16" s="4"/>
      <c r="I16" s="4"/>
      <c r="J16" s="162"/>
      <c r="K16" s="1"/>
      <c r="L16" s="1"/>
      <c r="M16" s="1"/>
      <c r="N16" s="1"/>
      <c r="O16" s="1"/>
      <c r="P16" s="1"/>
      <c r="Q16" s="1"/>
      <c r="R16" s="1"/>
      <c r="S16" s="1"/>
      <c r="T16" s="1"/>
      <c r="U16" s="1"/>
      <c r="V16" s="1"/>
      <c r="W16" s="1"/>
      <c r="X16" s="1"/>
      <c r="Y16" s="1"/>
      <c r="Z16" s="1"/>
      <c r="AA16" s="1"/>
      <c r="AB16" s="1"/>
      <c r="AC16" s="1"/>
      <c r="AD16" s="1"/>
      <c r="AE16" s="1"/>
      <c r="AF16" s="1"/>
      <c r="AG16" s="1"/>
      <c r="AH16" s="1"/>
    </row>
    <row r="17" spans="1:34" ht="15.75" customHeight="1">
      <c r="A17" s="346"/>
      <c r="B17" s="163" t="str">
        <f>H9</f>
        <v/>
      </c>
      <c r="C17" s="163" t="str">
        <f>H10</f>
        <v/>
      </c>
      <c r="D17" s="163" t="str">
        <f>H11</f>
        <v/>
      </c>
      <c r="E17" s="163" t="str">
        <f>H12</f>
        <v/>
      </c>
      <c r="F17" s="163" t="str">
        <f>H13</f>
        <v/>
      </c>
      <c r="G17" s="163" t="str">
        <f>H14</f>
        <v/>
      </c>
      <c r="H17" s="4"/>
      <c r="I17" s="4"/>
      <c r="J17" s="4"/>
      <c r="K17" s="1"/>
      <c r="L17" s="1"/>
      <c r="M17" s="1"/>
      <c r="N17" s="1"/>
      <c r="O17" s="1"/>
      <c r="P17" s="1"/>
      <c r="Q17" s="1"/>
      <c r="R17" s="1"/>
      <c r="S17" s="1"/>
      <c r="T17" s="1"/>
      <c r="U17" s="1"/>
      <c r="V17" s="1"/>
      <c r="W17" s="1"/>
      <c r="X17" s="1"/>
      <c r="Y17" s="1"/>
      <c r="Z17" s="1"/>
      <c r="AA17" s="1"/>
      <c r="AB17" s="1"/>
      <c r="AC17" s="1"/>
      <c r="AD17" s="1"/>
      <c r="AE17" s="1"/>
      <c r="AF17" s="1"/>
      <c r="AG17" s="1"/>
      <c r="AH17" s="1"/>
    </row>
    <row r="18" spans="1:34" ht="15.75" customHeight="1">
      <c r="A18" s="1"/>
      <c r="B18" s="1"/>
      <c r="C18" s="1"/>
      <c r="D18" s="1"/>
      <c r="E18" s="1"/>
      <c r="F18" s="1"/>
      <c r="G18" s="1"/>
      <c r="H18" s="4"/>
      <c r="I18" s="4"/>
      <c r="J18" s="4"/>
      <c r="K18" s="1"/>
      <c r="L18" s="1"/>
      <c r="M18" s="1"/>
      <c r="N18" s="1"/>
      <c r="O18" s="1"/>
      <c r="P18" s="1"/>
      <c r="Q18" s="1"/>
      <c r="R18" s="1"/>
      <c r="S18" s="1"/>
      <c r="T18" s="1"/>
      <c r="U18" s="1"/>
      <c r="V18" s="1"/>
      <c r="W18" s="1"/>
      <c r="X18" s="1"/>
      <c r="Y18" s="1"/>
      <c r="Z18" s="1"/>
      <c r="AA18" s="1"/>
      <c r="AB18" s="1"/>
      <c r="AC18" s="1"/>
      <c r="AD18" s="1"/>
      <c r="AE18" s="1"/>
      <c r="AF18" s="1"/>
      <c r="AG18" s="1"/>
      <c r="AH18" s="1"/>
    </row>
    <row r="19" spans="1:34" ht="23.25" customHeight="1">
      <c r="A19" s="367" t="s">
        <v>126</v>
      </c>
      <c r="B19" s="356"/>
      <c r="C19" s="356"/>
      <c r="D19" s="356"/>
      <c r="E19" s="356"/>
      <c r="F19" s="356"/>
      <c r="G19" s="356"/>
      <c r="H19" s="356"/>
      <c r="I19" s="356"/>
      <c r="J19" s="356"/>
      <c r="K19" s="356"/>
      <c r="L19" s="356"/>
      <c r="M19" s="356"/>
      <c r="N19" s="356"/>
      <c r="O19" s="356"/>
      <c r="P19" s="356"/>
      <c r="Q19" s="356"/>
      <c r="R19" s="356"/>
      <c r="S19" s="1"/>
      <c r="T19" s="1"/>
      <c r="U19" s="1"/>
      <c r="V19" s="1"/>
      <c r="W19" s="1"/>
      <c r="X19" s="1"/>
      <c r="Y19" s="1"/>
      <c r="Z19" s="1"/>
      <c r="AA19" s="1"/>
      <c r="AB19" s="1"/>
      <c r="AC19" s="1"/>
      <c r="AD19" s="1"/>
      <c r="AE19" s="1"/>
      <c r="AF19" s="1"/>
      <c r="AG19" s="1"/>
      <c r="AH19" s="1"/>
    </row>
    <row r="20" spans="1:34" ht="15.75" customHeight="1">
      <c r="A20" s="15" t="s">
        <v>40</v>
      </c>
      <c r="B20" s="15"/>
      <c r="C20" s="15" t="s">
        <v>41</v>
      </c>
      <c r="D20" s="15" t="s">
        <v>42</v>
      </c>
      <c r="E20" s="15" t="s">
        <v>43</v>
      </c>
      <c r="F20" s="15" t="s">
        <v>44</v>
      </c>
      <c r="G20" s="15" t="s">
        <v>45</v>
      </c>
      <c r="H20" s="15" t="s">
        <v>46</v>
      </c>
      <c r="I20" s="15" t="s">
        <v>47</v>
      </c>
      <c r="J20" s="15" t="s">
        <v>48</v>
      </c>
      <c r="K20" s="15" t="s">
        <v>49</v>
      </c>
      <c r="L20" s="15" t="s">
        <v>50</v>
      </c>
      <c r="M20" s="15" t="s">
        <v>51</v>
      </c>
      <c r="N20" s="15" t="s">
        <v>52</v>
      </c>
      <c r="O20" s="15" t="s">
        <v>53</v>
      </c>
      <c r="P20" s="15" t="s">
        <v>54</v>
      </c>
      <c r="Q20" s="15" t="s">
        <v>55</v>
      </c>
      <c r="R20" s="15" t="s">
        <v>56</v>
      </c>
      <c r="S20" s="1"/>
      <c r="T20" s="1"/>
      <c r="U20" s="1"/>
      <c r="V20" s="1"/>
      <c r="W20" s="1"/>
      <c r="X20" s="1"/>
      <c r="Y20" s="1"/>
      <c r="Z20" s="1"/>
      <c r="AA20" s="1"/>
      <c r="AB20" s="1"/>
      <c r="AC20" s="1"/>
      <c r="AD20" s="1"/>
      <c r="AE20" s="1"/>
      <c r="AF20" s="1"/>
      <c r="AG20" s="1"/>
      <c r="AH20" s="1"/>
    </row>
    <row r="21" spans="1:34" ht="15.75" customHeight="1">
      <c r="A21" s="29">
        <v>1</v>
      </c>
      <c r="B21" s="17" t="s">
        <v>29</v>
      </c>
      <c r="C21" s="164" t="e">
        <f>IF('CO-PO Mapping'!C$34="","",$H$9*'CO-PO Mapping'!C$34/3)</f>
        <v>#VALUE!</v>
      </c>
      <c r="D21" s="164" t="e">
        <f>IF('CO-PO Mapping'!D$34="","",$H$9*'CO-PO Mapping'!D$34/3)</f>
        <v>#VALUE!</v>
      </c>
      <c r="E21" s="164" t="e">
        <f>IF('CO-PO Mapping'!E$34="","",$H$9*'CO-PO Mapping'!E$34/3)</f>
        <v>#VALUE!</v>
      </c>
      <c r="F21" s="164" t="e">
        <f>IF('CO-PO Mapping'!F$34="","",$H$9*'CO-PO Mapping'!F$34/3)</f>
        <v>#VALUE!</v>
      </c>
      <c r="G21" s="164" t="e">
        <f>IF('CO-PO Mapping'!G$34="","",$H$9*'CO-PO Mapping'!G$34/3)</f>
        <v>#VALUE!</v>
      </c>
      <c r="H21" s="164" t="str">
        <f>IF('CO-PO Mapping'!H$34="","",$H$9*'CO-PO Mapping'!H$34/3)</f>
        <v/>
      </c>
      <c r="I21" s="164" t="str">
        <f>IF('CO-PO Mapping'!I$34="","",$H$9*'CO-PO Mapping'!I$34/3)</f>
        <v/>
      </c>
      <c r="J21" s="164" t="e">
        <f>IF('CO-PO Mapping'!J$34="","",$H$9*'CO-PO Mapping'!J$34/3)</f>
        <v>#VALUE!</v>
      </c>
      <c r="K21" s="164" t="str">
        <f>IF('CO-PO Mapping'!K$34="","",$H$9*'CO-PO Mapping'!K$34/3)</f>
        <v/>
      </c>
      <c r="L21" s="164" t="e">
        <f>IF('CO-PO Mapping'!L$34="","",$H$9*'CO-PO Mapping'!L$34/3)</f>
        <v>#VALUE!</v>
      </c>
      <c r="M21" s="164" t="e">
        <f>IF('CO-PO Mapping'!M$34="","",$H$9*'CO-PO Mapping'!M$34/3)</f>
        <v>#VALUE!</v>
      </c>
      <c r="N21" s="164" t="e">
        <f>IF('CO-PO Mapping'!N$34="","",$H$9*'CO-PO Mapping'!N$34/3)</f>
        <v>#VALUE!</v>
      </c>
      <c r="O21" s="164" t="e">
        <f>IF('CO-PO Mapping'!O34="","",$H$9*'CO-PO Mapping'!O$34/3)</f>
        <v>#VALUE!</v>
      </c>
      <c r="P21" s="164" t="e">
        <f>IF('CO-PO Mapping'!P34="","",$H$9*'CO-PO Mapping'!P$34/3)</f>
        <v>#VALUE!</v>
      </c>
      <c r="Q21" s="164" t="e">
        <f>IF('CO-PO Mapping'!Q34="","",$H$9*'CO-PO Mapping'!Q$34/3)</f>
        <v>#VALUE!</v>
      </c>
      <c r="R21" s="164" t="e">
        <f>IF('CO-PO Mapping'!#REF!="","",$H$9*'CO-PO Mapping'!#REF!/3)</f>
        <v>#REF!</v>
      </c>
      <c r="S21" s="1"/>
      <c r="T21" s="1"/>
      <c r="U21" s="1"/>
      <c r="V21" s="1"/>
      <c r="W21" s="1"/>
      <c r="X21" s="1"/>
      <c r="Y21" s="1"/>
      <c r="Z21" s="1"/>
      <c r="AA21" s="1"/>
      <c r="AB21" s="1"/>
      <c r="AC21" s="1"/>
      <c r="AD21" s="1"/>
      <c r="AE21" s="1"/>
      <c r="AF21" s="1"/>
      <c r="AG21" s="1"/>
      <c r="AH21" s="1"/>
    </row>
    <row r="22" spans="1:34" ht="15.75" customHeight="1">
      <c r="A22" s="29">
        <v>2</v>
      </c>
      <c r="B22" s="17" t="s">
        <v>30</v>
      </c>
      <c r="C22" s="164" t="e">
        <f>IF('CO-PO Mapping'!C$35="","",$H$10*'CO-PO Mapping'!C$35/3)</f>
        <v>#VALUE!</v>
      </c>
      <c r="D22" s="164" t="e">
        <f>IF('CO-PO Mapping'!D$35="","",$H$10*'CO-PO Mapping'!D$35/3)</f>
        <v>#VALUE!</v>
      </c>
      <c r="E22" s="164" t="e">
        <f>IF('CO-PO Mapping'!E$35="","",$H$10*'CO-PO Mapping'!E$35/3)</f>
        <v>#VALUE!</v>
      </c>
      <c r="F22" s="164" t="e">
        <f>IF('CO-PO Mapping'!F$35="","",$H$10*'CO-PO Mapping'!F$35/3)</f>
        <v>#VALUE!</v>
      </c>
      <c r="G22" s="164" t="e">
        <f>IF('CO-PO Mapping'!G$35="","",$H$10*'CO-PO Mapping'!G$35/3)</f>
        <v>#VALUE!</v>
      </c>
      <c r="H22" s="164" t="str">
        <f>IF('CO-PO Mapping'!H$35="","",$H$10*'CO-PO Mapping'!H$35/3)</f>
        <v/>
      </c>
      <c r="I22" s="164" t="str">
        <f>IF('CO-PO Mapping'!I$35="","",$H$10*'CO-PO Mapping'!I$35/3)</f>
        <v/>
      </c>
      <c r="J22" s="164" t="e">
        <f>IF('CO-PO Mapping'!J$35="","",$H$10*'CO-PO Mapping'!J$35/3)</f>
        <v>#VALUE!</v>
      </c>
      <c r="K22" s="164" t="str">
        <f>IF('CO-PO Mapping'!K$35="","",$H$10*'CO-PO Mapping'!K$35/3)</f>
        <v/>
      </c>
      <c r="L22" s="164" t="e">
        <f>IF('CO-PO Mapping'!L$35="","",$H$10*'CO-PO Mapping'!L$35/3)</f>
        <v>#VALUE!</v>
      </c>
      <c r="M22" s="164" t="str">
        <f>IF('CO-PO Mapping'!M$35="","",$H$10*'CO-PO Mapping'!M$35/3)</f>
        <v/>
      </c>
      <c r="N22" s="164" t="e">
        <f>IF('CO-PO Mapping'!N$35="","",$H$10*'CO-PO Mapping'!N$35/3)</f>
        <v>#VALUE!</v>
      </c>
      <c r="O22" s="164" t="e">
        <f>IF('CO-PO Mapping'!O35="","",$H$10*'CO-PO Mapping'!O$35/3)</f>
        <v>#VALUE!</v>
      </c>
      <c r="P22" s="164" t="str">
        <f>IF('CO-PO Mapping'!P35="","",$H$10*'CO-PO Mapping'!P$35/3)</f>
        <v/>
      </c>
      <c r="Q22" s="164" t="e">
        <f>IF('CO-PO Mapping'!Q35="","",$H$10*'CO-PO Mapping'!Q$35/3)</f>
        <v>#VALUE!</v>
      </c>
      <c r="R22" s="164" t="e">
        <f>IF('CO-PO Mapping'!#REF!="","",$H$10*'CO-PO Mapping'!#REF!/3)</f>
        <v>#REF!</v>
      </c>
      <c r="S22" s="1"/>
      <c r="T22" s="1"/>
      <c r="U22" s="1"/>
      <c r="V22" s="1"/>
      <c r="W22" s="1"/>
      <c r="X22" s="1"/>
      <c r="Y22" s="1"/>
      <c r="Z22" s="1"/>
      <c r="AA22" s="1"/>
      <c r="AB22" s="1"/>
      <c r="AC22" s="1"/>
      <c r="AD22" s="1"/>
      <c r="AE22" s="1"/>
      <c r="AF22" s="1"/>
      <c r="AG22" s="1"/>
      <c r="AH22" s="1"/>
    </row>
    <row r="23" spans="1:34" ht="15.75" customHeight="1">
      <c r="A23" s="29">
        <v>3</v>
      </c>
      <c r="B23" s="17" t="s">
        <v>32</v>
      </c>
      <c r="C23" s="164" t="e">
        <f>IF('CO-PO Mapping'!C$36="","",$H$11*'CO-PO Mapping'!C$36/3)</f>
        <v>#VALUE!</v>
      </c>
      <c r="D23" s="164" t="e">
        <f>IF('CO-PO Mapping'!D$36="","",$H$11*'CO-PO Mapping'!D$36/3)</f>
        <v>#VALUE!</v>
      </c>
      <c r="E23" s="164" t="e">
        <f>IF('CO-PO Mapping'!E$36="","",$H$11*'CO-PO Mapping'!E$36/3)</f>
        <v>#VALUE!</v>
      </c>
      <c r="F23" s="164" t="e">
        <f>IF('CO-PO Mapping'!F$36="","",$H$11*'CO-PO Mapping'!F$36/3)</f>
        <v>#VALUE!</v>
      </c>
      <c r="G23" s="164" t="e">
        <f>IF('CO-PO Mapping'!G$36="","",$H$11*'CO-PO Mapping'!G$36/3)</f>
        <v>#VALUE!</v>
      </c>
      <c r="H23" s="164" t="str">
        <f>IF('CO-PO Mapping'!H$36="","",$H$11*'CO-PO Mapping'!H$36/3)</f>
        <v/>
      </c>
      <c r="I23" s="164" t="str">
        <f>IF('CO-PO Mapping'!I$36="","",$H$11*'CO-PO Mapping'!I$36/3)</f>
        <v/>
      </c>
      <c r="J23" s="164" t="e">
        <f>IF('CO-PO Mapping'!J$36="","",$H$11*'CO-PO Mapping'!J$36/3)</f>
        <v>#VALUE!</v>
      </c>
      <c r="K23" s="164" t="str">
        <f>IF('CO-PO Mapping'!K$36="","",$H$11*'CO-PO Mapping'!K$36/3)</f>
        <v/>
      </c>
      <c r="L23" s="164" t="e">
        <f>IF('CO-PO Mapping'!L$36="","",$H$11*'CO-PO Mapping'!L$36/3)</f>
        <v>#VALUE!</v>
      </c>
      <c r="M23" s="164" t="e">
        <f>IF('CO-PO Mapping'!M$36="","",$H$11*'CO-PO Mapping'!M$36/3)</f>
        <v>#VALUE!</v>
      </c>
      <c r="N23" s="164" t="str">
        <f>IF('CO-PO Mapping'!N$36="","",$H$11*'CO-PO Mapping'!N$36/3)</f>
        <v/>
      </c>
      <c r="O23" s="164" t="e">
        <f>IF('CO-PO Mapping'!O36="","",$H$11*'CO-PO Mapping'!O$36/3)</f>
        <v>#VALUE!</v>
      </c>
      <c r="P23" s="164" t="str">
        <f>IF('CO-PO Mapping'!P36="","",$H$11*'CO-PO Mapping'!P$36/3)</f>
        <v/>
      </c>
      <c r="Q23" s="164" t="str">
        <f>IF('CO-PO Mapping'!Q36="","",$H$11*'CO-PO Mapping'!Q$36/3)</f>
        <v/>
      </c>
      <c r="R23" s="164" t="e">
        <f>IF('CO-PO Mapping'!#REF!="","",$H$11*'CO-PO Mapping'!#REF!/3)</f>
        <v>#REF!</v>
      </c>
      <c r="S23" s="1"/>
      <c r="T23" s="1"/>
      <c r="U23" s="1"/>
      <c r="V23" s="1"/>
      <c r="W23" s="1"/>
      <c r="X23" s="1"/>
      <c r="Y23" s="1"/>
      <c r="Z23" s="1"/>
      <c r="AA23" s="1"/>
      <c r="AB23" s="1"/>
      <c r="AC23" s="1"/>
      <c r="AD23" s="1"/>
      <c r="AE23" s="1"/>
      <c r="AF23" s="1"/>
      <c r="AG23" s="1"/>
      <c r="AH23" s="1"/>
    </row>
    <row r="24" spans="1:34" ht="15.75" customHeight="1">
      <c r="A24" s="29">
        <v>4</v>
      </c>
      <c r="B24" s="17" t="s">
        <v>35</v>
      </c>
      <c r="C24" s="164" t="e">
        <f>IF('CO-PO Mapping'!C$37="","",$H$12*'CO-PO Mapping'!C$37/3)</f>
        <v>#VALUE!</v>
      </c>
      <c r="D24" s="164" t="e">
        <f>IF('CO-PO Mapping'!D$37="","",$H$12*'CO-PO Mapping'!D$37/3)</f>
        <v>#VALUE!</v>
      </c>
      <c r="E24" s="164" t="e">
        <f>IF('CO-PO Mapping'!E$37="","",$H$12*'CO-PO Mapping'!E$37/3)</f>
        <v>#VALUE!</v>
      </c>
      <c r="F24" s="164" t="e">
        <f>IF('CO-PO Mapping'!F$37="","",$H$12*'CO-PO Mapping'!F$37/3)</f>
        <v>#VALUE!</v>
      </c>
      <c r="G24" s="164" t="e">
        <f>IF('CO-PO Mapping'!G$37="","",$H$12*'CO-PO Mapping'!G$37/3)</f>
        <v>#VALUE!</v>
      </c>
      <c r="H24" s="164" t="str">
        <f>IF('CO-PO Mapping'!H$37="","",$H$12*'CO-PO Mapping'!H$37/3)</f>
        <v/>
      </c>
      <c r="I24" s="164" t="str">
        <f>IF('CO-PO Mapping'!I$37="","",$H$12*'CO-PO Mapping'!I$37/3)</f>
        <v/>
      </c>
      <c r="J24" s="164" t="e">
        <f>IF('CO-PO Mapping'!J$37="","",$H$12*'CO-PO Mapping'!J$37/3)</f>
        <v>#VALUE!</v>
      </c>
      <c r="K24" s="164" t="str">
        <f>IF('CO-PO Mapping'!K$37="","",$H$12*'CO-PO Mapping'!K$37/3)</f>
        <v/>
      </c>
      <c r="L24" s="164" t="e">
        <f>IF('CO-PO Mapping'!L$37="","",$H$12*'CO-PO Mapping'!L$37/3)</f>
        <v>#VALUE!</v>
      </c>
      <c r="M24" s="164" t="e">
        <f>IF('CO-PO Mapping'!M$37="","",$H$12*'CO-PO Mapping'!M$37/3)</f>
        <v>#VALUE!</v>
      </c>
      <c r="N24" s="164" t="e">
        <f>IF('CO-PO Mapping'!N$37="","",$H$12*'CO-PO Mapping'!N$37/3)</f>
        <v>#VALUE!</v>
      </c>
      <c r="O24" s="164" t="e">
        <f>IF('CO-PO Mapping'!O37="","",$H$12*'CO-PO Mapping'!O$37/3)</f>
        <v>#VALUE!</v>
      </c>
      <c r="P24" s="164" t="str">
        <f>IF('CO-PO Mapping'!P37="","",$H$12*'CO-PO Mapping'!P$37/3)</f>
        <v/>
      </c>
      <c r="Q24" s="164" t="e">
        <f>IF('CO-PO Mapping'!Q37="","",$H$12*'CO-PO Mapping'!Q$37/3)</f>
        <v>#VALUE!</v>
      </c>
      <c r="R24" s="164" t="e">
        <f>IF('CO-PO Mapping'!#REF!="","",$H$12*'CO-PO Mapping'!#REF!/3)</f>
        <v>#REF!</v>
      </c>
      <c r="S24" s="1"/>
      <c r="T24" s="1"/>
      <c r="U24" s="1"/>
      <c r="V24" s="1"/>
      <c r="W24" s="1"/>
      <c r="X24" s="1"/>
      <c r="Y24" s="1"/>
      <c r="Z24" s="1"/>
      <c r="AA24" s="1"/>
      <c r="AB24" s="1"/>
      <c r="AC24" s="1"/>
      <c r="AD24" s="1"/>
      <c r="AE24" s="1"/>
      <c r="AF24" s="1"/>
      <c r="AG24" s="1"/>
      <c r="AH24" s="1"/>
    </row>
    <row r="25" spans="1:34" ht="15.75" customHeight="1">
      <c r="A25" s="29">
        <v>5</v>
      </c>
      <c r="B25" s="17" t="s">
        <v>36</v>
      </c>
      <c r="C25" s="164" t="e">
        <f>IF('CO-PO Mapping'!C$38="","",$H$13*'CO-PO Mapping'!C$38/3)</f>
        <v>#VALUE!</v>
      </c>
      <c r="D25" s="164" t="e">
        <f>IF('CO-PO Mapping'!D$38="","",$H$13*'CO-PO Mapping'!D$38/3)</f>
        <v>#VALUE!</v>
      </c>
      <c r="E25" s="164" t="e">
        <f>IF('CO-PO Mapping'!E$38="","",$H$13*'CO-PO Mapping'!E$38/3)</f>
        <v>#VALUE!</v>
      </c>
      <c r="F25" s="164" t="str">
        <f>IF('CO-PO Mapping'!F$38="","",$H$13*'CO-PO Mapping'!F$38/3)</f>
        <v/>
      </c>
      <c r="G25" s="164" t="e">
        <f>IF('CO-PO Mapping'!G$38="","",$H$13*'CO-PO Mapping'!G$38/3)</f>
        <v>#VALUE!</v>
      </c>
      <c r="H25" s="164" t="str">
        <f>IF('CO-PO Mapping'!H$38="","",$H$13*'CO-PO Mapping'!H$38/3)</f>
        <v/>
      </c>
      <c r="I25" s="164" t="str">
        <f>IF('CO-PO Mapping'!I$38="","",$H$13*'CO-PO Mapping'!I$38/3)</f>
        <v/>
      </c>
      <c r="J25" s="164" t="str">
        <f>IF('CO-PO Mapping'!J$38="","",$H$13*'CO-PO Mapping'!J$38/3)</f>
        <v/>
      </c>
      <c r="K25" s="164" t="str">
        <f>IF('CO-PO Mapping'!K$38="","",$H$13*'CO-PO Mapping'!K$38/3)</f>
        <v/>
      </c>
      <c r="L25" s="164" t="e">
        <f>IF('CO-PO Mapping'!L$38="","",$H$13*'CO-PO Mapping'!L$38/3)</f>
        <v>#VALUE!</v>
      </c>
      <c r="M25" s="164" t="e">
        <f>IF('CO-PO Mapping'!M$38="","",$H$13*'CO-PO Mapping'!M$38/3)</f>
        <v>#VALUE!</v>
      </c>
      <c r="N25" s="164" t="e">
        <f>IF('CO-PO Mapping'!N$38="","",$H$13*'CO-PO Mapping'!N$38/3)</f>
        <v>#VALUE!</v>
      </c>
      <c r="O25" s="164" t="e">
        <f>IF('CO-PO Mapping'!O38="","",$H$13*'CO-PO Mapping'!O$38/3)</f>
        <v>#VALUE!</v>
      </c>
      <c r="P25" s="164" t="str">
        <f>IF('CO-PO Mapping'!P38="","",$H$13*'CO-PO Mapping'!P$38/3)</f>
        <v/>
      </c>
      <c r="Q25" s="164" t="str">
        <f>IF('CO-PO Mapping'!Q38="","",$H$13*'CO-PO Mapping'!Q$38/3)</f>
        <v/>
      </c>
      <c r="R25" s="164" t="e">
        <f>IF('CO-PO Mapping'!#REF!="","",$H$13*'CO-PO Mapping'!#REF!/3)</f>
        <v>#REF!</v>
      </c>
      <c r="S25" s="1"/>
      <c r="T25" s="1"/>
      <c r="U25" s="1"/>
      <c r="V25" s="1"/>
      <c r="W25" s="1"/>
      <c r="X25" s="1"/>
      <c r="Y25" s="1"/>
      <c r="Z25" s="1"/>
      <c r="AA25" s="1"/>
      <c r="AB25" s="1"/>
      <c r="AC25" s="1"/>
      <c r="AD25" s="1"/>
      <c r="AE25" s="1"/>
      <c r="AF25" s="1"/>
      <c r="AG25" s="1"/>
      <c r="AH25" s="1"/>
    </row>
    <row r="26" spans="1:34" ht="15.75" customHeight="1">
      <c r="A26" s="29">
        <v>6</v>
      </c>
      <c r="B26" s="17" t="s">
        <v>37</v>
      </c>
      <c r="C26" s="164" t="str">
        <f>IF('CO-PO Mapping'!C$39="","",$H$14*'CO-PO Mapping'!C$39/3)</f>
        <v/>
      </c>
      <c r="D26" s="164" t="str">
        <f>IF('CO-PO Mapping'!D$39="","",$H$14*'CO-PO Mapping'!D$39/3)</f>
        <v/>
      </c>
      <c r="E26" s="164" t="str">
        <f>IF('CO-PO Mapping'!E$39="","",$H$14*'CO-PO Mapping'!E$39/3)</f>
        <v/>
      </c>
      <c r="F26" s="164" t="str">
        <f>IF('CO-PO Mapping'!F$39="","",$H$14*'CO-PO Mapping'!F$39/3)</f>
        <v/>
      </c>
      <c r="G26" s="164" t="str">
        <f>IF('CO-PO Mapping'!G$39="","",$H$14*'CO-PO Mapping'!G$39/3)</f>
        <v/>
      </c>
      <c r="H26" s="164" t="str">
        <f>IF('CO-PO Mapping'!H$39="","",$H$14*'CO-PO Mapping'!H$39/3)</f>
        <v/>
      </c>
      <c r="I26" s="164" t="str">
        <f>IF('CO-PO Mapping'!I$39="","",$H$14*'CO-PO Mapping'!I$39/3)</f>
        <v/>
      </c>
      <c r="J26" s="164" t="str">
        <f>IF('CO-PO Mapping'!J$39="","",$H$14*'CO-PO Mapping'!J$39/3)</f>
        <v/>
      </c>
      <c r="K26" s="164" t="str">
        <f>IF('CO-PO Mapping'!K$39="","",$H$14*'CO-PO Mapping'!K$39/3)</f>
        <v/>
      </c>
      <c r="L26" s="164" t="str">
        <f>IF('CO-PO Mapping'!L$39="","",$H$14*'CO-PO Mapping'!L$39/3)</f>
        <v/>
      </c>
      <c r="M26" s="164" t="str">
        <f>IF('CO-PO Mapping'!M$39="","",$H$14*'CO-PO Mapping'!M$39/3)</f>
        <v/>
      </c>
      <c r="N26" s="164" t="str">
        <f>IF('CO-PO Mapping'!N$39="","",$H$14*'CO-PO Mapping'!N$39/3)</f>
        <v/>
      </c>
      <c r="O26" s="164" t="str">
        <f>IF('CO-PO Mapping'!O$39="","",$H$14*'CO-PO Mapping'!O$39/3)</f>
        <v/>
      </c>
      <c r="P26" s="164" t="str">
        <f>IF('CO-PO Mapping'!P$39="","",$H$14*'CO-PO Mapping'!P$39/3)</f>
        <v/>
      </c>
      <c r="Q26" s="164" t="str">
        <f>IF('CO-PO Mapping'!Q39="","",$H$14*'CO-PO Mapping'!Q39/3)</f>
        <v/>
      </c>
      <c r="R26" s="164" t="e">
        <f>IF('CO-PO Mapping'!#REF!="","",$H$14*'CO-PO Mapping'!#REF!/3)</f>
        <v>#REF!</v>
      </c>
      <c r="S26" s="1"/>
      <c r="T26" s="1"/>
      <c r="U26" s="1"/>
      <c r="V26" s="1"/>
      <c r="W26" s="1"/>
      <c r="X26" s="1"/>
      <c r="Y26" s="1"/>
      <c r="Z26" s="1"/>
      <c r="AA26" s="1"/>
      <c r="AB26" s="1"/>
      <c r="AC26" s="1"/>
      <c r="AD26" s="1"/>
      <c r="AE26" s="1"/>
      <c r="AF26" s="1"/>
      <c r="AG26" s="1"/>
      <c r="AH26" s="1"/>
    </row>
    <row r="27" spans="1:34" ht="15.75" customHeight="1">
      <c r="A27" s="165">
        <f>A2</f>
        <v>3110002</v>
      </c>
      <c r="B27" s="166"/>
      <c r="C27" s="167" t="str">
        <f t="shared" ref="C27:R27" si="3">IFERROR(AVERAGE(C21:C26),"")</f>
        <v/>
      </c>
      <c r="D27" s="167" t="str">
        <f t="shared" si="3"/>
        <v/>
      </c>
      <c r="E27" s="167" t="str">
        <f t="shared" si="3"/>
        <v/>
      </c>
      <c r="F27" s="167" t="str">
        <f t="shared" si="3"/>
        <v/>
      </c>
      <c r="G27" s="167" t="str">
        <f t="shared" si="3"/>
        <v/>
      </c>
      <c r="H27" s="167" t="str">
        <f t="shared" si="3"/>
        <v/>
      </c>
      <c r="I27" s="167" t="str">
        <f t="shared" si="3"/>
        <v/>
      </c>
      <c r="J27" s="167" t="str">
        <f t="shared" si="3"/>
        <v/>
      </c>
      <c r="K27" s="167" t="str">
        <f t="shared" si="3"/>
        <v/>
      </c>
      <c r="L27" s="167" t="str">
        <f t="shared" si="3"/>
        <v/>
      </c>
      <c r="M27" s="167" t="str">
        <f t="shared" si="3"/>
        <v/>
      </c>
      <c r="N27" s="167" t="str">
        <f t="shared" si="3"/>
        <v/>
      </c>
      <c r="O27" s="167" t="str">
        <f t="shared" si="3"/>
        <v/>
      </c>
      <c r="P27" s="167" t="str">
        <f t="shared" si="3"/>
        <v/>
      </c>
      <c r="Q27" s="167" t="str">
        <f t="shared" si="3"/>
        <v/>
      </c>
      <c r="R27" s="167" t="str">
        <f t="shared" si="3"/>
        <v/>
      </c>
      <c r="S27" s="1"/>
      <c r="T27" s="1"/>
      <c r="U27" s="1"/>
      <c r="V27" s="1"/>
      <c r="W27" s="1"/>
      <c r="X27" s="1"/>
      <c r="Y27" s="1"/>
      <c r="Z27" s="1"/>
      <c r="AA27" s="1"/>
      <c r="AB27" s="1"/>
      <c r="AC27" s="1"/>
      <c r="AD27" s="1"/>
      <c r="AE27" s="1"/>
      <c r="AF27" s="1"/>
      <c r="AG27" s="1"/>
      <c r="AH27" s="1"/>
    </row>
    <row r="28" spans="1:34" ht="15.75" customHeight="1">
      <c r="A28" s="1"/>
      <c r="B28" s="168"/>
      <c r="C28" s="169"/>
      <c r="D28" s="169"/>
      <c r="E28" s="169"/>
      <c r="F28" s="169"/>
      <c r="G28" s="169"/>
      <c r="H28" s="169"/>
      <c r="I28" s="169"/>
      <c r="J28" s="169"/>
      <c r="K28" s="169"/>
      <c r="L28" s="169"/>
      <c r="M28" s="169"/>
      <c r="N28" s="1"/>
      <c r="O28" s="1"/>
      <c r="P28" s="1"/>
      <c r="Q28" s="1"/>
      <c r="R28" s="1"/>
      <c r="S28" s="1"/>
      <c r="T28" s="1"/>
      <c r="U28" s="1"/>
      <c r="V28" s="1"/>
      <c r="W28" s="1"/>
      <c r="X28" s="1"/>
      <c r="Y28" s="1"/>
      <c r="Z28" s="1"/>
      <c r="AA28" s="1"/>
      <c r="AB28" s="1"/>
      <c r="AC28" s="1"/>
      <c r="AD28" s="1"/>
      <c r="AE28" s="1"/>
      <c r="AF28" s="1"/>
      <c r="AG28" s="1"/>
      <c r="AH28" s="1"/>
    </row>
    <row r="29" spans="1:34" ht="15.75" customHeight="1">
      <c r="A29" s="1"/>
      <c r="B29" s="1"/>
      <c r="C29" s="1"/>
      <c r="D29" s="1"/>
      <c r="E29" s="1"/>
      <c r="F29" s="1"/>
      <c r="G29" s="1"/>
      <c r="H29" s="4"/>
      <c r="I29" s="4"/>
      <c r="J29" s="4"/>
      <c r="K29" s="1"/>
      <c r="L29" s="1"/>
      <c r="M29" s="1"/>
      <c r="N29" s="1"/>
      <c r="O29" s="1"/>
      <c r="P29" s="1"/>
      <c r="Q29" s="1"/>
      <c r="R29" s="1"/>
      <c r="S29" s="1"/>
      <c r="T29" s="1"/>
      <c r="U29" s="1"/>
      <c r="V29" s="1"/>
      <c r="W29" s="1"/>
      <c r="X29" s="1"/>
      <c r="Y29" s="1"/>
      <c r="Z29" s="1"/>
      <c r="AA29" s="1"/>
      <c r="AB29" s="1"/>
      <c r="AC29" s="1"/>
      <c r="AD29" s="1"/>
      <c r="AE29" s="1"/>
      <c r="AF29" s="1"/>
      <c r="AG29" s="1"/>
      <c r="AH29" s="1"/>
    </row>
    <row r="30" spans="1:34" ht="15.75" customHeight="1">
      <c r="A30" s="1"/>
      <c r="B30" s="1"/>
      <c r="C30" s="1"/>
      <c r="D30" s="1"/>
      <c r="E30" s="1"/>
      <c r="F30" s="1"/>
      <c r="G30" s="1"/>
      <c r="H30" s="4"/>
      <c r="I30" s="4"/>
      <c r="J30" s="4"/>
      <c r="K30" s="1"/>
      <c r="L30" s="1"/>
      <c r="M30" s="1"/>
      <c r="N30" s="1"/>
      <c r="O30" s="1"/>
      <c r="P30" s="1"/>
      <c r="Q30" s="1"/>
      <c r="R30" s="1"/>
      <c r="S30" s="1"/>
      <c r="T30" s="1"/>
      <c r="U30" s="1"/>
      <c r="V30" s="1"/>
      <c r="W30" s="1"/>
      <c r="X30" s="1"/>
      <c r="Y30" s="1"/>
      <c r="Z30" s="1"/>
      <c r="AA30" s="1"/>
      <c r="AB30" s="1"/>
      <c r="AC30" s="1"/>
      <c r="AD30" s="1"/>
      <c r="AE30" s="1"/>
      <c r="AF30" s="1"/>
      <c r="AG30" s="1"/>
      <c r="AH30" s="1"/>
    </row>
    <row r="31" spans="1:34" ht="15.75" customHeight="1">
      <c r="A31" s="1"/>
      <c r="B31" s="1"/>
      <c r="C31" s="1"/>
      <c r="D31" s="1"/>
      <c r="E31" s="1"/>
      <c r="F31" s="1"/>
      <c r="G31" s="1"/>
      <c r="H31" s="4"/>
      <c r="I31" s="4"/>
      <c r="J31" s="4"/>
      <c r="K31" s="1"/>
      <c r="L31" s="1"/>
      <c r="M31" s="1"/>
      <c r="N31" s="1"/>
      <c r="O31" s="1"/>
      <c r="P31" s="1"/>
      <c r="Q31" s="1"/>
      <c r="R31" s="1"/>
      <c r="S31" s="1"/>
      <c r="T31" s="1"/>
      <c r="U31" s="1"/>
      <c r="V31" s="1"/>
      <c r="W31" s="1"/>
      <c r="X31" s="1"/>
      <c r="Y31" s="1"/>
      <c r="Z31" s="1"/>
      <c r="AA31" s="1"/>
      <c r="AB31" s="1"/>
      <c r="AC31" s="1"/>
      <c r="AD31" s="1"/>
      <c r="AE31" s="1"/>
      <c r="AF31" s="1"/>
      <c r="AG31" s="1"/>
      <c r="AH31" s="1"/>
    </row>
    <row r="32" spans="1:34" ht="15.75" customHeight="1">
      <c r="A32" s="1"/>
      <c r="B32" s="1"/>
      <c r="C32" s="1"/>
      <c r="D32" s="1"/>
      <c r="E32" s="1"/>
      <c r="F32" s="1"/>
      <c r="G32" s="1"/>
      <c r="H32" s="4"/>
      <c r="I32" s="4"/>
      <c r="J32" s="4"/>
      <c r="K32" s="1"/>
      <c r="L32" s="1"/>
      <c r="M32" s="1"/>
      <c r="N32" s="1"/>
      <c r="O32" s="1"/>
      <c r="P32" s="1"/>
      <c r="Q32" s="1"/>
      <c r="R32" s="1"/>
      <c r="S32" s="1"/>
      <c r="T32" s="1"/>
      <c r="U32" s="1"/>
      <c r="V32" s="1"/>
      <c r="W32" s="1"/>
      <c r="X32" s="1"/>
      <c r="Y32" s="1"/>
      <c r="Z32" s="1"/>
      <c r="AA32" s="1"/>
      <c r="AB32" s="1"/>
      <c r="AC32" s="1"/>
      <c r="AD32" s="1"/>
      <c r="AE32" s="1"/>
      <c r="AF32" s="1"/>
      <c r="AG32" s="1"/>
      <c r="AH32" s="1"/>
    </row>
    <row r="33" spans="1:34" ht="15.75" customHeight="1">
      <c r="A33" s="1"/>
      <c r="B33" s="1"/>
      <c r="C33" s="1"/>
      <c r="D33" s="1"/>
      <c r="E33" s="1"/>
      <c r="F33" s="1"/>
      <c r="G33" s="1"/>
      <c r="H33" s="4"/>
      <c r="I33" s="4"/>
      <c r="J33" s="4"/>
      <c r="K33" s="1"/>
      <c r="L33" s="1"/>
      <c r="M33" s="1"/>
      <c r="N33" s="1"/>
      <c r="O33" s="1"/>
      <c r="P33" s="1"/>
      <c r="Q33" s="1"/>
      <c r="R33" s="1"/>
      <c r="S33" s="1"/>
      <c r="T33" s="1"/>
      <c r="U33" s="1"/>
      <c r="V33" s="1"/>
      <c r="W33" s="1"/>
      <c r="X33" s="1"/>
      <c r="Y33" s="1"/>
      <c r="Z33" s="1"/>
      <c r="AA33" s="1"/>
      <c r="AB33" s="1"/>
      <c r="AC33" s="1"/>
      <c r="AD33" s="1"/>
      <c r="AE33" s="1"/>
      <c r="AF33" s="1"/>
      <c r="AG33" s="1"/>
      <c r="AH33" s="1"/>
    </row>
    <row r="34" spans="1:34" ht="15.75" customHeight="1">
      <c r="A34" s="1"/>
      <c r="B34" s="1"/>
      <c r="C34" s="1"/>
      <c r="D34" s="1"/>
      <c r="E34" s="1"/>
      <c r="F34" s="1"/>
      <c r="G34" s="1"/>
      <c r="H34" s="4"/>
      <c r="I34" s="4"/>
      <c r="J34" s="4"/>
      <c r="K34" s="1"/>
      <c r="L34" s="1"/>
      <c r="M34" s="1"/>
      <c r="N34" s="1"/>
      <c r="O34" s="1"/>
      <c r="P34" s="1"/>
      <c r="Q34" s="1"/>
      <c r="R34" s="1"/>
      <c r="S34" s="1"/>
      <c r="T34" s="1"/>
      <c r="U34" s="1"/>
      <c r="V34" s="1"/>
      <c r="W34" s="1"/>
      <c r="X34" s="1"/>
      <c r="Y34" s="1"/>
      <c r="Z34" s="1"/>
      <c r="AA34" s="1"/>
      <c r="AB34" s="1"/>
      <c r="AC34" s="1"/>
      <c r="AD34" s="1"/>
      <c r="AE34" s="1"/>
      <c r="AF34" s="1"/>
      <c r="AG34" s="1"/>
      <c r="AH34" s="1"/>
    </row>
    <row r="35" spans="1:34" ht="15.75" customHeight="1">
      <c r="A35" s="1"/>
      <c r="B35" s="1"/>
      <c r="C35" s="1"/>
      <c r="D35" s="1"/>
      <c r="E35" s="1"/>
      <c r="F35" s="1"/>
      <c r="G35" s="1"/>
      <c r="H35" s="4"/>
      <c r="I35" s="4"/>
      <c r="J35" s="4"/>
      <c r="K35" s="1"/>
      <c r="L35" s="1"/>
      <c r="M35" s="1"/>
      <c r="N35" s="1"/>
      <c r="O35" s="1"/>
      <c r="P35" s="1"/>
      <c r="Q35" s="1"/>
      <c r="R35" s="1"/>
      <c r="S35" s="1"/>
      <c r="T35" s="1"/>
      <c r="U35" s="1"/>
      <c r="V35" s="1"/>
      <c r="W35" s="1"/>
      <c r="X35" s="1"/>
      <c r="Y35" s="1"/>
      <c r="Z35" s="1"/>
      <c r="AA35" s="1"/>
      <c r="AB35" s="1"/>
      <c r="AC35" s="1"/>
      <c r="AD35" s="1"/>
      <c r="AE35" s="1"/>
      <c r="AF35" s="1"/>
      <c r="AG35" s="1"/>
      <c r="AH35" s="1"/>
    </row>
    <row r="36" spans="1:34" ht="15.75" customHeight="1">
      <c r="A36" s="1"/>
      <c r="B36" s="1"/>
      <c r="C36" s="1"/>
      <c r="D36" s="1"/>
      <c r="E36" s="1"/>
      <c r="F36" s="1"/>
      <c r="G36" s="1"/>
      <c r="H36" s="4"/>
      <c r="I36" s="4"/>
      <c r="J36" s="4"/>
      <c r="K36" s="1"/>
      <c r="L36" s="1"/>
      <c r="M36" s="1"/>
      <c r="N36" s="1"/>
      <c r="O36" s="1"/>
      <c r="P36" s="1"/>
      <c r="Q36" s="1"/>
      <c r="R36" s="1"/>
      <c r="S36" s="1"/>
      <c r="T36" s="1"/>
      <c r="U36" s="1"/>
      <c r="V36" s="1"/>
      <c r="W36" s="1"/>
      <c r="X36" s="1"/>
      <c r="Y36" s="1"/>
      <c r="Z36" s="1"/>
      <c r="AA36" s="1"/>
      <c r="AB36" s="1"/>
      <c r="AC36" s="1"/>
      <c r="AD36" s="1"/>
      <c r="AE36" s="1"/>
      <c r="AF36" s="1"/>
      <c r="AG36" s="1"/>
      <c r="AH36" s="1"/>
    </row>
    <row r="37" spans="1:34" ht="15.75" customHeight="1">
      <c r="A37" s="1"/>
      <c r="B37" s="1"/>
      <c r="C37" s="1"/>
      <c r="D37" s="1"/>
      <c r="E37" s="1"/>
      <c r="F37" s="1"/>
      <c r="G37" s="1"/>
      <c r="H37" s="4"/>
      <c r="I37" s="4"/>
      <c r="J37" s="4"/>
      <c r="K37" s="1"/>
      <c r="L37" s="1"/>
      <c r="M37" s="1"/>
      <c r="N37" s="1"/>
      <c r="O37" s="1"/>
      <c r="P37" s="1"/>
      <c r="Q37" s="1"/>
      <c r="R37" s="1"/>
      <c r="S37" s="1"/>
      <c r="T37" s="1"/>
      <c r="U37" s="1"/>
      <c r="V37" s="1"/>
      <c r="W37" s="1"/>
      <c r="X37" s="1"/>
      <c r="Y37" s="1"/>
      <c r="Z37" s="1"/>
      <c r="AA37" s="1"/>
      <c r="AB37" s="1"/>
      <c r="AC37" s="1"/>
      <c r="AD37" s="1"/>
      <c r="AE37" s="1"/>
      <c r="AF37" s="1"/>
      <c r="AG37" s="1"/>
      <c r="AH37" s="1"/>
    </row>
    <row r="38" spans="1:34" ht="15.75" customHeight="1">
      <c r="A38" s="1"/>
      <c r="B38" s="1"/>
      <c r="C38" s="1"/>
      <c r="D38" s="1"/>
      <c r="E38" s="1"/>
      <c r="F38" s="1"/>
      <c r="G38" s="1"/>
      <c r="H38" s="4"/>
      <c r="I38" s="4"/>
      <c r="J38" s="4"/>
      <c r="K38" s="1"/>
      <c r="L38" s="1"/>
      <c r="M38" s="1"/>
      <c r="N38" s="1"/>
      <c r="O38" s="1"/>
      <c r="P38" s="1"/>
      <c r="Q38" s="1"/>
      <c r="R38" s="1"/>
      <c r="S38" s="1"/>
      <c r="T38" s="1"/>
      <c r="U38" s="1"/>
      <c r="V38" s="1"/>
      <c r="W38" s="1"/>
      <c r="X38" s="1"/>
      <c r="Y38" s="1"/>
      <c r="Z38" s="1"/>
      <c r="AA38" s="1"/>
      <c r="AB38" s="1"/>
      <c r="AC38" s="1"/>
      <c r="AD38" s="1"/>
      <c r="AE38" s="1"/>
      <c r="AF38" s="1"/>
      <c r="AG38" s="1"/>
      <c r="AH38" s="1"/>
    </row>
    <row r="39" spans="1:34" ht="15.75" customHeight="1">
      <c r="A39" s="1"/>
      <c r="B39" s="1"/>
      <c r="C39" s="1"/>
      <c r="D39" s="1"/>
      <c r="E39" s="1"/>
      <c r="F39" s="1"/>
      <c r="G39" s="1"/>
      <c r="H39" s="4"/>
      <c r="I39" s="4"/>
      <c r="J39" s="4"/>
      <c r="K39" s="1"/>
      <c r="L39" s="1"/>
      <c r="M39" s="1"/>
      <c r="N39" s="1"/>
      <c r="O39" s="1"/>
      <c r="P39" s="1"/>
      <c r="Q39" s="1"/>
      <c r="R39" s="1"/>
      <c r="S39" s="1"/>
      <c r="T39" s="1"/>
      <c r="U39" s="1"/>
      <c r="V39" s="1"/>
      <c r="W39" s="1"/>
      <c r="X39" s="1"/>
      <c r="Y39" s="1"/>
      <c r="Z39" s="1"/>
      <c r="AA39" s="1"/>
      <c r="AB39" s="1"/>
      <c r="AC39" s="1"/>
      <c r="AD39" s="1"/>
      <c r="AE39" s="1"/>
      <c r="AF39" s="1"/>
      <c r="AG39" s="1"/>
      <c r="AH39" s="1"/>
    </row>
    <row r="40" spans="1:34" ht="15.75" customHeight="1">
      <c r="A40" s="1"/>
      <c r="B40" s="1"/>
      <c r="C40" s="1"/>
      <c r="D40" s="1"/>
      <c r="E40" s="1"/>
      <c r="F40" s="1"/>
      <c r="G40" s="1"/>
      <c r="H40" s="4"/>
      <c r="I40" s="4"/>
      <c r="J40" s="4"/>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4"/>
      <c r="I41" s="4"/>
      <c r="J41" s="4"/>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4"/>
      <c r="I42" s="4"/>
      <c r="J42" s="4"/>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4"/>
      <c r="I43" s="4"/>
      <c r="J43" s="4"/>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4"/>
      <c r="I44" s="4"/>
      <c r="J44" s="4"/>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4"/>
      <c r="I45" s="4"/>
      <c r="J45" s="4"/>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4"/>
      <c r="I46" s="4"/>
      <c r="J46" s="4"/>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4"/>
      <c r="I47" s="4"/>
      <c r="J47" s="4"/>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4"/>
      <c r="I48" s="4"/>
      <c r="J48" s="4"/>
      <c r="K48" s="1"/>
      <c r="L48" s="1"/>
      <c r="M48" s="1"/>
      <c r="N48" s="1"/>
      <c r="O48" s="1"/>
      <c r="P48" s="1"/>
      <c r="Q48" s="1"/>
      <c r="R48" s="1"/>
      <c r="S48" s="1"/>
      <c r="T48" s="1"/>
      <c r="U48" s="1"/>
      <c r="V48" s="1"/>
      <c r="W48" s="1"/>
      <c r="X48" s="1"/>
      <c r="Y48" s="1"/>
      <c r="Z48" s="1"/>
      <c r="AA48" s="1"/>
      <c r="AB48" s="1"/>
      <c r="AC48" s="1"/>
      <c r="AD48" s="1"/>
      <c r="AE48" s="1"/>
      <c r="AF48" s="1"/>
      <c r="AG48" s="1"/>
      <c r="AH48" s="1"/>
    </row>
    <row r="49" spans="1:34" ht="15.75" customHeight="1">
      <c r="A49" s="1"/>
      <c r="B49" s="1"/>
      <c r="C49" s="1"/>
      <c r="D49" s="1"/>
      <c r="E49" s="1"/>
      <c r="F49" s="1"/>
      <c r="G49" s="1"/>
      <c r="H49" s="4"/>
      <c r="I49" s="4"/>
      <c r="J49" s="4"/>
      <c r="K49" s="1"/>
      <c r="L49" s="1"/>
      <c r="M49" s="1"/>
      <c r="N49" s="1"/>
      <c r="O49" s="1"/>
      <c r="P49" s="1"/>
      <c r="Q49" s="1"/>
      <c r="R49" s="1"/>
      <c r="S49" s="1"/>
      <c r="T49" s="1"/>
      <c r="U49" s="1"/>
      <c r="V49" s="1"/>
      <c r="W49" s="1"/>
      <c r="X49" s="1"/>
      <c r="Y49" s="1"/>
      <c r="Z49" s="1"/>
      <c r="AA49" s="1"/>
      <c r="AB49" s="1"/>
      <c r="AC49" s="1"/>
      <c r="AD49" s="1"/>
      <c r="AE49" s="1"/>
      <c r="AF49" s="1"/>
      <c r="AG49" s="1"/>
      <c r="AH49" s="1"/>
    </row>
    <row r="50" spans="1:34" ht="15.75" customHeight="1">
      <c r="A50" s="1"/>
      <c r="B50" s="1"/>
      <c r="C50" s="1"/>
      <c r="D50" s="1"/>
      <c r="E50" s="1"/>
      <c r="F50" s="1"/>
      <c r="G50" s="1"/>
      <c r="H50" s="4"/>
      <c r="I50" s="4"/>
      <c r="J50" s="4"/>
      <c r="K50" s="1"/>
      <c r="L50" s="1"/>
      <c r="M50" s="1"/>
      <c r="N50" s="1"/>
      <c r="O50" s="1"/>
      <c r="P50" s="1"/>
      <c r="Q50" s="1"/>
      <c r="R50" s="1"/>
      <c r="S50" s="1"/>
      <c r="T50" s="1"/>
      <c r="U50" s="1"/>
      <c r="V50" s="1"/>
      <c r="W50" s="1"/>
      <c r="X50" s="1"/>
      <c r="Y50" s="1"/>
      <c r="Z50" s="1"/>
      <c r="AA50" s="1"/>
      <c r="AB50" s="1"/>
      <c r="AC50" s="1"/>
      <c r="AD50" s="1"/>
      <c r="AE50" s="1"/>
      <c r="AF50" s="1"/>
      <c r="AG50" s="1"/>
      <c r="AH50" s="1"/>
    </row>
    <row r="51" spans="1:34" ht="15.75" customHeight="1">
      <c r="A51" s="1"/>
      <c r="B51" s="1"/>
      <c r="C51" s="1"/>
      <c r="D51" s="1"/>
      <c r="E51" s="1"/>
      <c r="F51" s="1"/>
      <c r="G51" s="1"/>
      <c r="H51" s="4"/>
      <c r="I51" s="4"/>
      <c r="J51" s="4"/>
      <c r="K51" s="1"/>
      <c r="L51" s="1"/>
      <c r="M51" s="1"/>
      <c r="N51" s="1"/>
      <c r="O51" s="1"/>
      <c r="P51" s="1"/>
      <c r="Q51" s="1"/>
      <c r="R51" s="1"/>
      <c r="S51" s="1"/>
      <c r="T51" s="1"/>
      <c r="U51" s="1"/>
      <c r="V51" s="1"/>
      <c r="W51" s="1"/>
      <c r="X51" s="1"/>
      <c r="Y51" s="1"/>
      <c r="Z51" s="1"/>
      <c r="AA51" s="1"/>
      <c r="AB51" s="1"/>
      <c r="AC51" s="1"/>
      <c r="AD51" s="1"/>
      <c r="AE51" s="1"/>
      <c r="AF51" s="1"/>
      <c r="AG51" s="1"/>
      <c r="AH51" s="1"/>
    </row>
    <row r="52" spans="1:34" ht="15.75" customHeight="1">
      <c r="A52" s="1"/>
      <c r="B52" s="1"/>
      <c r="C52" s="1"/>
      <c r="D52" s="1"/>
      <c r="E52" s="1"/>
      <c r="F52" s="1"/>
      <c r="G52" s="1"/>
      <c r="H52" s="4"/>
      <c r="I52" s="4"/>
      <c r="J52" s="4"/>
      <c r="K52" s="1"/>
      <c r="L52" s="1"/>
      <c r="M52" s="1"/>
      <c r="N52" s="1"/>
      <c r="O52" s="1"/>
      <c r="P52" s="1"/>
      <c r="Q52" s="1"/>
      <c r="R52" s="1"/>
      <c r="S52" s="1"/>
      <c r="T52" s="1"/>
      <c r="U52" s="1"/>
      <c r="V52" s="1"/>
      <c r="W52" s="1"/>
      <c r="X52" s="1"/>
      <c r="Y52" s="1"/>
      <c r="Z52" s="1"/>
      <c r="AA52" s="1"/>
      <c r="AB52" s="1"/>
      <c r="AC52" s="1"/>
      <c r="AD52" s="1"/>
      <c r="AE52" s="1"/>
      <c r="AF52" s="1"/>
      <c r="AG52" s="1"/>
      <c r="AH52" s="1"/>
    </row>
    <row r="53" spans="1:34" ht="15.75" customHeight="1">
      <c r="A53" s="1"/>
      <c r="B53" s="1"/>
      <c r="C53" s="1"/>
      <c r="D53" s="1"/>
      <c r="E53" s="1"/>
      <c r="F53" s="1"/>
      <c r="G53" s="1"/>
      <c r="H53" s="4"/>
      <c r="I53" s="4"/>
      <c r="J53" s="4"/>
      <c r="K53" s="1"/>
      <c r="L53" s="1"/>
      <c r="M53" s="1"/>
      <c r="N53" s="1"/>
      <c r="O53" s="1"/>
      <c r="P53" s="1"/>
      <c r="Q53" s="1"/>
      <c r="R53" s="1"/>
      <c r="S53" s="1"/>
      <c r="T53" s="1"/>
      <c r="U53" s="1"/>
      <c r="V53" s="1"/>
      <c r="W53" s="1"/>
      <c r="X53" s="1"/>
      <c r="Y53" s="1"/>
      <c r="Z53" s="1"/>
      <c r="AA53" s="1"/>
      <c r="AB53" s="1"/>
      <c r="AC53" s="1"/>
      <c r="AD53" s="1"/>
      <c r="AE53" s="1"/>
      <c r="AF53" s="1"/>
      <c r="AG53" s="1"/>
      <c r="AH53" s="1"/>
    </row>
    <row r="54" spans="1:34" ht="15.75" customHeight="1">
      <c r="A54" s="1"/>
      <c r="B54" s="1"/>
      <c r="C54" s="1"/>
      <c r="D54" s="1"/>
      <c r="E54" s="1"/>
      <c r="F54" s="1"/>
      <c r="G54" s="1"/>
      <c r="H54" s="4"/>
      <c r="I54" s="4"/>
      <c r="J54" s="4"/>
      <c r="K54" s="1"/>
      <c r="L54" s="1"/>
      <c r="M54" s="1"/>
      <c r="N54" s="1"/>
      <c r="O54" s="1"/>
      <c r="P54" s="1"/>
      <c r="Q54" s="1"/>
      <c r="R54" s="1"/>
      <c r="S54" s="1"/>
      <c r="T54" s="1"/>
      <c r="U54" s="1"/>
      <c r="V54" s="1"/>
      <c r="W54" s="1"/>
      <c r="X54" s="1"/>
      <c r="Y54" s="1"/>
      <c r="Z54" s="1"/>
      <c r="AA54" s="1"/>
      <c r="AB54" s="1"/>
      <c r="AC54" s="1"/>
      <c r="AD54" s="1"/>
      <c r="AE54" s="1"/>
      <c r="AF54" s="1"/>
      <c r="AG54" s="1"/>
      <c r="AH54" s="1"/>
    </row>
    <row r="55" spans="1:34" ht="15.75" customHeight="1">
      <c r="A55" s="1"/>
      <c r="B55" s="1"/>
      <c r="C55" s="1"/>
      <c r="D55" s="1"/>
      <c r="E55" s="1"/>
      <c r="F55" s="1"/>
      <c r="G55" s="1"/>
      <c r="H55" s="4"/>
      <c r="I55" s="4"/>
      <c r="J55" s="4"/>
      <c r="K55" s="1"/>
      <c r="L55" s="1"/>
      <c r="M55" s="1"/>
      <c r="N55" s="1"/>
      <c r="O55" s="1"/>
      <c r="P55" s="1"/>
      <c r="Q55" s="1"/>
      <c r="R55" s="1"/>
      <c r="S55" s="1"/>
      <c r="T55" s="1"/>
      <c r="U55" s="1"/>
      <c r="V55" s="1"/>
      <c r="W55" s="1"/>
      <c r="X55" s="1"/>
      <c r="Y55" s="1"/>
      <c r="Z55" s="1"/>
      <c r="AA55" s="1"/>
      <c r="AB55" s="1"/>
      <c r="AC55" s="1"/>
      <c r="AD55" s="1"/>
      <c r="AE55" s="1"/>
      <c r="AF55" s="1"/>
      <c r="AG55" s="1"/>
      <c r="AH55" s="1"/>
    </row>
    <row r="56" spans="1:34" ht="15.75" customHeight="1">
      <c r="A56" s="1"/>
      <c r="B56" s="1"/>
      <c r="C56" s="1"/>
      <c r="D56" s="1"/>
      <c r="E56" s="1"/>
      <c r="F56" s="1"/>
      <c r="G56" s="1"/>
      <c r="H56" s="4"/>
      <c r="I56" s="4"/>
      <c r="J56" s="4"/>
      <c r="K56" s="1"/>
      <c r="L56" s="1"/>
      <c r="M56" s="1"/>
      <c r="N56" s="1"/>
      <c r="O56" s="1"/>
      <c r="P56" s="1"/>
      <c r="Q56" s="1"/>
      <c r="R56" s="1"/>
      <c r="S56" s="1"/>
      <c r="T56" s="1"/>
      <c r="U56" s="1"/>
      <c r="V56" s="1"/>
      <c r="W56" s="1"/>
      <c r="X56" s="1"/>
      <c r="Y56" s="1"/>
      <c r="Z56" s="1"/>
      <c r="AA56" s="1"/>
      <c r="AB56" s="1"/>
      <c r="AC56" s="1"/>
      <c r="AD56" s="1"/>
      <c r="AE56" s="1"/>
      <c r="AF56" s="1"/>
      <c r="AG56" s="1"/>
      <c r="AH56" s="1"/>
    </row>
    <row r="57" spans="1:34" ht="15.75" customHeight="1">
      <c r="A57" s="1"/>
      <c r="B57" s="1"/>
      <c r="C57" s="1"/>
      <c r="D57" s="1"/>
      <c r="E57" s="1"/>
      <c r="F57" s="1"/>
      <c r="G57" s="1"/>
      <c r="H57" s="4"/>
      <c r="I57" s="4"/>
      <c r="J57" s="4"/>
      <c r="K57" s="1"/>
      <c r="L57" s="1"/>
      <c r="M57" s="1"/>
      <c r="N57" s="1"/>
      <c r="O57" s="1"/>
      <c r="P57" s="1"/>
      <c r="Q57" s="1"/>
      <c r="R57" s="1"/>
      <c r="S57" s="1"/>
      <c r="T57" s="1"/>
      <c r="U57" s="1"/>
      <c r="V57" s="1"/>
      <c r="W57" s="1"/>
      <c r="X57" s="1"/>
      <c r="Y57" s="1"/>
      <c r="Z57" s="1"/>
      <c r="AA57" s="1"/>
      <c r="AB57" s="1"/>
      <c r="AC57" s="1"/>
      <c r="AD57" s="1"/>
      <c r="AE57" s="1"/>
      <c r="AF57" s="1"/>
      <c r="AG57" s="1"/>
      <c r="AH57" s="1"/>
    </row>
    <row r="58" spans="1:34" ht="15.75" customHeight="1">
      <c r="A58" s="1"/>
      <c r="B58" s="1"/>
      <c r="C58" s="1"/>
      <c r="D58" s="1"/>
      <c r="E58" s="1"/>
      <c r="F58" s="1"/>
      <c r="G58" s="1"/>
      <c r="H58" s="4"/>
      <c r="I58" s="4"/>
      <c r="J58" s="4"/>
      <c r="K58" s="1"/>
      <c r="L58" s="1"/>
      <c r="M58" s="1"/>
      <c r="N58" s="1"/>
      <c r="O58" s="1"/>
      <c r="P58" s="1"/>
      <c r="Q58" s="1"/>
      <c r="R58" s="1"/>
      <c r="S58" s="1"/>
      <c r="T58" s="1"/>
      <c r="U58" s="1"/>
      <c r="V58" s="1"/>
      <c r="W58" s="1"/>
      <c r="X58" s="1"/>
      <c r="Y58" s="1"/>
      <c r="Z58" s="1"/>
      <c r="AA58" s="1"/>
      <c r="AB58" s="1"/>
      <c r="AC58" s="1"/>
      <c r="AD58" s="1"/>
      <c r="AE58" s="1"/>
      <c r="AF58" s="1"/>
      <c r="AG58" s="1"/>
      <c r="AH58" s="1"/>
    </row>
    <row r="59" spans="1:34" ht="15.75" customHeight="1">
      <c r="A59" s="1"/>
      <c r="B59" s="1"/>
      <c r="C59" s="1"/>
      <c r="D59" s="1"/>
      <c r="E59" s="1"/>
      <c r="F59" s="1"/>
      <c r="G59" s="1"/>
      <c r="H59" s="4"/>
      <c r="I59" s="4"/>
      <c r="J59" s="4"/>
      <c r="K59" s="1"/>
      <c r="L59" s="1"/>
      <c r="M59" s="1"/>
      <c r="N59" s="1"/>
      <c r="O59" s="1"/>
      <c r="P59" s="1"/>
      <c r="Q59" s="1"/>
      <c r="R59" s="1"/>
      <c r="S59" s="1"/>
      <c r="T59" s="1"/>
      <c r="U59" s="1"/>
      <c r="V59" s="1"/>
      <c r="W59" s="1"/>
      <c r="X59" s="1"/>
      <c r="Y59" s="1"/>
      <c r="Z59" s="1"/>
      <c r="AA59" s="1"/>
      <c r="AB59" s="1"/>
      <c r="AC59" s="1"/>
      <c r="AD59" s="1"/>
      <c r="AE59" s="1"/>
      <c r="AF59" s="1"/>
      <c r="AG59" s="1"/>
      <c r="AH59" s="1"/>
    </row>
    <row r="60" spans="1:34" ht="15.75" customHeight="1">
      <c r="A60" s="1"/>
      <c r="B60" s="1"/>
      <c r="C60" s="1"/>
      <c r="D60" s="1"/>
      <c r="E60" s="1"/>
      <c r="F60" s="1"/>
      <c r="G60" s="1"/>
      <c r="H60" s="4"/>
      <c r="I60" s="4"/>
      <c r="J60" s="4"/>
      <c r="K60" s="1"/>
      <c r="L60" s="1"/>
      <c r="M60" s="1"/>
      <c r="N60" s="1"/>
      <c r="O60" s="1"/>
      <c r="P60" s="1"/>
      <c r="Q60" s="1"/>
      <c r="R60" s="1"/>
      <c r="S60" s="1"/>
      <c r="T60" s="1"/>
      <c r="U60" s="1"/>
      <c r="V60" s="1"/>
      <c r="W60" s="1"/>
      <c r="X60" s="1"/>
      <c r="Y60" s="1"/>
      <c r="Z60" s="1"/>
      <c r="AA60" s="1"/>
      <c r="AB60" s="1"/>
      <c r="AC60" s="1"/>
      <c r="AD60" s="1"/>
      <c r="AE60" s="1"/>
      <c r="AF60" s="1"/>
      <c r="AG60" s="1"/>
      <c r="AH60" s="1"/>
    </row>
    <row r="61" spans="1:34" ht="15.75" customHeight="1">
      <c r="A61" s="1"/>
      <c r="B61" s="1"/>
      <c r="C61" s="1"/>
      <c r="D61" s="1"/>
      <c r="E61" s="1"/>
      <c r="F61" s="1"/>
      <c r="G61" s="1"/>
      <c r="H61" s="4"/>
      <c r="I61" s="4"/>
      <c r="J61" s="4"/>
      <c r="K61" s="1"/>
      <c r="L61" s="1"/>
      <c r="M61" s="1"/>
      <c r="N61" s="1"/>
      <c r="O61" s="1"/>
      <c r="P61" s="1"/>
      <c r="Q61" s="1"/>
      <c r="R61" s="1"/>
      <c r="S61" s="1"/>
      <c r="T61" s="1"/>
      <c r="U61" s="1"/>
      <c r="V61" s="1"/>
      <c r="W61" s="1"/>
      <c r="X61" s="1"/>
      <c r="Y61" s="1"/>
      <c r="Z61" s="1"/>
      <c r="AA61" s="1"/>
      <c r="AB61" s="1"/>
      <c r="AC61" s="1"/>
      <c r="AD61" s="1"/>
      <c r="AE61" s="1"/>
      <c r="AF61" s="1"/>
      <c r="AG61" s="1"/>
      <c r="AH61" s="1"/>
    </row>
    <row r="62" spans="1:34" ht="15.75" customHeight="1">
      <c r="A62" s="1"/>
      <c r="B62" s="1"/>
      <c r="C62" s="1"/>
      <c r="D62" s="1"/>
      <c r="E62" s="1"/>
      <c r="F62" s="1"/>
      <c r="G62" s="1"/>
      <c r="H62" s="4"/>
      <c r="I62" s="4"/>
      <c r="J62" s="4"/>
      <c r="K62" s="1"/>
      <c r="L62" s="1"/>
      <c r="M62" s="1"/>
      <c r="N62" s="1"/>
      <c r="O62" s="1"/>
      <c r="P62" s="1"/>
      <c r="Q62" s="1"/>
      <c r="R62" s="1"/>
      <c r="S62" s="1"/>
      <c r="T62" s="1"/>
      <c r="U62" s="1"/>
      <c r="V62" s="1"/>
      <c r="W62" s="1"/>
      <c r="X62" s="1"/>
      <c r="Y62" s="1"/>
      <c r="Z62" s="1"/>
      <c r="AA62" s="1"/>
      <c r="AB62" s="1"/>
      <c r="AC62" s="1"/>
      <c r="AD62" s="1"/>
      <c r="AE62" s="1"/>
      <c r="AF62" s="1"/>
      <c r="AG62" s="1"/>
      <c r="AH62" s="1"/>
    </row>
    <row r="63" spans="1:34" ht="15.75" customHeight="1">
      <c r="A63" s="1"/>
      <c r="B63" s="1"/>
      <c r="C63" s="1"/>
      <c r="D63" s="1"/>
      <c r="E63" s="1"/>
      <c r="F63" s="1"/>
      <c r="G63" s="1"/>
      <c r="H63" s="4"/>
      <c r="I63" s="4"/>
      <c r="J63" s="4"/>
      <c r="K63" s="1"/>
      <c r="L63" s="1"/>
      <c r="M63" s="1"/>
      <c r="N63" s="1"/>
      <c r="O63" s="1"/>
      <c r="P63" s="1"/>
      <c r="Q63" s="1"/>
      <c r="R63" s="1"/>
      <c r="S63" s="1"/>
      <c r="T63" s="1"/>
      <c r="U63" s="1"/>
      <c r="V63" s="1"/>
      <c r="W63" s="1"/>
      <c r="X63" s="1"/>
      <c r="Y63" s="1"/>
      <c r="Z63" s="1"/>
      <c r="AA63" s="1"/>
      <c r="AB63" s="1"/>
      <c r="AC63" s="1"/>
      <c r="AD63" s="1"/>
      <c r="AE63" s="1"/>
      <c r="AF63" s="1"/>
      <c r="AG63" s="1"/>
      <c r="AH63" s="1"/>
    </row>
    <row r="64" spans="1:34" ht="15.75" customHeight="1">
      <c r="A64" s="1"/>
      <c r="B64" s="1"/>
      <c r="C64" s="1"/>
      <c r="D64" s="1"/>
      <c r="E64" s="1"/>
      <c r="F64" s="1"/>
      <c r="G64" s="1"/>
      <c r="H64" s="4"/>
      <c r="I64" s="4"/>
      <c r="J64" s="4"/>
      <c r="K64" s="1"/>
      <c r="L64" s="1"/>
      <c r="M64" s="1"/>
      <c r="N64" s="1"/>
      <c r="O64" s="1"/>
      <c r="P64" s="1"/>
      <c r="Q64" s="1"/>
      <c r="R64" s="1"/>
      <c r="S64" s="1"/>
      <c r="T64" s="1"/>
      <c r="U64" s="1"/>
      <c r="V64" s="1"/>
      <c r="W64" s="1"/>
      <c r="X64" s="1"/>
      <c r="Y64" s="1"/>
      <c r="Z64" s="1"/>
      <c r="AA64" s="1"/>
      <c r="AB64" s="1"/>
      <c r="AC64" s="1"/>
      <c r="AD64" s="1"/>
      <c r="AE64" s="1"/>
      <c r="AF64" s="1"/>
      <c r="AG64" s="1"/>
      <c r="AH64" s="1"/>
    </row>
    <row r="65" spans="1:34" ht="15.75" customHeight="1">
      <c r="A65" s="1"/>
      <c r="B65" s="1"/>
      <c r="C65" s="1"/>
      <c r="D65" s="1"/>
      <c r="E65" s="1"/>
      <c r="F65" s="1"/>
      <c r="G65" s="1"/>
      <c r="H65" s="4"/>
      <c r="I65" s="4"/>
      <c r="J65" s="4"/>
      <c r="K65" s="1"/>
      <c r="L65" s="1"/>
      <c r="M65" s="1"/>
      <c r="N65" s="1"/>
      <c r="O65" s="1"/>
      <c r="P65" s="1"/>
      <c r="Q65" s="1"/>
      <c r="R65" s="1"/>
      <c r="S65" s="1"/>
      <c r="T65" s="1"/>
      <c r="U65" s="1"/>
      <c r="V65" s="1"/>
      <c r="W65" s="1"/>
      <c r="X65" s="1"/>
      <c r="Y65" s="1"/>
      <c r="Z65" s="1"/>
      <c r="AA65" s="1"/>
      <c r="AB65" s="1"/>
      <c r="AC65" s="1"/>
      <c r="AD65" s="1"/>
      <c r="AE65" s="1"/>
      <c r="AF65" s="1"/>
      <c r="AG65" s="1"/>
      <c r="AH65" s="1"/>
    </row>
    <row r="66" spans="1:34" ht="15.75" customHeight="1">
      <c r="A66" s="1"/>
      <c r="B66" s="1"/>
      <c r="C66" s="1"/>
      <c r="D66" s="1"/>
      <c r="E66" s="1"/>
      <c r="F66" s="1"/>
      <c r="G66" s="1"/>
      <c r="H66" s="4"/>
      <c r="I66" s="4"/>
      <c r="J66" s="4"/>
      <c r="K66" s="1"/>
      <c r="L66" s="1"/>
      <c r="M66" s="1"/>
      <c r="N66" s="1"/>
      <c r="O66" s="1"/>
      <c r="P66" s="1"/>
      <c r="Q66" s="1"/>
      <c r="R66" s="1"/>
      <c r="S66" s="1"/>
      <c r="T66" s="1"/>
      <c r="U66" s="1"/>
      <c r="V66" s="1"/>
      <c r="W66" s="1"/>
      <c r="X66" s="1"/>
      <c r="Y66" s="1"/>
      <c r="Z66" s="1"/>
      <c r="AA66" s="1"/>
      <c r="AB66" s="1"/>
      <c r="AC66" s="1"/>
      <c r="AD66" s="1"/>
      <c r="AE66" s="1"/>
      <c r="AF66" s="1"/>
      <c r="AG66" s="1"/>
      <c r="AH66" s="1"/>
    </row>
    <row r="67" spans="1:34" ht="15.75" customHeight="1">
      <c r="A67" s="1"/>
      <c r="B67" s="1"/>
      <c r="C67" s="1"/>
      <c r="D67" s="1"/>
      <c r="E67" s="1"/>
      <c r="F67" s="1"/>
      <c r="G67" s="1"/>
      <c r="H67" s="4"/>
      <c r="I67" s="4"/>
      <c r="J67" s="4"/>
      <c r="K67" s="1"/>
      <c r="L67" s="1"/>
      <c r="M67" s="1"/>
      <c r="N67" s="1"/>
      <c r="O67" s="1"/>
      <c r="P67" s="1"/>
      <c r="Q67" s="1"/>
      <c r="R67" s="1"/>
      <c r="S67" s="1"/>
      <c r="T67" s="1"/>
      <c r="U67" s="1"/>
      <c r="V67" s="1"/>
      <c r="W67" s="1"/>
      <c r="X67" s="1"/>
      <c r="Y67" s="1"/>
      <c r="Z67" s="1"/>
      <c r="AA67" s="1"/>
      <c r="AB67" s="1"/>
      <c r="AC67" s="1"/>
      <c r="AD67" s="1"/>
      <c r="AE67" s="1"/>
      <c r="AF67" s="1"/>
      <c r="AG67" s="1"/>
      <c r="AH67" s="1"/>
    </row>
    <row r="68" spans="1:34" ht="15.75" customHeight="1">
      <c r="A68" s="1"/>
      <c r="B68" s="1"/>
      <c r="C68" s="1"/>
      <c r="D68" s="1"/>
      <c r="E68" s="1"/>
      <c r="F68" s="1"/>
      <c r="G68" s="1"/>
      <c r="H68" s="4"/>
      <c r="I68" s="4"/>
      <c r="J68" s="4"/>
      <c r="K68" s="1"/>
      <c r="L68" s="1"/>
      <c r="M68" s="1"/>
      <c r="N68" s="1"/>
      <c r="O68" s="1"/>
      <c r="P68" s="1"/>
      <c r="Q68" s="1"/>
      <c r="R68" s="1"/>
      <c r="S68" s="1"/>
      <c r="T68" s="1"/>
      <c r="U68" s="1"/>
      <c r="V68" s="1"/>
      <c r="W68" s="1"/>
      <c r="X68" s="1"/>
      <c r="Y68" s="1"/>
      <c r="Z68" s="1"/>
      <c r="AA68" s="1"/>
      <c r="AB68" s="1"/>
      <c r="AC68" s="1"/>
      <c r="AD68" s="1"/>
      <c r="AE68" s="1"/>
      <c r="AF68" s="1"/>
      <c r="AG68" s="1"/>
      <c r="AH68" s="1"/>
    </row>
    <row r="69" spans="1:34" ht="15.75" customHeight="1">
      <c r="A69" s="1"/>
      <c r="B69" s="1"/>
      <c r="C69" s="1"/>
      <c r="D69" s="1"/>
      <c r="E69" s="1"/>
      <c r="F69" s="1"/>
      <c r="G69" s="1"/>
      <c r="H69" s="4"/>
      <c r="I69" s="4"/>
      <c r="J69" s="4"/>
      <c r="K69" s="1"/>
      <c r="L69" s="1"/>
      <c r="M69" s="1"/>
      <c r="N69" s="1"/>
      <c r="O69" s="1"/>
      <c r="P69" s="1"/>
      <c r="Q69" s="1"/>
      <c r="R69" s="1"/>
      <c r="S69" s="1"/>
      <c r="T69" s="1"/>
      <c r="U69" s="1"/>
      <c r="V69" s="1"/>
      <c r="W69" s="1"/>
      <c r="X69" s="1"/>
      <c r="Y69" s="1"/>
      <c r="Z69" s="1"/>
      <c r="AA69" s="1"/>
      <c r="AB69" s="1"/>
      <c r="AC69" s="1"/>
      <c r="AD69" s="1"/>
      <c r="AE69" s="1"/>
      <c r="AF69" s="1"/>
      <c r="AG69" s="1"/>
      <c r="AH69" s="1"/>
    </row>
    <row r="70" spans="1:34" ht="15.75" customHeight="1">
      <c r="A70" s="1"/>
      <c r="B70" s="1"/>
      <c r="C70" s="1"/>
      <c r="D70" s="1"/>
      <c r="E70" s="1"/>
      <c r="F70" s="1"/>
      <c r="G70" s="1"/>
      <c r="H70" s="4"/>
      <c r="I70" s="4"/>
      <c r="J70" s="4"/>
      <c r="K70" s="1"/>
      <c r="L70" s="1"/>
      <c r="M70" s="1"/>
      <c r="N70" s="1"/>
      <c r="O70" s="1"/>
      <c r="P70" s="1"/>
      <c r="Q70" s="1"/>
      <c r="R70" s="1"/>
      <c r="S70" s="1"/>
      <c r="T70" s="1"/>
      <c r="U70" s="1"/>
      <c r="V70" s="1"/>
      <c r="W70" s="1"/>
      <c r="X70" s="1"/>
      <c r="Y70" s="1"/>
      <c r="Z70" s="1"/>
      <c r="AA70" s="1"/>
      <c r="AB70" s="1"/>
      <c r="AC70" s="1"/>
      <c r="AD70" s="1"/>
      <c r="AE70" s="1"/>
      <c r="AF70" s="1"/>
      <c r="AG70" s="1"/>
      <c r="AH70" s="1"/>
    </row>
    <row r="71" spans="1:34" ht="15.75" customHeight="1">
      <c r="A71" s="1"/>
      <c r="B71" s="1"/>
      <c r="C71" s="1"/>
      <c r="D71" s="1"/>
      <c r="E71" s="1"/>
      <c r="F71" s="1"/>
      <c r="G71" s="1"/>
      <c r="H71" s="4"/>
      <c r="I71" s="4"/>
      <c r="J71" s="4"/>
      <c r="K71" s="1"/>
      <c r="L71" s="1"/>
      <c r="M71" s="1"/>
      <c r="N71" s="1"/>
      <c r="O71" s="1"/>
      <c r="P71" s="1"/>
      <c r="Q71" s="1"/>
      <c r="R71" s="1"/>
      <c r="S71" s="1"/>
      <c r="T71" s="1"/>
      <c r="U71" s="1"/>
      <c r="V71" s="1"/>
      <c r="W71" s="1"/>
      <c r="X71" s="1"/>
      <c r="Y71" s="1"/>
      <c r="Z71" s="1"/>
      <c r="AA71" s="1"/>
      <c r="AB71" s="1"/>
      <c r="AC71" s="1"/>
      <c r="AD71" s="1"/>
      <c r="AE71" s="1"/>
      <c r="AF71" s="1"/>
      <c r="AG71" s="1"/>
      <c r="AH71" s="1"/>
    </row>
    <row r="72" spans="1:34" ht="15.75" customHeight="1">
      <c r="A72" s="1"/>
      <c r="B72" s="1"/>
      <c r="C72" s="1"/>
      <c r="D72" s="1"/>
      <c r="E72" s="1"/>
      <c r="F72" s="1"/>
      <c r="G72" s="1"/>
      <c r="H72" s="4"/>
      <c r="I72" s="4"/>
      <c r="J72" s="4"/>
      <c r="K72" s="1"/>
      <c r="L72" s="1"/>
      <c r="M72" s="1"/>
      <c r="N72" s="1"/>
      <c r="O72" s="1"/>
      <c r="P72" s="1"/>
      <c r="Q72" s="1"/>
      <c r="R72" s="1"/>
      <c r="S72" s="1"/>
      <c r="T72" s="1"/>
      <c r="U72" s="1"/>
      <c r="V72" s="1"/>
      <c r="W72" s="1"/>
      <c r="X72" s="1"/>
      <c r="Y72" s="1"/>
      <c r="Z72" s="1"/>
      <c r="AA72" s="1"/>
      <c r="AB72" s="1"/>
      <c r="AC72" s="1"/>
      <c r="AD72" s="1"/>
      <c r="AE72" s="1"/>
      <c r="AF72" s="1"/>
      <c r="AG72" s="1"/>
      <c r="AH72" s="1"/>
    </row>
    <row r="73" spans="1:34" ht="15.75" customHeight="1">
      <c r="A73" s="1"/>
      <c r="B73" s="1"/>
      <c r="C73" s="1"/>
      <c r="D73" s="1"/>
      <c r="E73" s="1"/>
      <c r="F73" s="1"/>
      <c r="G73" s="1"/>
      <c r="H73" s="4"/>
      <c r="I73" s="4"/>
      <c r="J73" s="4"/>
      <c r="K73" s="1"/>
      <c r="L73" s="1"/>
      <c r="M73" s="1"/>
      <c r="N73" s="1"/>
      <c r="O73" s="1"/>
      <c r="P73" s="1"/>
      <c r="Q73" s="1"/>
      <c r="R73" s="1"/>
      <c r="S73" s="1"/>
      <c r="T73" s="1"/>
      <c r="U73" s="1"/>
      <c r="V73" s="1"/>
      <c r="W73" s="1"/>
      <c r="X73" s="1"/>
      <c r="Y73" s="1"/>
      <c r="Z73" s="1"/>
      <c r="AA73" s="1"/>
      <c r="AB73" s="1"/>
      <c r="AC73" s="1"/>
      <c r="AD73" s="1"/>
      <c r="AE73" s="1"/>
      <c r="AF73" s="1"/>
      <c r="AG73" s="1"/>
      <c r="AH73" s="1"/>
    </row>
    <row r="74" spans="1:34" ht="15.75" customHeight="1">
      <c r="A74" s="1"/>
      <c r="B74" s="1"/>
      <c r="C74" s="1"/>
      <c r="D74" s="1"/>
      <c r="E74" s="1"/>
      <c r="F74" s="1"/>
      <c r="G74" s="1"/>
      <c r="H74" s="4"/>
      <c r="I74" s="4"/>
      <c r="J74" s="4"/>
      <c r="K74" s="1"/>
      <c r="L74" s="1"/>
      <c r="M74" s="1"/>
      <c r="N74" s="1"/>
      <c r="O74" s="1"/>
      <c r="P74" s="1"/>
      <c r="Q74" s="1"/>
      <c r="R74" s="1"/>
      <c r="S74" s="1"/>
      <c r="T74" s="1"/>
      <c r="U74" s="1"/>
      <c r="V74" s="1"/>
      <c r="W74" s="1"/>
      <c r="X74" s="1"/>
      <c r="Y74" s="1"/>
      <c r="Z74" s="1"/>
      <c r="AA74" s="1"/>
      <c r="AB74" s="1"/>
      <c r="AC74" s="1"/>
      <c r="AD74" s="1"/>
      <c r="AE74" s="1"/>
      <c r="AF74" s="1"/>
      <c r="AG74" s="1"/>
      <c r="AH74" s="1"/>
    </row>
    <row r="75" spans="1:34" ht="15.75" customHeight="1">
      <c r="A75" s="1"/>
      <c r="B75" s="1"/>
      <c r="C75" s="1"/>
      <c r="D75" s="1"/>
      <c r="E75" s="1"/>
      <c r="F75" s="1"/>
      <c r="G75" s="1"/>
      <c r="H75" s="4"/>
      <c r="I75" s="4"/>
      <c r="J75" s="4"/>
      <c r="K75" s="1"/>
      <c r="L75" s="1"/>
      <c r="M75" s="1"/>
      <c r="N75" s="1"/>
      <c r="O75" s="1"/>
      <c r="P75" s="1"/>
      <c r="Q75" s="1"/>
      <c r="R75" s="1"/>
      <c r="S75" s="1"/>
      <c r="T75" s="1"/>
      <c r="U75" s="1"/>
      <c r="V75" s="1"/>
      <c r="W75" s="1"/>
      <c r="X75" s="1"/>
      <c r="Y75" s="1"/>
      <c r="Z75" s="1"/>
      <c r="AA75" s="1"/>
      <c r="AB75" s="1"/>
      <c r="AC75" s="1"/>
      <c r="AD75" s="1"/>
      <c r="AE75" s="1"/>
      <c r="AF75" s="1"/>
      <c r="AG75" s="1"/>
      <c r="AH75" s="1"/>
    </row>
    <row r="76" spans="1:34" ht="15.75" customHeight="1">
      <c r="A76" s="1"/>
      <c r="B76" s="1"/>
      <c r="C76" s="1"/>
      <c r="D76" s="1"/>
      <c r="E76" s="1"/>
      <c r="F76" s="1"/>
      <c r="G76" s="1"/>
      <c r="H76" s="4"/>
      <c r="I76" s="4"/>
      <c r="J76" s="4"/>
      <c r="K76" s="1"/>
      <c r="L76" s="1"/>
      <c r="M76" s="1"/>
      <c r="N76" s="1"/>
      <c r="O76" s="1"/>
      <c r="P76" s="1"/>
      <c r="Q76" s="1"/>
      <c r="R76" s="1"/>
      <c r="S76" s="1"/>
      <c r="T76" s="1"/>
      <c r="U76" s="1"/>
      <c r="V76" s="1"/>
      <c r="W76" s="1"/>
      <c r="X76" s="1"/>
      <c r="Y76" s="1"/>
      <c r="Z76" s="1"/>
      <c r="AA76" s="1"/>
      <c r="AB76" s="1"/>
      <c r="AC76" s="1"/>
      <c r="AD76" s="1"/>
      <c r="AE76" s="1"/>
      <c r="AF76" s="1"/>
      <c r="AG76" s="1"/>
      <c r="AH76" s="1"/>
    </row>
    <row r="77" spans="1:34" ht="15.75" customHeight="1">
      <c r="A77" s="1"/>
      <c r="B77" s="1"/>
      <c r="C77" s="1"/>
      <c r="D77" s="1"/>
      <c r="E77" s="1"/>
      <c r="F77" s="1"/>
      <c r="G77" s="1"/>
      <c r="H77" s="4"/>
      <c r="I77" s="4"/>
      <c r="J77" s="4"/>
      <c r="K77" s="1"/>
      <c r="L77" s="1"/>
      <c r="M77" s="1"/>
      <c r="N77" s="1"/>
      <c r="O77" s="1"/>
      <c r="P77" s="1"/>
      <c r="Q77" s="1"/>
      <c r="R77" s="1"/>
      <c r="S77" s="1"/>
      <c r="T77" s="1"/>
      <c r="U77" s="1"/>
      <c r="V77" s="1"/>
      <c r="W77" s="1"/>
      <c r="X77" s="1"/>
      <c r="Y77" s="1"/>
      <c r="Z77" s="1"/>
      <c r="AA77" s="1"/>
      <c r="AB77" s="1"/>
      <c r="AC77" s="1"/>
      <c r="AD77" s="1"/>
      <c r="AE77" s="1"/>
      <c r="AF77" s="1"/>
      <c r="AG77" s="1"/>
      <c r="AH77" s="1"/>
    </row>
    <row r="78" spans="1:34" ht="15.75" customHeight="1">
      <c r="A78" s="1"/>
      <c r="B78" s="1"/>
      <c r="C78" s="1"/>
      <c r="D78" s="1"/>
      <c r="E78" s="1"/>
      <c r="F78" s="1"/>
      <c r="G78" s="1"/>
      <c r="H78" s="4"/>
      <c r="I78" s="4"/>
      <c r="J78" s="4"/>
      <c r="K78" s="1"/>
      <c r="L78" s="1"/>
      <c r="M78" s="1"/>
      <c r="N78" s="1"/>
      <c r="O78" s="1"/>
      <c r="P78" s="1"/>
      <c r="Q78" s="1"/>
      <c r="R78" s="1"/>
      <c r="S78" s="1"/>
      <c r="T78" s="1"/>
      <c r="U78" s="1"/>
      <c r="V78" s="1"/>
      <c r="W78" s="1"/>
      <c r="X78" s="1"/>
      <c r="Y78" s="1"/>
      <c r="Z78" s="1"/>
      <c r="AA78" s="1"/>
      <c r="AB78" s="1"/>
      <c r="AC78" s="1"/>
      <c r="AD78" s="1"/>
      <c r="AE78" s="1"/>
      <c r="AF78" s="1"/>
      <c r="AG78" s="1"/>
      <c r="AH78" s="1"/>
    </row>
    <row r="79" spans="1:34" ht="15.75" customHeight="1">
      <c r="A79" s="1"/>
      <c r="B79" s="1"/>
      <c r="C79" s="1"/>
      <c r="D79" s="1"/>
      <c r="E79" s="1"/>
      <c r="F79" s="1"/>
      <c r="G79" s="1"/>
      <c r="H79" s="4"/>
      <c r="I79" s="4"/>
      <c r="J79" s="4"/>
      <c r="K79" s="1"/>
      <c r="L79" s="1"/>
      <c r="M79" s="1"/>
      <c r="N79" s="1"/>
      <c r="O79" s="1"/>
      <c r="P79" s="1"/>
      <c r="Q79" s="1"/>
      <c r="R79" s="1"/>
      <c r="S79" s="1"/>
      <c r="T79" s="1"/>
      <c r="U79" s="1"/>
      <c r="V79" s="1"/>
      <c r="W79" s="1"/>
      <c r="X79" s="1"/>
      <c r="Y79" s="1"/>
      <c r="Z79" s="1"/>
      <c r="AA79" s="1"/>
      <c r="AB79" s="1"/>
      <c r="AC79" s="1"/>
      <c r="AD79" s="1"/>
      <c r="AE79" s="1"/>
      <c r="AF79" s="1"/>
      <c r="AG79" s="1"/>
      <c r="AH79" s="1"/>
    </row>
    <row r="80" spans="1:34" ht="15.75" customHeight="1">
      <c r="A80" s="1"/>
      <c r="B80" s="1"/>
      <c r="C80" s="1"/>
      <c r="D80" s="1"/>
      <c r="E80" s="1"/>
      <c r="F80" s="1"/>
      <c r="G80" s="1"/>
      <c r="H80" s="4"/>
      <c r="I80" s="4"/>
      <c r="J80" s="4"/>
      <c r="K80" s="1"/>
      <c r="L80" s="1"/>
      <c r="M80" s="1"/>
      <c r="N80" s="1"/>
      <c r="O80" s="1"/>
      <c r="P80" s="1"/>
      <c r="Q80" s="1"/>
      <c r="R80" s="1"/>
      <c r="S80" s="1"/>
      <c r="T80" s="1"/>
      <c r="U80" s="1"/>
      <c r="V80" s="1"/>
      <c r="W80" s="1"/>
      <c r="X80" s="1"/>
      <c r="Y80" s="1"/>
      <c r="Z80" s="1"/>
      <c r="AA80" s="1"/>
      <c r="AB80" s="1"/>
      <c r="AC80" s="1"/>
      <c r="AD80" s="1"/>
      <c r="AE80" s="1"/>
      <c r="AF80" s="1"/>
      <c r="AG80" s="1"/>
      <c r="AH80" s="1"/>
    </row>
    <row r="81" spans="1:34" ht="15.75" customHeight="1">
      <c r="A81" s="1"/>
      <c r="B81" s="1"/>
      <c r="C81" s="1"/>
      <c r="D81" s="1"/>
      <c r="E81" s="1"/>
      <c r="F81" s="1"/>
      <c r="G81" s="1"/>
      <c r="H81" s="4"/>
      <c r="I81" s="4"/>
      <c r="J81" s="4"/>
      <c r="K81" s="1"/>
      <c r="L81" s="1"/>
      <c r="M81" s="1"/>
      <c r="N81" s="1"/>
      <c r="O81" s="1"/>
      <c r="P81" s="1"/>
      <c r="Q81" s="1"/>
      <c r="R81" s="1"/>
      <c r="S81" s="1"/>
      <c r="T81" s="1"/>
      <c r="U81" s="1"/>
      <c r="V81" s="1"/>
      <c r="W81" s="1"/>
      <c r="X81" s="1"/>
      <c r="Y81" s="1"/>
      <c r="Z81" s="1"/>
      <c r="AA81" s="1"/>
      <c r="AB81" s="1"/>
      <c r="AC81" s="1"/>
      <c r="AD81" s="1"/>
      <c r="AE81" s="1"/>
      <c r="AF81" s="1"/>
      <c r="AG81" s="1"/>
      <c r="AH81" s="1"/>
    </row>
    <row r="82" spans="1:34" ht="15.75" customHeight="1">
      <c r="A82" s="1"/>
      <c r="B82" s="1"/>
      <c r="C82" s="1"/>
      <c r="D82" s="1"/>
      <c r="E82" s="1"/>
      <c r="F82" s="1"/>
      <c r="G82" s="1"/>
      <c r="H82" s="4"/>
      <c r="I82" s="4"/>
      <c r="J82" s="4"/>
      <c r="K82" s="1"/>
      <c r="L82" s="1"/>
      <c r="M82" s="1"/>
      <c r="N82" s="1"/>
      <c r="O82" s="1"/>
      <c r="P82" s="1"/>
      <c r="Q82" s="1"/>
      <c r="R82" s="1"/>
      <c r="S82" s="1"/>
      <c r="T82" s="1"/>
      <c r="U82" s="1"/>
      <c r="V82" s="1"/>
      <c r="W82" s="1"/>
      <c r="X82" s="1"/>
      <c r="Y82" s="1"/>
      <c r="Z82" s="1"/>
      <c r="AA82" s="1"/>
      <c r="AB82" s="1"/>
      <c r="AC82" s="1"/>
      <c r="AD82" s="1"/>
      <c r="AE82" s="1"/>
      <c r="AF82" s="1"/>
      <c r="AG82" s="1"/>
      <c r="AH82" s="1"/>
    </row>
    <row r="83" spans="1:34" ht="15.75" customHeight="1">
      <c r="A83" s="1"/>
      <c r="B83" s="1"/>
      <c r="C83" s="1"/>
      <c r="D83" s="1"/>
      <c r="E83" s="1"/>
      <c r="F83" s="1"/>
      <c r="G83" s="1"/>
      <c r="H83" s="4"/>
      <c r="I83" s="4"/>
      <c r="J83" s="4"/>
      <c r="K83" s="1"/>
      <c r="L83" s="1"/>
      <c r="M83" s="1"/>
      <c r="N83" s="1"/>
      <c r="O83" s="1"/>
      <c r="P83" s="1"/>
      <c r="Q83" s="1"/>
      <c r="R83" s="1"/>
      <c r="S83" s="1"/>
      <c r="T83" s="1"/>
      <c r="U83" s="1"/>
      <c r="V83" s="1"/>
      <c r="W83" s="1"/>
      <c r="X83" s="1"/>
      <c r="Y83" s="1"/>
      <c r="Z83" s="1"/>
      <c r="AA83" s="1"/>
      <c r="AB83" s="1"/>
      <c r="AC83" s="1"/>
      <c r="AD83" s="1"/>
      <c r="AE83" s="1"/>
      <c r="AF83" s="1"/>
      <c r="AG83" s="1"/>
      <c r="AH83" s="1"/>
    </row>
    <row r="84" spans="1:34" ht="15.75" customHeight="1">
      <c r="A84" s="1"/>
      <c r="B84" s="1"/>
      <c r="C84" s="1"/>
      <c r="D84" s="1"/>
      <c r="E84" s="1"/>
      <c r="F84" s="1"/>
      <c r="G84" s="1"/>
      <c r="H84" s="4"/>
      <c r="I84" s="4"/>
      <c r="J84" s="4"/>
      <c r="K84" s="1"/>
      <c r="L84" s="1"/>
      <c r="M84" s="1"/>
      <c r="N84" s="1"/>
      <c r="O84" s="1"/>
      <c r="P84" s="1"/>
      <c r="Q84" s="1"/>
      <c r="R84" s="1"/>
      <c r="S84" s="1"/>
      <c r="T84" s="1"/>
      <c r="U84" s="1"/>
      <c r="V84" s="1"/>
      <c r="W84" s="1"/>
      <c r="X84" s="1"/>
      <c r="Y84" s="1"/>
      <c r="Z84" s="1"/>
      <c r="AA84" s="1"/>
      <c r="AB84" s="1"/>
      <c r="AC84" s="1"/>
      <c r="AD84" s="1"/>
      <c r="AE84" s="1"/>
      <c r="AF84" s="1"/>
      <c r="AG84" s="1"/>
      <c r="AH84" s="1"/>
    </row>
    <row r="85" spans="1:34" ht="15.75" customHeight="1">
      <c r="A85" s="1"/>
      <c r="B85" s="1"/>
      <c r="C85" s="1"/>
      <c r="D85" s="1"/>
      <c r="E85" s="1"/>
      <c r="F85" s="1"/>
      <c r="G85" s="1"/>
      <c r="H85" s="4"/>
      <c r="I85" s="4"/>
      <c r="J85" s="4"/>
      <c r="K85" s="1"/>
      <c r="L85" s="1"/>
      <c r="M85" s="1"/>
      <c r="N85" s="1"/>
      <c r="O85" s="1"/>
      <c r="P85" s="1"/>
      <c r="Q85" s="1"/>
      <c r="R85" s="1"/>
      <c r="S85" s="1"/>
      <c r="T85" s="1"/>
      <c r="U85" s="1"/>
      <c r="V85" s="1"/>
      <c r="W85" s="1"/>
      <c r="X85" s="1"/>
      <c r="Y85" s="1"/>
      <c r="Z85" s="1"/>
      <c r="AA85" s="1"/>
      <c r="AB85" s="1"/>
      <c r="AC85" s="1"/>
      <c r="AD85" s="1"/>
      <c r="AE85" s="1"/>
      <c r="AF85" s="1"/>
      <c r="AG85" s="1"/>
      <c r="AH85" s="1"/>
    </row>
    <row r="86" spans="1:34" ht="15.75" customHeight="1">
      <c r="A86" s="1"/>
      <c r="B86" s="1"/>
      <c r="C86" s="1"/>
      <c r="D86" s="1"/>
      <c r="E86" s="1"/>
      <c r="F86" s="1"/>
      <c r="G86" s="1"/>
      <c r="H86" s="4"/>
      <c r="I86" s="4"/>
      <c r="J86" s="4"/>
      <c r="K86" s="1"/>
      <c r="L86" s="1"/>
      <c r="M86" s="1"/>
      <c r="N86" s="1"/>
      <c r="O86" s="1"/>
      <c r="P86" s="1"/>
      <c r="Q86" s="1"/>
      <c r="R86" s="1"/>
      <c r="S86" s="1"/>
      <c r="T86" s="1"/>
      <c r="U86" s="1"/>
      <c r="V86" s="1"/>
      <c r="W86" s="1"/>
      <c r="X86" s="1"/>
      <c r="Y86" s="1"/>
      <c r="Z86" s="1"/>
      <c r="AA86" s="1"/>
      <c r="AB86" s="1"/>
      <c r="AC86" s="1"/>
      <c r="AD86" s="1"/>
      <c r="AE86" s="1"/>
      <c r="AF86" s="1"/>
      <c r="AG86" s="1"/>
      <c r="AH86" s="1"/>
    </row>
    <row r="87" spans="1:34" ht="15.75" customHeight="1">
      <c r="A87" s="1"/>
      <c r="B87" s="1"/>
      <c r="C87" s="1"/>
      <c r="D87" s="1"/>
      <c r="E87" s="1"/>
      <c r="F87" s="1"/>
      <c r="G87" s="1"/>
      <c r="H87" s="4"/>
      <c r="I87" s="4"/>
      <c r="J87" s="4"/>
      <c r="K87" s="1"/>
      <c r="L87" s="1"/>
      <c r="M87" s="1"/>
      <c r="N87" s="1"/>
      <c r="O87" s="1"/>
      <c r="P87" s="1"/>
      <c r="Q87" s="1"/>
      <c r="R87" s="1"/>
      <c r="S87" s="1"/>
      <c r="T87" s="1"/>
      <c r="U87" s="1"/>
      <c r="V87" s="1"/>
      <c r="W87" s="1"/>
      <c r="X87" s="1"/>
      <c r="Y87" s="1"/>
      <c r="Z87" s="1"/>
      <c r="AA87" s="1"/>
      <c r="AB87" s="1"/>
      <c r="AC87" s="1"/>
      <c r="AD87" s="1"/>
      <c r="AE87" s="1"/>
      <c r="AF87" s="1"/>
      <c r="AG87" s="1"/>
      <c r="AH87" s="1"/>
    </row>
    <row r="88" spans="1:34" ht="15.75" customHeight="1">
      <c r="A88" s="1"/>
      <c r="B88" s="1"/>
      <c r="C88" s="1"/>
      <c r="D88" s="1"/>
      <c r="E88" s="1"/>
      <c r="F88" s="1"/>
      <c r="G88" s="1"/>
      <c r="H88" s="4"/>
      <c r="I88" s="4"/>
      <c r="J88" s="4"/>
      <c r="K88" s="1"/>
      <c r="L88" s="1"/>
      <c r="M88" s="1"/>
      <c r="N88" s="1"/>
      <c r="O88" s="1"/>
      <c r="P88" s="1"/>
      <c r="Q88" s="1"/>
      <c r="R88" s="1"/>
      <c r="S88" s="1"/>
      <c r="T88" s="1"/>
      <c r="U88" s="1"/>
      <c r="V88" s="1"/>
      <c r="W88" s="1"/>
      <c r="X88" s="1"/>
      <c r="Y88" s="1"/>
      <c r="Z88" s="1"/>
      <c r="AA88" s="1"/>
      <c r="AB88" s="1"/>
      <c r="AC88" s="1"/>
      <c r="AD88" s="1"/>
      <c r="AE88" s="1"/>
      <c r="AF88" s="1"/>
      <c r="AG88" s="1"/>
      <c r="AH88" s="1"/>
    </row>
    <row r="89" spans="1:34" ht="15.75" customHeight="1">
      <c r="A89" s="1"/>
      <c r="B89" s="1"/>
      <c r="C89" s="1"/>
      <c r="D89" s="1"/>
      <c r="E89" s="1"/>
      <c r="F89" s="1"/>
      <c r="G89" s="1"/>
      <c r="H89" s="4"/>
      <c r="I89" s="4"/>
      <c r="J89" s="4"/>
      <c r="K89" s="1"/>
      <c r="L89" s="1"/>
      <c r="M89" s="1"/>
      <c r="N89" s="1"/>
      <c r="O89" s="1"/>
      <c r="P89" s="1"/>
      <c r="Q89" s="1"/>
      <c r="R89" s="1"/>
      <c r="S89" s="1"/>
      <c r="T89" s="1"/>
      <c r="U89" s="1"/>
      <c r="V89" s="1"/>
      <c r="W89" s="1"/>
      <c r="X89" s="1"/>
      <c r="Y89" s="1"/>
      <c r="Z89" s="1"/>
      <c r="AA89" s="1"/>
      <c r="AB89" s="1"/>
      <c r="AC89" s="1"/>
      <c r="AD89" s="1"/>
      <c r="AE89" s="1"/>
      <c r="AF89" s="1"/>
      <c r="AG89" s="1"/>
      <c r="AH89" s="1"/>
    </row>
    <row r="90" spans="1:34" ht="15.75" customHeight="1">
      <c r="A90" s="1"/>
      <c r="B90" s="1"/>
      <c r="C90" s="1"/>
      <c r="D90" s="1"/>
      <c r="E90" s="1"/>
      <c r="F90" s="1"/>
      <c r="G90" s="1"/>
      <c r="H90" s="4"/>
      <c r="I90" s="4"/>
      <c r="J90" s="4"/>
      <c r="K90" s="1"/>
      <c r="L90" s="1"/>
      <c r="M90" s="1"/>
      <c r="N90" s="1"/>
      <c r="O90" s="1"/>
      <c r="P90" s="1"/>
      <c r="Q90" s="1"/>
      <c r="R90" s="1"/>
      <c r="S90" s="1"/>
      <c r="T90" s="1"/>
      <c r="U90" s="1"/>
      <c r="V90" s="1"/>
      <c r="W90" s="1"/>
      <c r="X90" s="1"/>
      <c r="Y90" s="1"/>
      <c r="Z90" s="1"/>
      <c r="AA90" s="1"/>
      <c r="AB90" s="1"/>
      <c r="AC90" s="1"/>
      <c r="AD90" s="1"/>
      <c r="AE90" s="1"/>
      <c r="AF90" s="1"/>
      <c r="AG90" s="1"/>
      <c r="AH90" s="1"/>
    </row>
    <row r="91" spans="1:34" ht="15.75" customHeight="1">
      <c r="A91" s="1"/>
      <c r="B91" s="1"/>
      <c r="C91" s="1"/>
      <c r="D91" s="1"/>
      <c r="E91" s="1"/>
      <c r="F91" s="1"/>
      <c r="G91" s="1"/>
      <c r="H91" s="4"/>
      <c r="I91" s="4"/>
      <c r="J91" s="4"/>
      <c r="K91" s="1"/>
      <c r="L91" s="1"/>
      <c r="M91" s="1"/>
      <c r="N91" s="1"/>
      <c r="O91" s="1"/>
      <c r="P91" s="1"/>
      <c r="Q91" s="1"/>
      <c r="R91" s="1"/>
      <c r="S91" s="1"/>
      <c r="T91" s="1"/>
      <c r="U91" s="1"/>
      <c r="V91" s="1"/>
      <c r="W91" s="1"/>
      <c r="X91" s="1"/>
      <c r="Y91" s="1"/>
      <c r="Z91" s="1"/>
      <c r="AA91" s="1"/>
      <c r="AB91" s="1"/>
      <c r="AC91" s="1"/>
      <c r="AD91" s="1"/>
      <c r="AE91" s="1"/>
      <c r="AF91" s="1"/>
      <c r="AG91" s="1"/>
      <c r="AH91" s="1"/>
    </row>
    <row r="92" spans="1:34" ht="15.75" customHeight="1">
      <c r="A92" s="1"/>
      <c r="B92" s="1"/>
      <c r="C92" s="1"/>
      <c r="D92" s="1"/>
      <c r="E92" s="1"/>
      <c r="F92" s="1"/>
      <c r="G92" s="1"/>
      <c r="H92" s="4"/>
      <c r="I92" s="4"/>
      <c r="J92" s="4"/>
      <c r="K92" s="1"/>
      <c r="L92" s="1"/>
      <c r="M92" s="1"/>
      <c r="N92" s="1"/>
      <c r="O92" s="1"/>
      <c r="P92" s="1"/>
      <c r="Q92" s="1"/>
      <c r="R92" s="1"/>
      <c r="S92" s="1"/>
      <c r="T92" s="1"/>
      <c r="U92" s="1"/>
      <c r="V92" s="1"/>
      <c r="W92" s="1"/>
      <c r="X92" s="1"/>
      <c r="Y92" s="1"/>
      <c r="Z92" s="1"/>
      <c r="AA92" s="1"/>
      <c r="AB92" s="1"/>
      <c r="AC92" s="1"/>
      <c r="AD92" s="1"/>
      <c r="AE92" s="1"/>
      <c r="AF92" s="1"/>
      <c r="AG92" s="1"/>
      <c r="AH92" s="1"/>
    </row>
    <row r="93" spans="1:34" ht="15.75" customHeight="1">
      <c r="A93" s="1"/>
      <c r="B93" s="1"/>
      <c r="C93" s="1"/>
      <c r="D93" s="1"/>
      <c r="E93" s="1"/>
      <c r="F93" s="1"/>
      <c r="G93" s="1"/>
      <c r="H93" s="4"/>
      <c r="I93" s="4"/>
      <c r="J93" s="4"/>
      <c r="K93" s="1"/>
      <c r="L93" s="1"/>
      <c r="M93" s="1"/>
      <c r="N93" s="1"/>
      <c r="O93" s="1"/>
      <c r="P93" s="1"/>
      <c r="Q93" s="1"/>
      <c r="R93" s="1"/>
      <c r="S93" s="1"/>
      <c r="T93" s="1"/>
      <c r="U93" s="1"/>
      <c r="V93" s="1"/>
      <c r="W93" s="1"/>
      <c r="X93" s="1"/>
      <c r="Y93" s="1"/>
      <c r="Z93" s="1"/>
      <c r="AA93" s="1"/>
      <c r="AB93" s="1"/>
      <c r="AC93" s="1"/>
      <c r="AD93" s="1"/>
      <c r="AE93" s="1"/>
      <c r="AF93" s="1"/>
      <c r="AG93" s="1"/>
      <c r="AH93" s="1"/>
    </row>
    <row r="94" spans="1:34" ht="15.75" customHeight="1">
      <c r="A94" s="1"/>
      <c r="B94" s="1"/>
      <c r="C94" s="1"/>
      <c r="D94" s="1"/>
      <c r="E94" s="1"/>
      <c r="F94" s="1"/>
      <c r="G94" s="1"/>
      <c r="H94" s="4"/>
      <c r="I94" s="4"/>
      <c r="J94" s="4"/>
      <c r="K94" s="1"/>
      <c r="L94" s="1"/>
      <c r="M94" s="1"/>
      <c r="N94" s="1"/>
      <c r="O94" s="1"/>
      <c r="P94" s="1"/>
      <c r="Q94" s="1"/>
      <c r="R94" s="1"/>
      <c r="S94" s="1"/>
      <c r="T94" s="1"/>
      <c r="U94" s="1"/>
      <c r="V94" s="1"/>
      <c r="W94" s="1"/>
      <c r="X94" s="1"/>
      <c r="Y94" s="1"/>
      <c r="Z94" s="1"/>
      <c r="AA94" s="1"/>
      <c r="AB94" s="1"/>
      <c r="AC94" s="1"/>
      <c r="AD94" s="1"/>
      <c r="AE94" s="1"/>
      <c r="AF94" s="1"/>
      <c r="AG94" s="1"/>
      <c r="AH94" s="1"/>
    </row>
    <row r="95" spans="1:34" ht="15.75" customHeight="1">
      <c r="A95" s="1"/>
      <c r="B95" s="1"/>
      <c r="C95" s="1"/>
      <c r="D95" s="1"/>
      <c r="E95" s="1"/>
      <c r="F95" s="1"/>
      <c r="G95" s="1"/>
      <c r="H95" s="4"/>
      <c r="I95" s="4"/>
      <c r="J95" s="4"/>
      <c r="K95" s="1"/>
      <c r="L95" s="1"/>
      <c r="M95" s="1"/>
      <c r="N95" s="1"/>
      <c r="O95" s="1"/>
      <c r="P95" s="1"/>
      <c r="Q95" s="1"/>
      <c r="R95" s="1"/>
      <c r="S95" s="1"/>
      <c r="T95" s="1"/>
      <c r="U95" s="1"/>
      <c r="V95" s="1"/>
      <c r="W95" s="1"/>
      <c r="X95" s="1"/>
      <c r="Y95" s="1"/>
      <c r="Z95" s="1"/>
      <c r="AA95" s="1"/>
      <c r="AB95" s="1"/>
      <c r="AC95" s="1"/>
      <c r="AD95" s="1"/>
      <c r="AE95" s="1"/>
      <c r="AF95" s="1"/>
      <c r="AG95" s="1"/>
      <c r="AH95" s="1"/>
    </row>
    <row r="96" spans="1:34" ht="15.75" customHeight="1">
      <c r="A96" s="1"/>
      <c r="B96" s="1"/>
      <c r="C96" s="1"/>
      <c r="D96" s="1"/>
      <c r="E96" s="1"/>
      <c r="F96" s="1"/>
      <c r="G96" s="1"/>
      <c r="H96" s="4"/>
      <c r="I96" s="4"/>
      <c r="J96" s="4"/>
      <c r="K96" s="1"/>
      <c r="L96" s="1"/>
      <c r="M96" s="1"/>
      <c r="N96" s="1"/>
      <c r="O96" s="1"/>
      <c r="P96" s="1"/>
      <c r="Q96" s="1"/>
      <c r="R96" s="1"/>
      <c r="S96" s="1"/>
      <c r="T96" s="1"/>
      <c r="U96" s="1"/>
      <c r="V96" s="1"/>
      <c r="W96" s="1"/>
      <c r="X96" s="1"/>
      <c r="Y96" s="1"/>
      <c r="Z96" s="1"/>
      <c r="AA96" s="1"/>
      <c r="AB96" s="1"/>
      <c r="AC96" s="1"/>
      <c r="AD96" s="1"/>
      <c r="AE96" s="1"/>
      <c r="AF96" s="1"/>
      <c r="AG96" s="1"/>
      <c r="AH96" s="1"/>
    </row>
    <row r="97" spans="1:34" ht="15.75" customHeight="1">
      <c r="A97" s="1"/>
      <c r="B97" s="1"/>
      <c r="C97" s="1"/>
      <c r="D97" s="1"/>
      <c r="E97" s="1"/>
      <c r="F97" s="1"/>
      <c r="G97" s="1"/>
      <c r="H97" s="4"/>
      <c r="I97" s="4"/>
      <c r="J97" s="4"/>
      <c r="K97" s="1"/>
      <c r="L97" s="1"/>
      <c r="M97" s="1"/>
      <c r="N97" s="1"/>
      <c r="O97" s="1"/>
      <c r="P97" s="1"/>
      <c r="Q97" s="1"/>
      <c r="R97" s="1"/>
      <c r="S97" s="1"/>
      <c r="T97" s="1"/>
      <c r="U97" s="1"/>
      <c r="V97" s="1"/>
      <c r="W97" s="1"/>
      <c r="X97" s="1"/>
      <c r="Y97" s="1"/>
      <c r="Z97" s="1"/>
      <c r="AA97" s="1"/>
      <c r="AB97" s="1"/>
      <c r="AC97" s="1"/>
      <c r="AD97" s="1"/>
      <c r="AE97" s="1"/>
      <c r="AF97" s="1"/>
      <c r="AG97" s="1"/>
      <c r="AH97" s="1"/>
    </row>
    <row r="98" spans="1:34" ht="15.75" customHeight="1">
      <c r="A98" s="1"/>
      <c r="B98" s="1"/>
      <c r="C98" s="1"/>
      <c r="D98" s="1"/>
      <c r="E98" s="1"/>
      <c r="F98" s="1"/>
      <c r="G98" s="1"/>
      <c r="H98" s="4"/>
      <c r="I98" s="4"/>
      <c r="J98" s="4"/>
      <c r="K98" s="1"/>
      <c r="L98" s="1"/>
      <c r="M98" s="1"/>
      <c r="N98" s="1"/>
      <c r="O98" s="1"/>
      <c r="P98" s="1"/>
      <c r="Q98" s="1"/>
      <c r="R98" s="1"/>
      <c r="S98" s="1"/>
      <c r="T98" s="1"/>
      <c r="U98" s="1"/>
      <c r="V98" s="1"/>
      <c r="W98" s="1"/>
      <c r="X98" s="1"/>
      <c r="Y98" s="1"/>
      <c r="Z98" s="1"/>
      <c r="AA98" s="1"/>
      <c r="AB98" s="1"/>
      <c r="AC98" s="1"/>
      <c r="AD98" s="1"/>
      <c r="AE98" s="1"/>
      <c r="AF98" s="1"/>
      <c r="AG98" s="1"/>
      <c r="AH98" s="1"/>
    </row>
    <row r="99" spans="1:34" ht="15.75" customHeight="1">
      <c r="A99" s="1"/>
      <c r="B99" s="1"/>
      <c r="C99" s="1"/>
      <c r="D99" s="1"/>
      <c r="E99" s="1"/>
      <c r="F99" s="1"/>
      <c r="G99" s="1"/>
      <c r="H99" s="4"/>
      <c r="I99" s="4"/>
      <c r="J99" s="4"/>
      <c r="K99" s="1"/>
      <c r="L99" s="1"/>
      <c r="M99" s="1"/>
      <c r="N99" s="1"/>
      <c r="O99" s="1"/>
      <c r="P99" s="1"/>
      <c r="Q99" s="1"/>
      <c r="R99" s="1"/>
      <c r="S99" s="1"/>
      <c r="T99" s="1"/>
      <c r="U99" s="1"/>
      <c r="V99" s="1"/>
      <c r="W99" s="1"/>
      <c r="X99" s="1"/>
      <c r="Y99" s="1"/>
      <c r="Z99" s="1"/>
      <c r="AA99" s="1"/>
      <c r="AB99" s="1"/>
      <c r="AC99" s="1"/>
      <c r="AD99" s="1"/>
      <c r="AE99" s="1"/>
      <c r="AF99" s="1"/>
      <c r="AG99" s="1"/>
      <c r="AH99" s="1"/>
    </row>
    <row r="100" spans="1:34" ht="15.75" customHeight="1">
      <c r="A100" s="1"/>
      <c r="B100" s="1"/>
      <c r="C100" s="1"/>
      <c r="D100" s="1"/>
      <c r="E100" s="1"/>
      <c r="F100" s="1"/>
      <c r="G100" s="1"/>
      <c r="H100" s="4"/>
      <c r="I100" s="4"/>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customHeight="1">
      <c r="A101" s="1"/>
      <c r="B101" s="1"/>
      <c r="C101" s="1"/>
      <c r="D101" s="1"/>
      <c r="E101" s="1"/>
      <c r="F101" s="1"/>
      <c r="G101" s="1"/>
      <c r="H101" s="4"/>
      <c r="I101" s="4"/>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customHeight="1">
      <c r="A102" s="1"/>
      <c r="B102" s="1"/>
      <c r="C102" s="1"/>
      <c r="D102" s="1"/>
      <c r="E102" s="1"/>
      <c r="F102" s="1"/>
      <c r="G102" s="1"/>
      <c r="H102" s="4"/>
      <c r="I102" s="4"/>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customHeight="1">
      <c r="A103" s="1"/>
      <c r="B103" s="1"/>
      <c r="C103" s="1"/>
      <c r="D103" s="1"/>
      <c r="E103" s="1"/>
      <c r="F103" s="1"/>
      <c r="G103" s="1"/>
      <c r="H103" s="4"/>
      <c r="I103" s="4"/>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customHeight="1">
      <c r="A104" s="1"/>
      <c r="B104" s="1"/>
      <c r="C104" s="1"/>
      <c r="D104" s="1"/>
      <c r="E104" s="1"/>
      <c r="F104" s="1"/>
      <c r="G104" s="1"/>
      <c r="H104" s="4"/>
      <c r="I104" s="4"/>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customHeight="1">
      <c r="A105" s="1"/>
      <c r="B105" s="1"/>
      <c r="C105" s="1"/>
      <c r="D105" s="1"/>
      <c r="E105" s="1"/>
      <c r="F105" s="1"/>
      <c r="G105" s="1"/>
      <c r="H105" s="4"/>
      <c r="I105" s="4"/>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customHeight="1">
      <c r="A106" s="1"/>
      <c r="B106" s="1"/>
      <c r="C106" s="1"/>
      <c r="D106" s="1"/>
      <c r="E106" s="1"/>
      <c r="F106" s="1"/>
      <c r="G106" s="1"/>
      <c r="H106" s="4"/>
      <c r="I106" s="4"/>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customHeight="1">
      <c r="A107" s="1"/>
      <c r="B107" s="1"/>
      <c r="C107" s="1"/>
      <c r="D107" s="1"/>
      <c r="E107" s="1"/>
      <c r="F107" s="1"/>
      <c r="G107" s="1"/>
      <c r="H107" s="4"/>
      <c r="I107" s="4"/>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customHeight="1">
      <c r="A108" s="1"/>
      <c r="B108" s="1"/>
      <c r="C108" s="1"/>
      <c r="D108" s="1"/>
      <c r="E108" s="1"/>
      <c r="F108" s="1"/>
      <c r="G108" s="1"/>
      <c r="H108" s="4"/>
      <c r="I108" s="4"/>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customHeight="1">
      <c r="A109" s="1"/>
      <c r="B109" s="1"/>
      <c r="C109" s="1"/>
      <c r="D109" s="1"/>
      <c r="E109" s="1"/>
      <c r="F109" s="1"/>
      <c r="G109" s="1"/>
      <c r="H109" s="4"/>
      <c r="I109" s="4"/>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customHeight="1">
      <c r="A110" s="1"/>
      <c r="B110" s="1"/>
      <c r="C110" s="1"/>
      <c r="D110" s="1"/>
      <c r="E110" s="1"/>
      <c r="F110" s="1"/>
      <c r="G110" s="1"/>
      <c r="H110" s="4"/>
      <c r="I110" s="4"/>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customHeight="1">
      <c r="A111" s="1"/>
      <c r="B111" s="1"/>
      <c r="C111" s="1"/>
      <c r="D111" s="1"/>
      <c r="E111" s="1"/>
      <c r="F111" s="1"/>
      <c r="G111" s="1"/>
      <c r="H111" s="4"/>
      <c r="I111" s="4"/>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customHeight="1">
      <c r="A112" s="1"/>
      <c r="B112" s="1"/>
      <c r="C112" s="1"/>
      <c r="D112" s="1"/>
      <c r="E112" s="1"/>
      <c r="F112" s="1"/>
      <c r="G112" s="1"/>
      <c r="H112" s="4"/>
      <c r="I112" s="4"/>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customHeight="1">
      <c r="A113" s="1"/>
      <c r="B113" s="1"/>
      <c r="C113" s="1"/>
      <c r="D113" s="1"/>
      <c r="E113" s="1"/>
      <c r="F113" s="1"/>
      <c r="G113" s="1"/>
      <c r="H113" s="4"/>
      <c r="I113" s="4"/>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customHeight="1">
      <c r="A114" s="1"/>
      <c r="B114" s="1"/>
      <c r="C114" s="1"/>
      <c r="D114" s="1"/>
      <c r="E114" s="1"/>
      <c r="F114" s="1"/>
      <c r="G114" s="1"/>
      <c r="H114" s="4"/>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customHeight="1">
      <c r="A115" s="1"/>
      <c r="B115" s="1"/>
      <c r="C115" s="1"/>
      <c r="D115" s="1"/>
      <c r="E115" s="1"/>
      <c r="F115" s="1"/>
      <c r="G115" s="1"/>
      <c r="H115" s="4"/>
      <c r="I115" s="4"/>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customHeight="1">
      <c r="A116" s="1"/>
      <c r="B116" s="1"/>
      <c r="C116" s="1"/>
      <c r="D116" s="1"/>
      <c r="E116" s="1"/>
      <c r="F116" s="1"/>
      <c r="G116" s="1"/>
      <c r="H116" s="4"/>
      <c r="I116" s="4"/>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customHeight="1">
      <c r="A117" s="1"/>
      <c r="B117" s="1"/>
      <c r="C117" s="1"/>
      <c r="D117" s="1"/>
      <c r="E117" s="1"/>
      <c r="F117" s="1"/>
      <c r="G117" s="1"/>
      <c r="H117" s="4"/>
      <c r="I117" s="4"/>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customHeight="1">
      <c r="A118" s="1"/>
      <c r="B118" s="1"/>
      <c r="C118" s="1"/>
      <c r="D118" s="1"/>
      <c r="E118" s="1"/>
      <c r="F118" s="1"/>
      <c r="G118" s="1"/>
      <c r="H118" s="4"/>
      <c r="I118" s="4"/>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customHeight="1">
      <c r="A119" s="1"/>
      <c r="B119" s="1"/>
      <c r="C119" s="1"/>
      <c r="D119" s="1"/>
      <c r="E119" s="1"/>
      <c r="F119" s="1"/>
      <c r="G119" s="1"/>
      <c r="H119" s="4"/>
      <c r="I119" s="4"/>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customHeight="1">
      <c r="A120" s="1"/>
      <c r="B120" s="1"/>
      <c r="C120" s="1"/>
      <c r="D120" s="1"/>
      <c r="E120" s="1"/>
      <c r="F120" s="1"/>
      <c r="G120" s="1"/>
      <c r="H120" s="4"/>
      <c r="I120" s="4"/>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customHeight="1">
      <c r="A121" s="1"/>
      <c r="B121" s="1"/>
      <c r="C121" s="1"/>
      <c r="D121" s="1"/>
      <c r="E121" s="1"/>
      <c r="F121" s="1"/>
      <c r="G121" s="1"/>
      <c r="H121" s="4"/>
      <c r="I121" s="4"/>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customHeight="1">
      <c r="A122" s="1"/>
      <c r="B122" s="1"/>
      <c r="C122" s="1"/>
      <c r="D122" s="1"/>
      <c r="E122" s="1"/>
      <c r="F122" s="1"/>
      <c r="G122" s="1"/>
      <c r="H122" s="4"/>
      <c r="I122" s="4"/>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4"/>
      <c r="I123" s="4"/>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4"/>
      <c r="I124" s="4"/>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4"/>
      <c r="I125" s="4"/>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4"/>
      <c r="I126" s="4"/>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4"/>
      <c r="I127" s="4"/>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4"/>
      <c r="I128" s="4"/>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4"/>
      <c r="I129" s="4"/>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4"/>
      <c r="I130" s="4"/>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4"/>
      <c r="I131" s="4"/>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4"/>
      <c r="I132" s="4"/>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4"/>
      <c r="I133" s="4"/>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4"/>
      <c r="I134" s="4"/>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4"/>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4"/>
      <c r="I136" s="4"/>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4"/>
      <c r="I137" s="4"/>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4"/>
      <c r="I138" s="4"/>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4"/>
      <c r="I139" s="4"/>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4"/>
      <c r="I140" s="4"/>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4"/>
      <c r="I141" s="4"/>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4"/>
      <c r="I142" s="4"/>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4"/>
      <c r="I143" s="4"/>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4"/>
      <c r="I144" s="4"/>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4"/>
      <c r="I145" s="4"/>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4"/>
      <c r="I146" s="4"/>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4"/>
      <c r="I147" s="4"/>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4"/>
      <c r="I148" s="4"/>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4"/>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4"/>
      <c r="I150" s="4"/>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4"/>
      <c r="I151" s="4"/>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4"/>
      <c r="I152" s="4"/>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4"/>
      <c r="I153" s="4"/>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4"/>
      <c r="I154" s="4"/>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4"/>
      <c r="I155" s="4"/>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4"/>
      <c r="I156" s="4"/>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4"/>
      <c r="I157" s="4"/>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4"/>
      <c r="I158" s="4"/>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4"/>
      <c r="I159" s="4"/>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4"/>
      <c r="I160" s="4"/>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4"/>
      <c r="I161" s="4"/>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4"/>
      <c r="I162" s="4"/>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4"/>
      <c r="I163" s="4"/>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4"/>
      <c r="I164" s="4"/>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4"/>
      <c r="I165" s="4"/>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4"/>
      <c r="I166" s="4"/>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4"/>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C168" s="1"/>
      <c r="D168" s="1"/>
      <c r="E168" s="1"/>
      <c r="F168" s="1"/>
      <c r="G168" s="1"/>
      <c r="H168" s="4"/>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5.75" customHeight="1">
      <c r="A169" s="1"/>
      <c r="B169" s="1"/>
      <c r="C169" s="1"/>
      <c r="D169" s="1"/>
      <c r="E169" s="1"/>
      <c r="F169" s="1"/>
      <c r="G169" s="1"/>
      <c r="H169" s="4"/>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5.75" customHeight="1">
      <c r="A170" s="1"/>
      <c r="B170" s="1"/>
      <c r="C170" s="1"/>
      <c r="D170" s="1"/>
      <c r="E170" s="1"/>
      <c r="F170" s="1"/>
      <c r="G170" s="1"/>
      <c r="H170" s="4"/>
      <c r="I170" s="4"/>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5.75" customHeight="1">
      <c r="A171" s="1"/>
      <c r="B171" s="1"/>
      <c r="C171" s="1"/>
      <c r="D171" s="1"/>
      <c r="E171" s="1"/>
      <c r="F171" s="1"/>
      <c r="G171" s="1"/>
      <c r="H171" s="4"/>
      <c r="I171" s="4"/>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5.75" customHeight="1">
      <c r="A172" s="1"/>
      <c r="B172" s="1"/>
      <c r="C172" s="1"/>
      <c r="D172" s="1"/>
      <c r="E172" s="1"/>
      <c r="F172" s="1"/>
      <c r="G172" s="1"/>
      <c r="H172" s="4"/>
      <c r="I172" s="4"/>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5.75" customHeight="1">
      <c r="A173" s="1"/>
      <c r="B173" s="1"/>
      <c r="C173" s="1"/>
      <c r="D173" s="1"/>
      <c r="E173" s="1"/>
      <c r="F173" s="1"/>
      <c r="G173" s="1"/>
      <c r="H173" s="4"/>
      <c r="I173" s="4"/>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5.75" customHeight="1">
      <c r="A174" s="1"/>
      <c r="B174" s="1"/>
      <c r="C174" s="1"/>
      <c r="D174" s="1"/>
      <c r="E174" s="1"/>
      <c r="F174" s="1"/>
      <c r="G174" s="1"/>
      <c r="H174" s="4"/>
      <c r="I174" s="4"/>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5.75" customHeight="1">
      <c r="A175" s="1"/>
      <c r="B175" s="1"/>
      <c r="C175" s="1"/>
      <c r="D175" s="1"/>
      <c r="E175" s="1"/>
      <c r="F175" s="1"/>
      <c r="G175" s="1"/>
      <c r="H175" s="4"/>
      <c r="I175" s="4"/>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5.75" customHeight="1">
      <c r="A176" s="1"/>
      <c r="B176" s="1"/>
      <c r="C176" s="1"/>
      <c r="D176" s="1"/>
      <c r="E176" s="1"/>
      <c r="F176" s="1"/>
      <c r="G176" s="1"/>
      <c r="H176" s="4"/>
      <c r="I176" s="4"/>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5.75" customHeight="1">
      <c r="A177" s="1"/>
      <c r="B177" s="1"/>
      <c r="C177" s="1"/>
      <c r="D177" s="1"/>
      <c r="E177" s="1"/>
      <c r="F177" s="1"/>
      <c r="G177" s="1"/>
      <c r="H177" s="4"/>
      <c r="I177" s="4"/>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5.75" customHeight="1">
      <c r="A178" s="1"/>
      <c r="B178" s="1"/>
      <c r="C178" s="1"/>
      <c r="D178" s="1"/>
      <c r="E178" s="1"/>
      <c r="F178" s="1"/>
      <c r="G178" s="1"/>
      <c r="H178" s="4"/>
      <c r="I178" s="4"/>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5.75" customHeight="1">
      <c r="A179" s="1"/>
      <c r="B179" s="1"/>
      <c r="C179" s="1"/>
      <c r="D179" s="1"/>
      <c r="E179" s="1"/>
      <c r="F179" s="1"/>
      <c r="G179" s="1"/>
      <c r="H179" s="4"/>
      <c r="I179" s="4"/>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5.75" customHeight="1">
      <c r="A180" s="1"/>
      <c r="B180" s="1"/>
      <c r="C180" s="1"/>
      <c r="D180" s="1"/>
      <c r="E180" s="1"/>
      <c r="F180" s="1"/>
      <c r="G180" s="1"/>
      <c r="H180" s="4"/>
      <c r="I180" s="4"/>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5.75" customHeight="1">
      <c r="A181" s="1"/>
      <c r="B181" s="1"/>
      <c r="C181" s="1"/>
      <c r="D181" s="1"/>
      <c r="E181" s="1"/>
      <c r="F181" s="1"/>
      <c r="G181" s="1"/>
      <c r="H181" s="4"/>
      <c r="I181" s="4"/>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5.75" customHeight="1">
      <c r="A182" s="1"/>
      <c r="B182" s="1"/>
      <c r="C182" s="1"/>
      <c r="D182" s="1"/>
      <c r="E182" s="1"/>
      <c r="F182" s="1"/>
      <c r="G182" s="1"/>
      <c r="H182" s="4"/>
      <c r="I182" s="4"/>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5.75" customHeight="1">
      <c r="A183" s="1"/>
      <c r="B183" s="1"/>
      <c r="C183" s="1"/>
      <c r="D183" s="1"/>
      <c r="E183" s="1"/>
      <c r="F183" s="1"/>
      <c r="G183" s="1"/>
      <c r="H183" s="4"/>
      <c r="I183" s="4"/>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5.75" customHeight="1">
      <c r="A184" s="1"/>
      <c r="B184" s="1"/>
      <c r="C184" s="1"/>
      <c r="D184" s="1"/>
      <c r="E184" s="1"/>
      <c r="F184" s="1"/>
      <c r="G184" s="1"/>
      <c r="H184" s="4"/>
      <c r="I184" s="4"/>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5.75" customHeight="1">
      <c r="A185" s="1"/>
      <c r="B185" s="1"/>
      <c r="C185" s="1"/>
      <c r="D185" s="1"/>
      <c r="E185" s="1"/>
      <c r="F185" s="1"/>
      <c r="G185" s="1"/>
      <c r="H185" s="4"/>
      <c r="I185" s="4"/>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5.75" customHeight="1">
      <c r="A186" s="1"/>
      <c r="B186" s="1"/>
      <c r="C186" s="1"/>
      <c r="D186" s="1"/>
      <c r="E186" s="1"/>
      <c r="F186" s="1"/>
      <c r="G186" s="1"/>
      <c r="H186" s="4"/>
      <c r="I186" s="4"/>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5.75" customHeight="1">
      <c r="A187" s="1"/>
      <c r="B187" s="1"/>
      <c r="C187" s="1"/>
      <c r="D187" s="1"/>
      <c r="E187" s="1"/>
      <c r="F187" s="1"/>
      <c r="G187" s="1"/>
      <c r="H187" s="4"/>
      <c r="I187" s="4"/>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5.75" customHeight="1">
      <c r="A188" s="1"/>
      <c r="B188" s="1"/>
      <c r="C188" s="1"/>
      <c r="D188" s="1"/>
      <c r="E188" s="1"/>
      <c r="F188" s="1"/>
      <c r="G188" s="1"/>
      <c r="H188" s="4"/>
      <c r="I188" s="4"/>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5.75" customHeight="1">
      <c r="A189" s="1"/>
      <c r="B189" s="1"/>
      <c r="C189" s="1"/>
      <c r="D189" s="1"/>
      <c r="E189" s="1"/>
      <c r="F189" s="1"/>
      <c r="G189" s="1"/>
      <c r="H189" s="4"/>
      <c r="I189" s="4"/>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5.75" customHeight="1">
      <c r="A190" s="1"/>
      <c r="B190" s="1"/>
      <c r="C190" s="1"/>
      <c r="D190" s="1"/>
      <c r="E190" s="1"/>
      <c r="F190" s="1"/>
      <c r="G190" s="1"/>
      <c r="H190" s="4"/>
      <c r="I190" s="4"/>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5.75" customHeight="1">
      <c r="A191" s="1"/>
      <c r="B191" s="1"/>
      <c r="C191" s="1"/>
      <c r="D191" s="1"/>
      <c r="E191" s="1"/>
      <c r="F191" s="1"/>
      <c r="G191" s="1"/>
      <c r="H191" s="4"/>
      <c r="I191" s="4"/>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5.75" customHeight="1">
      <c r="A192" s="1"/>
      <c r="B192" s="1"/>
      <c r="C192" s="1"/>
      <c r="D192" s="1"/>
      <c r="E192" s="1"/>
      <c r="F192" s="1"/>
      <c r="G192" s="1"/>
      <c r="H192" s="4"/>
      <c r="I192" s="4"/>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5.75" customHeight="1">
      <c r="A193" s="1"/>
      <c r="B193" s="1"/>
      <c r="C193" s="1"/>
      <c r="D193" s="1"/>
      <c r="E193" s="1"/>
      <c r="F193" s="1"/>
      <c r="G193" s="1"/>
      <c r="H193" s="4"/>
      <c r="I193" s="4"/>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5.75" customHeight="1">
      <c r="A194" s="1"/>
      <c r="B194" s="1"/>
      <c r="C194" s="1"/>
      <c r="D194" s="1"/>
      <c r="E194" s="1"/>
      <c r="F194" s="1"/>
      <c r="G194" s="1"/>
      <c r="H194" s="4"/>
      <c r="I194" s="4"/>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5.75" customHeight="1">
      <c r="A195" s="1"/>
      <c r="B195" s="1"/>
      <c r="C195" s="1"/>
      <c r="D195" s="1"/>
      <c r="E195" s="1"/>
      <c r="F195" s="1"/>
      <c r="G195" s="1"/>
      <c r="H195" s="4"/>
      <c r="I195" s="4"/>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5.75" customHeight="1">
      <c r="A196" s="1"/>
      <c r="B196" s="1"/>
      <c r="C196" s="1"/>
      <c r="D196" s="1"/>
      <c r="E196" s="1"/>
      <c r="F196" s="1"/>
      <c r="G196" s="1"/>
      <c r="H196" s="4"/>
      <c r="I196" s="4"/>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5.75" customHeight="1">
      <c r="A197" s="1"/>
      <c r="B197" s="1"/>
      <c r="C197" s="1"/>
      <c r="D197" s="1"/>
      <c r="E197" s="1"/>
      <c r="F197" s="1"/>
      <c r="G197" s="1"/>
      <c r="H197" s="4"/>
      <c r="I197" s="4"/>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5.75" customHeight="1">
      <c r="A198" s="1"/>
      <c r="B198" s="1"/>
      <c r="C198" s="1"/>
      <c r="D198" s="1"/>
      <c r="E198" s="1"/>
      <c r="F198" s="1"/>
      <c r="G198" s="1"/>
      <c r="H198" s="4"/>
      <c r="I198" s="4"/>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5.75" customHeight="1">
      <c r="A199" s="1"/>
      <c r="B199" s="1"/>
      <c r="C199" s="1"/>
      <c r="D199" s="1"/>
      <c r="E199" s="1"/>
      <c r="F199" s="1"/>
      <c r="G199" s="1"/>
      <c r="H199" s="4"/>
      <c r="I199" s="4"/>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5.75" customHeight="1">
      <c r="A200" s="1"/>
      <c r="B200" s="1"/>
      <c r="C200" s="1"/>
      <c r="D200" s="1"/>
      <c r="E200" s="1"/>
      <c r="F200" s="1"/>
      <c r="G200" s="1"/>
      <c r="H200" s="4"/>
      <c r="I200" s="4"/>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5.75" customHeight="1">
      <c r="A201" s="1"/>
      <c r="B201" s="1"/>
      <c r="C201" s="1"/>
      <c r="D201" s="1"/>
      <c r="E201" s="1"/>
      <c r="F201" s="1"/>
      <c r="G201" s="1"/>
      <c r="H201" s="4"/>
      <c r="I201" s="4"/>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5.75" customHeight="1">
      <c r="A202" s="1"/>
      <c r="B202" s="1"/>
      <c r="C202" s="1"/>
      <c r="D202" s="1"/>
      <c r="E202" s="1"/>
      <c r="F202" s="1"/>
      <c r="G202" s="1"/>
      <c r="H202" s="4"/>
      <c r="I202" s="4"/>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5.75" customHeight="1">
      <c r="A203" s="1"/>
      <c r="B203" s="1"/>
      <c r="C203" s="1"/>
      <c r="D203" s="1"/>
      <c r="E203" s="1"/>
      <c r="F203" s="1"/>
      <c r="G203" s="1"/>
      <c r="H203" s="4"/>
      <c r="I203" s="4"/>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5.75" customHeight="1">
      <c r="A204" s="1"/>
      <c r="B204" s="1"/>
      <c r="C204" s="1"/>
      <c r="D204" s="1"/>
      <c r="E204" s="1"/>
      <c r="F204" s="1"/>
      <c r="G204" s="1"/>
      <c r="H204" s="4"/>
      <c r="I204" s="4"/>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5.75" customHeight="1">
      <c r="A205" s="1"/>
      <c r="B205" s="1"/>
      <c r="C205" s="1"/>
      <c r="D205" s="1"/>
      <c r="E205" s="1"/>
      <c r="F205" s="1"/>
      <c r="G205" s="1"/>
      <c r="H205" s="4"/>
      <c r="I205" s="4"/>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5.75" customHeight="1">
      <c r="A206" s="1"/>
      <c r="B206" s="1"/>
      <c r="C206" s="1"/>
      <c r="D206" s="1"/>
      <c r="E206" s="1"/>
      <c r="F206" s="1"/>
      <c r="G206" s="1"/>
      <c r="H206" s="4"/>
      <c r="I206" s="4"/>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5.75" customHeight="1">
      <c r="A207" s="1"/>
      <c r="B207" s="1"/>
      <c r="C207" s="1"/>
      <c r="D207" s="1"/>
      <c r="E207" s="1"/>
      <c r="F207" s="1"/>
      <c r="G207" s="1"/>
      <c r="H207" s="4"/>
      <c r="I207" s="4"/>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5.75" customHeight="1">
      <c r="A208" s="1"/>
      <c r="B208" s="1"/>
      <c r="C208" s="1"/>
      <c r="D208" s="1"/>
      <c r="E208" s="1"/>
      <c r="F208" s="1"/>
      <c r="G208" s="1"/>
      <c r="H208" s="4"/>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5.75" customHeight="1">
      <c r="A209" s="1"/>
      <c r="B209" s="1"/>
      <c r="C209" s="1"/>
      <c r="D209" s="1"/>
      <c r="E209" s="1"/>
      <c r="F209" s="1"/>
      <c r="G209" s="1"/>
      <c r="H209" s="4"/>
      <c r="I209" s="4"/>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5.75" customHeight="1">
      <c r="A210" s="1"/>
      <c r="B210" s="1"/>
      <c r="C210" s="1"/>
      <c r="D210" s="1"/>
      <c r="E210" s="1"/>
      <c r="F210" s="1"/>
      <c r="G210" s="1"/>
      <c r="H210" s="4"/>
      <c r="I210" s="4"/>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5.75" customHeight="1">
      <c r="A211" s="1"/>
      <c r="B211" s="1"/>
      <c r="C211" s="1"/>
      <c r="D211" s="1"/>
      <c r="E211" s="1"/>
      <c r="F211" s="1"/>
      <c r="G211" s="1"/>
      <c r="H211" s="4"/>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5.75" customHeight="1">
      <c r="A212" s="1"/>
      <c r="B212" s="1"/>
      <c r="C212" s="1"/>
      <c r="D212" s="1"/>
      <c r="E212" s="1"/>
      <c r="F212" s="1"/>
      <c r="G212" s="1"/>
      <c r="H212" s="4"/>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5.75" customHeight="1">
      <c r="A213" s="1"/>
      <c r="B213" s="1"/>
      <c r="C213" s="1"/>
      <c r="D213" s="1"/>
      <c r="E213" s="1"/>
      <c r="F213" s="1"/>
      <c r="G213" s="1"/>
      <c r="H213" s="4"/>
      <c r="I213" s="4"/>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5.75" customHeight="1">
      <c r="A214" s="1"/>
      <c r="B214" s="1"/>
      <c r="C214" s="1"/>
      <c r="D214" s="1"/>
      <c r="E214" s="1"/>
      <c r="F214" s="1"/>
      <c r="G214" s="1"/>
      <c r="H214" s="4"/>
      <c r="I214" s="4"/>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5.75" customHeight="1">
      <c r="A215" s="1"/>
      <c r="B215" s="1"/>
      <c r="C215" s="1"/>
      <c r="D215" s="1"/>
      <c r="E215" s="1"/>
      <c r="F215" s="1"/>
      <c r="G215" s="1"/>
      <c r="H215" s="4"/>
      <c r="I215" s="4"/>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5.75" customHeight="1">
      <c r="A216" s="1"/>
      <c r="B216" s="1"/>
      <c r="C216" s="1"/>
      <c r="D216" s="1"/>
      <c r="E216" s="1"/>
      <c r="F216" s="1"/>
      <c r="G216" s="1"/>
      <c r="H216" s="4"/>
      <c r="I216" s="4"/>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5.75" customHeight="1">
      <c r="A217" s="1"/>
      <c r="B217" s="1"/>
      <c r="C217" s="1"/>
      <c r="D217" s="1"/>
      <c r="E217" s="1"/>
      <c r="F217" s="1"/>
      <c r="G217" s="1"/>
      <c r="H217" s="4"/>
      <c r="I217" s="4"/>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5.75" customHeight="1">
      <c r="A218" s="1"/>
      <c r="B218" s="1"/>
      <c r="C218" s="1"/>
      <c r="D218" s="1"/>
      <c r="E218" s="1"/>
      <c r="F218" s="1"/>
      <c r="G218" s="1"/>
      <c r="H218" s="4"/>
      <c r="I218" s="4"/>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5.75" customHeight="1">
      <c r="A219" s="1"/>
      <c r="B219" s="1"/>
      <c r="C219" s="1"/>
      <c r="D219" s="1"/>
      <c r="E219" s="1"/>
      <c r="F219" s="1"/>
      <c r="G219" s="1"/>
      <c r="H219" s="4"/>
      <c r="I219" s="4"/>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5.75" customHeight="1">
      <c r="A220" s="1"/>
      <c r="B220" s="1"/>
      <c r="C220" s="1"/>
      <c r="D220" s="1"/>
      <c r="E220" s="1"/>
      <c r="F220" s="1"/>
      <c r="G220" s="1"/>
      <c r="H220" s="4"/>
      <c r="I220" s="4"/>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5.75" customHeight="1">
      <c r="A221" s="1"/>
      <c r="B221" s="1"/>
      <c r="C221" s="1"/>
      <c r="D221" s="1"/>
      <c r="E221" s="1"/>
      <c r="F221" s="1"/>
      <c r="G221" s="1"/>
      <c r="H221" s="4"/>
      <c r="I221" s="4"/>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5.75" customHeight="1">
      <c r="A222" s="1"/>
      <c r="B222" s="1"/>
      <c r="C222" s="1"/>
      <c r="D222" s="1"/>
      <c r="E222" s="1"/>
      <c r="F222" s="1"/>
      <c r="G222" s="1"/>
      <c r="H222" s="4"/>
      <c r="I222" s="4"/>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5.75" customHeight="1">
      <c r="A223" s="1"/>
      <c r="B223" s="1"/>
      <c r="C223" s="1"/>
      <c r="D223" s="1"/>
      <c r="E223" s="1"/>
      <c r="F223" s="1"/>
      <c r="G223" s="1"/>
      <c r="H223" s="4"/>
      <c r="I223" s="4"/>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5.75" customHeight="1">
      <c r="A224" s="1"/>
      <c r="B224" s="1"/>
      <c r="C224" s="1"/>
      <c r="D224" s="1"/>
      <c r="E224" s="1"/>
      <c r="F224" s="1"/>
      <c r="G224" s="1"/>
      <c r="H224" s="4"/>
      <c r="I224" s="4"/>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5.75" customHeight="1">
      <c r="A225" s="1"/>
      <c r="B225" s="1"/>
      <c r="C225" s="1"/>
      <c r="D225" s="1"/>
      <c r="E225" s="1"/>
      <c r="F225" s="1"/>
      <c r="G225" s="1"/>
      <c r="H225" s="4"/>
      <c r="I225" s="4"/>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5.75" customHeight="1">
      <c r="A226" s="1"/>
      <c r="B226" s="1"/>
      <c r="C226" s="1"/>
      <c r="D226" s="1"/>
      <c r="E226" s="1"/>
      <c r="F226" s="1"/>
      <c r="G226" s="1"/>
      <c r="H226" s="4"/>
      <c r="I226" s="4"/>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5.75" customHeight="1">
      <c r="A227" s="1"/>
      <c r="B227" s="1"/>
      <c r="C227" s="1"/>
      <c r="D227" s="1"/>
      <c r="E227" s="1"/>
      <c r="F227" s="1"/>
      <c r="G227" s="1"/>
      <c r="H227" s="4"/>
      <c r="I227" s="4"/>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5.75" customHeight="1">
      <c r="A228" s="1"/>
      <c r="B228" s="1"/>
      <c r="C228" s="1"/>
      <c r="D228" s="1"/>
      <c r="E228" s="1"/>
      <c r="F228" s="1"/>
      <c r="G228" s="1"/>
      <c r="H228" s="4"/>
      <c r="I228" s="4"/>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5.75" customHeight="1">
      <c r="A229" s="1"/>
      <c r="B229" s="1"/>
      <c r="C229" s="1"/>
      <c r="D229" s="1"/>
      <c r="E229" s="1"/>
      <c r="F229" s="1"/>
      <c r="G229" s="1"/>
      <c r="H229" s="4"/>
      <c r="I229" s="4"/>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5.75" customHeight="1">
      <c r="A230" s="1"/>
      <c r="B230" s="1"/>
      <c r="C230" s="1"/>
      <c r="D230" s="1"/>
      <c r="E230" s="1"/>
      <c r="F230" s="1"/>
      <c r="G230" s="1"/>
      <c r="H230" s="4"/>
      <c r="I230" s="4"/>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5.75" customHeight="1">
      <c r="A231" s="1"/>
      <c r="B231" s="1"/>
      <c r="C231" s="1"/>
      <c r="D231" s="1"/>
      <c r="E231" s="1"/>
      <c r="F231" s="1"/>
      <c r="G231" s="1"/>
      <c r="H231" s="4"/>
      <c r="I231" s="4"/>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5.75" customHeight="1">
      <c r="A232" s="1"/>
      <c r="B232" s="1"/>
      <c r="C232" s="1"/>
      <c r="D232" s="1"/>
      <c r="E232" s="1"/>
      <c r="F232" s="1"/>
      <c r="G232" s="1"/>
      <c r="H232" s="4"/>
      <c r="I232" s="4"/>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5.75" customHeight="1">
      <c r="A233" s="1"/>
      <c r="B233" s="1"/>
      <c r="C233" s="1"/>
      <c r="D233" s="1"/>
      <c r="E233" s="1"/>
      <c r="F233" s="1"/>
      <c r="G233" s="1"/>
      <c r="H233" s="4"/>
      <c r="I233" s="4"/>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5.75" customHeight="1">
      <c r="A234" s="1"/>
      <c r="B234" s="1"/>
      <c r="C234" s="1"/>
      <c r="D234" s="1"/>
      <c r="E234" s="1"/>
      <c r="F234" s="1"/>
      <c r="G234" s="1"/>
      <c r="H234" s="4"/>
      <c r="I234" s="4"/>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5.75" customHeight="1">
      <c r="A235" s="1"/>
      <c r="B235" s="1"/>
      <c r="C235" s="1"/>
      <c r="D235" s="1"/>
      <c r="E235" s="1"/>
      <c r="F235" s="1"/>
      <c r="G235" s="1"/>
      <c r="H235" s="4"/>
      <c r="I235" s="4"/>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5.75" customHeight="1">
      <c r="A236" s="1"/>
      <c r="B236" s="1"/>
      <c r="C236" s="1"/>
      <c r="D236" s="1"/>
      <c r="E236" s="1"/>
      <c r="F236" s="1"/>
      <c r="G236" s="1"/>
      <c r="H236" s="4"/>
      <c r="I236" s="4"/>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5.75" customHeight="1">
      <c r="A237" s="1"/>
      <c r="B237" s="1"/>
      <c r="C237" s="1"/>
      <c r="D237" s="1"/>
      <c r="E237" s="1"/>
      <c r="F237" s="1"/>
      <c r="G237" s="1"/>
      <c r="H237" s="4"/>
      <c r="I237" s="4"/>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5.75" customHeight="1">
      <c r="A238" s="1"/>
      <c r="B238" s="1"/>
      <c r="C238" s="1"/>
      <c r="D238" s="1"/>
      <c r="E238" s="1"/>
      <c r="F238" s="1"/>
      <c r="G238" s="1"/>
      <c r="H238" s="4"/>
      <c r="I238" s="4"/>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5.75" customHeight="1">
      <c r="A239" s="1"/>
      <c r="B239" s="1"/>
      <c r="C239" s="1"/>
      <c r="D239" s="1"/>
      <c r="E239" s="1"/>
      <c r="F239" s="1"/>
      <c r="G239" s="1"/>
      <c r="H239" s="4"/>
      <c r="I239" s="4"/>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5.75" customHeight="1">
      <c r="A240" s="1"/>
      <c r="B240" s="1"/>
      <c r="C240" s="1"/>
      <c r="D240" s="1"/>
      <c r="E240" s="1"/>
      <c r="F240" s="1"/>
      <c r="G240" s="1"/>
      <c r="H240" s="4"/>
      <c r="I240" s="4"/>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5.75" customHeight="1">
      <c r="A241" s="1"/>
      <c r="B241" s="1"/>
      <c r="C241" s="1"/>
      <c r="D241" s="1"/>
      <c r="E241" s="1"/>
      <c r="F241" s="1"/>
      <c r="G241" s="1"/>
      <c r="H241" s="4"/>
      <c r="I241" s="4"/>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5.75" customHeight="1">
      <c r="A242" s="1"/>
      <c r="B242" s="1"/>
      <c r="C242" s="1"/>
      <c r="D242" s="1"/>
      <c r="E242" s="1"/>
      <c r="F242" s="1"/>
      <c r="G242" s="1"/>
      <c r="H242" s="4"/>
      <c r="I242" s="4"/>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5.75" customHeight="1">
      <c r="A243" s="1"/>
      <c r="B243" s="1"/>
      <c r="C243" s="1"/>
      <c r="D243" s="1"/>
      <c r="E243" s="1"/>
      <c r="F243" s="1"/>
      <c r="G243" s="1"/>
      <c r="H243" s="4"/>
      <c r="I243" s="4"/>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5.75" customHeight="1">
      <c r="A244" s="1"/>
      <c r="B244" s="1"/>
      <c r="C244" s="1"/>
      <c r="D244" s="1"/>
      <c r="E244" s="1"/>
      <c r="F244" s="1"/>
      <c r="G244" s="1"/>
      <c r="H244" s="4"/>
      <c r="I244" s="4"/>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5.75" customHeight="1">
      <c r="A245" s="1"/>
      <c r="B245" s="1"/>
      <c r="C245" s="1"/>
      <c r="D245" s="1"/>
      <c r="E245" s="1"/>
      <c r="F245" s="1"/>
      <c r="G245" s="1"/>
      <c r="H245" s="4"/>
      <c r="I245" s="4"/>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5.75" customHeight="1">
      <c r="A246" s="1"/>
      <c r="B246" s="1"/>
      <c r="C246" s="1"/>
      <c r="D246" s="1"/>
      <c r="E246" s="1"/>
      <c r="F246" s="1"/>
      <c r="G246" s="1"/>
      <c r="H246" s="4"/>
      <c r="I246" s="4"/>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5.75" customHeight="1">
      <c r="A247" s="1"/>
      <c r="B247" s="1"/>
      <c r="C247" s="1"/>
      <c r="D247" s="1"/>
      <c r="E247" s="1"/>
      <c r="F247" s="1"/>
      <c r="G247" s="1"/>
      <c r="H247" s="4"/>
      <c r="I247" s="4"/>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5.75" customHeight="1">
      <c r="A248" s="1"/>
      <c r="B248" s="1"/>
      <c r="C248" s="1"/>
      <c r="D248" s="1"/>
      <c r="E248" s="1"/>
      <c r="F248" s="1"/>
      <c r="G248" s="1"/>
      <c r="H248" s="4"/>
      <c r="I248" s="4"/>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5.75" customHeight="1">
      <c r="A249" s="1"/>
      <c r="B249" s="1"/>
      <c r="C249" s="1"/>
      <c r="D249" s="1"/>
      <c r="E249" s="1"/>
      <c r="F249" s="1"/>
      <c r="G249" s="1"/>
      <c r="H249" s="4"/>
      <c r="I249" s="4"/>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5.75" customHeight="1">
      <c r="A250" s="1"/>
      <c r="B250" s="1"/>
      <c r="C250" s="1"/>
      <c r="D250" s="1"/>
      <c r="E250" s="1"/>
      <c r="F250" s="1"/>
      <c r="G250" s="1"/>
      <c r="H250" s="4"/>
      <c r="I250" s="4"/>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5.75" customHeight="1">
      <c r="A251" s="1"/>
      <c r="B251" s="1"/>
      <c r="C251" s="1"/>
      <c r="D251" s="1"/>
      <c r="E251" s="1"/>
      <c r="F251" s="1"/>
      <c r="G251" s="1"/>
      <c r="H251" s="4"/>
      <c r="I251" s="4"/>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5.75" customHeight="1">
      <c r="A252" s="1"/>
      <c r="B252" s="1"/>
      <c r="C252" s="1"/>
      <c r="D252" s="1"/>
      <c r="E252" s="1"/>
      <c r="F252" s="1"/>
      <c r="G252" s="1"/>
      <c r="H252" s="4"/>
      <c r="I252" s="4"/>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5.75" customHeight="1">
      <c r="A253" s="1"/>
      <c r="B253" s="1"/>
      <c r="C253" s="1"/>
      <c r="D253" s="1"/>
      <c r="E253" s="1"/>
      <c r="F253" s="1"/>
      <c r="G253" s="1"/>
      <c r="H253" s="4"/>
      <c r="I253" s="4"/>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5.75" customHeight="1">
      <c r="A254" s="1"/>
      <c r="B254" s="1"/>
      <c r="C254" s="1"/>
      <c r="D254" s="1"/>
      <c r="E254" s="1"/>
      <c r="F254" s="1"/>
      <c r="G254" s="1"/>
      <c r="H254" s="4"/>
      <c r="I254" s="4"/>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5.75" customHeight="1">
      <c r="A255" s="1"/>
      <c r="B255" s="1"/>
      <c r="C255" s="1"/>
      <c r="D255" s="1"/>
      <c r="E255" s="1"/>
      <c r="F255" s="1"/>
      <c r="G255" s="1"/>
      <c r="H255" s="4"/>
      <c r="I255" s="4"/>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5.75" customHeight="1">
      <c r="A256" s="1"/>
      <c r="B256" s="1"/>
      <c r="C256" s="1"/>
      <c r="D256" s="1"/>
      <c r="E256" s="1"/>
      <c r="F256" s="1"/>
      <c r="G256" s="1"/>
      <c r="H256" s="4"/>
      <c r="I256" s="4"/>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5.75" customHeight="1">
      <c r="A257" s="1"/>
      <c r="B257" s="1"/>
      <c r="C257" s="1"/>
      <c r="D257" s="1"/>
      <c r="E257" s="1"/>
      <c r="F257" s="1"/>
      <c r="G257" s="1"/>
      <c r="H257" s="4"/>
      <c r="I257" s="4"/>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5.75" customHeight="1">
      <c r="A258" s="1"/>
      <c r="B258" s="1"/>
      <c r="C258" s="1"/>
      <c r="D258" s="1"/>
      <c r="E258" s="1"/>
      <c r="F258" s="1"/>
      <c r="G258" s="1"/>
      <c r="H258" s="4"/>
      <c r="I258" s="4"/>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5.75" customHeight="1">
      <c r="A259" s="1"/>
      <c r="B259" s="1"/>
      <c r="C259" s="1"/>
      <c r="D259" s="1"/>
      <c r="E259" s="1"/>
      <c r="F259" s="1"/>
      <c r="G259" s="1"/>
      <c r="H259" s="4"/>
      <c r="I259" s="4"/>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5.75" customHeight="1">
      <c r="A260" s="1"/>
      <c r="B260" s="1"/>
      <c r="C260" s="1"/>
      <c r="D260" s="1"/>
      <c r="E260" s="1"/>
      <c r="F260" s="1"/>
      <c r="G260" s="1"/>
      <c r="H260" s="4"/>
      <c r="I260" s="4"/>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5.75" customHeight="1">
      <c r="A261" s="1"/>
      <c r="B261" s="1"/>
      <c r="C261" s="1"/>
      <c r="D261" s="1"/>
      <c r="E261" s="1"/>
      <c r="F261" s="1"/>
      <c r="G261" s="1"/>
      <c r="H261" s="4"/>
      <c r="I261" s="4"/>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5.75" customHeight="1">
      <c r="A262" s="1"/>
      <c r="B262" s="1"/>
      <c r="C262" s="1"/>
      <c r="D262" s="1"/>
      <c r="E262" s="1"/>
      <c r="F262" s="1"/>
      <c r="G262" s="1"/>
      <c r="H262" s="4"/>
      <c r="I262" s="4"/>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5.75" customHeight="1">
      <c r="A263" s="1"/>
      <c r="B263" s="1"/>
      <c r="C263" s="1"/>
      <c r="D263" s="1"/>
      <c r="E263" s="1"/>
      <c r="F263" s="1"/>
      <c r="G263" s="1"/>
      <c r="H263" s="4"/>
      <c r="I263" s="4"/>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5.75" customHeight="1">
      <c r="A264" s="1"/>
      <c r="B264" s="1"/>
      <c r="C264" s="1"/>
      <c r="D264" s="1"/>
      <c r="E264" s="1"/>
      <c r="F264" s="1"/>
      <c r="G264" s="1"/>
      <c r="H264" s="4"/>
      <c r="I264" s="4"/>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5.75" customHeight="1">
      <c r="A265" s="1"/>
      <c r="B265" s="1"/>
      <c r="C265" s="1"/>
      <c r="D265" s="1"/>
      <c r="E265" s="1"/>
      <c r="F265" s="1"/>
      <c r="G265" s="1"/>
      <c r="H265" s="4"/>
      <c r="I265" s="4"/>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5.75" customHeight="1">
      <c r="A266" s="1"/>
      <c r="B266" s="1"/>
      <c r="C266" s="1"/>
      <c r="D266" s="1"/>
      <c r="E266" s="1"/>
      <c r="F266" s="1"/>
      <c r="G266" s="1"/>
      <c r="H266" s="4"/>
      <c r="I266" s="4"/>
      <c r="J266" s="4"/>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5.75" customHeight="1">
      <c r="A267" s="1"/>
      <c r="B267" s="1"/>
      <c r="C267" s="1"/>
      <c r="D267" s="1"/>
      <c r="E267" s="1"/>
      <c r="F267" s="1"/>
      <c r="G267" s="1"/>
      <c r="H267" s="4"/>
      <c r="I267" s="4"/>
      <c r="J267" s="4"/>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5.75" customHeight="1">
      <c r="A268" s="1"/>
      <c r="B268" s="1"/>
      <c r="C268" s="1"/>
      <c r="D268" s="1"/>
      <c r="E268" s="1"/>
      <c r="F268" s="1"/>
      <c r="G268" s="1"/>
      <c r="H268" s="4"/>
      <c r="I268" s="4"/>
      <c r="J268" s="4"/>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5.75" customHeight="1">
      <c r="A269" s="1"/>
      <c r="B269" s="1"/>
      <c r="C269" s="1"/>
      <c r="D269" s="1"/>
      <c r="E269" s="1"/>
      <c r="F269" s="1"/>
      <c r="G269" s="1"/>
      <c r="H269" s="4"/>
      <c r="I269" s="4"/>
      <c r="J269" s="4"/>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5.75" customHeight="1">
      <c r="A270" s="1"/>
      <c r="B270" s="1"/>
      <c r="C270" s="1"/>
      <c r="D270" s="1"/>
      <c r="E270" s="1"/>
      <c r="F270" s="1"/>
      <c r="G270" s="1"/>
      <c r="H270" s="4"/>
      <c r="I270" s="4"/>
      <c r="J270" s="4"/>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5.75" customHeight="1">
      <c r="A271" s="1"/>
      <c r="B271" s="1"/>
      <c r="C271" s="1"/>
      <c r="D271" s="1"/>
      <c r="E271" s="1"/>
      <c r="F271" s="1"/>
      <c r="G271" s="1"/>
      <c r="H271" s="4"/>
      <c r="I271" s="4"/>
      <c r="J271" s="4"/>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5.75" customHeight="1">
      <c r="A272" s="1"/>
      <c r="B272" s="1"/>
      <c r="C272" s="1"/>
      <c r="D272" s="1"/>
      <c r="E272" s="1"/>
      <c r="F272" s="1"/>
      <c r="G272" s="1"/>
      <c r="H272" s="4"/>
      <c r="I272" s="4"/>
      <c r="J272" s="4"/>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5.75" customHeight="1">
      <c r="A273" s="1"/>
      <c r="B273" s="1"/>
      <c r="C273" s="1"/>
      <c r="D273" s="1"/>
      <c r="E273" s="1"/>
      <c r="F273" s="1"/>
      <c r="G273" s="1"/>
      <c r="H273" s="4"/>
      <c r="I273" s="4"/>
      <c r="J273" s="4"/>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5.75" customHeight="1">
      <c r="A274" s="1"/>
      <c r="B274" s="1"/>
      <c r="C274" s="1"/>
      <c r="D274" s="1"/>
      <c r="E274" s="1"/>
      <c r="F274" s="1"/>
      <c r="G274" s="1"/>
      <c r="H274" s="4"/>
      <c r="I274" s="4"/>
      <c r="J274" s="4"/>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5.75" customHeight="1">
      <c r="A275" s="1"/>
      <c r="B275" s="1"/>
      <c r="C275" s="1"/>
      <c r="D275" s="1"/>
      <c r="E275" s="1"/>
      <c r="F275" s="1"/>
      <c r="G275" s="1"/>
      <c r="H275" s="4"/>
      <c r="I275" s="4"/>
      <c r="J275" s="4"/>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5.75" customHeight="1">
      <c r="A276" s="1"/>
      <c r="B276" s="1"/>
      <c r="C276" s="1"/>
      <c r="D276" s="1"/>
      <c r="E276" s="1"/>
      <c r="F276" s="1"/>
      <c r="G276" s="1"/>
      <c r="H276" s="4"/>
      <c r="I276" s="4"/>
      <c r="J276" s="4"/>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5.75" customHeight="1">
      <c r="A277" s="1"/>
      <c r="B277" s="1"/>
      <c r="C277" s="1"/>
      <c r="D277" s="1"/>
      <c r="E277" s="1"/>
      <c r="F277" s="1"/>
      <c r="G277" s="1"/>
      <c r="H277" s="4"/>
      <c r="I277" s="4"/>
      <c r="J277" s="4"/>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5.75" customHeight="1">
      <c r="A278" s="1"/>
      <c r="B278" s="1"/>
      <c r="C278" s="1"/>
      <c r="D278" s="1"/>
      <c r="E278" s="1"/>
      <c r="F278" s="1"/>
      <c r="G278" s="1"/>
      <c r="H278" s="4"/>
      <c r="I278" s="4"/>
      <c r="J278" s="4"/>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5.75" customHeight="1">
      <c r="A279" s="1"/>
      <c r="B279" s="1"/>
      <c r="C279" s="1"/>
      <c r="D279" s="1"/>
      <c r="E279" s="1"/>
      <c r="F279" s="1"/>
      <c r="G279" s="1"/>
      <c r="H279" s="4"/>
      <c r="I279" s="4"/>
      <c r="J279" s="4"/>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5.75" customHeight="1">
      <c r="A280" s="1"/>
      <c r="B280" s="1"/>
      <c r="C280" s="1"/>
      <c r="D280" s="1"/>
      <c r="E280" s="1"/>
      <c r="F280" s="1"/>
      <c r="G280" s="1"/>
      <c r="H280" s="4"/>
      <c r="I280" s="4"/>
      <c r="J280" s="4"/>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5.75" customHeight="1">
      <c r="A281" s="1"/>
      <c r="B281" s="1"/>
      <c r="C281" s="1"/>
      <c r="D281" s="1"/>
      <c r="E281" s="1"/>
      <c r="F281" s="1"/>
      <c r="G281" s="1"/>
      <c r="H281" s="4"/>
      <c r="I281" s="4"/>
      <c r="J281" s="4"/>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5.75" customHeight="1">
      <c r="A282" s="1"/>
      <c r="B282" s="1"/>
      <c r="C282" s="1"/>
      <c r="D282" s="1"/>
      <c r="E282" s="1"/>
      <c r="F282" s="1"/>
      <c r="G282" s="1"/>
      <c r="H282" s="4"/>
      <c r="I282" s="4"/>
      <c r="J282" s="4"/>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5.75" customHeight="1">
      <c r="A283" s="1"/>
      <c r="B283" s="1"/>
      <c r="C283" s="1"/>
      <c r="D283" s="1"/>
      <c r="E283" s="1"/>
      <c r="F283" s="1"/>
      <c r="G283" s="1"/>
      <c r="H283" s="4"/>
      <c r="I283" s="4"/>
      <c r="J283" s="4"/>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5.75" customHeight="1">
      <c r="A284" s="1"/>
      <c r="B284" s="1"/>
      <c r="C284" s="1"/>
      <c r="D284" s="1"/>
      <c r="E284" s="1"/>
      <c r="F284" s="1"/>
      <c r="G284" s="1"/>
      <c r="H284" s="4"/>
      <c r="I284" s="4"/>
      <c r="J284" s="4"/>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5.75" customHeight="1">
      <c r="A285" s="1"/>
      <c r="B285" s="1"/>
      <c r="C285" s="1"/>
      <c r="D285" s="1"/>
      <c r="E285" s="1"/>
      <c r="F285" s="1"/>
      <c r="G285" s="1"/>
      <c r="H285" s="4"/>
      <c r="I285" s="4"/>
      <c r="J285" s="4"/>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5.75" customHeight="1">
      <c r="A286" s="1"/>
      <c r="B286" s="1"/>
      <c r="C286" s="1"/>
      <c r="D286" s="1"/>
      <c r="E286" s="1"/>
      <c r="F286" s="1"/>
      <c r="G286" s="1"/>
      <c r="H286" s="4"/>
      <c r="I286" s="4"/>
      <c r="J286" s="4"/>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5.75" customHeight="1">
      <c r="A287" s="1"/>
      <c r="B287" s="1"/>
      <c r="C287" s="1"/>
      <c r="D287" s="1"/>
      <c r="E287" s="1"/>
      <c r="F287" s="1"/>
      <c r="G287" s="1"/>
      <c r="H287" s="4"/>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5.75" customHeight="1">
      <c r="A288" s="1"/>
      <c r="B288" s="1"/>
      <c r="C288" s="1"/>
      <c r="D288" s="1"/>
      <c r="E288" s="1"/>
      <c r="F288" s="1"/>
      <c r="G288" s="1"/>
      <c r="H288" s="4"/>
      <c r="I288" s="4"/>
      <c r="J288" s="4"/>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5.75" customHeight="1">
      <c r="A289" s="1"/>
      <c r="B289" s="1"/>
      <c r="C289" s="1"/>
      <c r="D289" s="1"/>
      <c r="E289" s="1"/>
      <c r="F289" s="1"/>
      <c r="G289" s="1"/>
      <c r="H289" s="4"/>
      <c r="I289" s="4"/>
      <c r="J289" s="4"/>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5.75" customHeight="1">
      <c r="A290" s="1"/>
      <c r="B290" s="1"/>
      <c r="C290" s="1"/>
      <c r="D290" s="1"/>
      <c r="E290" s="1"/>
      <c r="F290" s="1"/>
      <c r="G290" s="1"/>
      <c r="H290" s="4"/>
      <c r="I290" s="4"/>
      <c r="J290" s="4"/>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5.75" customHeight="1">
      <c r="A291" s="1"/>
      <c r="B291" s="1"/>
      <c r="C291" s="1"/>
      <c r="D291" s="1"/>
      <c r="E291" s="1"/>
      <c r="F291" s="1"/>
      <c r="G291" s="1"/>
      <c r="H291" s="4"/>
      <c r="I291" s="4"/>
      <c r="J291" s="4"/>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5.75" customHeight="1">
      <c r="A292" s="1"/>
      <c r="B292" s="1"/>
      <c r="C292" s="1"/>
      <c r="D292" s="1"/>
      <c r="E292" s="1"/>
      <c r="F292" s="1"/>
      <c r="G292" s="1"/>
      <c r="H292" s="4"/>
      <c r="I292" s="4"/>
      <c r="J292" s="4"/>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5.75" customHeight="1">
      <c r="A293" s="1"/>
      <c r="B293" s="1"/>
      <c r="C293" s="1"/>
      <c r="D293" s="1"/>
      <c r="E293" s="1"/>
      <c r="F293" s="1"/>
      <c r="G293" s="1"/>
      <c r="H293" s="4"/>
      <c r="I293" s="4"/>
      <c r="J293" s="4"/>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5.75" customHeight="1">
      <c r="A294" s="1"/>
      <c r="B294" s="1"/>
      <c r="C294" s="1"/>
      <c r="D294" s="1"/>
      <c r="E294" s="1"/>
      <c r="F294" s="1"/>
      <c r="G294" s="1"/>
      <c r="H294" s="4"/>
      <c r="I294" s="4"/>
      <c r="J294" s="4"/>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5.75" customHeight="1">
      <c r="A295" s="1"/>
      <c r="B295" s="1"/>
      <c r="C295" s="1"/>
      <c r="D295" s="1"/>
      <c r="E295" s="1"/>
      <c r="F295" s="1"/>
      <c r="G295" s="1"/>
      <c r="H295" s="4"/>
      <c r="I295" s="4"/>
      <c r="J295" s="4"/>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5.75" customHeight="1">
      <c r="A296" s="1"/>
      <c r="B296" s="1"/>
      <c r="C296" s="1"/>
      <c r="D296" s="1"/>
      <c r="E296" s="1"/>
      <c r="F296" s="1"/>
      <c r="G296" s="1"/>
      <c r="H296" s="4"/>
      <c r="I296" s="4"/>
      <c r="J296" s="4"/>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5.75" customHeight="1">
      <c r="A297" s="1"/>
      <c r="B297" s="1"/>
      <c r="C297" s="1"/>
      <c r="D297" s="1"/>
      <c r="E297" s="1"/>
      <c r="F297" s="1"/>
      <c r="G297" s="1"/>
      <c r="H297" s="4"/>
      <c r="I297" s="4"/>
      <c r="J297" s="4"/>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5.75" customHeight="1">
      <c r="A298" s="1"/>
      <c r="B298" s="1"/>
      <c r="C298" s="1"/>
      <c r="D298" s="1"/>
      <c r="E298" s="1"/>
      <c r="F298" s="1"/>
      <c r="G298" s="1"/>
      <c r="H298" s="4"/>
      <c r="I298" s="4"/>
      <c r="J298" s="4"/>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5.75" customHeight="1">
      <c r="A299" s="1"/>
      <c r="B299" s="1"/>
      <c r="C299" s="1"/>
      <c r="D299" s="1"/>
      <c r="E299" s="1"/>
      <c r="F299" s="1"/>
      <c r="G299" s="1"/>
      <c r="H299" s="4"/>
      <c r="I299" s="4"/>
      <c r="J299" s="4"/>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5.75" customHeight="1">
      <c r="A300" s="1"/>
      <c r="B300" s="1"/>
      <c r="C300" s="1"/>
      <c r="D300" s="1"/>
      <c r="E300" s="1"/>
      <c r="F300" s="1"/>
      <c r="G300" s="1"/>
      <c r="H300" s="4"/>
      <c r="I300" s="4"/>
      <c r="J300" s="4"/>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5.75" customHeight="1">
      <c r="A301" s="1"/>
      <c r="B301" s="1"/>
      <c r="C301" s="1"/>
      <c r="D301" s="1"/>
      <c r="E301" s="1"/>
      <c r="F301" s="1"/>
      <c r="G301" s="1"/>
      <c r="H301" s="4"/>
      <c r="I301" s="4"/>
      <c r="J301" s="4"/>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5.75" customHeight="1">
      <c r="A302" s="1"/>
      <c r="B302" s="1"/>
      <c r="C302" s="1"/>
      <c r="D302" s="1"/>
      <c r="E302" s="1"/>
      <c r="F302" s="1"/>
      <c r="G302" s="1"/>
      <c r="H302" s="4"/>
      <c r="I302" s="4"/>
      <c r="J302" s="4"/>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5.75" customHeight="1">
      <c r="A303" s="1"/>
      <c r="B303" s="1"/>
      <c r="C303" s="1"/>
      <c r="D303" s="1"/>
      <c r="E303" s="1"/>
      <c r="F303" s="1"/>
      <c r="G303" s="1"/>
      <c r="H303" s="4"/>
      <c r="I303" s="4"/>
      <c r="J303" s="4"/>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5.75" customHeight="1">
      <c r="A304" s="1"/>
      <c r="B304" s="1"/>
      <c r="C304" s="1"/>
      <c r="D304" s="1"/>
      <c r="E304" s="1"/>
      <c r="F304" s="1"/>
      <c r="G304" s="1"/>
      <c r="H304" s="4"/>
      <c r="I304" s="4"/>
      <c r="J304" s="4"/>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5.75" customHeight="1">
      <c r="A305" s="1"/>
      <c r="B305" s="1"/>
      <c r="C305" s="1"/>
      <c r="D305" s="1"/>
      <c r="E305" s="1"/>
      <c r="F305" s="1"/>
      <c r="G305" s="1"/>
      <c r="H305" s="4"/>
      <c r="I305" s="4"/>
      <c r="J305" s="4"/>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5.75" customHeight="1">
      <c r="A306" s="1"/>
      <c r="B306" s="1"/>
      <c r="C306" s="1"/>
      <c r="D306" s="1"/>
      <c r="E306" s="1"/>
      <c r="F306" s="1"/>
      <c r="G306" s="1"/>
      <c r="H306" s="4"/>
      <c r="I306" s="4"/>
      <c r="J306" s="4"/>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5.75" customHeight="1">
      <c r="A307" s="1"/>
      <c r="B307" s="1"/>
      <c r="C307" s="1"/>
      <c r="D307" s="1"/>
      <c r="E307" s="1"/>
      <c r="F307" s="1"/>
      <c r="G307" s="1"/>
      <c r="H307" s="4"/>
      <c r="I307" s="4"/>
      <c r="J307" s="4"/>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5.75" customHeight="1">
      <c r="A308" s="1"/>
      <c r="B308" s="1"/>
      <c r="C308" s="1"/>
      <c r="D308" s="1"/>
      <c r="E308" s="1"/>
      <c r="F308" s="1"/>
      <c r="G308" s="1"/>
      <c r="H308" s="4"/>
      <c r="I308" s="4"/>
      <c r="J308" s="4"/>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5.75" customHeight="1">
      <c r="A309" s="1"/>
      <c r="B309" s="1"/>
      <c r="C309" s="1"/>
      <c r="D309" s="1"/>
      <c r="E309" s="1"/>
      <c r="F309" s="1"/>
      <c r="G309" s="1"/>
      <c r="H309" s="4"/>
      <c r="I309" s="4"/>
      <c r="J309" s="4"/>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5.75" customHeight="1">
      <c r="A310" s="1"/>
      <c r="B310" s="1"/>
      <c r="C310" s="1"/>
      <c r="D310" s="1"/>
      <c r="E310" s="1"/>
      <c r="F310" s="1"/>
      <c r="G310" s="1"/>
      <c r="H310" s="4"/>
      <c r="I310" s="4"/>
      <c r="J310" s="4"/>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5.75" customHeight="1">
      <c r="A311" s="1"/>
      <c r="B311" s="1"/>
      <c r="C311" s="1"/>
      <c r="D311" s="1"/>
      <c r="E311" s="1"/>
      <c r="F311" s="1"/>
      <c r="G311" s="1"/>
      <c r="H311" s="4"/>
      <c r="I311" s="4"/>
      <c r="J311" s="4"/>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5.75" customHeight="1">
      <c r="A312" s="1"/>
      <c r="B312" s="1"/>
      <c r="C312" s="1"/>
      <c r="D312" s="1"/>
      <c r="E312" s="1"/>
      <c r="F312" s="1"/>
      <c r="G312" s="1"/>
      <c r="H312" s="4"/>
      <c r="I312" s="4"/>
      <c r="J312" s="4"/>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5.75" customHeight="1">
      <c r="A313" s="1"/>
      <c r="B313" s="1"/>
      <c r="C313" s="1"/>
      <c r="D313" s="1"/>
      <c r="E313" s="1"/>
      <c r="F313" s="1"/>
      <c r="G313" s="1"/>
      <c r="H313" s="4"/>
      <c r="I313" s="4"/>
      <c r="J313" s="4"/>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5.75" customHeight="1">
      <c r="A314" s="1"/>
      <c r="B314" s="1"/>
      <c r="C314" s="1"/>
      <c r="D314" s="1"/>
      <c r="E314" s="1"/>
      <c r="F314" s="1"/>
      <c r="G314" s="1"/>
      <c r="H314" s="4"/>
      <c r="I314" s="4"/>
      <c r="J314" s="4"/>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5.75" customHeight="1">
      <c r="A315" s="1"/>
      <c r="B315" s="1"/>
      <c r="C315" s="1"/>
      <c r="D315" s="1"/>
      <c r="E315" s="1"/>
      <c r="F315" s="1"/>
      <c r="G315" s="1"/>
      <c r="H315" s="4"/>
      <c r="I315" s="4"/>
      <c r="J315" s="4"/>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5.75" customHeight="1">
      <c r="A316" s="1"/>
      <c r="B316" s="1"/>
      <c r="C316" s="1"/>
      <c r="D316" s="1"/>
      <c r="E316" s="1"/>
      <c r="F316" s="1"/>
      <c r="G316" s="1"/>
      <c r="H316" s="4"/>
      <c r="I316" s="4"/>
      <c r="J316" s="4"/>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5.75" customHeight="1">
      <c r="A317" s="1"/>
      <c r="B317" s="1"/>
      <c r="C317" s="1"/>
      <c r="D317" s="1"/>
      <c r="E317" s="1"/>
      <c r="F317" s="1"/>
      <c r="G317" s="1"/>
      <c r="H317" s="4"/>
      <c r="I317" s="4"/>
      <c r="J317" s="4"/>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5.75" customHeight="1">
      <c r="A318" s="1"/>
      <c r="B318" s="1"/>
      <c r="C318" s="1"/>
      <c r="D318" s="1"/>
      <c r="E318" s="1"/>
      <c r="F318" s="1"/>
      <c r="G318" s="1"/>
      <c r="H318" s="4"/>
      <c r="I318" s="4"/>
      <c r="J318" s="4"/>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5.75" customHeight="1">
      <c r="A319" s="1"/>
      <c r="B319" s="1"/>
      <c r="C319" s="1"/>
      <c r="D319" s="1"/>
      <c r="E319" s="1"/>
      <c r="F319" s="1"/>
      <c r="G319" s="1"/>
      <c r="H319" s="4"/>
      <c r="I319" s="4"/>
      <c r="J319" s="4"/>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5.75" customHeight="1">
      <c r="A320" s="1"/>
      <c r="B320" s="1"/>
      <c r="C320" s="1"/>
      <c r="D320" s="1"/>
      <c r="E320" s="1"/>
      <c r="F320" s="1"/>
      <c r="G320" s="1"/>
      <c r="H320" s="4"/>
      <c r="I320" s="4"/>
      <c r="J320" s="4"/>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5.75" customHeight="1">
      <c r="A321" s="1"/>
      <c r="B321" s="1"/>
      <c r="C321" s="1"/>
      <c r="D321" s="1"/>
      <c r="E321" s="1"/>
      <c r="F321" s="1"/>
      <c r="G321" s="1"/>
      <c r="H321" s="4"/>
      <c r="I321" s="4"/>
      <c r="J321" s="4"/>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5.75" customHeight="1">
      <c r="A322" s="1"/>
      <c r="B322" s="1"/>
      <c r="C322" s="1"/>
      <c r="D322" s="1"/>
      <c r="E322" s="1"/>
      <c r="F322" s="1"/>
      <c r="G322" s="1"/>
      <c r="H322" s="4"/>
      <c r="I322" s="4"/>
      <c r="J322" s="4"/>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5.75" customHeight="1">
      <c r="A323" s="1"/>
      <c r="B323" s="1"/>
      <c r="C323" s="1"/>
      <c r="D323" s="1"/>
      <c r="E323" s="1"/>
      <c r="F323" s="1"/>
      <c r="G323" s="1"/>
      <c r="H323" s="4"/>
      <c r="I323" s="4"/>
      <c r="J323" s="4"/>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5.75" customHeight="1">
      <c r="A324" s="1"/>
      <c r="B324" s="1"/>
      <c r="C324" s="1"/>
      <c r="D324" s="1"/>
      <c r="E324" s="1"/>
      <c r="F324" s="1"/>
      <c r="G324" s="1"/>
      <c r="H324" s="4"/>
      <c r="I324" s="4"/>
      <c r="J324" s="4"/>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5.75" customHeight="1">
      <c r="A325" s="1"/>
      <c r="B325" s="1"/>
      <c r="C325" s="1"/>
      <c r="D325" s="1"/>
      <c r="E325" s="1"/>
      <c r="F325" s="1"/>
      <c r="G325" s="1"/>
      <c r="H325" s="4"/>
      <c r="I325" s="4"/>
      <c r="J325" s="4"/>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5.75" customHeight="1">
      <c r="A326" s="1"/>
      <c r="B326" s="1"/>
      <c r="C326" s="1"/>
      <c r="D326" s="1"/>
      <c r="E326" s="1"/>
      <c r="F326" s="1"/>
      <c r="G326" s="1"/>
      <c r="H326" s="4"/>
      <c r="I326" s="4"/>
      <c r="J326" s="4"/>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5.75" customHeight="1">
      <c r="A327" s="1"/>
      <c r="B327" s="1"/>
      <c r="C327" s="1"/>
      <c r="D327" s="1"/>
      <c r="E327" s="1"/>
      <c r="F327" s="1"/>
      <c r="G327" s="1"/>
      <c r="H327" s="4"/>
      <c r="I327" s="4"/>
      <c r="J327" s="4"/>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5.75" customHeight="1">
      <c r="A328" s="1"/>
      <c r="B328" s="1"/>
      <c r="C328" s="1"/>
      <c r="D328" s="1"/>
      <c r="E328" s="1"/>
      <c r="F328" s="1"/>
      <c r="G328" s="1"/>
      <c r="H328" s="4"/>
      <c r="I328" s="4"/>
      <c r="J328" s="4"/>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5.75" customHeight="1">
      <c r="A329" s="1"/>
      <c r="B329" s="1"/>
      <c r="C329" s="1"/>
      <c r="D329" s="1"/>
      <c r="E329" s="1"/>
      <c r="F329" s="1"/>
      <c r="G329" s="1"/>
      <c r="H329" s="4"/>
      <c r="I329" s="4"/>
      <c r="J329" s="4"/>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5.75" customHeight="1">
      <c r="A330" s="1"/>
      <c r="B330" s="1"/>
      <c r="C330" s="1"/>
      <c r="D330" s="1"/>
      <c r="E330" s="1"/>
      <c r="F330" s="1"/>
      <c r="G330" s="1"/>
      <c r="H330" s="4"/>
      <c r="I330" s="4"/>
      <c r="J330" s="4"/>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5.75" customHeight="1">
      <c r="A331" s="1"/>
      <c r="B331" s="1"/>
      <c r="C331" s="1"/>
      <c r="D331" s="1"/>
      <c r="E331" s="1"/>
      <c r="F331" s="1"/>
      <c r="G331" s="1"/>
      <c r="H331" s="4"/>
      <c r="I331" s="4"/>
      <c r="J331" s="4"/>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5.75" customHeight="1">
      <c r="A332" s="1"/>
      <c r="B332" s="1"/>
      <c r="C332" s="1"/>
      <c r="D332" s="1"/>
      <c r="E332" s="1"/>
      <c r="F332" s="1"/>
      <c r="G332" s="1"/>
      <c r="H332" s="4"/>
      <c r="I332" s="4"/>
      <c r="J332" s="4"/>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5.75" customHeight="1">
      <c r="A333" s="1"/>
      <c r="B333" s="1"/>
      <c r="C333" s="1"/>
      <c r="D333" s="1"/>
      <c r="E333" s="1"/>
      <c r="F333" s="1"/>
      <c r="G333" s="1"/>
      <c r="H333" s="4"/>
      <c r="I333" s="4"/>
      <c r="J333" s="4"/>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5.75" customHeight="1">
      <c r="A334" s="1"/>
      <c r="B334" s="1"/>
      <c r="C334" s="1"/>
      <c r="D334" s="1"/>
      <c r="E334" s="1"/>
      <c r="F334" s="1"/>
      <c r="G334" s="1"/>
      <c r="H334" s="4"/>
      <c r="I334" s="4"/>
      <c r="J334" s="4"/>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5.75" customHeight="1">
      <c r="A335" s="1"/>
      <c r="B335" s="1"/>
      <c r="C335" s="1"/>
      <c r="D335" s="1"/>
      <c r="E335" s="1"/>
      <c r="F335" s="1"/>
      <c r="G335" s="1"/>
      <c r="H335" s="4"/>
      <c r="I335" s="4"/>
      <c r="J335" s="4"/>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5.75" customHeight="1">
      <c r="A336" s="1"/>
      <c r="B336" s="1"/>
      <c r="C336" s="1"/>
      <c r="D336" s="1"/>
      <c r="E336" s="1"/>
      <c r="F336" s="1"/>
      <c r="G336" s="1"/>
      <c r="H336" s="4"/>
      <c r="I336" s="4"/>
      <c r="J336" s="4"/>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5.75" customHeight="1">
      <c r="A337" s="1"/>
      <c r="B337" s="1"/>
      <c r="C337" s="1"/>
      <c r="D337" s="1"/>
      <c r="E337" s="1"/>
      <c r="F337" s="1"/>
      <c r="G337" s="1"/>
      <c r="H337" s="4"/>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5.75" customHeight="1">
      <c r="A338" s="1"/>
      <c r="B338" s="1"/>
      <c r="C338" s="1"/>
      <c r="D338" s="1"/>
      <c r="E338" s="1"/>
      <c r="F338" s="1"/>
      <c r="G338" s="1"/>
      <c r="H338" s="4"/>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5.75" customHeight="1">
      <c r="A339" s="1"/>
      <c r="B339" s="1"/>
      <c r="C339" s="1"/>
      <c r="D339" s="1"/>
      <c r="E339" s="1"/>
      <c r="F339" s="1"/>
      <c r="G339" s="1"/>
      <c r="H339" s="4"/>
      <c r="I339" s="4"/>
      <c r="J339" s="4"/>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5.75" customHeight="1">
      <c r="A340" s="1"/>
      <c r="B340" s="1"/>
      <c r="C340" s="1"/>
      <c r="D340" s="1"/>
      <c r="E340" s="1"/>
      <c r="F340" s="1"/>
      <c r="G340" s="1"/>
      <c r="H340" s="4"/>
      <c r="I340" s="4"/>
      <c r="J340" s="4"/>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5.75" customHeight="1">
      <c r="A341" s="1"/>
      <c r="B341" s="1"/>
      <c r="C341" s="1"/>
      <c r="D341" s="1"/>
      <c r="E341" s="1"/>
      <c r="F341" s="1"/>
      <c r="G341" s="1"/>
      <c r="H341" s="4"/>
      <c r="I341" s="4"/>
      <c r="J341" s="4"/>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5.75" customHeight="1">
      <c r="A342" s="1"/>
      <c r="B342" s="1"/>
      <c r="C342" s="1"/>
      <c r="D342" s="1"/>
      <c r="E342" s="1"/>
      <c r="F342" s="1"/>
      <c r="G342" s="1"/>
      <c r="H342" s="4"/>
      <c r="I342" s="4"/>
      <c r="J342" s="4"/>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5.75" customHeight="1">
      <c r="A343" s="1"/>
      <c r="B343" s="1"/>
      <c r="C343" s="1"/>
      <c r="D343" s="1"/>
      <c r="E343" s="1"/>
      <c r="F343" s="1"/>
      <c r="G343" s="1"/>
      <c r="H343" s="4"/>
      <c r="I343" s="4"/>
      <c r="J343" s="4"/>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5.75" customHeight="1">
      <c r="A344" s="1"/>
      <c r="B344" s="1"/>
      <c r="C344" s="1"/>
      <c r="D344" s="1"/>
      <c r="E344" s="1"/>
      <c r="F344" s="1"/>
      <c r="G344" s="1"/>
      <c r="H344" s="4"/>
      <c r="I344" s="4"/>
      <c r="J344" s="4"/>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5.75" customHeight="1">
      <c r="A345" s="1"/>
      <c r="B345" s="1"/>
      <c r="C345" s="1"/>
      <c r="D345" s="1"/>
      <c r="E345" s="1"/>
      <c r="F345" s="1"/>
      <c r="G345" s="1"/>
      <c r="H345" s="4"/>
      <c r="I345" s="4"/>
      <c r="J345" s="4"/>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5.75" customHeight="1">
      <c r="A346" s="1"/>
      <c r="B346" s="1"/>
      <c r="C346" s="1"/>
      <c r="D346" s="1"/>
      <c r="E346" s="1"/>
      <c r="F346" s="1"/>
      <c r="G346" s="1"/>
      <c r="H346" s="4"/>
      <c r="I346" s="4"/>
      <c r="J346" s="4"/>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5.75" customHeight="1">
      <c r="A347" s="1"/>
      <c r="B347" s="1"/>
      <c r="C347" s="1"/>
      <c r="D347" s="1"/>
      <c r="E347" s="1"/>
      <c r="F347" s="1"/>
      <c r="G347" s="1"/>
      <c r="H347" s="4"/>
      <c r="I347" s="4"/>
      <c r="J347" s="4"/>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5.75" customHeight="1">
      <c r="A348" s="1"/>
      <c r="B348" s="1"/>
      <c r="C348" s="1"/>
      <c r="D348" s="1"/>
      <c r="E348" s="1"/>
      <c r="F348" s="1"/>
      <c r="G348" s="1"/>
      <c r="H348" s="4"/>
      <c r="I348" s="4"/>
      <c r="J348" s="4"/>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5.75" customHeight="1">
      <c r="A349" s="1"/>
      <c r="B349" s="1"/>
      <c r="C349" s="1"/>
      <c r="D349" s="1"/>
      <c r="E349" s="1"/>
      <c r="F349" s="1"/>
      <c r="G349" s="1"/>
      <c r="H349" s="4"/>
      <c r="I349" s="4"/>
      <c r="J349" s="4"/>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5.75" customHeight="1">
      <c r="A350" s="1"/>
      <c r="B350" s="1"/>
      <c r="C350" s="1"/>
      <c r="D350" s="1"/>
      <c r="E350" s="1"/>
      <c r="F350" s="1"/>
      <c r="G350" s="1"/>
      <c r="H350" s="4"/>
      <c r="I350" s="4"/>
      <c r="J350" s="4"/>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5.75" customHeight="1">
      <c r="A351" s="1"/>
      <c r="B351" s="1"/>
      <c r="C351" s="1"/>
      <c r="D351" s="1"/>
      <c r="E351" s="1"/>
      <c r="F351" s="1"/>
      <c r="G351" s="1"/>
      <c r="H351" s="4"/>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5.75" customHeight="1">
      <c r="A352" s="1"/>
      <c r="B352" s="1"/>
      <c r="C352" s="1"/>
      <c r="D352" s="1"/>
      <c r="E352" s="1"/>
      <c r="F352" s="1"/>
      <c r="G352" s="1"/>
      <c r="H352" s="4"/>
      <c r="I352" s="4"/>
      <c r="J352" s="4"/>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5.75" customHeight="1">
      <c r="A353" s="1"/>
      <c r="B353" s="1"/>
      <c r="C353" s="1"/>
      <c r="D353" s="1"/>
      <c r="E353" s="1"/>
      <c r="F353" s="1"/>
      <c r="G353" s="1"/>
      <c r="H353" s="4"/>
      <c r="I353" s="4"/>
      <c r="J353" s="4"/>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5.75" customHeight="1">
      <c r="A354" s="1"/>
      <c r="B354" s="1"/>
      <c r="C354" s="1"/>
      <c r="D354" s="1"/>
      <c r="E354" s="1"/>
      <c r="F354" s="1"/>
      <c r="G354" s="1"/>
      <c r="H354" s="4"/>
      <c r="I354" s="4"/>
      <c r="J354" s="4"/>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5.75" customHeight="1">
      <c r="A355" s="1"/>
      <c r="B355" s="1"/>
      <c r="C355" s="1"/>
      <c r="D355" s="1"/>
      <c r="E355" s="1"/>
      <c r="F355" s="1"/>
      <c r="G355" s="1"/>
      <c r="H355" s="4"/>
      <c r="I355" s="4"/>
      <c r="J355" s="4"/>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5.75" customHeight="1">
      <c r="A356" s="1"/>
      <c r="B356" s="1"/>
      <c r="C356" s="1"/>
      <c r="D356" s="1"/>
      <c r="E356" s="1"/>
      <c r="F356" s="1"/>
      <c r="G356" s="1"/>
      <c r="H356" s="4"/>
      <c r="I356" s="4"/>
      <c r="J356" s="4"/>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5.75" customHeight="1">
      <c r="A357" s="1"/>
      <c r="B357" s="1"/>
      <c r="C357" s="1"/>
      <c r="D357" s="1"/>
      <c r="E357" s="1"/>
      <c r="F357" s="1"/>
      <c r="G357" s="1"/>
      <c r="H357" s="4"/>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5.75" customHeight="1">
      <c r="A358" s="1"/>
      <c r="B358" s="1"/>
      <c r="C358" s="1"/>
      <c r="D358" s="1"/>
      <c r="E358" s="1"/>
      <c r="F358" s="1"/>
      <c r="G358" s="1"/>
      <c r="H358" s="4"/>
      <c r="I358" s="4"/>
      <c r="J358" s="4"/>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5.75" customHeight="1">
      <c r="A359" s="1"/>
      <c r="B359" s="1"/>
      <c r="C359" s="1"/>
      <c r="D359" s="1"/>
      <c r="E359" s="1"/>
      <c r="F359" s="1"/>
      <c r="G359" s="1"/>
      <c r="H359" s="4"/>
      <c r="I359" s="4"/>
      <c r="J359" s="4"/>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5.75" customHeight="1">
      <c r="A360" s="1"/>
      <c r="B360" s="1"/>
      <c r="C360" s="1"/>
      <c r="D360" s="1"/>
      <c r="E360" s="1"/>
      <c r="F360" s="1"/>
      <c r="G360" s="1"/>
      <c r="H360" s="4"/>
      <c r="I360" s="4"/>
      <c r="J360" s="4"/>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5.75" customHeight="1">
      <c r="A361" s="1"/>
      <c r="B361" s="1"/>
      <c r="C361" s="1"/>
      <c r="D361" s="1"/>
      <c r="E361" s="1"/>
      <c r="F361" s="1"/>
      <c r="G361" s="1"/>
      <c r="H361" s="4"/>
      <c r="I361" s="4"/>
      <c r="J361" s="4"/>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5.75" customHeight="1">
      <c r="A362" s="1"/>
      <c r="B362" s="1"/>
      <c r="C362" s="1"/>
      <c r="D362" s="1"/>
      <c r="E362" s="1"/>
      <c r="F362" s="1"/>
      <c r="G362" s="1"/>
      <c r="H362" s="4"/>
      <c r="I362" s="4"/>
      <c r="J362" s="4"/>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5.75" customHeight="1">
      <c r="A363" s="1"/>
      <c r="B363" s="1"/>
      <c r="C363" s="1"/>
      <c r="D363" s="1"/>
      <c r="E363" s="1"/>
      <c r="F363" s="1"/>
      <c r="G363" s="1"/>
      <c r="H363" s="4"/>
      <c r="I363" s="4"/>
      <c r="J363" s="4"/>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5.75" customHeight="1">
      <c r="A364" s="1"/>
      <c r="B364" s="1"/>
      <c r="C364" s="1"/>
      <c r="D364" s="1"/>
      <c r="E364" s="1"/>
      <c r="F364" s="1"/>
      <c r="G364" s="1"/>
      <c r="H364" s="4"/>
      <c r="I364" s="4"/>
      <c r="J364" s="4"/>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5.75" customHeight="1">
      <c r="A365" s="1"/>
      <c r="B365" s="1"/>
      <c r="C365" s="1"/>
      <c r="D365" s="1"/>
      <c r="E365" s="1"/>
      <c r="F365" s="1"/>
      <c r="G365" s="1"/>
      <c r="H365" s="4"/>
      <c r="I365" s="4"/>
      <c r="J365" s="4"/>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5.75" customHeight="1">
      <c r="A366" s="1"/>
      <c r="B366" s="1"/>
      <c r="C366" s="1"/>
      <c r="D366" s="1"/>
      <c r="E366" s="1"/>
      <c r="F366" s="1"/>
      <c r="G366" s="1"/>
      <c r="H366" s="4"/>
      <c r="I366" s="4"/>
      <c r="J366" s="4"/>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5.75" customHeight="1">
      <c r="A367" s="1"/>
      <c r="B367" s="1"/>
      <c r="C367" s="1"/>
      <c r="D367" s="1"/>
      <c r="E367" s="1"/>
      <c r="F367" s="1"/>
      <c r="G367" s="1"/>
      <c r="H367" s="4"/>
      <c r="I367" s="4"/>
      <c r="J367" s="4"/>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5.75" customHeight="1">
      <c r="A368" s="1"/>
      <c r="B368" s="1"/>
      <c r="C368" s="1"/>
      <c r="D368" s="1"/>
      <c r="E368" s="1"/>
      <c r="F368" s="1"/>
      <c r="G368" s="1"/>
      <c r="H368" s="4"/>
      <c r="I368" s="4"/>
      <c r="J368" s="4"/>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5.75" customHeight="1">
      <c r="A369" s="1"/>
      <c r="B369" s="1"/>
      <c r="C369" s="1"/>
      <c r="D369" s="1"/>
      <c r="E369" s="1"/>
      <c r="F369" s="1"/>
      <c r="G369" s="1"/>
      <c r="H369" s="4"/>
      <c r="I369" s="4"/>
      <c r="J369" s="4"/>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5.75" customHeight="1">
      <c r="A370" s="1"/>
      <c r="B370" s="1"/>
      <c r="C370" s="1"/>
      <c r="D370" s="1"/>
      <c r="E370" s="1"/>
      <c r="F370" s="1"/>
      <c r="G370" s="1"/>
      <c r="H370" s="4"/>
      <c r="I370" s="4"/>
      <c r="J370" s="4"/>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5.75" customHeight="1">
      <c r="A371" s="1"/>
      <c r="B371" s="1"/>
      <c r="C371" s="1"/>
      <c r="D371" s="1"/>
      <c r="E371" s="1"/>
      <c r="F371" s="1"/>
      <c r="G371" s="1"/>
      <c r="H371" s="4"/>
      <c r="I371" s="4"/>
      <c r="J371" s="4"/>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5.75" customHeight="1">
      <c r="A372" s="1"/>
      <c r="B372" s="1"/>
      <c r="C372" s="1"/>
      <c r="D372" s="1"/>
      <c r="E372" s="1"/>
      <c r="F372" s="1"/>
      <c r="G372" s="1"/>
      <c r="H372" s="4"/>
      <c r="I372" s="4"/>
      <c r="J372" s="4"/>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5.75" customHeight="1">
      <c r="A373" s="1"/>
      <c r="B373" s="1"/>
      <c r="C373" s="1"/>
      <c r="D373" s="1"/>
      <c r="E373" s="1"/>
      <c r="F373" s="1"/>
      <c r="G373" s="1"/>
      <c r="H373" s="4"/>
      <c r="I373" s="4"/>
      <c r="J373" s="4"/>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5.75" customHeight="1">
      <c r="A374" s="1"/>
      <c r="B374" s="1"/>
      <c r="C374" s="1"/>
      <c r="D374" s="1"/>
      <c r="E374" s="1"/>
      <c r="F374" s="1"/>
      <c r="G374" s="1"/>
      <c r="H374" s="4"/>
      <c r="I374" s="4"/>
      <c r="J374" s="4"/>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5.75" customHeight="1">
      <c r="A375" s="1"/>
      <c r="B375" s="1"/>
      <c r="C375" s="1"/>
      <c r="D375" s="1"/>
      <c r="E375" s="1"/>
      <c r="F375" s="1"/>
      <c r="G375" s="1"/>
      <c r="H375" s="4"/>
      <c r="I375" s="4"/>
      <c r="J375" s="4"/>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5.75" customHeight="1">
      <c r="A376" s="1"/>
      <c r="B376" s="1"/>
      <c r="C376" s="1"/>
      <c r="D376" s="1"/>
      <c r="E376" s="1"/>
      <c r="F376" s="1"/>
      <c r="G376" s="1"/>
      <c r="H376" s="4"/>
      <c r="I376" s="4"/>
      <c r="J376" s="4"/>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5.75" customHeight="1">
      <c r="A377" s="1"/>
      <c r="B377" s="1"/>
      <c r="C377" s="1"/>
      <c r="D377" s="1"/>
      <c r="E377" s="1"/>
      <c r="F377" s="1"/>
      <c r="G377" s="1"/>
      <c r="H377" s="4"/>
      <c r="I377" s="4"/>
      <c r="J377" s="4"/>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5.75" customHeight="1">
      <c r="A378" s="1"/>
      <c r="B378" s="1"/>
      <c r="C378" s="1"/>
      <c r="D378" s="1"/>
      <c r="E378" s="1"/>
      <c r="F378" s="1"/>
      <c r="G378" s="1"/>
      <c r="H378" s="4"/>
      <c r="I378" s="4"/>
      <c r="J378" s="4"/>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5.75" customHeight="1">
      <c r="A379" s="1"/>
      <c r="B379" s="1"/>
      <c r="C379" s="1"/>
      <c r="D379" s="1"/>
      <c r="E379" s="1"/>
      <c r="F379" s="1"/>
      <c r="G379" s="1"/>
      <c r="H379" s="4"/>
      <c r="I379" s="4"/>
      <c r="J379" s="4"/>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5.75" customHeight="1">
      <c r="A380" s="1"/>
      <c r="B380" s="1"/>
      <c r="C380" s="1"/>
      <c r="D380" s="1"/>
      <c r="E380" s="1"/>
      <c r="F380" s="1"/>
      <c r="G380" s="1"/>
      <c r="H380" s="4"/>
      <c r="I380" s="4"/>
      <c r="J380" s="4"/>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5.75" customHeight="1">
      <c r="A381" s="1"/>
      <c r="B381" s="1"/>
      <c r="C381" s="1"/>
      <c r="D381" s="1"/>
      <c r="E381" s="1"/>
      <c r="F381" s="1"/>
      <c r="G381" s="1"/>
      <c r="H381" s="4"/>
      <c r="I381" s="4"/>
      <c r="J381" s="4"/>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5.75" customHeight="1">
      <c r="A382" s="1"/>
      <c r="B382" s="1"/>
      <c r="C382" s="1"/>
      <c r="D382" s="1"/>
      <c r="E382" s="1"/>
      <c r="F382" s="1"/>
      <c r="G382" s="1"/>
      <c r="H382" s="4"/>
      <c r="I382" s="4"/>
      <c r="J382" s="4"/>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5.75" customHeight="1">
      <c r="A383" s="1"/>
      <c r="B383" s="1"/>
      <c r="C383" s="1"/>
      <c r="D383" s="1"/>
      <c r="E383" s="1"/>
      <c r="F383" s="1"/>
      <c r="G383" s="1"/>
      <c r="H383" s="4"/>
      <c r="I383" s="4"/>
      <c r="J383" s="4"/>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5.75" customHeight="1">
      <c r="A384" s="1"/>
      <c r="B384" s="1"/>
      <c r="C384" s="1"/>
      <c r="D384" s="1"/>
      <c r="E384" s="1"/>
      <c r="F384" s="1"/>
      <c r="G384" s="1"/>
      <c r="H384" s="4"/>
      <c r="I384" s="4"/>
      <c r="J384" s="4"/>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5.75" customHeight="1">
      <c r="A385" s="1"/>
      <c r="B385" s="1"/>
      <c r="C385" s="1"/>
      <c r="D385" s="1"/>
      <c r="E385" s="1"/>
      <c r="F385" s="1"/>
      <c r="G385" s="1"/>
      <c r="H385" s="4"/>
      <c r="I385" s="4"/>
      <c r="J385" s="4"/>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5.75" customHeight="1">
      <c r="A386" s="1"/>
      <c r="B386" s="1"/>
      <c r="C386" s="1"/>
      <c r="D386" s="1"/>
      <c r="E386" s="1"/>
      <c r="F386" s="1"/>
      <c r="G386" s="1"/>
      <c r="H386" s="4"/>
      <c r="I386" s="4"/>
      <c r="J386" s="4"/>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5.75" customHeight="1">
      <c r="A387" s="1"/>
      <c r="B387" s="1"/>
      <c r="C387" s="1"/>
      <c r="D387" s="1"/>
      <c r="E387" s="1"/>
      <c r="F387" s="1"/>
      <c r="G387" s="1"/>
      <c r="H387" s="4"/>
      <c r="I387" s="4"/>
      <c r="J387" s="4"/>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5.75" customHeight="1">
      <c r="A388" s="1"/>
      <c r="B388" s="1"/>
      <c r="C388" s="1"/>
      <c r="D388" s="1"/>
      <c r="E388" s="1"/>
      <c r="F388" s="1"/>
      <c r="G388" s="1"/>
      <c r="H388" s="4"/>
      <c r="I388" s="4"/>
      <c r="J388" s="4"/>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5.75" customHeight="1">
      <c r="A389" s="1"/>
      <c r="B389" s="1"/>
      <c r="C389" s="1"/>
      <c r="D389" s="1"/>
      <c r="E389" s="1"/>
      <c r="F389" s="1"/>
      <c r="G389" s="1"/>
      <c r="H389" s="4"/>
      <c r="I389" s="4"/>
      <c r="J389" s="4"/>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5.75" customHeight="1">
      <c r="A390" s="1"/>
      <c r="B390" s="1"/>
      <c r="C390" s="1"/>
      <c r="D390" s="1"/>
      <c r="E390" s="1"/>
      <c r="F390" s="1"/>
      <c r="G390" s="1"/>
      <c r="H390" s="4"/>
      <c r="I390" s="4"/>
      <c r="J390" s="4"/>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5.75" customHeight="1">
      <c r="A391" s="1"/>
      <c r="B391" s="1"/>
      <c r="C391" s="1"/>
      <c r="D391" s="1"/>
      <c r="E391" s="1"/>
      <c r="F391" s="1"/>
      <c r="G391" s="1"/>
      <c r="H391" s="4"/>
      <c r="I391" s="4"/>
      <c r="J391" s="4"/>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5.75" customHeight="1">
      <c r="A392" s="1"/>
      <c r="B392" s="1"/>
      <c r="C392" s="1"/>
      <c r="D392" s="1"/>
      <c r="E392" s="1"/>
      <c r="F392" s="1"/>
      <c r="G392" s="1"/>
      <c r="H392" s="4"/>
      <c r="I392" s="4"/>
      <c r="J392" s="4"/>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5.75" customHeight="1">
      <c r="A393" s="1"/>
      <c r="B393" s="1"/>
      <c r="C393" s="1"/>
      <c r="D393" s="1"/>
      <c r="E393" s="1"/>
      <c r="F393" s="1"/>
      <c r="G393" s="1"/>
      <c r="H393" s="4"/>
      <c r="I393" s="4"/>
      <c r="J393" s="4"/>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5.75" customHeight="1">
      <c r="A394" s="1"/>
      <c r="B394" s="1"/>
      <c r="C394" s="1"/>
      <c r="D394" s="1"/>
      <c r="E394" s="1"/>
      <c r="F394" s="1"/>
      <c r="G394" s="1"/>
      <c r="H394" s="4"/>
      <c r="I394" s="4"/>
      <c r="J394" s="4"/>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5.75" customHeight="1">
      <c r="A395" s="1"/>
      <c r="B395" s="1"/>
      <c r="C395" s="1"/>
      <c r="D395" s="1"/>
      <c r="E395" s="1"/>
      <c r="F395" s="1"/>
      <c r="G395" s="1"/>
      <c r="H395" s="4"/>
      <c r="I395" s="4"/>
      <c r="J395" s="4"/>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5.75" customHeight="1">
      <c r="A396" s="1"/>
      <c r="B396" s="1"/>
      <c r="C396" s="1"/>
      <c r="D396" s="1"/>
      <c r="E396" s="1"/>
      <c r="F396" s="1"/>
      <c r="G396" s="1"/>
      <c r="H396" s="4"/>
      <c r="I396" s="4"/>
      <c r="J396" s="4"/>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5.75" customHeight="1">
      <c r="A397" s="1"/>
      <c r="B397" s="1"/>
      <c r="C397" s="1"/>
      <c r="D397" s="1"/>
      <c r="E397" s="1"/>
      <c r="F397" s="1"/>
      <c r="G397" s="1"/>
      <c r="H397" s="4"/>
      <c r="I397" s="4"/>
      <c r="J397" s="4"/>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5.75" customHeight="1">
      <c r="A398" s="1"/>
      <c r="B398" s="1"/>
      <c r="C398" s="1"/>
      <c r="D398" s="1"/>
      <c r="E398" s="1"/>
      <c r="F398" s="1"/>
      <c r="G398" s="1"/>
      <c r="H398" s="4"/>
      <c r="I398" s="4"/>
      <c r="J398" s="4"/>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5.75" customHeight="1">
      <c r="A399" s="1"/>
      <c r="B399" s="1"/>
      <c r="C399" s="1"/>
      <c r="D399" s="1"/>
      <c r="E399" s="1"/>
      <c r="F399" s="1"/>
      <c r="G399" s="1"/>
      <c r="H399" s="4"/>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5.75" customHeight="1">
      <c r="A400" s="1"/>
      <c r="B400" s="1"/>
      <c r="C400" s="1"/>
      <c r="D400" s="1"/>
      <c r="E400" s="1"/>
      <c r="F400" s="1"/>
      <c r="G400" s="1"/>
      <c r="H400" s="4"/>
      <c r="I400" s="4"/>
      <c r="J400" s="4"/>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5.75" customHeight="1">
      <c r="A401" s="1"/>
      <c r="B401" s="1"/>
      <c r="C401" s="1"/>
      <c r="D401" s="1"/>
      <c r="E401" s="1"/>
      <c r="F401" s="1"/>
      <c r="G401" s="1"/>
      <c r="H401" s="4"/>
      <c r="I401" s="4"/>
      <c r="J401" s="4"/>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5.75" customHeight="1">
      <c r="A402" s="1"/>
      <c r="B402" s="1"/>
      <c r="C402" s="1"/>
      <c r="D402" s="1"/>
      <c r="E402" s="1"/>
      <c r="F402" s="1"/>
      <c r="G402" s="1"/>
      <c r="H402" s="4"/>
      <c r="I402" s="4"/>
      <c r="J402" s="4"/>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5.75" customHeight="1">
      <c r="A403" s="1"/>
      <c r="B403" s="1"/>
      <c r="C403" s="1"/>
      <c r="D403" s="1"/>
      <c r="E403" s="1"/>
      <c r="F403" s="1"/>
      <c r="G403" s="1"/>
      <c r="H403" s="4"/>
      <c r="I403" s="4"/>
      <c r="J403" s="4"/>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5.75" customHeight="1">
      <c r="A404" s="1"/>
      <c r="B404" s="1"/>
      <c r="C404" s="1"/>
      <c r="D404" s="1"/>
      <c r="E404" s="1"/>
      <c r="F404" s="1"/>
      <c r="G404" s="1"/>
      <c r="H404" s="4"/>
      <c r="I404" s="4"/>
      <c r="J404" s="4"/>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5.75" customHeight="1">
      <c r="A405" s="1"/>
      <c r="B405" s="1"/>
      <c r="C405" s="1"/>
      <c r="D405" s="1"/>
      <c r="E405" s="1"/>
      <c r="F405" s="1"/>
      <c r="G405" s="1"/>
      <c r="H405" s="4"/>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5.75" customHeight="1">
      <c r="A406" s="1"/>
      <c r="B406" s="1"/>
      <c r="C406" s="1"/>
      <c r="D406" s="1"/>
      <c r="E406" s="1"/>
      <c r="F406" s="1"/>
      <c r="G406" s="1"/>
      <c r="H406" s="4"/>
      <c r="I406" s="4"/>
      <c r="J406" s="4"/>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5.75" customHeight="1">
      <c r="A407" s="1"/>
      <c r="B407" s="1"/>
      <c r="C407" s="1"/>
      <c r="D407" s="1"/>
      <c r="E407" s="1"/>
      <c r="F407" s="1"/>
      <c r="G407" s="1"/>
      <c r="H407" s="4"/>
      <c r="I407" s="4"/>
      <c r="J407" s="4"/>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5.75" customHeight="1">
      <c r="A408" s="1"/>
      <c r="B408" s="1"/>
      <c r="C408" s="1"/>
      <c r="D408" s="1"/>
      <c r="E408" s="1"/>
      <c r="F408" s="1"/>
      <c r="G408" s="1"/>
      <c r="H408" s="4"/>
      <c r="I408" s="4"/>
      <c r="J408" s="4"/>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5.75" customHeight="1">
      <c r="A409" s="1"/>
      <c r="B409" s="1"/>
      <c r="C409" s="1"/>
      <c r="D409" s="1"/>
      <c r="E409" s="1"/>
      <c r="F409" s="1"/>
      <c r="G409" s="1"/>
      <c r="H409" s="4"/>
      <c r="I409" s="4"/>
      <c r="J409" s="4"/>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5.75" customHeight="1">
      <c r="A410" s="1"/>
      <c r="B410" s="1"/>
      <c r="C410" s="1"/>
      <c r="D410" s="1"/>
      <c r="E410" s="1"/>
      <c r="F410" s="1"/>
      <c r="G410" s="1"/>
      <c r="H410" s="4"/>
      <c r="I410" s="4"/>
      <c r="J410" s="4"/>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5.75" customHeight="1">
      <c r="A411" s="1"/>
      <c r="B411" s="1"/>
      <c r="C411" s="1"/>
      <c r="D411" s="1"/>
      <c r="E411" s="1"/>
      <c r="F411" s="1"/>
      <c r="G411" s="1"/>
      <c r="H411" s="4"/>
      <c r="I411" s="4"/>
      <c r="J411" s="4"/>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5.75" customHeight="1">
      <c r="A412" s="1"/>
      <c r="B412" s="1"/>
      <c r="C412" s="1"/>
      <c r="D412" s="1"/>
      <c r="E412" s="1"/>
      <c r="F412" s="1"/>
      <c r="G412" s="1"/>
      <c r="H412" s="4"/>
      <c r="I412" s="4"/>
      <c r="J412" s="4"/>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5.75" customHeight="1">
      <c r="A413" s="1"/>
      <c r="B413" s="1"/>
      <c r="C413" s="1"/>
      <c r="D413" s="1"/>
      <c r="E413" s="1"/>
      <c r="F413" s="1"/>
      <c r="G413" s="1"/>
      <c r="H413" s="4"/>
      <c r="I413" s="4"/>
      <c r="J413" s="4"/>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5.75" customHeight="1">
      <c r="A414" s="1"/>
      <c r="B414" s="1"/>
      <c r="C414" s="1"/>
      <c r="D414" s="1"/>
      <c r="E414" s="1"/>
      <c r="F414" s="1"/>
      <c r="G414" s="1"/>
      <c r="H414" s="4"/>
      <c r="I414" s="4"/>
      <c r="J414" s="4"/>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5.75" customHeight="1">
      <c r="A415" s="1"/>
      <c r="B415" s="1"/>
      <c r="C415" s="1"/>
      <c r="D415" s="1"/>
      <c r="E415" s="1"/>
      <c r="F415" s="1"/>
      <c r="G415" s="1"/>
      <c r="H415" s="4"/>
      <c r="I415" s="4"/>
      <c r="J415" s="4"/>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5.75" customHeight="1">
      <c r="A416" s="1"/>
      <c r="B416" s="1"/>
      <c r="C416" s="1"/>
      <c r="D416" s="1"/>
      <c r="E416" s="1"/>
      <c r="F416" s="1"/>
      <c r="G416" s="1"/>
      <c r="H416" s="4"/>
      <c r="I416" s="4"/>
      <c r="J416" s="4"/>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5.75" customHeight="1">
      <c r="A417" s="1"/>
      <c r="B417" s="1"/>
      <c r="C417" s="1"/>
      <c r="D417" s="1"/>
      <c r="E417" s="1"/>
      <c r="F417" s="1"/>
      <c r="G417" s="1"/>
      <c r="H417" s="4"/>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5.75" customHeight="1">
      <c r="A418" s="1"/>
      <c r="B418" s="1"/>
      <c r="C418" s="1"/>
      <c r="D418" s="1"/>
      <c r="E418" s="1"/>
      <c r="F418" s="1"/>
      <c r="G418" s="1"/>
      <c r="H418" s="4"/>
      <c r="I418" s="4"/>
      <c r="J418" s="4"/>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5.75" customHeight="1">
      <c r="A419" s="1"/>
      <c r="B419" s="1"/>
      <c r="C419" s="1"/>
      <c r="D419" s="1"/>
      <c r="E419" s="1"/>
      <c r="F419" s="1"/>
      <c r="G419" s="1"/>
      <c r="H419" s="4"/>
      <c r="I419" s="4"/>
      <c r="J419" s="4"/>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5.75" customHeight="1">
      <c r="A420" s="1"/>
      <c r="B420" s="1"/>
      <c r="C420" s="1"/>
      <c r="D420" s="1"/>
      <c r="E420" s="1"/>
      <c r="F420" s="1"/>
      <c r="G420" s="1"/>
      <c r="H420" s="4"/>
      <c r="I420" s="4"/>
      <c r="J420" s="4"/>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5.75" customHeight="1">
      <c r="A421" s="1"/>
      <c r="B421" s="1"/>
      <c r="C421" s="1"/>
      <c r="D421" s="1"/>
      <c r="E421" s="1"/>
      <c r="F421" s="1"/>
      <c r="G421" s="1"/>
      <c r="H421" s="4"/>
      <c r="I421" s="4"/>
      <c r="J421" s="4"/>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5.75" customHeight="1">
      <c r="A422" s="1"/>
      <c r="B422" s="1"/>
      <c r="C422" s="1"/>
      <c r="D422" s="1"/>
      <c r="E422" s="1"/>
      <c r="F422" s="1"/>
      <c r="G422" s="1"/>
      <c r="H422" s="4"/>
      <c r="I422" s="4"/>
      <c r="J422" s="4"/>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5.75" customHeight="1">
      <c r="A423" s="1"/>
      <c r="B423" s="1"/>
      <c r="C423" s="1"/>
      <c r="D423" s="1"/>
      <c r="E423" s="1"/>
      <c r="F423" s="1"/>
      <c r="G423" s="1"/>
      <c r="H423" s="4"/>
      <c r="I423" s="4"/>
      <c r="J423" s="4"/>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5.75" customHeight="1">
      <c r="A424" s="1"/>
      <c r="B424" s="1"/>
      <c r="C424" s="1"/>
      <c r="D424" s="1"/>
      <c r="E424" s="1"/>
      <c r="F424" s="1"/>
      <c r="G424" s="1"/>
      <c r="H424" s="4"/>
      <c r="I424" s="4"/>
      <c r="J424" s="4"/>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5.75" customHeight="1">
      <c r="A425" s="1"/>
      <c r="B425" s="1"/>
      <c r="C425" s="1"/>
      <c r="D425" s="1"/>
      <c r="E425" s="1"/>
      <c r="F425" s="1"/>
      <c r="G425" s="1"/>
      <c r="H425" s="4"/>
      <c r="I425" s="4"/>
      <c r="J425" s="4"/>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5.75" customHeight="1">
      <c r="A426" s="1"/>
      <c r="B426" s="1"/>
      <c r="C426" s="1"/>
      <c r="D426" s="1"/>
      <c r="E426" s="1"/>
      <c r="F426" s="1"/>
      <c r="G426" s="1"/>
      <c r="H426" s="4"/>
      <c r="I426" s="4"/>
      <c r="J426" s="4"/>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5.75" customHeight="1">
      <c r="A427" s="1"/>
      <c r="B427" s="1"/>
      <c r="C427" s="1"/>
      <c r="D427" s="1"/>
      <c r="E427" s="1"/>
      <c r="F427" s="1"/>
      <c r="G427" s="1"/>
      <c r="H427" s="4"/>
      <c r="I427" s="4"/>
      <c r="J427" s="4"/>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5.75" customHeight="1">
      <c r="A428" s="1"/>
      <c r="B428" s="1"/>
      <c r="C428" s="1"/>
      <c r="D428" s="1"/>
      <c r="E428" s="1"/>
      <c r="F428" s="1"/>
      <c r="G428" s="1"/>
      <c r="H428" s="4"/>
      <c r="I428" s="4"/>
      <c r="J428" s="4"/>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5.75" customHeight="1">
      <c r="A429" s="1"/>
      <c r="B429" s="1"/>
      <c r="C429" s="1"/>
      <c r="D429" s="1"/>
      <c r="E429" s="1"/>
      <c r="F429" s="1"/>
      <c r="G429" s="1"/>
      <c r="H429" s="4"/>
      <c r="I429" s="4"/>
      <c r="J429" s="4"/>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5.75" customHeight="1">
      <c r="A430" s="1"/>
      <c r="B430" s="1"/>
      <c r="C430" s="1"/>
      <c r="D430" s="1"/>
      <c r="E430" s="1"/>
      <c r="F430" s="1"/>
      <c r="G430" s="1"/>
      <c r="H430" s="4"/>
      <c r="I430" s="4"/>
      <c r="J430" s="4"/>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5.75" customHeight="1">
      <c r="A431" s="1"/>
      <c r="B431" s="1"/>
      <c r="C431" s="1"/>
      <c r="D431" s="1"/>
      <c r="E431" s="1"/>
      <c r="F431" s="1"/>
      <c r="G431" s="1"/>
      <c r="H431" s="4"/>
      <c r="I431" s="4"/>
      <c r="J431" s="4"/>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5.75" customHeight="1">
      <c r="A432" s="1"/>
      <c r="B432" s="1"/>
      <c r="C432" s="1"/>
      <c r="D432" s="1"/>
      <c r="E432" s="1"/>
      <c r="F432" s="1"/>
      <c r="G432" s="1"/>
      <c r="H432" s="4"/>
      <c r="I432" s="4"/>
      <c r="J432" s="4"/>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5.75" customHeight="1">
      <c r="A433" s="1"/>
      <c r="B433" s="1"/>
      <c r="C433" s="1"/>
      <c r="D433" s="1"/>
      <c r="E433" s="1"/>
      <c r="F433" s="1"/>
      <c r="G433" s="1"/>
      <c r="H433" s="4"/>
      <c r="I433" s="4"/>
      <c r="J433" s="4"/>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5.75" customHeight="1">
      <c r="A434" s="1"/>
      <c r="B434" s="1"/>
      <c r="C434" s="1"/>
      <c r="D434" s="1"/>
      <c r="E434" s="1"/>
      <c r="F434" s="1"/>
      <c r="G434" s="1"/>
      <c r="H434" s="4"/>
      <c r="I434" s="4"/>
      <c r="J434" s="4"/>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5.75" customHeight="1">
      <c r="A435" s="1"/>
      <c r="B435" s="1"/>
      <c r="C435" s="1"/>
      <c r="D435" s="1"/>
      <c r="E435" s="1"/>
      <c r="F435" s="1"/>
      <c r="G435" s="1"/>
      <c r="H435" s="4"/>
      <c r="I435" s="4"/>
      <c r="J435" s="4"/>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5.75" customHeight="1">
      <c r="A436" s="1"/>
      <c r="B436" s="1"/>
      <c r="C436" s="1"/>
      <c r="D436" s="1"/>
      <c r="E436" s="1"/>
      <c r="F436" s="1"/>
      <c r="G436" s="1"/>
      <c r="H436" s="4"/>
      <c r="I436" s="4"/>
      <c r="J436" s="4"/>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5.75" customHeight="1">
      <c r="A437" s="1"/>
      <c r="B437" s="1"/>
      <c r="C437" s="1"/>
      <c r="D437" s="1"/>
      <c r="E437" s="1"/>
      <c r="F437" s="1"/>
      <c r="G437" s="1"/>
      <c r="H437" s="4"/>
      <c r="I437" s="4"/>
      <c r="J437" s="4"/>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5.75" customHeight="1">
      <c r="A438" s="1"/>
      <c r="B438" s="1"/>
      <c r="C438" s="1"/>
      <c r="D438" s="1"/>
      <c r="E438" s="1"/>
      <c r="F438" s="1"/>
      <c r="G438" s="1"/>
      <c r="H438" s="4"/>
      <c r="I438" s="4"/>
      <c r="J438" s="4"/>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5.75" customHeight="1">
      <c r="A439" s="1"/>
      <c r="B439" s="1"/>
      <c r="C439" s="1"/>
      <c r="D439" s="1"/>
      <c r="E439" s="1"/>
      <c r="F439" s="1"/>
      <c r="G439" s="1"/>
      <c r="H439" s="4"/>
      <c r="I439" s="4"/>
      <c r="J439" s="4"/>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5.75" customHeight="1">
      <c r="A440" s="1"/>
      <c r="B440" s="1"/>
      <c r="C440" s="1"/>
      <c r="D440" s="1"/>
      <c r="E440" s="1"/>
      <c r="F440" s="1"/>
      <c r="G440" s="1"/>
      <c r="H440" s="4"/>
      <c r="I440" s="4"/>
      <c r="J440" s="4"/>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5.75" customHeight="1">
      <c r="A441" s="1"/>
      <c r="B441" s="1"/>
      <c r="C441" s="1"/>
      <c r="D441" s="1"/>
      <c r="E441" s="1"/>
      <c r="F441" s="1"/>
      <c r="G441" s="1"/>
      <c r="H441" s="4"/>
      <c r="I441" s="4"/>
      <c r="J441" s="4"/>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5.75" customHeight="1">
      <c r="A442" s="1"/>
      <c r="B442" s="1"/>
      <c r="C442" s="1"/>
      <c r="D442" s="1"/>
      <c r="E442" s="1"/>
      <c r="F442" s="1"/>
      <c r="G442" s="1"/>
      <c r="H442" s="4"/>
      <c r="I442" s="4"/>
      <c r="J442" s="4"/>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5.75" customHeight="1">
      <c r="A443" s="1"/>
      <c r="B443" s="1"/>
      <c r="C443" s="1"/>
      <c r="D443" s="1"/>
      <c r="E443" s="1"/>
      <c r="F443" s="1"/>
      <c r="G443" s="1"/>
      <c r="H443" s="4"/>
      <c r="I443" s="4"/>
      <c r="J443" s="4"/>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5.75" customHeight="1">
      <c r="A444" s="1"/>
      <c r="B444" s="1"/>
      <c r="C444" s="1"/>
      <c r="D444" s="1"/>
      <c r="E444" s="1"/>
      <c r="F444" s="1"/>
      <c r="G444" s="1"/>
      <c r="H444" s="4"/>
      <c r="I444" s="4"/>
      <c r="J444" s="4"/>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5.75" customHeight="1">
      <c r="A445" s="1"/>
      <c r="B445" s="1"/>
      <c r="C445" s="1"/>
      <c r="D445" s="1"/>
      <c r="E445" s="1"/>
      <c r="F445" s="1"/>
      <c r="G445" s="1"/>
      <c r="H445" s="4"/>
      <c r="I445" s="4"/>
      <c r="J445" s="4"/>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5.75" customHeight="1">
      <c r="A446" s="1"/>
      <c r="B446" s="1"/>
      <c r="C446" s="1"/>
      <c r="D446" s="1"/>
      <c r="E446" s="1"/>
      <c r="F446" s="1"/>
      <c r="G446" s="1"/>
      <c r="H446" s="4"/>
      <c r="I446" s="4"/>
      <c r="J446" s="4"/>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5.75" customHeight="1">
      <c r="A447" s="1"/>
      <c r="B447" s="1"/>
      <c r="C447" s="1"/>
      <c r="D447" s="1"/>
      <c r="E447" s="1"/>
      <c r="F447" s="1"/>
      <c r="G447" s="1"/>
      <c r="H447" s="4"/>
      <c r="I447" s="4"/>
      <c r="J447" s="4"/>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5.75" customHeight="1">
      <c r="A448" s="1"/>
      <c r="B448" s="1"/>
      <c r="C448" s="1"/>
      <c r="D448" s="1"/>
      <c r="E448" s="1"/>
      <c r="F448" s="1"/>
      <c r="G448" s="1"/>
      <c r="H448" s="4"/>
      <c r="I448" s="4"/>
      <c r="J448" s="4"/>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5.75" customHeight="1">
      <c r="A449" s="1"/>
      <c r="B449" s="1"/>
      <c r="C449" s="1"/>
      <c r="D449" s="1"/>
      <c r="E449" s="1"/>
      <c r="F449" s="1"/>
      <c r="G449" s="1"/>
      <c r="H449" s="4"/>
      <c r="I449" s="4"/>
      <c r="J449" s="4"/>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5.75" customHeight="1">
      <c r="A450" s="1"/>
      <c r="B450" s="1"/>
      <c r="C450" s="1"/>
      <c r="D450" s="1"/>
      <c r="E450" s="1"/>
      <c r="F450" s="1"/>
      <c r="G450" s="1"/>
      <c r="H450" s="4"/>
      <c r="I450" s="4"/>
      <c r="J450" s="4"/>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5.75" customHeight="1">
      <c r="A451" s="1"/>
      <c r="B451" s="1"/>
      <c r="C451" s="1"/>
      <c r="D451" s="1"/>
      <c r="E451" s="1"/>
      <c r="F451" s="1"/>
      <c r="G451" s="1"/>
      <c r="H451" s="4"/>
      <c r="I451" s="4"/>
      <c r="J451" s="4"/>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5.75" customHeight="1">
      <c r="A452" s="1"/>
      <c r="B452" s="1"/>
      <c r="C452" s="1"/>
      <c r="D452" s="1"/>
      <c r="E452" s="1"/>
      <c r="F452" s="1"/>
      <c r="G452" s="1"/>
      <c r="H452" s="4"/>
      <c r="I452" s="4"/>
      <c r="J452" s="4"/>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5.75" customHeight="1">
      <c r="A453" s="1"/>
      <c r="B453" s="1"/>
      <c r="C453" s="1"/>
      <c r="D453" s="1"/>
      <c r="E453" s="1"/>
      <c r="F453" s="1"/>
      <c r="G453" s="1"/>
      <c r="H453" s="4"/>
      <c r="I453" s="4"/>
      <c r="J453" s="4"/>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5.75" customHeight="1">
      <c r="A454" s="1"/>
      <c r="B454" s="1"/>
      <c r="C454" s="1"/>
      <c r="D454" s="1"/>
      <c r="E454" s="1"/>
      <c r="F454" s="1"/>
      <c r="G454" s="1"/>
      <c r="H454" s="4"/>
      <c r="I454" s="4"/>
      <c r="J454" s="4"/>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5.75" customHeight="1">
      <c r="A455" s="1"/>
      <c r="B455" s="1"/>
      <c r="C455" s="1"/>
      <c r="D455" s="1"/>
      <c r="E455" s="1"/>
      <c r="F455" s="1"/>
      <c r="G455" s="1"/>
      <c r="H455" s="4"/>
      <c r="I455" s="4"/>
      <c r="J455" s="4"/>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5.75" customHeight="1">
      <c r="A456" s="1"/>
      <c r="B456" s="1"/>
      <c r="C456" s="1"/>
      <c r="D456" s="1"/>
      <c r="E456" s="1"/>
      <c r="F456" s="1"/>
      <c r="G456" s="1"/>
      <c r="H456" s="4"/>
      <c r="I456" s="4"/>
      <c r="J456" s="4"/>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5.75" customHeight="1">
      <c r="A457" s="1"/>
      <c r="B457" s="1"/>
      <c r="C457" s="1"/>
      <c r="D457" s="1"/>
      <c r="E457" s="1"/>
      <c r="F457" s="1"/>
      <c r="G457" s="1"/>
      <c r="H457" s="4"/>
      <c r="I457" s="4"/>
      <c r="J457" s="4"/>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5.75" customHeight="1">
      <c r="A458" s="1"/>
      <c r="B458" s="1"/>
      <c r="C458" s="1"/>
      <c r="D458" s="1"/>
      <c r="E458" s="1"/>
      <c r="F458" s="1"/>
      <c r="G458" s="1"/>
      <c r="H458" s="4"/>
      <c r="I458" s="4"/>
      <c r="J458" s="4"/>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5.75" customHeight="1">
      <c r="A459" s="1"/>
      <c r="B459" s="1"/>
      <c r="C459" s="1"/>
      <c r="D459" s="1"/>
      <c r="E459" s="1"/>
      <c r="F459" s="1"/>
      <c r="G459" s="1"/>
      <c r="H459" s="4"/>
      <c r="I459" s="4"/>
      <c r="J459" s="4"/>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5.75" customHeight="1">
      <c r="A460" s="1"/>
      <c r="B460" s="1"/>
      <c r="C460" s="1"/>
      <c r="D460" s="1"/>
      <c r="E460" s="1"/>
      <c r="F460" s="1"/>
      <c r="G460" s="1"/>
      <c r="H460" s="4"/>
      <c r="I460" s="4"/>
      <c r="J460" s="4"/>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5.75" customHeight="1">
      <c r="A461" s="1"/>
      <c r="B461" s="1"/>
      <c r="C461" s="1"/>
      <c r="D461" s="1"/>
      <c r="E461" s="1"/>
      <c r="F461" s="1"/>
      <c r="G461" s="1"/>
      <c r="H461" s="4"/>
      <c r="I461" s="4"/>
      <c r="J461" s="4"/>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5.75" customHeight="1">
      <c r="A462" s="1"/>
      <c r="B462" s="1"/>
      <c r="C462" s="1"/>
      <c r="D462" s="1"/>
      <c r="E462" s="1"/>
      <c r="F462" s="1"/>
      <c r="G462" s="1"/>
      <c r="H462" s="4"/>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5.75" customHeight="1">
      <c r="A463" s="1"/>
      <c r="B463" s="1"/>
      <c r="C463" s="1"/>
      <c r="D463" s="1"/>
      <c r="E463" s="1"/>
      <c r="F463" s="1"/>
      <c r="G463" s="1"/>
      <c r="H463" s="4"/>
      <c r="I463" s="4"/>
      <c r="J463" s="4"/>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5.75" customHeight="1">
      <c r="A464" s="1"/>
      <c r="B464" s="1"/>
      <c r="C464" s="1"/>
      <c r="D464" s="1"/>
      <c r="E464" s="1"/>
      <c r="F464" s="1"/>
      <c r="G464" s="1"/>
      <c r="H464" s="4"/>
      <c r="I464" s="4"/>
      <c r="J464" s="4"/>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5.75" customHeight="1">
      <c r="A465" s="1"/>
      <c r="B465" s="1"/>
      <c r="C465" s="1"/>
      <c r="D465" s="1"/>
      <c r="E465" s="1"/>
      <c r="F465" s="1"/>
      <c r="G465" s="1"/>
      <c r="H465" s="4"/>
      <c r="I465" s="4"/>
      <c r="J465" s="4"/>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5.75" customHeight="1">
      <c r="A466" s="1"/>
      <c r="B466" s="1"/>
      <c r="C466" s="1"/>
      <c r="D466" s="1"/>
      <c r="E466" s="1"/>
      <c r="F466" s="1"/>
      <c r="G466" s="1"/>
      <c r="H466" s="4"/>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5.75" customHeight="1">
      <c r="A467" s="1"/>
      <c r="B467" s="1"/>
      <c r="C467" s="1"/>
      <c r="D467" s="1"/>
      <c r="E467" s="1"/>
      <c r="F467" s="1"/>
      <c r="G467" s="1"/>
      <c r="H467" s="4"/>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5.75" customHeight="1">
      <c r="A468" s="1"/>
      <c r="B468" s="1"/>
      <c r="C468" s="1"/>
      <c r="D468" s="1"/>
      <c r="E468" s="1"/>
      <c r="F468" s="1"/>
      <c r="G468" s="1"/>
      <c r="H468" s="4"/>
      <c r="I468" s="4"/>
      <c r="J468" s="4"/>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5.75" customHeight="1">
      <c r="A469" s="1"/>
      <c r="B469" s="1"/>
      <c r="C469" s="1"/>
      <c r="D469" s="1"/>
      <c r="E469" s="1"/>
      <c r="F469" s="1"/>
      <c r="G469" s="1"/>
      <c r="H469" s="4"/>
      <c r="I469" s="4"/>
      <c r="J469" s="4"/>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5.75" customHeight="1">
      <c r="A470" s="1"/>
      <c r="B470" s="1"/>
      <c r="C470" s="1"/>
      <c r="D470" s="1"/>
      <c r="E470" s="1"/>
      <c r="F470" s="1"/>
      <c r="G470" s="1"/>
      <c r="H470" s="4"/>
      <c r="I470" s="4"/>
      <c r="J470" s="4"/>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5.75" customHeight="1">
      <c r="A471" s="1"/>
      <c r="B471" s="1"/>
      <c r="C471" s="1"/>
      <c r="D471" s="1"/>
      <c r="E471" s="1"/>
      <c r="F471" s="1"/>
      <c r="G471" s="1"/>
      <c r="H471" s="4"/>
      <c r="I471" s="4"/>
      <c r="J471" s="4"/>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5.75" customHeight="1">
      <c r="A472" s="1"/>
      <c r="B472" s="1"/>
      <c r="C472" s="1"/>
      <c r="D472" s="1"/>
      <c r="E472" s="1"/>
      <c r="F472" s="1"/>
      <c r="G472" s="1"/>
      <c r="H472" s="4"/>
      <c r="I472" s="4"/>
      <c r="J472" s="4"/>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5.75" customHeight="1">
      <c r="A473" s="1"/>
      <c r="B473" s="1"/>
      <c r="C473" s="1"/>
      <c r="D473" s="1"/>
      <c r="E473" s="1"/>
      <c r="F473" s="1"/>
      <c r="G473" s="1"/>
      <c r="H473" s="4"/>
      <c r="I473" s="4"/>
      <c r="J473" s="4"/>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5.75" customHeight="1">
      <c r="A474" s="1"/>
      <c r="B474" s="1"/>
      <c r="C474" s="1"/>
      <c r="D474" s="1"/>
      <c r="E474" s="1"/>
      <c r="F474" s="1"/>
      <c r="G474" s="1"/>
      <c r="H474" s="4"/>
      <c r="I474" s="4"/>
      <c r="J474" s="4"/>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5.75" customHeight="1">
      <c r="A475" s="1"/>
      <c r="B475" s="1"/>
      <c r="C475" s="1"/>
      <c r="D475" s="1"/>
      <c r="E475" s="1"/>
      <c r="F475" s="1"/>
      <c r="G475" s="1"/>
      <c r="H475" s="4"/>
      <c r="I475" s="4"/>
      <c r="J475" s="4"/>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5.75" customHeight="1">
      <c r="A476" s="1"/>
      <c r="B476" s="1"/>
      <c r="C476" s="1"/>
      <c r="D476" s="1"/>
      <c r="E476" s="1"/>
      <c r="F476" s="1"/>
      <c r="G476" s="1"/>
      <c r="H476" s="4"/>
      <c r="I476" s="4"/>
      <c r="J476" s="4"/>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5.75" customHeight="1">
      <c r="A477" s="1"/>
      <c r="B477" s="1"/>
      <c r="C477" s="1"/>
      <c r="D477" s="1"/>
      <c r="E477" s="1"/>
      <c r="F477" s="1"/>
      <c r="G477" s="1"/>
      <c r="H477" s="4"/>
      <c r="I477" s="4"/>
      <c r="J477" s="4"/>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5.75" customHeight="1">
      <c r="A478" s="1"/>
      <c r="B478" s="1"/>
      <c r="C478" s="1"/>
      <c r="D478" s="1"/>
      <c r="E478" s="1"/>
      <c r="F478" s="1"/>
      <c r="G478" s="1"/>
      <c r="H478" s="4"/>
      <c r="I478" s="4"/>
      <c r="J478" s="4"/>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5.75" customHeight="1">
      <c r="A479" s="1"/>
      <c r="B479" s="1"/>
      <c r="C479" s="1"/>
      <c r="D479" s="1"/>
      <c r="E479" s="1"/>
      <c r="F479" s="1"/>
      <c r="G479" s="1"/>
      <c r="H479" s="4"/>
      <c r="I479" s="4"/>
      <c r="J479" s="4"/>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5.75" customHeight="1">
      <c r="A480" s="1"/>
      <c r="B480" s="1"/>
      <c r="C480" s="1"/>
      <c r="D480" s="1"/>
      <c r="E480" s="1"/>
      <c r="F480" s="1"/>
      <c r="G480" s="1"/>
      <c r="H480" s="4"/>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5.75" customHeight="1">
      <c r="A481" s="1"/>
      <c r="B481" s="1"/>
      <c r="C481" s="1"/>
      <c r="D481" s="1"/>
      <c r="E481" s="1"/>
      <c r="F481" s="1"/>
      <c r="G481" s="1"/>
      <c r="H481" s="4"/>
      <c r="I481" s="4"/>
      <c r="J481" s="4"/>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5.75" customHeight="1">
      <c r="A482" s="1"/>
      <c r="B482" s="1"/>
      <c r="C482" s="1"/>
      <c r="D482" s="1"/>
      <c r="E482" s="1"/>
      <c r="F482" s="1"/>
      <c r="G482" s="1"/>
      <c r="H482" s="4"/>
      <c r="I482" s="4"/>
      <c r="J482" s="4"/>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5.75" customHeight="1">
      <c r="A483" s="1"/>
      <c r="B483" s="1"/>
      <c r="C483" s="1"/>
      <c r="D483" s="1"/>
      <c r="E483" s="1"/>
      <c r="F483" s="1"/>
      <c r="G483" s="1"/>
      <c r="H483" s="4"/>
      <c r="I483" s="4"/>
      <c r="J483" s="4"/>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5.75" customHeight="1">
      <c r="A484" s="1"/>
      <c r="B484" s="1"/>
      <c r="C484" s="1"/>
      <c r="D484" s="1"/>
      <c r="E484" s="1"/>
      <c r="F484" s="1"/>
      <c r="G484" s="1"/>
      <c r="H484" s="4"/>
      <c r="I484" s="4"/>
      <c r="J484" s="4"/>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5.75" customHeight="1">
      <c r="A485" s="1"/>
      <c r="B485" s="1"/>
      <c r="C485" s="1"/>
      <c r="D485" s="1"/>
      <c r="E485" s="1"/>
      <c r="F485" s="1"/>
      <c r="G485" s="1"/>
      <c r="H485" s="4"/>
      <c r="I485" s="4"/>
      <c r="J485" s="4"/>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5.75" customHeight="1">
      <c r="A486" s="1"/>
      <c r="B486" s="1"/>
      <c r="C486" s="1"/>
      <c r="D486" s="1"/>
      <c r="E486" s="1"/>
      <c r="F486" s="1"/>
      <c r="G486" s="1"/>
      <c r="H486" s="4"/>
      <c r="I486" s="4"/>
      <c r="J486" s="4"/>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5.75" customHeight="1">
      <c r="A487" s="1"/>
      <c r="B487" s="1"/>
      <c r="C487" s="1"/>
      <c r="D487" s="1"/>
      <c r="E487" s="1"/>
      <c r="F487" s="1"/>
      <c r="G487" s="1"/>
      <c r="H487" s="4"/>
      <c r="I487" s="4"/>
      <c r="J487" s="4"/>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5.75" customHeight="1">
      <c r="A488" s="1"/>
      <c r="B488" s="1"/>
      <c r="C488" s="1"/>
      <c r="D488" s="1"/>
      <c r="E488" s="1"/>
      <c r="F488" s="1"/>
      <c r="G488" s="1"/>
      <c r="H488" s="4"/>
      <c r="I488" s="4"/>
      <c r="J488" s="4"/>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5.75" customHeight="1">
      <c r="A489" s="1"/>
      <c r="B489" s="1"/>
      <c r="C489" s="1"/>
      <c r="D489" s="1"/>
      <c r="E489" s="1"/>
      <c r="F489" s="1"/>
      <c r="G489" s="1"/>
      <c r="H489" s="4"/>
      <c r="I489" s="4"/>
      <c r="J489" s="4"/>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5.75" customHeight="1">
      <c r="A490" s="1"/>
      <c r="B490" s="1"/>
      <c r="C490" s="1"/>
      <c r="D490" s="1"/>
      <c r="E490" s="1"/>
      <c r="F490" s="1"/>
      <c r="G490" s="1"/>
      <c r="H490" s="4"/>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5.75" customHeight="1">
      <c r="A491" s="1"/>
      <c r="B491" s="1"/>
      <c r="C491" s="1"/>
      <c r="D491" s="1"/>
      <c r="E491" s="1"/>
      <c r="F491" s="1"/>
      <c r="G491" s="1"/>
      <c r="H491" s="4"/>
      <c r="I491" s="4"/>
      <c r="J491" s="4"/>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5.75" customHeight="1">
      <c r="A492" s="1"/>
      <c r="B492" s="1"/>
      <c r="C492" s="1"/>
      <c r="D492" s="1"/>
      <c r="E492" s="1"/>
      <c r="F492" s="1"/>
      <c r="G492" s="1"/>
      <c r="H492" s="4"/>
      <c r="I492" s="4"/>
      <c r="J492" s="4"/>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5.75" customHeight="1">
      <c r="A493" s="1"/>
      <c r="B493" s="1"/>
      <c r="C493" s="1"/>
      <c r="D493" s="1"/>
      <c r="E493" s="1"/>
      <c r="F493" s="1"/>
      <c r="G493" s="1"/>
      <c r="H493" s="4"/>
      <c r="I493" s="4"/>
      <c r="J493" s="4"/>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5.75" customHeight="1">
      <c r="A494" s="1"/>
      <c r="B494" s="1"/>
      <c r="C494" s="1"/>
      <c r="D494" s="1"/>
      <c r="E494" s="1"/>
      <c r="F494" s="1"/>
      <c r="G494" s="1"/>
      <c r="H494" s="4"/>
      <c r="I494" s="4"/>
      <c r="J494" s="4"/>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5.75" customHeight="1">
      <c r="A495" s="1"/>
      <c r="B495" s="1"/>
      <c r="C495" s="1"/>
      <c r="D495" s="1"/>
      <c r="E495" s="1"/>
      <c r="F495" s="1"/>
      <c r="G495" s="1"/>
      <c r="H495" s="4"/>
      <c r="I495" s="4"/>
      <c r="J495" s="4"/>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5.75" customHeight="1">
      <c r="A496" s="1"/>
      <c r="B496" s="1"/>
      <c r="C496" s="1"/>
      <c r="D496" s="1"/>
      <c r="E496" s="1"/>
      <c r="F496" s="1"/>
      <c r="G496" s="1"/>
      <c r="H496" s="4"/>
      <c r="I496" s="4"/>
      <c r="J496" s="4"/>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5.75" customHeight="1">
      <c r="A497" s="1"/>
      <c r="B497" s="1"/>
      <c r="C497" s="1"/>
      <c r="D497" s="1"/>
      <c r="E497" s="1"/>
      <c r="F497" s="1"/>
      <c r="G497" s="1"/>
      <c r="H497" s="4"/>
      <c r="I497" s="4"/>
      <c r="J497" s="4"/>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5.75" customHeight="1">
      <c r="A498" s="1"/>
      <c r="B498" s="1"/>
      <c r="C498" s="1"/>
      <c r="D498" s="1"/>
      <c r="E498" s="1"/>
      <c r="F498" s="1"/>
      <c r="G498" s="1"/>
      <c r="H498" s="4"/>
      <c r="I498" s="4"/>
      <c r="J498" s="4"/>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5.75" customHeight="1">
      <c r="A499" s="1"/>
      <c r="B499" s="1"/>
      <c r="C499" s="1"/>
      <c r="D499" s="1"/>
      <c r="E499" s="1"/>
      <c r="F499" s="1"/>
      <c r="G499" s="1"/>
      <c r="H499" s="4"/>
      <c r="I499" s="4"/>
      <c r="J499" s="4"/>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5.75" customHeight="1">
      <c r="A500" s="1"/>
      <c r="B500" s="1"/>
      <c r="C500" s="1"/>
      <c r="D500" s="1"/>
      <c r="E500" s="1"/>
      <c r="F500" s="1"/>
      <c r="G500" s="1"/>
      <c r="H500" s="4"/>
      <c r="I500" s="4"/>
      <c r="J500" s="4"/>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5.75" customHeight="1">
      <c r="A501" s="1"/>
      <c r="B501" s="1"/>
      <c r="C501" s="1"/>
      <c r="D501" s="1"/>
      <c r="E501" s="1"/>
      <c r="F501" s="1"/>
      <c r="G501" s="1"/>
      <c r="H501" s="4"/>
      <c r="I501" s="4"/>
      <c r="J501" s="4"/>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5.75" customHeight="1">
      <c r="A502" s="1"/>
      <c r="B502" s="1"/>
      <c r="C502" s="1"/>
      <c r="D502" s="1"/>
      <c r="E502" s="1"/>
      <c r="F502" s="1"/>
      <c r="G502" s="1"/>
      <c r="H502" s="4"/>
      <c r="I502" s="4"/>
      <c r="J502" s="4"/>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5.75" customHeight="1">
      <c r="A503" s="1"/>
      <c r="B503" s="1"/>
      <c r="C503" s="1"/>
      <c r="D503" s="1"/>
      <c r="E503" s="1"/>
      <c r="F503" s="1"/>
      <c r="G503" s="1"/>
      <c r="H503" s="4"/>
      <c r="I503" s="4"/>
      <c r="J503" s="4"/>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5.75" customHeight="1">
      <c r="A504" s="1"/>
      <c r="B504" s="1"/>
      <c r="C504" s="1"/>
      <c r="D504" s="1"/>
      <c r="E504" s="1"/>
      <c r="F504" s="1"/>
      <c r="G504" s="1"/>
      <c r="H504" s="4"/>
      <c r="I504" s="4"/>
      <c r="J504" s="4"/>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5.75" customHeight="1">
      <c r="A505" s="1"/>
      <c r="B505" s="1"/>
      <c r="C505" s="1"/>
      <c r="D505" s="1"/>
      <c r="E505" s="1"/>
      <c r="F505" s="1"/>
      <c r="G505" s="1"/>
      <c r="H505" s="4"/>
      <c r="I505" s="4"/>
      <c r="J505" s="4"/>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5.75" customHeight="1">
      <c r="A506" s="1"/>
      <c r="B506" s="1"/>
      <c r="C506" s="1"/>
      <c r="D506" s="1"/>
      <c r="E506" s="1"/>
      <c r="F506" s="1"/>
      <c r="G506" s="1"/>
      <c r="H506" s="4"/>
      <c r="I506" s="4"/>
      <c r="J506" s="4"/>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5.75" customHeight="1">
      <c r="A507" s="1"/>
      <c r="B507" s="1"/>
      <c r="C507" s="1"/>
      <c r="D507" s="1"/>
      <c r="E507" s="1"/>
      <c r="F507" s="1"/>
      <c r="G507" s="1"/>
      <c r="H507" s="4"/>
      <c r="I507" s="4"/>
      <c r="J507" s="4"/>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5.75" customHeight="1">
      <c r="A508" s="1"/>
      <c r="B508" s="1"/>
      <c r="C508" s="1"/>
      <c r="D508" s="1"/>
      <c r="E508" s="1"/>
      <c r="F508" s="1"/>
      <c r="G508" s="1"/>
      <c r="H508" s="4"/>
      <c r="I508" s="4"/>
      <c r="J508" s="4"/>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5.75" customHeight="1">
      <c r="A509" s="1"/>
      <c r="B509" s="1"/>
      <c r="C509" s="1"/>
      <c r="D509" s="1"/>
      <c r="E509" s="1"/>
      <c r="F509" s="1"/>
      <c r="G509" s="1"/>
      <c r="H509" s="4"/>
      <c r="I509" s="4"/>
      <c r="J509" s="4"/>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5.75" customHeight="1">
      <c r="A510" s="1"/>
      <c r="B510" s="1"/>
      <c r="C510" s="1"/>
      <c r="D510" s="1"/>
      <c r="E510" s="1"/>
      <c r="F510" s="1"/>
      <c r="G510" s="1"/>
      <c r="H510" s="4"/>
      <c r="I510" s="4"/>
      <c r="J510" s="4"/>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5.75" customHeight="1">
      <c r="A511" s="1"/>
      <c r="B511" s="1"/>
      <c r="C511" s="1"/>
      <c r="D511" s="1"/>
      <c r="E511" s="1"/>
      <c r="F511" s="1"/>
      <c r="G511" s="1"/>
      <c r="H511" s="4"/>
      <c r="I511" s="4"/>
      <c r="J511" s="4"/>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5.75" customHeight="1">
      <c r="A512" s="1"/>
      <c r="B512" s="1"/>
      <c r="C512" s="1"/>
      <c r="D512" s="1"/>
      <c r="E512" s="1"/>
      <c r="F512" s="1"/>
      <c r="G512" s="1"/>
      <c r="H512" s="4"/>
      <c r="I512" s="4"/>
      <c r="J512" s="4"/>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5.75" customHeight="1">
      <c r="A513" s="1"/>
      <c r="B513" s="1"/>
      <c r="C513" s="1"/>
      <c r="D513" s="1"/>
      <c r="E513" s="1"/>
      <c r="F513" s="1"/>
      <c r="G513" s="1"/>
      <c r="H513" s="4"/>
      <c r="I513" s="4"/>
      <c r="J513" s="4"/>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5.75" customHeight="1">
      <c r="A514" s="1"/>
      <c r="B514" s="1"/>
      <c r="C514" s="1"/>
      <c r="D514" s="1"/>
      <c r="E514" s="1"/>
      <c r="F514" s="1"/>
      <c r="G514" s="1"/>
      <c r="H514" s="4"/>
      <c r="I514" s="4"/>
      <c r="J514" s="4"/>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5.75" customHeight="1">
      <c r="A515" s="1"/>
      <c r="B515" s="1"/>
      <c r="C515" s="1"/>
      <c r="D515" s="1"/>
      <c r="E515" s="1"/>
      <c r="F515" s="1"/>
      <c r="G515" s="1"/>
      <c r="H515" s="4"/>
      <c r="I515" s="4"/>
      <c r="J515" s="4"/>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5.75" customHeight="1">
      <c r="A516" s="1"/>
      <c r="B516" s="1"/>
      <c r="C516" s="1"/>
      <c r="D516" s="1"/>
      <c r="E516" s="1"/>
      <c r="F516" s="1"/>
      <c r="G516" s="1"/>
      <c r="H516" s="4"/>
      <c r="I516" s="4"/>
      <c r="J516" s="4"/>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5.75" customHeight="1">
      <c r="A517" s="1"/>
      <c r="B517" s="1"/>
      <c r="C517" s="1"/>
      <c r="D517" s="1"/>
      <c r="E517" s="1"/>
      <c r="F517" s="1"/>
      <c r="G517" s="1"/>
      <c r="H517" s="4"/>
      <c r="I517" s="4"/>
      <c r="J517" s="4"/>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5.75" customHeight="1">
      <c r="A518" s="1"/>
      <c r="B518" s="1"/>
      <c r="C518" s="1"/>
      <c r="D518" s="1"/>
      <c r="E518" s="1"/>
      <c r="F518" s="1"/>
      <c r="G518" s="1"/>
      <c r="H518" s="4"/>
      <c r="I518" s="4"/>
      <c r="J518" s="4"/>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5.75" customHeight="1">
      <c r="A519" s="1"/>
      <c r="B519" s="1"/>
      <c r="C519" s="1"/>
      <c r="D519" s="1"/>
      <c r="E519" s="1"/>
      <c r="F519" s="1"/>
      <c r="G519" s="1"/>
      <c r="H519" s="4"/>
      <c r="I519" s="4"/>
      <c r="J519" s="4"/>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5.75" customHeight="1">
      <c r="A520" s="1"/>
      <c r="B520" s="1"/>
      <c r="C520" s="1"/>
      <c r="D520" s="1"/>
      <c r="E520" s="1"/>
      <c r="F520" s="1"/>
      <c r="G520" s="1"/>
      <c r="H520" s="4"/>
      <c r="I520" s="4"/>
      <c r="J520" s="4"/>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5.75" customHeight="1">
      <c r="A521" s="1"/>
      <c r="B521" s="1"/>
      <c r="C521" s="1"/>
      <c r="D521" s="1"/>
      <c r="E521" s="1"/>
      <c r="F521" s="1"/>
      <c r="G521" s="1"/>
      <c r="H521" s="4"/>
      <c r="I521" s="4"/>
      <c r="J521" s="4"/>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5.75" customHeight="1">
      <c r="A522" s="1"/>
      <c r="B522" s="1"/>
      <c r="C522" s="1"/>
      <c r="D522" s="1"/>
      <c r="E522" s="1"/>
      <c r="F522" s="1"/>
      <c r="G522" s="1"/>
      <c r="H522" s="4"/>
      <c r="I522" s="4"/>
      <c r="J522" s="4"/>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5.75" customHeight="1">
      <c r="A523" s="1"/>
      <c r="B523" s="1"/>
      <c r="C523" s="1"/>
      <c r="D523" s="1"/>
      <c r="E523" s="1"/>
      <c r="F523" s="1"/>
      <c r="G523" s="1"/>
      <c r="H523" s="4"/>
      <c r="I523" s="4"/>
      <c r="J523" s="4"/>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5.75" customHeight="1">
      <c r="A524" s="1"/>
      <c r="B524" s="1"/>
      <c r="C524" s="1"/>
      <c r="D524" s="1"/>
      <c r="E524" s="1"/>
      <c r="F524" s="1"/>
      <c r="G524" s="1"/>
      <c r="H524" s="4"/>
      <c r="I524" s="4"/>
      <c r="J524" s="4"/>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5.75" customHeight="1">
      <c r="A525" s="1"/>
      <c r="B525" s="1"/>
      <c r="C525" s="1"/>
      <c r="D525" s="1"/>
      <c r="E525" s="1"/>
      <c r="F525" s="1"/>
      <c r="G525" s="1"/>
      <c r="H525" s="4"/>
      <c r="I525" s="4"/>
      <c r="J525" s="4"/>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5.75" customHeight="1">
      <c r="A526" s="1"/>
      <c r="B526" s="1"/>
      <c r="C526" s="1"/>
      <c r="D526" s="1"/>
      <c r="E526" s="1"/>
      <c r="F526" s="1"/>
      <c r="G526" s="1"/>
      <c r="H526" s="4"/>
      <c r="I526" s="4"/>
      <c r="J526" s="4"/>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5.75" customHeight="1">
      <c r="A527" s="1"/>
      <c r="B527" s="1"/>
      <c r="C527" s="1"/>
      <c r="D527" s="1"/>
      <c r="E527" s="1"/>
      <c r="F527" s="1"/>
      <c r="G527" s="1"/>
      <c r="H527" s="4"/>
      <c r="I527" s="4"/>
      <c r="J527" s="4"/>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5.75" customHeight="1">
      <c r="A528" s="1"/>
      <c r="B528" s="1"/>
      <c r="C528" s="1"/>
      <c r="D528" s="1"/>
      <c r="E528" s="1"/>
      <c r="F528" s="1"/>
      <c r="G528" s="1"/>
      <c r="H528" s="4"/>
      <c r="I528" s="4"/>
      <c r="J528" s="4"/>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5.75" customHeight="1">
      <c r="A529" s="1"/>
      <c r="B529" s="1"/>
      <c r="C529" s="1"/>
      <c r="D529" s="1"/>
      <c r="E529" s="1"/>
      <c r="F529" s="1"/>
      <c r="G529" s="1"/>
      <c r="H529" s="4"/>
      <c r="I529" s="4"/>
      <c r="J529" s="4"/>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5.75" customHeight="1">
      <c r="A530" s="1"/>
      <c r="B530" s="1"/>
      <c r="C530" s="1"/>
      <c r="D530" s="1"/>
      <c r="E530" s="1"/>
      <c r="F530" s="1"/>
      <c r="G530" s="1"/>
      <c r="H530" s="4"/>
      <c r="I530" s="4"/>
      <c r="J530" s="4"/>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5.75" customHeight="1">
      <c r="A531" s="1"/>
      <c r="B531" s="1"/>
      <c r="C531" s="1"/>
      <c r="D531" s="1"/>
      <c r="E531" s="1"/>
      <c r="F531" s="1"/>
      <c r="G531" s="1"/>
      <c r="H531" s="4"/>
      <c r="I531" s="4"/>
      <c r="J531" s="4"/>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5.75" customHeight="1">
      <c r="A532" s="1"/>
      <c r="B532" s="1"/>
      <c r="C532" s="1"/>
      <c r="D532" s="1"/>
      <c r="E532" s="1"/>
      <c r="F532" s="1"/>
      <c r="G532" s="1"/>
      <c r="H532" s="4"/>
      <c r="I532" s="4"/>
      <c r="J532" s="4"/>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5.75" customHeight="1">
      <c r="A533" s="1"/>
      <c r="B533" s="1"/>
      <c r="C533" s="1"/>
      <c r="D533" s="1"/>
      <c r="E533" s="1"/>
      <c r="F533" s="1"/>
      <c r="G533" s="1"/>
      <c r="H533" s="4"/>
      <c r="I533" s="4"/>
      <c r="J533" s="4"/>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5.75" customHeight="1">
      <c r="A534" s="1"/>
      <c r="B534" s="1"/>
      <c r="C534" s="1"/>
      <c r="D534" s="1"/>
      <c r="E534" s="1"/>
      <c r="F534" s="1"/>
      <c r="G534" s="1"/>
      <c r="H534" s="4"/>
      <c r="I534" s="4"/>
      <c r="J534" s="4"/>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5.75" customHeight="1">
      <c r="A535" s="1"/>
      <c r="B535" s="1"/>
      <c r="C535" s="1"/>
      <c r="D535" s="1"/>
      <c r="E535" s="1"/>
      <c r="F535" s="1"/>
      <c r="G535" s="1"/>
      <c r="H535" s="4"/>
      <c r="I535" s="4"/>
      <c r="J535" s="4"/>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5.75" customHeight="1">
      <c r="A536" s="1"/>
      <c r="B536" s="1"/>
      <c r="C536" s="1"/>
      <c r="D536" s="1"/>
      <c r="E536" s="1"/>
      <c r="F536" s="1"/>
      <c r="G536" s="1"/>
      <c r="H536" s="4"/>
      <c r="I536" s="4"/>
      <c r="J536" s="4"/>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5.75" customHeight="1">
      <c r="A537" s="1"/>
      <c r="B537" s="1"/>
      <c r="C537" s="1"/>
      <c r="D537" s="1"/>
      <c r="E537" s="1"/>
      <c r="F537" s="1"/>
      <c r="G537" s="1"/>
      <c r="H537" s="4"/>
      <c r="I537" s="4"/>
      <c r="J537" s="4"/>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5.75" customHeight="1">
      <c r="A538" s="1"/>
      <c r="B538" s="1"/>
      <c r="C538" s="1"/>
      <c r="D538" s="1"/>
      <c r="E538" s="1"/>
      <c r="F538" s="1"/>
      <c r="G538" s="1"/>
      <c r="H538" s="4"/>
      <c r="I538" s="4"/>
      <c r="J538" s="4"/>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5.75" customHeight="1">
      <c r="A539" s="1"/>
      <c r="B539" s="1"/>
      <c r="C539" s="1"/>
      <c r="D539" s="1"/>
      <c r="E539" s="1"/>
      <c r="F539" s="1"/>
      <c r="G539" s="1"/>
      <c r="H539" s="4"/>
      <c r="I539" s="4"/>
      <c r="J539" s="4"/>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5.75" customHeight="1">
      <c r="A540" s="1"/>
      <c r="B540" s="1"/>
      <c r="C540" s="1"/>
      <c r="D540" s="1"/>
      <c r="E540" s="1"/>
      <c r="F540" s="1"/>
      <c r="G540" s="1"/>
      <c r="H540" s="4"/>
      <c r="I540" s="4"/>
      <c r="J540" s="4"/>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5.75" customHeight="1">
      <c r="A541" s="1"/>
      <c r="B541" s="1"/>
      <c r="C541" s="1"/>
      <c r="D541" s="1"/>
      <c r="E541" s="1"/>
      <c r="F541" s="1"/>
      <c r="G541" s="1"/>
      <c r="H541" s="4"/>
      <c r="I541" s="4"/>
      <c r="J541" s="4"/>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5.75" customHeight="1">
      <c r="A542" s="1"/>
      <c r="B542" s="1"/>
      <c r="C542" s="1"/>
      <c r="D542" s="1"/>
      <c r="E542" s="1"/>
      <c r="F542" s="1"/>
      <c r="G542" s="1"/>
      <c r="H542" s="4"/>
      <c r="I542" s="4"/>
      <c r="J542" s="4"/>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5.75" customHeight="1">
      <c r="A543" s="1"/>
      <c r="B543" s="1"/>
      <c r="C543" s="1"/>
      <c r="D543" s="1"/>
      <c r="E543" s="1"/>
      <c r="F543" s="1"/>
      <c r="G543" s="1"/>
      <c r="H543" s="4"/>
      <c r="I543" s="4"/>
      <c r="J543" s="4"/>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5.75" customHeight="1">
      <c r="A544" s="1"/>
      <c r="B544" s="1"/>
      <c r="C544" s="1"/>
      <c r="D544" s="1"/>
      <c r="E544" s="1"/>
      <c r="F544" s="1"/>
      <c r="G544" s="1"/>
      <c r="H544" s="4"/>
      <c r="I544" s="4"/>
      <c r="J544" s="4"/>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5.75" customHeight="1">
      <c r="A545" s="1"/>
      <c r="B545" s="1"/>
      <c r="C545" s="1"/>
      <c r="D545" s="1"/>
      <c r="E545" s="1"/>
      <c r="F545" s="1"/>
      <c r="G545" s="1"/>
      <c r="H545" s="4"/>
      <c r="I545" s="4"/>
      <c r="J545" s="4"/>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5.75" customHeight="1">
      <c r="A546" s="1"/>
      <c r="B546" s="1"/>
      <c r="C546" s="1"/>
      <c r="D546" s="1"/>
      <c r="E546" s="1"/>
      <c r="F546" s="1"/>
      <c r="G546" s="1"/>
      <c r="H546" s="4"/>
      <c r="I546" s="4"/>
      <c r="J546" s="4"/>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5.75" customHeight="1">
      <c r="A547" s="1"/>
      <c r="B547" s="1"/>
      <c r="C547" s="1"/>
      <c r="D547" s="1"/>
      <c r="E547" s="1"/>
      <c r="F547" s="1"/>
      <c r="G547" s="1"/>
      <c r="H547" s="4"/>
      <c r="I547" s="4"/>
      <c r="J547" s="4"/>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5.75" customHeight="1">
      <c r="A548" s="1"/>
      <c r="B548" s="1"/>
      <c r="C548" s="1"/>
      <c r="D548" s="1"/>
      <c r="E548" s="1"/>
      <c r="F548" s="1"/>
      <c r="G548" s="1"/>
      <c r="H548" s="4"/>
      <c r="I548" s="4"/>
      <c r="J548" s="4"/>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5.75" customHeight="1">
      <c r="A549" s="1"/>
      <c r="B549" s="1"/>
      <c r="C549" s="1"/>
      <c r="D549" s="1"/>
      <c r="E549" s="1"/>
      <c r="F549" s="1"/>
      <c r="G549" s="1"/>
      <c r="H549" s="4"/>
      <c r="I549" s="4"/>
      <c r="J549" s="4"/>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5.75" customHeight="1">
      <c r="A550" s="1"/>
      <c r="B550" s="1"/>
      <c r="C550" s="1"/>
      <c r="D550" s="1"/>
      <c r="E550" s="1"/>
      <c r="F550" s="1"/>
      <c r="G550" s="1"/>
      <c r="H550" s="4"/>
      <c r="I550" s="4"/>
      <c r="J550" s="4"/>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5.75" customHeight="1">
      <c r="A551" s="1"/>
      <c r="B551" s="1"/>
      <c r="C551" s="1"/>
      <c r="D551" s="1"/>
      <c r="E551" s="1"/>
      <c r="F551" s="1"/>
      <c r="G551" s="1"/>
      <c r="H551" s="4"/>
      <c r="I551" s="4"/>
      <c r="J551" s="4"/>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5.75" customHeight="1">
      <c r="A552" s="1"/>
      <c r="B552" s="1"/>
      <c r="C552" s="1"/>
      <c r="D552" s="1"/>
      <c r="E552" s="1"/>
      <c r="F552" s="1"/>
      <c r="G552" s="1"/>
      <c r="H552" s="4"/>
      <c r="I552" s="4"/>
      <c r="J552" s="4"/>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5.75" customHeight="1">
      <c r="A553" s="1"/>
      <c r="B553" s="1"/>
      <c r="C553" s="1"/>
      <c r="D553" s="1"/>
      <c r="E553" s="1"/>
      <c r="F553" s="1"/>
      <c r="G553" s="1"/>
      <c r="H553" s="4"/>
      <c r="I553" s="4"/>
      <c r="J553" s="4"/>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5.75" customHeight="1">
      <c r="A554" s="1"/>
      <c r="B554" s="1"/>
      <c r="C554" s="1"/>
      <c r="D554" s="1"/>
      <c r="E554" s="1"/>
      <c r="F554" s="1"/>
      <c r="G554" s="1"/>
      <c r="H554" s="4"/>
      <c r="I554" s="4"/>
      <c r="J554" s="4"/>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5.75" customHeight="1">
      <c r="A555" s="1"/>
      <c r="B555" s="1"/>
      <c r="C555" s="1"/>
      <c r="D555" s="1"/>
      <c r="E555" s="1"/>
      <c r="F555" s="1"/>
      <c r="G555" s="1"/>
      <c r="H555" s="4"/>
      <c r="I555" s="4"/>
      <c r="J555" s="4"/>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5.75" customHeight="1">
      <c r="A556" s="1"/>
      <c r="B556" s="1"/>
      <c r="C556" s="1"/>
      <c r="D556" s="1"/>
      <c r="E556" s="1"/>
      <c r="F556" s="1"/>
      <c r="G556" s="1"/>
      <c r="H556" s="4"/>
      <c r="I556" s="4"/>
      <c r="J556" s="4"/>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5.75" customHeight="1">
      <c r="A557" s="1"/>
      <c r="B557" s="1"/>
      <c r="C557" s="1"/>
      <c r="D557" s="1"/>
      <c r="E557" s="1"/>
      <c r="F557" s="1"/>
      <c r="G557" s="1"/>
      <c r="H557" s="4"/>
      <c r="I557" s="4"/>
      <c r="J557" s="4"/>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5.75" customHeight="1">
      <c r="A558" s="1"/>
      <c r="B558" s="1"/>
      <c r="C558" s="1"/>
      <c r="D558" s="1"/>
      <c r="E558" s="1"/>
      <c r="F558" s="1"/>
      <c r="G558" s="1"/>
      <c r="H558" s="4"/>
      <c r="I558" s="4"/>
      <c r="J558" s="4"/>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5.75" customHeight="1">
      <c r="A559" s="1"/>
      <c r="B559" s="1"/>
      <c r="C559" s="1"/>
      <c r="D559" s="1"/>
      <c r="E559" s="1"/>
      <c r="F559" s="1"/>
      <c r="G559" s="1"/>
      <c r="H559" s="4"/>
      <c r="I559" s="4"/>
      <c r="J559" s="4"/>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5.75" customHeight="1">
      <c r="A560" s="1"/>
      <c r="B560" s="1"/>
      <c r="C560" s="1"/>
      <c r="D560" s="1"/>
      <c r="E560" s="1"/>
      <c r="F560" s="1"/>
      <c r="G560" s="1"/>
      <c r="H560" s="4"/>
      <c r="I560" s="4"/>
      <c r="J560" s="4"/>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5.75" customHeight="1">
      <c r="A561" s="1"/>
      <c r="B561" s="1"/>
      <c r="C561" s="1"/>
      <c r="D561" s="1"/>
      <c r="E561" s="1"/>
      <c r="F561" s="1"/>
      <c r="G561" s="1"/>
      <c r="H561" s="4"/>
      <c r="I561" s="4"/>
      <c r="J561" s="4"/>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5.75" customHeight="1">
      <c r="A562" s="1"/>
      <c r="B562" s="1"/>
      <c r="C562" s="1"/>
      <c r="D562" s="1"/>
      <c r="E562" s="1"/>
      <c r="F562" s="1"/>
      <c r="G562" s="1"/>
      <c r="H562" s="4"/>
      <c r="I562" s="4"/>
      <c r="J562" s="4"/>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5.75" customHeight="1">
      <c r="A563" s="1"/>
      <c r="B563" s="1"/>
      <c r="C563" s="1"/>
      <c r="D563" s="1"/>
      <c r="E563" s="1"/>
      <c r="F563" s="1"/>
      <c r="G563" s="1"/>
      <c r="H563" s="4"/>
      <c r="I563" s="4"/>
      <c r="J563" s="4"/>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5.75" customHeight="1">
      <c r="A564" s="1"/>
      <c r="B564" s="1"/>
      <c r="C564" s="1"/>
      <c r="D564" s="1"/>
      <c r="E564" s="1"/>
      <c r="F564" s="1"/>
      <c r="G564" s="1"/>
      <c r="H564" s="4"/>
      <c r="I564" s="4"/>
      <c r="J564" s="4"/>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5.75" customHeight="1">
      <c r="A565" s="1"/>
      <c r="B565" s="1"/>
      <c r="C565" s="1"/>
      <c r="D565" s="1"/>
      <c r="E565" s="1"/>
      <c r="F565" s="1"/>
      <c r="G565" s="1"/>
      <c r="H565" s="4"/>
      <c r="I565" s="4"/>
      <c r="J565" s="4"/>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5.75" customHeight="1">
      <c r="A566" s="1"/>
      <c r="B566" s="1"/>
      <c r="C566" s="1"/>
      <c r="D566" s="1"/>
      <c r="E566" s="1"/>
      <c r="F566" s="1"/>
      <c r="G566" s="1"/>
      <c r="H566" s="4"/>
      <c r="I566" s="4"/>
      <c r="J566" s="4"/>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5.75" customHeight="1">
      <c r="A567" s="1"/>
      <c r="B567" s="1"/>
      <c r="C567" s="1"/>
      <c r="D567" s="1"/>
      <c r="E567" s="1"/>
      <c r="F567" s="1"/>
      <c r="G567" s="1"/>
      <c r="H567" s="4"/>
      <c r="I567" s="4"/>
      <c r="J567" s="4"/>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5.75" customHeight="1">
      <c r="A568" s="1"/>
      <c r="B568" s="1"/>
      <c r="C568" s="1"/>
      <c r="D568" s="1"/>
      <c r="E568" s="1"/>
      <c r="F568" s="1"/>
      <c r="G568" s="1"/>
      <c r="H568" s="4"/>
      <c r="I568" s="4"/>
      <c r="J568" s="4"/>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5.75" customHeight="1">
      <c r="A569" s="1"/>
      <c r="B569" s="1"/>
      <c r="C569" s="1"/>
      <c r="D569" s="1"/>
      <c r="E569" s="1"/>
      <c r="F569" s="1"/>
      <c r="G569" s="1"/>
      <c r="H569" s="4"/>
      <c r="I569" s="4"/>
      <c r="J569" s="4"/>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5.75" customHeight="1">
      <c r="A570" s="1"/>
      <c r="B570" s="1"/>
      <c r="C570" s="1"/>
      <c r="D570" s="1"/>
      <c r="E570" s="1"/>
      <c r="F570" s="1"/>
      <c r="G570" s="1"/>
      <c r="H570" s="4"/>
      <c r="I570" s="4"/>
      <c r="J570" s="4"/>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5.75" customHeight="1">
      <c r="A571" s="1"/>
      <c r="B571" s="1"/>
      <c r="C571" s="1"/>
      <c r="D571" s="1"/>
      <c r="E571" s="1"/>
      <c r="F571" s="1"/>
      <c r="G571" s="1"/>
      <c r="H571" s="4"/>
      <c r="I571" s="4"/>
      <c r="J571" s="4"/>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5.75" customHeight="1">
      <c r="A572" s="1"/>
      <c r="B572" s="1"/>
      <c r="C572" s="1"/>
      <c r="D572" s="1"/>
      <c r="E572" s="1"/>
      <c r="F572" s="1"/>
      <c r="G572" s="1"/>
      <c r="H572" s="4"/>
      <c r="I572" s="4"/>
      <c r="J572" s="4"/>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5.75" customHeight="1">
      <c r="A573" s="1"/>
      <c r="B573" s="1"/>
      <c r="C573" s="1"/>
      <c r="D573" s="1"/>
      <c r="E573" s="1"/>
      <c r="F573" s="1"/>
      <c r="G573" s="1"/>
      <c r="H573" s="4"/>
      <c r="I573" s="4"/>
      <c r="J573" s="4"/>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5.75" customHeight="1">
      <c r="A574" s="1"/>
      <c r="B574" s="1"/>
      <c r="C574" s="1"/>
      <c r="D574" s="1"/>
      <c r="E574" s="1"/>
      <c r="F574" s="1"/>
      <c r="G574" s="1"/>
      <c r="H574" s="4"/>
      <c r="I574" s="4"/>
      <c r="J574" s="4"/>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5.75" customHeight="1">
      <c r="A575" s="1"/>
      <c r="B575" s="1"/>
      <c r="C575" s="1"/>
      <c r="D575" s="1"/>
      <c r="E575" s="1"/>
      <c r="F575" s="1"/>
      <c r="G575" s="1"/>
      <c r="H575" s="4"/>
      <c r="I575" s="4"/>
      <c r="J575" s="4"/>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5.75" customHeight="1">
      <c r="A576" s="1"/>
      <c r="B576" s="1"/>
      <c r="C576" s="1"/>
      <c r="D576" s="1"/>
      <c r="E576" s="1"/>
      <c r="F576" s="1"/>
      <c r="G576" s="1"/>
      <c r="H576" s="4"/>
      <c r="I576" s="4"/>
      <c r="J576" s="4"/>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5.75" customHeight="1">
      <c r="A577" s="1"/>
      <c r="B577" s="1"/>
      <c r="C577" s="1"/>
      <c r="D577" s="1"/>
      <c r="E577" s="1"/>
      <c r="F577" s="1"/>
      <c r="G577" s="1"/>
      <c r="H577" s="4"/>
      <c r="I577" s="4"/>
      <c r="J577" s="4"/>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5.75" customHeight="1">
      <c r="A578" s="1"/>
      <c r="B578" s="1"/>
      <c r="C578" s="1"/>
      <c r="D578" s="1"/>
      <c r="E578" s="1"/>
      <c r="F578" s="1"/>
      <c r="G578" s="1"/>
      <c r="H578" s="4"/>
      <c r="I578" s="4"/>
      <c r="J578" s="4"/>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5.75" customHeight="1">
      <c r="A579" s="1"/>
      <c r="B579" s="1"/>
      <c r="C579" s="1"/>
      <c r="D579" s="1"/>
      <c r="E579" s="1"/>
      <c r="F579" s="1"/>
      <c r="G579" s="1"/>
      <c r="H579" s="4"/>
      <c r="I579" s="4"/>
      <c r="J579" s="4"/>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5.75" customHeight="1">
      <c r="A580" s="1"/>
      <c r="B580" s="1"/>
      <c r="C580" s="1"/>
      <c r="D580" s="1"/>
      <c r="E580" s="1"/>
      <c r="F580" s="1"/>
      <c r="G580" s="1"/>
      <c r="H580" s="4"/>
      <c r="I580" s="4"/>
      <c r="J580" s="4"/>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5.75" customHeight="1">
      <c r="A581" s="1"/>
      <c r="B581" s="1"/>
      <c r="C581" s="1"/>
      <c r="D581" s="1"/>
      <c r="E581" s="1"/>
      <c r="F581" s="1"/>
      <c r="G581" s="1"/>
      <c r="H581" s="4"/>
      <c r="I581" s="4"/>
      <c r="J581" s="4"/>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5.75" customHeight="1">
      <c r="A582" s="1"/>
      <c r="B582" s="1"/>
      <c r="C582" s="1"/>
      <c r="D582" s="1"/>
      <c r="E582" s="1"/>
      <c r="F582" s="1"/>
      <c r="G582" s="1"/>
      <c r="H582" s="4"/>
      <c r="I582" s="4"/>
      <c r="J582" s="4"/>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5.75" customHeight="1">
      <c r="A583" s="1"/>
      <c r="B583" s="1"/>
      <c r="C583" s="1"/>
      <c r="D583" s="1"/>
      <c r="E583" s="1"/>
      <c r="F583" s="1"/>
      <c r="G583" s="1"/>
      <c r="H583" s="4"/>
      <c r="I583" s="4"/>
      <c r="J583" s="4"/>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5.75" customHeight="1">
      <c r="A584" s="1"/>
      <c r="B584" s="1"/>
      <c r="C584" s="1"/>
      <c r="D584" s="1"/>
      <c r="E584" s="1"/>
      <c r="F584" s="1"/>
      <c r="G584" s="1"/>
      <c r="H584" s="4"/>
      <c r="I584" s="4"/>
      <c r="J584" s="4"/>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5.75" customHeight="1">
      <c r="A585" s="1"/>
      <c r="B585" s="1"/>
      <c r="C585" s="1"/>
      <c r="D585" s="1"/>
      <c r="E585" s="1"/>
      <c r="F585" s="1"/>
      <c r="G585" s="1"/>
      <c r="H585" s="4"/>
      <c r="I585" s="4"/>
      <c r="J585" s="4"/>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5.75" customHeight="1">
      <c r="A586" s="1"/>
      <c r="B586" s="1"/>
      <c r="C586" s="1"/>
      <c r="D586" s="1"/>
      <c r="E586" s="1"/>
      <c r="F586" s="1"/>
      <c r="G586" s="1"/>
      <c r="H586" s="4"/>
      <c r="I586" s="4"/>
      <c r="J586" s="4"/>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5.75" customHeight="1">
      <c r="A587" s="1"/>
      <c r="B587" s="1"/>
      <c r="C587" s="1"/>
      <c r="D587" s="1"/>
      <c r="E587" s="1"/>
      <c r="F587" s="1"/>
      <c r="G587" s="1"/>
      <c r="H587" s="4"/>
      <c r="I587" s="4"/>
      <c r="J587" s="4"/>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5.75" customHeight="1">
      <c r="A588" s="1"/>
      <c r="B588" s="1"/>
      <c r="C588" s="1"/>
      <c r="D588" s="1"/>
      <c r="E588" s="1"/>
      <c r="F588" s="1"/>
      <c r="G588" s="1"/>
      <c r="H588" s="4"/>
      <c r="I588" s="4"/>
      <c r="J588" s="4"/>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5.75" customHeight="1">
      <c r="A589" s="1"/>
      <c r="B589" s="1"/>
      <c r="C589" s="1"/>
      <c r="D589" s="1"/>
      <c r="E589" s="1"/>
      <c r="F589" s="1"/>
      <c r="G589" s="1"/>
      <c r="H589" s="4"/>
      <c r="I589" s="4"/>
      <c r="J589" s="4"/>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5.75" customHeight="1">
      <c r="A590" s="1"/>
      <c r="B590" s="1"/>
      <c r="C590" s="1"/>
      <c r="D590" s="1"/>
      <c r="E590" s="1"/>
      <c r="F590" s="1"/>
      <c r="G590" s="1"/>
      <c r="H590" s="4"/>
      <c r="I590" s="4"/>
      <c r="J590" s="4"/>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5.75" customHeight="1">
      <c r="A591" s="1"/>
      <c r="B591" s="1"/>
      <c r="C591" s="1"/>
      <c r="D591" s="1"/>
      <c r="E591" s="1"/>
      <c r="F591" s="1"/>
      <c r="G591" s="1"/>
      <c r="H591" s="4"/>
      <c r="I591" s="4"/>
      <c r="J591" s="4"/>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5.75" customHeight="1">
      <c r="A592" s="1"/>
      <c r="B592" s="1"/>
      <c r="C592" s="1"/>
      <c r="D592" s="1"/>
      <c r="E592" s="1"/>
      <c r="F592" s="1"/>
      <c r="G592" s="1"/>
      <c r="H592" s="4"/>
      <c r="I592" s="4"/>
      <c r="J592" s="4"/>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5.75" customHeight="1">
      <c r="A593" s="1"/>
      <c r="B593" s="1"/>
      <c r="C593" s="1"/>
      <c r="D593" s="1"/>
      <c r="E593" s="1"/>
      <c r="F593" s="1"/>
      <c r="G593" s="1"/>
      <c r="H593" s="4"/>
      <c r="I593" s="4"/>
      <c r="J593" s="4"/>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5.75" customHeight="1">
      <c r="A594" s="1"/>
      <c r="B594" s="1"/>
      <c r="C594" s="1"/>
      <c r="D594" s="1"/>
      <c r="E594" s="1"/>
      <c r="F594" s="1"/>
      <c r="G594" s="1"/>
      <c r="H594" s="4"/>
      <c r="I594" s="4"/>
      <c r="J594" s="4"/>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5.75" customHeight="1">
      <c r="A595" s="1"/>
      <c r="B595" s="1"/>
      <c r="C595" s="1"/>
      <c r="D595" s="1"/>
      <c r="E595" s="1"/>
      <c r="F595" s="1"/>
      <c r="G595" s="1"/>
      <c r="H595" s="4"/>
      <c r="I595" s="4"/>
      <c r="J595" s="4"/>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5.75" customHeight="1">
      <c r="A596" s="1"/>
      <c r="B596" s="1"/>
      <c r="C596" s="1"/>
      <c r="D596" s="1"/>
      <c r="E596" s="1"/>
      <c r="F596" s="1"/>
      <c r="G596" s="1"/>
      <c r="H596" s="4"/>
      <c r="I596" s="4"/>
      <c r="J596" s="4"/>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5.75" customHeight="1">
      <c r="A597" s="1"/>
      <c r="B597" s="1"/>
      <c r="C597" s="1"/>
      <c r="D597" s="1"/>
      <c r="E597" s="1"/>
      <c r="F597" s="1"/>
      <c r="G597" s="1"/>
      <c r="H597" s="4"/>
      <c r="I597" s="4"/>
      <c r="J597" s="4"/>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5.75" customHeight="1">
      <c r="A598" s="1"/>
      <c r="B598" s="1"/>
      <c r="C598" s="1"/>
      <c r="D598" s="1"/>
      <c r="E598" s="1"/>
      <c r="F598" s="1"/>
      <c r="G598" s="1"/>
      <c r="H598" s="4"/>
      <c r="I598" s="4"/>
      <c r="J598" s="4"/>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5.75" customHeight="1">
      <c r="A599" s="1"/>
      <c r="B599" s="1"/>
      <c r="C599" s="1"/>
      <c r="D599" s="1"/>
      <c r="E599" s="1"/>
      <c r="F599" s="1"/>
      <c r="G599" s="1"/>
      <c r="H599" s="4"/>
      <c r="I599" s="4"/>
      <c r="J599" s="4"/>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5.75" customHeight="1">
      <c r="A600" s="1"/>
      <c r="B600" s="1"/>
      <c r="C600" s="1"/>
      <c r="D600" s="1"/>
      <c r="E600" s="1"/>
      <c r="F600" s="1"/>
      <c r="G600" s="1"/>
      <c r="H600" s="4"/>
      <c r="I600" s="4"/>
      <c r="J600" s="4"/>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5.75" customHeight="1">
      <c r="A601" s="1"/>
      <c r="B601" s="1"/>
      <c r="C601" s="1"/>
      <c r="D601" s="1"/>
      <c r="E601" s="1"/>
      <c r="F601" s="1"/>
      <c r="G601" s="1"/>
      <c r="H601" s="4"/>
      <c r="I601" s="4"/>
      <c r="J601" s="4"/>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5.75" customHeight="1">
      <c r="A602" s="1"/>
      <c r="B602" s="1"/>
      <c r="C602" s="1"/>
      <c r="D602" s="1"/>
      <c r="E602" s="1"/>
      <c r="F602" s="1"/>
      <c r="G602" s="1"/>
      <c r="H602" s="4"/>
      <c r="I602" s="4"/>
      <c r="J602" s="4"/>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5.75" customHeight="1">
      <c r="A603" s="1"/>
      <c r="B603" s="1"/>
      <c r="C603" s="1"/>
      <c r="D603" s="1"/>
      <c r="E603" s="1"/>
      <c r="F603" s="1"/>
      <c r="G603" s="1"/>
      <c r="H603" s="4"/>
      <c r="I603" s="4"/>
      <c r="J603" s="4"/>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5.75" customHeight="1">
      <c r="A604" s="1"/>
      <c r="B604" s="1"/>
      <c r="C604" s="1"/>
      <c r="D604" s="1"/>
      <c r="E604" s="1"/>
      <c r="F604" s="1"/>
      <c r="G604" s="1"/>
      <c r="H604" s="4"/>
      <c r="I604" s="4"/>
      <c r="J604" s="4"/>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5.75" customHeight="1">
      <c r="A605" s="1"/>
      <c r="B605" s="1"/>
      <c r="C605" s="1"/>
      <c r="D605" s="1"/>
      <c r="E605" s="1"/>
      <c r="F605" s="1"/>
      <c r="G605" s="1"/>
      <c r="H605" s="4"/>
      <c r="I605" s="4"/>
      <c r="J605" s="4"/>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5.75" customHeight="1">
      <c r="A606" s="1"/>
      <c r="B606" s="1"/>
      <c r="C606" s="1"/>
      <c r="D606" s="1"/>
      <c r="E606" s="1"/>
      <c r="F606" s="1"/>
      <c r="G606" s="1"/>
      <c r="H606" s="4"/>
      <c r="I606" s="4"/>
      <c r="J606" s="4"/>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5.75" customHeight="1">
      <c r="A607" s="1"/>
      <c r="B607" s="1"/>
      <c r="C607" s="1"/>
      <c r="D607" s="1"/>
      <c r="E607" s="1"/>
      <c r="F607" s="1"/>
      <c r="G607" s="1"/>
      <c r="H607" s="4"/>
      <c r="I607" s="4"/>
      <c r="J607" s="4"/>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5.75" customHeight="1">
      <c r="A608" s="1"/>
      <c r="B608" s="1"/>
      <c r="C608" s="1"/>
      <c r="D608" s="1"/>
      <c r="E608" s="1"/>
      <c r="F608" s="1"/>
      <c r="G608" s="1"/>
      <c r="H608" s="4"/>
      <c r="I608" s="4"/>
      <c r="J608" s="4"/>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5.75" customHeight="1">
      <c r="A609" s="1"/>
      <c r="B609" s="1"/>
      <c r="C609" s="1"/>
      <c r="D609" s="1"/>
      <c r="E609" s="1"/>
      <c r="F609" s="1"/>
      <c r="G609" s="1"/>
      <c r="H609" s="4"/>
      <c r="I609" s="4"/>
      <c r="J609" s="4"/>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5.75" customHeight="1">
      <c r="A610" s="1"/>
      <c r="B610" s="1"/>
      <c r="C610" s="1"/>
      <c r="D610" s="1"/>
      <c r="E610" s="1"/>
      <c r="F610" s="1"/>
      <c r="G610" s="1"/>
      <c r="H610" s="4"/>
      <c r="I610" s="4"/>
      <c r="J610" s="4"/>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5.75" customHeight="1">
      <c r="A611" s="1"/>
      <c r="B611" s="1"/>
      <c r="C611" s="1"/>
      <c r="D611" s="1"/>
      <c r="E611" s="1"/>
      <c r="F611" s="1"/>
      <c r="G611" s="1"/>
      <c r="H611" s="4"/>
      <c r="I611" s="4"/>
      <c r="J611" s="4"/>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5.75" customHeight="1">
      <c r="A612" s="1"/>
      <c r="B612" s="1"/>
      <c r="C612" s="1"/>
      <c r="D612" s="1"/>
      <c r="E612" s="1"/>
      <c r="F612" s="1"/>
      <c r="G612" s="1"/>
      <c r="H612" s="4"/>
      <c r="I612" s="4"/>
      <c r="J612" s="4"/>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5.75" customHeight="1">
      <c r="A613" s="1"/>
      <c r="B613" s="1"/>
      <c r="C613" s="1"/>
      <c r="D613" s="1"/>
      <c r="E613" s="1"/>
      <c r="F613" s="1"/>
      <c r="G613" s="1"/>
      <c r="H613" s="4"/>
      <c r="I613" s="4"/>
      <c r="J613" s="4"/>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5.75" customHeight="1">
      <c r="A614" s="1"/>
      <c r="B614" s="1"/>
      <c r="C614" s="1"/>
      <c r="D614" s="1"/>
      <c r="E614" s="1"/>
      <c r="F614" s="1"/>
      <c r="G614" s="1"/>
      <c r="H614" s="4"/>
      <c r="I614" s="4"/>
      <c r="J614" s="4"/>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5.75" customHeight="1">
      <c r="A615" s="1"/>
      <c r="B615" s="1"/>
      <c r="C615" s="1"/>
      <c r="D615" s="1"/>
      <c r="E615" s="1"/>
      <c r="F615" s="1"/>
      <c r="G615" s="1"/>
      <c r="H615" s="4"/>
      <c r="I615" s="4"/>
      <c r="J615" s="4"/>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5.75" customHeight="1">
      <c r="A616" s="1"/>
      <c r="B616" s="1"/>
      <c r="C616" s="1"/>
      <c r="D616" s="1"/>
      <c r="E616" s="1"/>
      <c r="F616" s="1"/>
      <c r="G616" s="1"/>
      <c r="H616" s="4"/>
      <c r="I616" s="4"/>
      <c r="J616" s="4"/>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5.75" customHeight="1">
      <c r="A617" s="1"/>
      <c r="B617" s="1"/>
      <c r="C617" s="1"/>
      <c r="D617" s="1"/>
      <c r="E617" s="1"/>
      <c r="F617" s="1"/>
      <c r="G617" s="1"/>
      <c r="H617" s="4"/>
      <c r="I617" s="4"/>
      <c r="J617" s="4"/>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5.75" customHeight="1">
      <c r="A618" s="1"/>
      <c r="B618" s="1"/>
      <c r="C618" s="1"/>
      <c r="D618" s="1"/>
      <c r="E618" s="1"/>
      <c r="F618" s="1"/>
      <c r="G618" s="1"/>
      <c r="H618" s="4"/>
      <c r="I618" s="4"/>
      <c r="J618" s="4"/>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5.75" customHeight="1">
      <c r="A619" s="1"/>
      <c r="B619" s="1"/>
      <c r="C619" s="1"/>
      <c r="D619" s="1"/>
      <c r="E619" s="1"/>
      <c r="F619" s="1"/>
      <c r="G619" s="1"/>
      <c r="H619" s="4"/>
      <c r="I619" s="4"/>
      <c r="J619" s="4"/>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5.75" customHeight="1">
      <c r="A620" s="1"/>
      <c r="B620" s="1"/>
      <c r="C620" s="1"/>
      <c r="D620" s="1"/>
      <c r="E620" s="1"/>
      <c r="F620" s="1"/>
      <c r="G620" s="1"/>
      <c r="H620" s="4"/>
      <c r="I620" s="4"/>
      <c r="J620" s="4"/>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5.75" customHeight="1">
      <c r="A621" s="1"/>
      <c r="B621" s="1"/>
      <c r="C621" s="1"/>
      <c r="D621" s="1"/>
      <c r="E621" s="1"/>
      <c r="F621" s="1"/>
      <c r="G621" s="1"/>
      <c r="H621" s="4"/>
      <c r="I621" s="4"/>
      <c r="J621" s="4"/>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5.75" customHeight="1">
      <c r="A622" s="1"/>
      <c r="B622" s="1"/>
      <c r="C622" s="1"/>
      <c r="D622" s="1"/>
      <c r="E622" s="1"/>
      <c r="F622" s="1"/>
      <c r="G622" s="1"/>
      <c r="H622" s="4"/>
      <c r="I622" s="4"/>
      <c r="J622" s="4"/>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5.75" customHeight="1">
      <c r="A623" s="1"/>
      <c r="B623" s="1"/>
      <c r="C623" s="1"/>
      <c r="D623" s="1"/>
      <c r="E623" s="1"/>
      <c r="F623" s="1"/>
      <c r="G623" s="1"/>
      <c r="H623" s="4"/>
      <c r="I623" s="4"/>
      <c r="J623" s="4"/>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5.75" customHeight="1">
      <c r="A624" s="1"/>
      <c r="B624" s="1"/>
      <c r="C624" s="1"/>
      <c r="D624" s="1"/>
      <c r="E624" s="1"/>
      <c r="F624" s="1"/>
      <c r="G624" s="1"/>
      <c r="H624" s="4"/>
      <c r="I624" s="4"/>
      <c r="J624" s="4"/>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5.75" customHeight="1">
      <c r="A625" s="1"/>
      <c r="B625" s="1"/>
      <c r="C625" s="1"/>
      <c r="D625" s="1"/>
      <c r="E625" s="1"/>
      <c r="F625" s="1"/>
      <c r="G625" s="1"/>
      <c r="H625" s="4"/>
      <c r="I625" s="4"/>
      <c r="J625" s="4"/>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5.75" customHeight="1">
      <c r="A626" s="1"/>
      <c r="B626" s="1"/>
      <c r="C626" s="1"/>
      <c r="D626" s="1"/>
      <c r="E626" s="1"/>
      <c r="F626" s="1"/>
      <c r="G626" s="1"/>
      <c r="H626" s="4"/>
      <c r="I626" s="4"/>
      <c r="J626" s="4"/>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5.75" customHeight="1">
      <c r="A627" s="1"/>
      <c r="B627" s="1"/>
      <c r="C627" s="1"/>
      <c r="D627" s="1"/>
      <c r="E627" s="1"/>
      <c r="F627" s="1"/>
      <c r="G627" s="1"/>
      <c r="H627" s="4"/>
      <c r="I627" s="4"/>
      <c r="J627" s="4"/>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5.75" customHeight="1">
      <c r="A628" s="1"/>
      <c r="B628" s="1"/>
      <c r="C628" s="1"/>
      <c r="D628" s="1"/>
      <c r="E628" s="1"/>
      <c r="F628" s="1"/>
      <c r="G628" s="1"/>
      <c r="H628" s="4"/>
      <c r="I628" s="4"/>
      <c r="J628" s="4"/>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5.75" customHeight="1">
      <c r="A629" s="1"/>
      <c r="B629" s="1"/>
      <c r="C629" s="1"/>
      <c r="D629" s="1"/>
      <c r="E629" s="1"/>
      <c r="F629" s="1"/>
      <c r="G629" s="1"/>
      <c r="H629" s="4"/>
      <c r="I629" s="4"/>
      <c r="J629" s="4"/>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5.75" customHeight="1">
      <c r="A630" s="1"/>
      <c r="B630" s="1"/>
      <c r="C630" s="1"/>
      <c r="D630" s="1"/>
      <c r="E630" s="1"/>
      <c r="F630" s="1"/>
      <c r="G630" s="1"/>
      <c r="H630" s="4"/>
      <c r="I630" s="4"/>
      <c r="J630" s="4"/>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5.75" customHeight="1">
      <c r="A631" s="1"/>
      <c r="B631" s="1"/>
      <c r="C631" s="1"/>
      <c r="D631" s="1"/>
      <c r="E631" s="1"/>
      <c r="F631" s="1"/>
      <c r="G631" s="1"/>
      <c r="H631" s="4"/>
      <c r="I631" s="4"/>
      <c r="J631" s="4"/>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5.75" customHeight="1">
      <c r="A632" s="1"/>
      <c r="B632" s="1"/>
      <c r="C632" s="1"/>
      <c r="D632" s="1"/>
      <c r="E632" s="1"/>
      <c r="F632" s="1"/>
      <c r="G632" s="1"/>
      <c r="H632" s="4"/>
      <c r="I632" s="4"/>
      <c r="J632" s="4"/>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5.75" customHeight="1">
      <c r="A633" s="1"/>
      <c r="B633" s="1"/>
      <c r="C633" s="1"/>
      <c r="D633" s="1"/>
      <c r="E633" s="1"/>
      <c r="F633" s="1"/>
      <c r="G633" s="1"/>
      <c r="H633" s="4"/>
      <c r="I633" s="4"/>
      <c r="J633" s="4"/>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5.75" customHeight="1">
      <c r="A634" s="1"/>
      <c r="B634" s="1"/>
      <c r="C634" s="1"/>
      <c r="D634" s="1"/>
      <c r="E634" s="1"/>
      <c r="F634" s="1"/>
      <c r="G634" s="1"/>
      <c r="H634" s="4"/>
      <c r="I634" s="4"/>
      <c r="J634" s="4"/>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5.75" customHeight="1">
      <c r="A635" s="1"/>
      <c r="B635" s="1"/>
      <c r="C635" s="1"/>
      <c r="D635" s="1"/>
      <c r="E635" s="1"/>
      <c r="F635" s="1"/>
      <c r="G635" s="1"/>
      <c r="H635" s="4"/>
      <c r="I635" s="4"/>
      <c r="J635" s="4"/>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5.75" customHeight="1">
      <c r="A636" s="1"/>
      <c r="B636" s="1"/>
      <c r="C636" s="1"/>
      <c r="D636" s="1"/>
      <c r="E636" s="1"/>
      <c r="F636" s="1"/>
      <c r="G636" s="1"/>
      <c r="H636" s="4"/>
      <c r="I636" s="4"/>
      <c r="J636" s="4"/>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5.75" customHeight="1">
      <c r="A637" s="1"/>
      <c r="B637" s="1"/>
      <c r="C637" s="1"/>
      <c r="D637" s="1"/>
      <c r="E637" s="1"/>
      <c r="F637" s="1"/>
      <c r="G637" s="1"/>
      <c r="H637" s="4"/>
      <c r="I637" s="4"/>
      <c r="J637" s="4"/>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5.75" customHeight="1">
      <c r="A638" s="1"/>
      <c r="B638" s="1"/>
      <c r="C638" s="1"/>
      <c r="D638" s="1"/>
      <c r="E638" s="1"/>
      <c r="F638" s="1"/>
      <c r="G638" s="1"/>
      <c r="H638" s="4"/>
      <c r="I638" s="4"/>
      <c r="J638" s="4"/>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5.75" customHeight="1">
      <c r="A639" s="1"/>
      <c r="B639" s="1"/>
      <c r="C639" s="1"/>
      <c r="D639" s="1"/>
      <c r="E639" s="1"/>
      <c r="F639" s="1"/>
      <c r="G639" s="1"/>
      <c r="H639" s="4"/>
      <c r="I639" s="4"/>
      <c r="J639" s="4"/>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5.75" customHeight="1">
      <c r="A640" s="1"/>
      <c r="B640" s="1"/>
      <c r="C640" s="1"/>
      <c r="D640" s="1"/>
      <c r="E640" s="1"/>
      <c r="F640" s="1"/>
      <c r="G640" s="1"/>
      <c r="H640" s="4"/>
      <c r="I640" s="4"/>
      <c r="J640" s="4"/>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5.75" customHeight="1">
      <c r="A641" s="1"/>
      <c r="B641" s="1"/>
      <c r="C641" s="1"/>
      <c r="D641" s="1"/>
      <c r="E641" s="1"/>
      <c r="F641" s="1"/>
      <c r="G641" s="1"/>
      <c r="H641" s="4"/>
      <c r="I641" s="4"/>
      <c r="J641" s="4"/>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5.75" customHeight="1">
      <c r="A642" s="1"/>
      <c r="B642" s="1"/>
      <c r="C642" s="1"/>
      <c r="D642" s="1"/>
      <c r="E642" s="1"/>
      <c r="F642" s="1"/>
      <c r="G642" s="1"/>
      <c r="H642" s="4"/>
      <c r="I642" s="4"/>
      <c r="J642" s="4"/>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5.75" customHeight="1">
      <c r="A643" s="1"/>
      <c r="B643" s="1"/>
      <c r="C643" s="1"/>
      <c r="D643" s="1"/>
      <c r="E643" s="1"/>
      <c r="F643" s="1"/>
      <c r="G643" s="1"/>
      <c r="H643" s="4"/>
      <c r="I643" s="4"/>
      <c r="J643" s="4"/>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5.75" customHeight="1">
      <c r="A644" s="1"/>
      <c r="B644" s="1"/>
      <c r="C644" s="1"/>
      <c r="D644" s="1"/>
      <c r="E644" s="1"/>
      <c r="F644" s="1"/>
      <c r="G644" s="1"/>
      <c r="H644" s="4"/>
      <c r="I644" s="4"/>
      <c r="J644" s="4"/>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5.75" customHeight="1">
      <c r="A645" s="1"/>
      <c r="B645" s="1"/>
      <c r="C645" s="1"/>
      <c r="D645" s="1"/>
      <c r="E645" s="1"/>
      <c r="F645" s="1"/>
      <c r="G645" s="1"/>
      <c r="H645" s="4"/>
      <c r="I645" s="4"/>
      <c r="J645" s="4"/>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5.75" customHeight="1">
      <c r="A646" s="1"/>
      <c r="B646" s="1"/>
      <c r="C646" s="1"/>
      <c r="D646" s="1"/>
      <c r="E646" s="1"/>
      <c r="F646" s="1"/>
      <c r="G646" s="1"/>
      <c r="H646" s="4"/>
      <c r="I646" s="4"/>
      <c r="J646" s="4"/>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5.75" customHeight="1">
      <c r="A647" s="1"/>
      <c r="B647" s="1"/>
      <c r="C647" s="1"/>
      <c r="D647" s="1"/>
      <c r="E647" s="1"/>
      <c r="F647" s="1"/>
      <c r="G647" s="1"/>
      <c r="H647" s="4"/>
      <c r="I647" s="4"/>
      <c r="J647" s="4"/>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5.75" customHeight="1">
      <c r="A648" s="1"/>
      <c r="B648" s="1"/>
      <c r="C648" s="1"/>
      <c r="D648" s="1"/>
      <c r="E648" s="1"/>
      <c r="F648" s="1"/>
      <c r="G648" s="1"/>
      <c r="H648" s="4"/>
      <c r="I648" s="4"/>
      <c r="J648" s="4"/>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5.75" customHeight="1">
      <c r="A649" s="1"/>
      <c r="B649" s="1"/>
      <c r="C649" s="1"/>
      <c r="D649" s="1"/>
      <c r="E649" s="1"/>
      <c r="F649" s="1"/>
      <c r="G649" s="1"/>
      <c r="H649" s="4"/>
      <c r="I649" s="4"/>
      <c r="J649" s="4"/>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5.75" customHeight="1">
      <c r="A650" s="1"/>
      <c r="B650" s="1"/>
      <c r="C650" s="1"/>
      <c r="D650" s="1"/>
      <c r="E650" s="1"/>
      <c r="F650" s="1"/>
      <c r="G650" s="1"/>
      <c r="H650" s="4"/>
      <c r="I650" s="4"/>
      <c r="J650" s="4"/>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5.75" customHeight="1">
      <c r="A651" s="1"/>
      <c r="B651" s="1"/>
      <c r="C651" s="1"/>
      <c r="D651" s="1"/>
      <c r="E651" s="1"/>
      <c r="F651" s="1"/>
      <c r="G651" s="1"/>
      <c r="H651" s="4"/>
      <c r="I651" s="4"/>
      <c r="J651" s="4"/>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5.75" customHeight="1">
      <c r="A652" s="1"/>
      <c r="B652" s="1"/>
      <c r="C652" s="1"/>
      <c r="D652" s="1"/>
      <c r="E652" s="1"/>
      <c r="F652" s="1"/>
      <c r="G652" s="1"/>
      <c r="H652" s="4"/>
      <c r="I652" s="4"/>
      <c r="J652" s="4"/>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5.75" customHeight="1">
      <c r="A653" s="1"/>
      <c r="B653" s="1"/>
      <c r="C653" s="1"/>
      <c r="D653" s="1"/>
      <c r="E653" s="1"/>
      <c r="F653" s="1"/>
      <c r="G653" s="1"/>
      <c r="H653" s="4"/>
      <c r="I653" s="4"/>
      <c r="J653" s="4"/>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5.75" customHeight="1">
      <c r="A654" s="1"/>
      <c r="B654" s="1"/>
      <c r="C654" s="1"/>
      <c r="D654" s="1"/>
      <c r="E654" s="1"/>
      <c r="F654" s="1"/>
      <c r="G654" s="1"/>
      <c r="H654" s="4"/>
      <c r="I654" s="4"/>
      <c r="J654" s="4"/>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5.75" customHeight="1">
      <c r="A655" s="1"/>
      <c r="B655" s="1"/>
      <c r="C655" s="1"/>
      <c r="D655" s="1"/>
      <c r="E655" s="1"/>
      <c r="F655" s="1"/>
      <c r="G655" s="1"/>
      <c r="H655" s="4"/>
      <c r="I655" s="4"/>
      <c r="J655" s="4"/>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5.75" customHeight="1">
      <c r="A656" s="1"/>
      <c r="B656" s="1"/>
      <c r="C656" s="1"/>
      <c r="D656" s="1"/>
      <c r="E656" s="1"/>
      <c r="F656" s="1"/>
      <c r="G656" s="1"/>
      <c r="H656" s="4"/>
      <c r="I656" s="4"/>
      <c r="J656" s="4"/>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5.75" customHeight="1">
      <c r="A657" s="1"/>
      <c r="B657" s="1"/>
      <c r="C657" s="1"/>
      <c r="D657" s="1"/>
      <c r="E657" s="1"/>
      <c r="F657" s="1"/>
      <c r="G657" s="1"/>
      <c r="H657" s="4"/>
      <c r="I657" s="4"/>
      <c r="J657" s="4"/>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5.75" customHeight="1">
      <c r="A658" s="1"/>
      <c r="B658" s="1"/>
      <c r="C658" s="1"/>
      <c r="D658" s="1"/>
      <c r="E658" s="1"/>
      <c r="F658" s="1"/>
      <c r="G658" s="1"/>
      <c r="H658" s="4"/>
      <c r="I658" s="4"/>
      <c r="J658" s="4"/>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5.75" customHeight="1">
      <c r="A659" s="1"/>
      <c r="B659" s="1"/>
      <c r="C659" s="1"/>
      <c r="D659" s="1"/>
      <c r="E659" s="1"/>
      <c r="F659" s="1"/>
      <c r="G659" s="1"/>
      <c r="H659" s="4"/>
      <c r="I659" s="4"/>
      <c r="J659" s="4"/>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5.75" customHeight="1">
      <c r="A660" s="1"/>
      <c r="B660" s="1"/>
      <c r="C660" s="1"/>
      <c r="D660" s="1"/>
      <c r="E660" s="1"/>
      <c r="F660" s="1"/>
      <c r="G660" s="1"/>
      <c r="H660" s="4"/>
      <c r="I660" s="4"/>
      <c r="J660" s="4"/>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5.75" customHeight="1">
      <c r="A661" s="1"/>
      <c r="B661" s="1"/>
      <c r="C661" s="1"/>
      <c r="D661" s="1"/>
      <c r="E661" s="1"/>
      <c r="F661" s="1"/>
      <c r="G661" s="1"/>
      <c r="H661" s="4"/>
      <c r="I661" s="4"/>
      <c r="J661" s="4"/>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5.75" customHeight="1">
      <c r="A662" s="1"/>
      <c r="B662" s="1"/>
      <c r="C662" s="1"/>
      <c r="D662" s="1"/>
      <c r="E662" s="1"/>
      <c r="F662" s="1"/>
      <c r="G662" s="1"/>
      <c r="H662" s="4"/>
      <c r="I662" s="4"/>
      <c r="J662" s="4"/>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5.75" customHeight="1">
      <c r="A663" s="1"/>
      <c r="B663" s="1"/>
      <c r="C663" s="1"/>
      <c r="D663" s="1"/>
      <c r="E663" s="1"/>
      <c r="F663" s="1"/>
      <c r="G663" s="1"/>
      <c r="H663" s="4"/>
      <c r="I663" s="4"/>
      <c r="J663" s="4"/>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5.75" customHeight="1">
      <c r="A664" s="1"/>
      <c r="B664" s="1"/>
      <c r="C664" s="1"/>
      <c r="D664" s="1"/>
      <c r="E664" s="1"/>
      <c r="F664" s="1"/>
      <c r="G664" s="1"/>
      <c r="H664" s="4"/>
      <c r="I664" s="4"/>
      <c r="J664" s="4"/>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5.75" customHeight="1">
      <c r="A665" s="1"/>
      <c r="B665" s="1"/>
      <c r="C665" s="1"/>
      <c r="D665" s="1"/>
      <c r="E665" s="1"/>
      <c r="F665" s="1"/>
      <c r="G665" s="1"/>
      <c r="H665" s="4"/>
      <c r="I665" s="4"/>
      <c r="J665" s="4"/>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5.75" customHeight="1">
      <c r="A666" s="1"/>
      <c r="B666" s="1"/>
      <c r="C666" s="1"/>
      <c r="D666" s="1"/>
      <c r="E666" s="1"/>
      <c r="F666" s="1"/>
      <c r="G666" s="1"/>
      <c r="H666" s="4"/>
      <c r="I666" s="4"/>
      <c r="J666" s="4"/>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5.75" customHeight="1">
      <c r="A667" s="1"/>
      <c r="B667" s="1"/>
      <c r="C667" s="1"/>
      <c r="D667" s="1"/>
      <c r="E667" s="1"/>
      <c r="F667" s="1"/>
      <c r="G667" s="1"/>
      <c r="H667" s="4"/>
      <c r="I667" s="4"/>
      <c r="J667" s="4"/>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5.75" customHeight="1">
      <c r="A668" s="1"/>
      <c r="B668" s="1"/>
      <c r="C668" s="1"/>
      <c r="D668" s="1"/>
      <c r="E668" s="1"/>
      <c r="F668" s="1"/>
      <c r="G668" s="1"/>
      <c r="H668" s="4"/>
      <c r="I668" s="4"/>
      <c r="J668" s="4"/>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5.75" customHeight="1">
      <c r="A669" s="1"/>
      <c r="B669" s="1"/>
      <c r="C669" s="1"/>
      <c r="D669" s="1"/>
      <c r="E669" s="1"/>
      <c r="F669" s="1"/>
      <c r="G669" s="1"/>
      <c r="H669" s="4"/>
      <c r="I669" s="4"/>
      <c r="J669" s="4"/>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5.75" customHeight="1">
      <c r="A670" s="1"/>
      <c r="B670" s="1"/>
      <c r="C670" s="1"/>
      <c r="D670" s="1"/>
      <c r="E670" s="1"/>
      <c r="F670" s="1"/>
      <c r="G670" s="1"/>
      <c r="H670" s="4"/>
      <c r="I670" s="4"/>
      <c r="J670" s="4"/>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5.75" customHeight="1">
      <c r="A671" s="1"/>
      <c r="B671" s="1"/>
      <c r="C671" s="1"/>
      <c r="D671" s="1"/>
      <c r="E671" s="1"/>
      <c r="F671" s="1"/>
      <c r="G671" s="1"/>
      <c r="H671" s="4"/>
      <c r="I671" s="4"/>
      <c r="J671" s="4"/>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5.75" customHeight="1">
      <c r="A672" s="1"/>
      <c r="B672" s="1"/>
      <c r="C672" s="1"/>
      <c r="D672" s="1"/>
      <c r="E672" s="1"/>
      <c r="F672" s="1"/>
      <c r="G672" s="1"/>
      <c r="H672" s="4"/>
      <c r="I672" s="4"/>
      <c r="J672" s="4"/>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5.75" customHeight="1">
      <c r="A673" s="1"/>
      <c r="B673" s="1"/>
      <c r="C673" s="1"/>
      <c r="D673" s="1"/>
      <c r="E673" s="1"/>
      <c r="F673" s="1"/>
      <c r="G673" s="1"/>
      <c r="H673" s="4"/>
      <c r="I673" s="4"/>
      <c r="J673" s="4"/>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5.75" customHeight="1">
      <c r="A674" s="1"/>
      <c r="B674" s="1"/>
      <c r="C674" s="1"/>
      <c r="D674" s="1"/>
      <c r="E674" s="1"/>
      <c r="F674" s="1"/>
      <c r="G674" s="1"/>
      <c r="H674" s="4"/>
      <c r="I674" s="4"/>
      <c r="J674" s="4"/>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5.75" customHeight="1">
      <c r="A675" s="1"/>
      <c r="B675" s="1"/>
      <c r="C675" s="1"/>
      <c r="D675" s="1"/>
      <c r="E675" s="1"/>
      <c r="F675" s="1"/>
      <c r="G675" s="1"/>
      <c r="H675" s="4"/>
      <c r="I675" s="4"/>
      <c r="J675" s="4"/>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5.75" customHeight="1">
      <c r="A676" s="1"/>
      <c r="B676" s="1"/>
      <c r="C676" s="1"/>
      <c r="D676" s="1"/>
      <c r="E676" s="1"/>
      <c r="F676" s="1"/>
      <c r="G676" s="1"/>
      <c r="H676" s="4"/>
      <c r="I676" s="4"/>
      <c r="J676" s="4"/>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5.75" customHeight="1">
      <c r="A677" s="1"/>
      <c r="B677" s="1"/>
      <c r="C677" s="1"/>
      <c r="D677" s="1"/>
      <c r="E677" s="1"/>
      <c r="F677" s="1"/>
      <c r="G677" s="1"/>
      <c r="H677" s="4"/>
      <c r="I677" s="4"/>
      <c r="J677" s="4"/>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5.75" customHeight="1">
      <c r="A678" s="1"/>
      <c r="B678" s="1"/>
      <c r="C678" s="1"/>
      <c r="D678" s="1"/>
      <c r="E678" s="1"/>
      <c r="F678" s="1"/>
      <c r="G678" s="1"/>
      <c r="H678" s="4"/>
      <c r="I678" s="4"/>
      <c r="J678" s="4"/>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5.75" customHeight="1">
      <c r="A679" s="1"/>
      <c r="B679" s="1"/>
      <c r="C679" s="1"/>
      <c r="D679" s="1"/>
      <c r="E679" s="1"/>
      <c r="F679" s="1"/>
      <c r="G679" s="1"/>
      <c r="H679" s="4"/>
      <c r="I679" s="4"/>
      <c r="J679" s="4"/>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5.75" customHeight="1">
      <c r="A680" s="1"/>
      <c r="B680" s="1"/>
      <c r="C680" s="1"/>
      <c r="D680" s="1"/>
      <c r="E680" s="1"/>
      <c r="F680" s="1"/>
      <c r="G680" s="1"/>
      <c r="H680" s="4"/>
      <c r="I680" s="4"/>
      <c r="J680" s="4"/>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5.75" customHeight="1">
      <c r="A681" s="1"/>
      <c r="B681" s="1"/>
      <c r="C681" s="1"/>
      <c r="D681" s="1"/>
      <c r="E681" s="1"/>
      <c r="F681" s="1"/>
      <c r="G681" s="1"/>
      <c r="H681" s="4"/>
      <c r="I681" s="4"/>
      <c r="J681" s="4"/>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5.75" customHeight="1">
      <c r="A682" s="1"/>
      <c r="B682" s="1"/>
      <c r="C682" s="1"/>
      <c r="D682" s="1"/>
      <c r="E682" s="1"/>
      <c r="F682" s="1"/>
      <c r="G682" s="1"/>
      <c r="H682" s="4"/>
      <c r="I682" s="4"/>
      <c r="J682" s="4"/>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5.75" customHeight="1">
      <c r="A683" s="1"/>
      <c r="B683" s="1"/>
      <c r="C683" s="1"/>
      <c r="D683" s="1"/>
      <c r="E683" s="1"/>
      <c r="F683" s="1"/>
      <c r="G683" s="1"/>
      <c r="H683" s="4"/>
      <c r="I683" s="4"/>
      <c r="J683" s="4"/>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5.75" customHeight="1">
      <c r="A684" s="1"/>
      <c r="B684" s="1"/>
      <c r="C684" s="1"/>
      <c r="D684" s="1"/>
      <c r="E684" s="1"/>
      <c r="F684" s="1"/>
      <c r="G684" s="1"/>
      <c r="H684" s="4"/>
      <c r="I684" s="4"/>
      <c r="J684" s="4"/>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5.75" customHeight="1">
      <c r="A685" s="1"/>
      <c r="B685" s="1"/>
      <c r="C685" s="1"/>
      <c r="D685" s="1"/>
      <c r="E685" s="1"/>
      <c r="F685" s="1"/>
      <c r="G685" s="1"/>
      <c r="H685" s="4"/>
      <c r="I685" s="4"/>
      <c r="J685" s="4"/>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5.75" customHeight="1">
      <c r="A686" s="1"/>
      <c r="B686" s="1"/>
      <c r="C686" s="1"/>
      <c r="D686" s="1"/>
      <c r="E686" s="1"/>
      <c r="F686" s="1"/>
      <c r="G686" s="1"/>
      <c r="H686" s="4"/>
      <c r="I686" s="4"/>
      <c r="J686" s="4"/>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5.75" customHeight="1">
      <c r="A687" s="1"/>
      <c r="B687" s="1"/>
      <c r="C687" s="1"/>
      <c r="D687" s="1"/>
      <c r="E687" s="1"/>
      <c r="F687" s="1"/>
      <c r="G687" s="1"/>
      <c r="H687" s="4"/>
      <c r="I687" s="4"/>
      <c r="J687" s="4"/>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5.75" customHeight="1">
      <c r="A688" s="1"/>
      <c r="B688" s="1"/>
      <c r="C688" s="1"/>
      <c r="D688" s="1"/>
      <c r="E688" s="1"/>
      <c r="F688" s="1"/>
      <c r="G688" s="1"/>
      <c r="H688" s="4"/>
      <c r="I688" s="4"/>
      <c r="J688" s="4"/>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5.75" customHeight="1">
      <c r="A689" s="1"/>
      <c r="B689" s="1"/>
      <c r="C689" s="1"/>
      <c r="D689" s="1"/>
      <c r="E689" s="1"/>
      <c r="F689" s="1"/>
      <c r="G689" s="1"/>
      <c r="H689" s="4"/>
      <c r="I689" s="4"/>
      <c r="J689" s="4"/>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5.75" customHeight="1">
      <c r="A690" s="1"/>
      <c r="B690" s="1"/>
      <c r="C690" s="1"/>
      <c r="D690" s="1"/>
      <c r="E690" s="1"/>
      <c r="F690" s="1"/>
      <c r="G690" s="1"/>
      <c r="H690" s="4"/>
      <c r="I690" s="4"/>
      <c r="J690" s="4"/>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5.75" customHeight="1">
      <c r="A691" s="1"/>
      <c r="B691" s="1"/>
      <c r="C691" s="1"/>
      <c r="D691" s="1"/>
      <c r="E691" s="1"/>
      <c r="F691" s="1"/>
      <c r="G691" s="1"/>
      <c r="H691" s="4"/>
      <c r="I691" s="4"/>
      <c r="J691" s="4"/>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5.75" customHeight="1">
      <c r="A692" s="1"/>
      <c r="B692" s="1"/>
      <c r="C692" s="1"/>
      <c r="D692" s="1"/>
      <c r="E692" s="1"/>
      <c r="F692" s="1"/>
      <c r="G692" s="1"/>
      <c r="H692" s="4"/>
      <c r="I692" s="4"/>
      <c r="J692" s="4"/>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5.75" customHeight="1">
      <c r="A693" s="1"/>
      <c r="B693" s="1"/>
      <c r="C693" s="1"/>
      <c r="D693" s="1"/>
      <c r="E693" s="1"/>
      <c r="F693" s="1"/>
      <c r="G693" s="1"/>
      <c r="H693" s="4"/>
      <c r="I693" s="4"/>
      <c r="J693" s="4"/>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5.75" customHeight="1">
      <c r="A694" s="1"/>
      <c r="B694" s="1"/>
      <c r="C694" s="1"/>
      <c r="D694" s="1"/>
      <c r="E694" s="1"/>
      <c r="F694" s="1"/>
      <c r="G694" s="1"/>
      <c r="H694" s="4"/>
      <c r="I694" s="4"/>
      <c r="J694" s="4"/>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5.75" customHeight="1">
      <c r="A695" s="1"/>
      <c r="B695" s="1"/>
      <c r="C695" s="1"/>
      <c r="D695" s="1"/>
      <c r="E695" s="1"/>
      <c r="F695" s="1"/>
      <c r="G695" s="1"/>
      <c r="H695" s="4"/>
      <c r="I695" s="4"/>
      <c r="J695" s="4"/>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5.75" customHeight="1">
      <c r="A696" s="1"/>
      <c r="B696" s="1"/>
      <c r="C696" s="1"/>
      <c r="D696" s="1"/>
      <c r="E696" s="1"/>
      <c r="F696" s="1"/>
      <c r="G696" s="1"/>
      <c r="H696" s="4"/>
      <c r="I696" s="4"/>
      <c r="J696" s="4"/>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5.75" customHeight="1">
      <c r="A697" s="1"/>
      <c r="B697" s="1"/>
      <c r="C697" s="1"/>
      <c r="D697" s="1"/>
      <c r="E697" s="1"/>
      <c r="F697" s="1"/>
      <c r="G697" s="1"/>
      <c r="H697" s="4"/>
      <c r="I697" s="4"/>
      <c r="J697" s="4"/>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5.75" customHeight="1">
      <c r="A698" s="1"/>
      <c r="B698" s="1"/>
      <c r="C698" s="1"/>
      <c r="D698" s="1"/>
      <c r="E698" s="1"/>
      <c r="F698" s="1"/>
      <c r="G698" s="1"/>
      <c r="H698" s="4"/>
      <c r="I698" s="4"/>
      <c r="J698" s="4"/>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5.75" customHeight="1">
      <c r="A699" s="1"/>
      <c r="B699" s="1"/>
      <c r="C699" s="1"/>
      <c r="D699" s="1"/>
      <c r="E699" s="1"/>
      <c r="F699" s="1"/>
      <c r="G699" s="1"/>
      <c r="H699" s="4"/>
      <c r="I699" s="4"/>
      <c r="J699" s="4"/>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5.75" customHeight="1">
      <c r="A700" s="1"/>
      <c r="B700" s="1"/>
      <c r="C700" s="1"/>
      <c r="D700" s="1"/>
      <c r="E700" s="1"/>
      <c r="F700" s="1"/>
      <c r="G700" s="1"/>
      <c r="H700" s="4"/>
      <c r="I700" s="4"/>
      <c r="J700" s="4"/>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5.75" customHeight="1">
      <c r="A701" s="1"/>
      <c r="B701" s="1"/>
      <c r="C701" s="1"/>
      <c r="D701" s="1"/>
      <c r="E701" s="1"/>
      <c r="F701" s="1"/>
      <c r="G701" s="1"/>
      <c r="H701" s="4"/>
      <c r="I701" s="4"/>
      <c r="J701" s="4"/>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5.75" customHeight="1">
      <c r="A702" s="1"/>
      <c r="B702" s="1"/>
      <c r="C702" s="1"/>
      <c r="D702" s="1"/>
      <c r="E702" s="1"/>
      <c r="F702" s="1"/>
      <c r="G702" s="1"/>
      <c r="H702" s="4"/>
      <c r="I702" s="4"/>
      <c r="J702" s="4"/>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5.75" customHeight="1">
      <c r="A703" s="1"/>
      <c r="B703" s="1"/>
      <c r="C703" s="1"/>
      <c r="D703" s="1"/>
      <c r="E703" s="1"/>
      <c r="F703" s="1"/>
      <c r="G703" s="1"/>
      <c r="H703" s="4"/>
      <c r="I703" s="4"/>
      <c r="J703" s="4"/>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5.75" customHeight="1">
      <c r="A704" s="1"/>
      <c r="B704" s="1"/>
      <c r="C704" s="1"/>
      <c r="D704" s="1"/>
      <c r="E704" s="1"/>
      <c r="F704" s="1"/>
      <c r="G704" s="1"/>
      <c r="H704" s="4"/>
      <c r="I704" s="4"/>
      <c r="J704" s="4"/>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5.75" customHeight="1">
      <c r="A705" s="1"/>
      <c r="B705" s="1"/>
      <c r="C705" s="1"/>
      <c r="D705" s="1"/>
      <c r="E705" s="1"/>
      <c r="F705" s="1"/>
      <c r="G705" s="1"/>
      <c r="H705" s="4"/>
      <c r="I705" s="4"/>
      <c r="J705" s="4"/>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5.75" customHeight="1">
      <c r="A706" s="1"/>
      <c r="B706" s="1"/>
      <c r="C706" s="1"/>
      <c r="D706" s="1"/>
      <c r="E706" s="1"/>
      <c r="F706" s="1"/>
      <c r="G706" s="1"/>
      <c r="H706" s="4"/>
      <c r="I706" s="4"/>
      <c r="J706" s="4"/>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5.75" customHeight="1">
      <c r="A707" s="1"/>
      <c r="B707" s="1"/>
      <c r="C707" s="1"/>
      <c r="D707" s="1"/>
      <c r="E707" s="1"/>
      <c r="F707" s="1"/>
      <c r="G707" s="1"/>
      <c r="H707" s="4"/>
      <c r="I707" s="4"/>
      <c r="J707" s="4"/>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5.75" customHeight="1">
      <c r="A708" s="1"/>
      <c r="B708" s="1"/>
      <c r="C708" s="1"/>
      <c r="D708" s="1"/>
      <c r="E708" s="1"/>
      <c r="F708" s="1"/>
      <c r="G708" s="1"/>
      <c r="H708" s="4"/>
      <c r="I708" s="4"/>
      <c r="J708" s="4"/>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5.75" customHeight="1">
      <c r="A709" s="1"/>
      <c r="B709" s="1"/>
      <c r="C709" s="1"/>
      <c r="D709" s="1"/>
      <c r="E709" s="1"/>
      <c r="F709" s="1"/>
      <c r="G709" s="1"/>
      <c r="H709" s="4"/>
      <c r="I709" s="4"/>
      <c r="J709" s="4"/>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5.75" customHeight="1">
      <c r="A710" s="1"/>
      <c r="B710" s="1"/>
      <c r="C710" s="1"/>
      <c r="D710" s="1"/>
      <c r="E710" s="1"/>
      <c r="F710" s="1"/>
      <c r="G710" s="1"/>
      <c r="H710" s="4"/>
      <c r="I710" s="4"/>
      <c r="J710" s="4"/>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5.75" customHeight="1">
      <c r="A711" s="1"/>
      <c r="B711" s="1"/>
      <c r="C711" s="1"/>
      <c r="D711" s="1"/>
      <c r="E711" s="1"/>
      <c r="F711" s="1"/>
      <c r="G711" s="1"/>
      <c r="H711" s="4"/>
      <c r="I711" s="4"/>
      <c r="J711" s="4"/>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5.75" customHeight="1">
      <c r="A712" s="1"/>
      <c r="B712" s="1"/>
      <c r="C712" s="1"/>
      <c r="D712" s="1"/>
      <c r="E712" s="1"/>
      <c r="F712" s="1"/>
      <c r="G712" s="1"/>
      <c r="H712" s="4"/>
      <c r="I712" s="4"/>
      <c r="J712" s="4"/>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5.75" customHeight="1">
      <c r="A713" s="1"/>
      <c r="B713" s="1"/>
      <c r="C713" s="1"/>
      <c r="D713" s="1"/>
      <c r="E713" s="1"/>
      <c r="F713" s="1"/>
      <c r="G713" s="1"/>
      <c r="H713" s="4"/>
      <c r="I713" s="4"/>
      <c r="J713" s="4"/>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5.75" customHeight="1">
      <c r="A714" s="1"/>
      <c r="B714" s="1"/>
      <c r="C714" s="1"/>
      <c r="D714" s="1"/>
      <c r="E714" s="1"/>
      <c r="F714" s="1"/>
      <c r="G714" s="1"/>
      <c r="H714" s="4"/>
      <c r="I714" s="4"/>
      <c r="J714" s="4"/>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5.75" customHeight="1">
      <c r="A715" s="1"/>
      <c r="B715" s="1"/>
      <c r="C715" s="1"/>
      <c r="D715" s="1"/>
      <c r="E715" s="1"/>
      <c r="F715" s="1"/>
      <c r="G715" s="1"/>
      <c r="H715" s="4"/>
      <c r="I715" s="4"/>
      <c r="J715" s="4"/>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5.75" customHeight="1">
      <c r="A716" s="1"/>
      <c r="B716" s="1"/>
      <c r="C716" s="1"/>
      <c r="D716" s="1"/>
      <c r="E716" s="1"/>
      <c r="F716" s="1"/>
      <c r="G716" s="1"/>
      <c r="H716" s="4"/>
      <c r="I716" s="4"/>
      <c r="J716" s="4"/>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5.75" customHeight="1">
      <c r="A717" s="1"/>
      <c r="B717" s="1"/>
      <c r="C717" s="1"/>
      <c r="D717" s="1"/>
      <c r="E717" s="1"/>
      <c r="F717" s="1"/>
      <c r="G717" s="1"/>
      <c r="H717" s="4"/>
      <c r="I717" s="4"/>
      <c r="J717" s="4"/>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5.75" customHeight="1">
      <c r="A718" s="1"/>
      <c r="B718" s="1"/>
      <c r="C718" s="1"/>
      <c r="D718" s="1"/>
      <c r="E718" s="1"/>
      <c r="F718" s="1"/>
      <c r="G718" s="1"/>
      <c r="H718" s="4"/>
      <c r="I718" s="4"/>
      <c r="J718" s="4"/>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5.75" customHeight="1">
      <c r="A719" s="1"/>
      <c r="B719" s="1"/>
      <c r="C719" s="1"/>
      <c r="D719" s="1"/>
      <c r="E719" s="1"/>
      <c r="F719" s="1"/>
      <c r="G719" s="1"/>
      <c r="H719" s="4"/>
      <c r="I719" s="4"/>
      <c r="J719" s="4"/>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5.75" customHeight="1">
      <c r="A720" s="1"/>
      <c r="B720" s="1"/>
      <c r="C720" s="1"/>
      <c r="D720" s="1"/>
      <c r="E720" s="1"/>
      <c r="F720" s="1"/>
      <c r="G720" s="1"/>
      <c r="H720" s="4"/>
      <c r="I720" s="4"/>
      <c r="J720" s="4"/>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5.75" customHeight="1">
      <c r="A721" s="1"/>
      <c r="B721" s="1"/>
      <c r="C721" s="1"/>
      <c r="D721" s="1"/>
      <c r="E721" s="1"/>
      <c r="F721" s="1"/>
      <c r="G721" s="1"/>
      <c r="H721" s="4"/>
      <c r="I721" s="4"/>
      <c r="J721" s="4"/>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5.75" customHeight="1">
      <c r="A722" s="1"/>
      <c r="B722" s="1"/>
      <c r="C722" s="1"/>
      <c r="D722" s="1"/>
      <c r="E722" s="1"/>
      <c r="F722" s="1"/>
      <c r="G722" s="1"/>
      <c r="H722" s="4"/>
      <c r="I722" s="4"/>
      <c r="J722" s="4"/>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5.75" customHeight="1">
      <c r="A723" s="1"/>
      <c r="B723" s="1"/>
      <c r="C723" s="1"/>
      <c r="D723" s="1"/>
      <c r="E723" s="1"/>
      <c r="F723" s="1"/>
      <c r="G723" s="1"/>
      <c r="H723" s="4"/>
      <c r="I723" s="4"/>
      <c r="J723" s="4"/>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5.75" customHeight="1">
      <c r="A724" s="1"/>
      <c r="B724" s="1"/>
      <c r="C724" s="1"/>
      <c r="D724" s="1"/>
      <c r="E724" s="1"/>
      <c r="F724" s="1"/>
      <c r="G724" s="1"/>
      <c r="H724" s="4"/>
      <c r="I724" s="4"/>
      <c r="J724" s="4"/>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5.75" customHeight="1">
      <c r="A725" s="1"/>
      <c r="B725" s="1"/>
      <c r="C725" s="1"/>
      <c r="D725" s="1"/>
      <c r="E725" s="1"/>
      <c r="F725" s="1"/>
      <c r="G725" s="1"/>
      <c r="H725" s="4"/>
      <c r="I725" s="4"/>
      <c r="J725" s="4"/>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5.75" customHeight="1">
      <c r="A726" s="1"/>
      <c r="B726" s="1"/>
      <c r="C726" s="1"/>
      <c r="D726" s="1"/>
      <c r="E726" s="1"/>
      <c r="F726" s="1"/>
      <c r="G726" s="1"/>
      <c r="H726" s="4"/>
      <c r="I726" s="4"/>
      <c r="J726" s="4"/>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5.75" customHeight="1">
      <c r="A727" s="1"/>
      <c r="B727" s="1"/>
      <c r="C727" s="1"/>
      <c r="D727" s="1"/>
      <c r="E727" s="1"/>
      <c r="F727" s="1"/>
      <c r="G727" s="1"/>
      <c r="H727" s="4"/>
      <c r="I727" s="4"/>
      <c r="J727" s="4"/>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5.75" customHeight="1">
      <c r="A728" s="1"/>
      <c r="B728" s="1"/>
      <c r="C728" s="1"/>
      <c r="D728" s="1"/>
      <c r="E728" s="1"/>
      <c r="F728" s="1"/>
      <c r="G728" s="1"/>
      <c r="H728" s="4"/>
      <c r="I728" s="4"/>
      <c r="J728" s="4"/>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5.75" customHeight="1">
      <c r="A729" s="1"/>
      <c r="B729" s="1"/>
      <c r="C729" s="1"/>
      <c r="D729" s="1"/>
      <c r="E729" s="1"/>
      <c r="F729" s="1"/>
      <c r="G729" s="1"/>
      <c r="H729" s="4"/>
      <c r="I729" s="4"/>
      <c r="J729" s="4"/>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5.75" customHeight="1">
      <c r="A730" s="1"/>
      <c r="B730" s="1"/>
      <c r="C730" s="1"/>
      <c r="D730" s="1"/>
      <c r="E730" s="1"/>
      <c r="F730" s="1"/>
      <c r="G730" s="1"/>
      <c r="H730" s="4"/>
      <c r="I730" s="4"/>
      <c r="J730" s="4"/>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5.75" customHeight="1">
      <c r="A731" s="1"/>
      <c r="B731" s="1"/>
      <c r="C731" s="1"/>
      <c r="D731" s="1"/>
      <c r="E731" s="1"/>
      <c r="F731" s="1"/>
      <c r="G731" s="1"/>
      <c r="H731" s="4"/>
      <c r="I731" s="4"/>
      <c r="J731" s="4"/>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5.75" customHeight="1">
      <c r="A732" s="1"/>
      <c r="B732" s="1"/>
      <c r="C732" s="1"/>
      <c r="D732" s="1"/>
      <c r="E732" s="1"/>
      <c r="F732" s="1"/>
      <c r="G732" s="1"/>
      <c r="H732" s="4"/>
      <c r="I732" s="4"/>
      <c r="J732" s="4"/>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5.75" customHeight="1">
      <c r="A733" s="1"/>
      <c r="B733" s="1"/>
      <c r="C733" s="1"/>
      <c r="D733" s="1"/>
      <c r="E733" s="1"/>
      <c r="F733" s="1"/>
      <c r="G733" s="1"/>
      <c r="H733" s="4"/>
      <c r="I733" s="4"/>
      <c r="J733" s="4"/>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5.75" customHeight="1">
      <c r="A734" s="1"/>
      <c r="B734" s="1"/>
      <c r="C734" s="1"/>
      <c r="D734" s="1"/>
      <c r="E734" s="1"/>
      <c r="F734" s="1"/>
      <c r="G734" s="1"/>
      <c r="H734" s="4"/>
      <c r="I734" s="4"/>
      <c r="J734" s="4"/>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5.75" customHeight="1">
      <c r="A735" s="1"/>
      <c r="B735" s="1"/>
      <c r="C735" s="1"/>
      <c r="D735" s="1"/>
      <c r="E735" s="1"/>
      <c r="F735" s="1"/>
      <c r="G735" s="1"/>
      <c r="H735" s="4"/>
      <c r="I735" s="4"/>
      <c r="J735" s="4"/>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5.75" customHeight="1">
      <c r="A736" s="1"/>
      <c r="B736" s="1"/>
      <c r="C736" s="1"/>
      <c r="D736" s="1"/>
      <c r="E736" s="1"/>
      <c r="F736" s="1"/>
      <c r="G736" s="1"/>
      <c r="H736" s="4"/>
      <c r="I736" s="4"/>
      <c r="J736" s="4"/>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5.75" customHeight="1">
      <c r="A737" s="1"/>
      <c r="B737" s="1"/>
      <c r="C737" s="1"/>
      <c r="D737" s="1"/>
      <c r="E737" s="1"/>
      <c r="F737" s="1"/>
      <c r="G737" s="1"/>
      <c r="H737" s="4"/>
      <c r="I737" s="4"/>
      <c r="J737" s="4"/>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5.75" customHeight="1">
      <c r="A738" s="1"/>
      <c r="B738" s="1"/>
      <c r="C738" s="1"/>
      <c r="D738" s="1"/>
      <c r="E738" s="1"/>
      <c r="F738" s="1"/>
      <c r="G738" s="1"/>
      <c r="H738" s="4"/>
      <c r="I738" s="4"/>
      <c r="J738" s="4"/>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5.75" customHeight="1">
      <c r="A739" s="1"/>
      <c r="B739" s="1"/>
      <c r="C739" s="1"/>
      <c r="D739" s="1"/>
      <c r="E739" s="1"/>
      <c r="F739" s="1"/>
      <c r="G739" s="1"/>
      <c r="H739" s="4"/>
      <c r="I739" s="4"/>
      <c r="J739" s="4"/>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5.75" customHeight="1">
      <c r="A740" s="1"/>
      <c r="B740" s="1"/>
      <c r="C740" s="1"/>
      <c r="D740" s="1"/>
      <c r="E740" s="1"/>
      <c r="F740" s="1"/>
      <c r="G740" s="1"/>
      <c r="H740" s="4"/>
      <c r="I740" s="4"/>
      <c r="J740" s="4"/>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5.75" customHeight="1">
      <c r="A741" s="1"/>
      <c r="B741" s="1"/>
      <c r="C741" s="1"/>
      <c r="D741" s="1"/>
      <c r="E741" s="1"/>
      <c r="F741" s="1"/>
      <c r="G741" s="1"/>
      <c r="H741" s="4"/>
      <c r="I741" s="4"/>
      <c r="J741" s="4"/>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5.75" customHeight="1">
      <c r="A742" s="1"/>
      <c r="B742" s="1"/>
      <c r="C742" s="1"/>
      <c r="D742" s="1"/>
      <c r="E742" s="1"/>
      <c r="F742" s="1"/>
      <c r="G742" s="1"/>
      <c r="H742" s="4"/>
      <c r="I742" s="4"/>
      <c r="J742" s="4"/>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5.75" customHeight="1">
      <c r="A743" s="1"/>
      <c r="B743" s="1"/>
      <c r="C743" s="1"/>
      <c r="D743" s="1"/>
      <c r="E743" s="1"/>
      <c r="F743" s="1"/>
      <c r="G743" s="1"/>
      <c r="H743" s="4"/>
      <c r="I743" s="4"/>
      <c r="J743" s="4"/>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5.75" customHeight="1">
      <c r="A744" s="1"/>
      <c r="B744" s="1"/>
      <c r="C744" s="1"/>
      <c r="D744" s="1"/>
      <c r="E744" s="1"/>
      <c r="F744" s="1"/>
      <c r="G744" s="1"/>
      <c r="H744" s="4"/>
      <c r="I744" s="4"/>
      <c r="J744" s="4"/>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5.75" customHeight="1">
      <c r="A745" s="1"/>
      <c r="B745" s="1"/>
      <c r="C745" s="1"/>
      <c r="D745" s="1"/>
      <c r="E745" s="1"/>
      <c r="F745" s="1"/>
      <c r="G745" s="1"/>
      <c r="H745" s="4"/>
      <c r="I745" s="4"/>
      <c r="J745" s="4"/>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5.75" customHeight="1">
      <c r="A746" s="1"/>
      <c r="B746" s="1"/>
      <c r="C746" s="1"/>
      <c r="D746" s="1"/>
      <c r="E746" s="1"/>
      <c r="F746" s="1"/>
      <c r="G746" s="1"/>
      <c r="H746" s="4"/>
      <c r="I746" s="4"/>
      <c r="J746" s="4"/>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5.75" customHeight="1">
      <c r="A747" s="1"/>
      <c r="B747" s="1"/>
      <c r="C747" s="1"/>
      <c r="D747" s="1"/>
      <c r="E747" s="1"/>
      <c r="F747" s="1"/>
      <c r="G747" s="1"/>
      <c r="H747" s="4"/>
      <c r="I747" s="4"/>
      <c r="J747" s="4"/>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5.75" customHeight="1">
      <c r="A748" s="1"/>
      <c r="B748" s="1"/>
      <c r="C748" s="1"/>
      <c r="D748" s="1"/>
      <c r="E748" s="1"/>
      <c r="F748" s="1"/>
      <c r="G748" s="1"/>
      <c r="H748" s="4"/>
      <c r="I748" s="4"/>
      <c r="J748" s="4"/>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5.75" customHeight="1">
      <c r="A749" s="1"/>
      <c r="B749" s="1"/>
      <c r="C749" s="1"/>
      <c r="D749" s="1"/>
      <c r="E749" s="1"/>
      <c r="F749" s="1"/>
      <c r="G749" s="1"/>
      <c r="H749" s="4"/>
      <c r="I749" s="4"/>
      <c r="J749" s="4"/>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5.75" customHeight="1">
      <c r="A750" s="1"/>
      <c r="B750" s="1"/>
      <c r="C750" s="1"/>
      <c r="D750" s="1"/>
      <c r="E750" s="1"/>
      <c r="F750" s="1"/>
      <c r="G750" s="1"/>
      <c r="H750" s="4"/>
      <c r="I750" s="4"/>
      <c r="J750" s="4"/>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5.75" customHeight="1">
      <c r="A751" s="1"/>
      <c r="B751" s="1"/>
      <c r="C751" s="1"/>
      <c r="D751" s="1"/>
      <c r="E751" s="1"/>
      <c r="F751" s="1"/>
      <c r="G751" s="1"/>
      <c r="H751" s="4"/>
      <c r="I751" s="4"/>
      <c r="J751" s="4"/>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5.75" customHeight="1">
      <c r="A752" s="1"/>
      <c r="B752" s="1"/>
      <c r="C752" s="1"/>
      <c r="D752" s="1"/>
      <c r="E752" s="1"/>
      <c r="F752" s="1"/>
      <c r="G752" s="1"/>
      <c r="H752" s="4"/>
      <c r="I752" s="4"/>
      <c r="J752" s="4"/>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5.75" customHeight="1">
      <c r="A753" s="1"/>
      <c r="B753" s="1"/>
      <c r="C753" s="1"/>
      <c r="D753" s="1"/>
      <c r="E753" s="1"/>
      <c r="F753" s="1"/>
      <c r="G753" s="1"/>
      <c r="H753" s="4"/>
      <c r="I753" s="4"/>
      <c r="J753" s="4"/>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5.75" customHeight="1">
      <c r="A754" s="1"/>
      <c r="B754" s="1"/>
      <c r="C754" s="1"/>
      <c r="D754" s="1"/>
      <c r="E754" s="1"/>
      <c r="F754" s="1"/>
      <c r="G754" s="1"/>
      <c r="H754" s="4"/>
      <c r="I754" s="4"/>
      <c r="J754" s="4"/>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5.75" customHeight="1">
      <c r="A755" s="1"/>
      <c r="B755" s="1"/>
      <c r="C755" s="1"/>
      <c r="D755" s="1"/>
      <c r="E755" s="1"/>
      <c r="F755" s="1"/>
      <c r="G755" s="1"/>
      <c r="H755" s="4"/>
      <c r="I755" s="4"/>
      <c r="J755" s="4"/>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5.75" customHeight="1">
      <c r="A756" s="1"/>
      <c r="B756" s="1"/>
      <c r="C756" s="1"/>
      <c r="D756" s="1"/>
      <c r="E756" s="1"/>
      <c r="F756" s="1"/>
      <c r="G756" s="1"/>
      <c r="H756" s="4"/>
      <c r="I756" s="4"/>
      <c r="J756" s="4"/>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5.75" customHeight="1">
      <c r="A757" s="1"/>
      <c r="B757" s="1"/>
      <c r="C757" s="1"/>
      <c r="D757" s="1"/>
      <c r="E757" s="1"/>
      <c r="F757" s="1"/>
      <c r="G757" s="1"/>
      <c r="H757" s="4"/>
      <c r="I757" s="4"/>
      <c r="J757" s="4"/>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5.75" customHeight="1">
      <c r="A758" s="1"/>
      <c r="B758" s="1"/>
      <c r="C758" s="1"/>
      <c r="D758" s="1"/>
      <c r="E758" s="1"/>
      <c r="F758" s="1"/>
      <c r="G758" s="1"/>
      <c r="H758" s="4"/>
      <c r="I758" s="4"/>
      <c r="J758" s="4"/>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5.75" customHeight="1">
      <c r="A759" s="1"/>
      <c r="B759" s="1"/>
      <c r="C759" s="1"/>
      <c r="D759" s="1"/>
      <c r="E759" s="1"/>
      <c r="F759" s="1"/>
      <c r="G759" s="1"/>
      <c r="H759" s="4"/>
      <c r="I759" s="4"/>
      <c r="J759" s="4"/>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5.75" customHeight="1">
      <c r="A760" s="1"/>
      <c r="B760" s="1"/>
      <c r="C760" s="1"/>
      <c r="D760" s="1"/>
      <c r="E760" s="1"/>
      <c r="F760" s="1"/>
      <c r="G760" s="1"/>
      <c r="H760" s="4"/>
      <c r="I760" s="4"/>
      <c r="J760" s="4"/>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5.75" customHeight="1">
      <c r="A761" s="1"/>
      <c r="B761" s="1"/>
      <c r="C761" s="1"/>
      <c r="D761" s="1"/>
      <c r="E761" s="1"/>
      <c r="F761" s="1"/>
      <c r="G761" s="1"/>
      <c r="H761" s="4"/>
      <c r="I761" s="4"/>
      <c r="J761" s="4"/>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5.75" customHeight="1">
      <c r="A762" s="1"/>
      <c r="B762" s="1"/>
      <c r="C762" s="1"/>
      <c r="D762" s="1"/>
      <c r="E762" s="1"/>
      <c r="F762" s="1"/>
      <c r="G762" s="1"/>
      <c r="H762" s="4"/>
      <c r="I762" s="4"/>
      <c r="J762" s="4"/>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5.75" customHeight="1">
      <c r="A763" s="1"/>
      <c r="B763" s="1"/>
      <c r="C763" s="1"/>
      <c r="D763" s="1"/>
      <c r="E763" s="1"/>
      <c r="F763" s="1"/>
      <c r="G763" s="1"/>
      <c r="H763" s="4"/>
      <c r="I763" s="4"/>
      <c r="J763" s="4"/>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5.75" customHeight="1">
      <c r="A764" s="1"/>
      <c r="B764" s="1"/>
      <c r="C764" s="1"/>
      <c r="D764" s="1"/>
      <c r="E764" s="1"/>
      <c r="F764" s="1"/>
      <c r="G764" s="1"/>
      <c r="H764" s="4"/>
      <c r="I764" s="4"/>
      <c r="J764" s="4"/>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5.75" customHeight="1">
      <c r="A765" s="1"/>
      <c r="B765" s="1"/>
      <c r="C765" s="1"/>
      <c r="D765" s="1"/>
      <c r="E765" s="1"/>
      <c r="F765" s="1"/>
      <c r="G765" s="1"/>
      <c r="H765" s="4"/>
      <c r="I765" s="4"/>
      <c r="J765" s="4"/>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5.75" customHeight="1">
      <c r="A766" s="1"/>
      <c r="B766" s="1"/>
      <c r="C766" s="1"/>
      <c r="D766" s="1"/>
      <c r="E766" s="1"/>
      <c r="F766" s="1"/>
      <c r="G766" s="1"/>
      <c r="H766" s="4"/>
      <c r="I766" s="4"/>
      <c r="J766" s="4"/>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5.75" customHeight="1">
      <c r="A767" s="1"/>
      <c r="B767" s="1"/>
      <c r="C767" s="1"/>
      <c r="D767" s="1"/>
      <c r="E767" s="1"/>
      <c r="F767" s="1"/>
      <c r="G767" s="1"/>
      <c r="H767" s="4"/>
      <c r="I767" s="4"/>
      <c r="J767" s="4"/>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5.75" customHeight="1">
      <c r="A768" s="1"/>
      <c r="B768" s="1"/>
      <c r="C768" s="1"/>
      <c r="D768" s="1"/>
      <c r="E768" s="1"/>
      <c r="F768" s="1"/>
      <c r="G768" s="1"/>
      <c r="H768" s="4"/>
      <c r="I768" s="4"/>
      <c r="J768" s="4"/>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5.75" customHeight="1">
      <c r="A769" s="1"/>
      <c r="B769" s="1"/>
      <c r="C769" s="1"/>
      <c r="D769" s="1"/>
      <c r="E769" s="1"/>
      <c r="F769" s="1"/>
      <c r="G769" s="1"/>
      <c r="H769" s="4"/>
      <c r="I769" s="4"/>
      <c r="J769" s="4"/>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5.75" customHeight="1">
      <c r="A770" s="1"/>
      <c r="B770" s="1"/>
      <c r="C770" s="1"/>
      <c r="D770" s="1"/>
      <c r="E770" s="1"/>
      <c r="F770" s="1"/>
      <c r="G770" s="1"/>
      <c r="H770" s="4"/>
      <c r="I770" s="4"/>
      <c r="J770" s="4"/>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5.75" customHeight="1">
      <c r="A771" s="1"/>
      <c r="B771" s="1"/>
      <c r="C771" s="1"/>
      <c r="D771" s="1"/>
      <c r="E771" s="1"/>
      <c r="F771" s="1"/>
      <c r="G771" s="1"/>
      <c r="H771" s="4"/>
      <c r="I771" s="4"/>
      <c r="J771" s="4"/>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5.75" customHeight="1">
      <c r="A772" s="1"/>
      <c r="B772" s="1"/>
      <c r="C772" s="1"/>
      <c r="D772" s="1"/>
      <c r="E772" s="1"/>
      <c r="F772" s="1"/>
      <c r="G772" s="1"/>
      <c r="H772" s="4"/>
      <c r="I772" s="4"/>
      <c r="J772" s="4"/>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5.75" customHeight="1">
      <c r="A773" s="1"/>
      <c r="B773" s="1"/>
      <c r="C773" s="1"/>
      <c r="D773" s="1"/>
      <c r="E773" s="1"/>
      <c r="F773" s="1"/>
      <c r="G773" s="1"/>
      <c r="H773" s="4"/>
      <c r="I773" s="4"/>
      <c r="J773" s="4"/>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5.75" customHeight="1">
      <c r="A774" s="1"/>
      <c r="B774" s="1"/>
      <c r="C774" s="1"/>
      <c r="D774" s="1"/>
      <c r="E774" s="1"/>
      <c r="F774" s="1"/>
      <c r="G774" s="1"/>
      <c r="H774" s="4"/>
      <c r="I774" s="4"/>
      <c r="J774" s="4"/>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5.75" customHeight="1">
      <c r="A775" s="1"/>
      <c r="B775" s="1"/>
      <c r="C775" s="1"/>
      <c r="D775" s="1"/>
      <c r="E775" s="1"/>
      <c r="F775" s="1"/>
      <c r="G775" s="1"/>
      <c r="H775" s="4"/>
      <c r="I775" s="4"/>
      <c r="J775" s="4"/>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5.75" customHeight="1">
      <c r="A776" s="1"/>
      <c r="B776" s="1"/>
      <c r="C776" s="1"/>
      <c r="D776" s="1"/>
      <c r="E776" s="1"/>
      <c r="F776" s="1"/>
      <c r="G776" s="1"/>
      <c r="H776" s="4"/>
      <c r="I776" s="4"/>
      <c r="J776" s="4"/>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5.75" customHeight="1">
      <c r="A777" s="1"/>
      <c r="B777" s="1"/>
      <c r="C777" s="1"/>
      <c r="D777" s="1"/>
      <c r="E777" s="1"/>
      <c r="F777" s="1"/>
      <c r="G777" s="1"/>
      <c r="H777" s="4"/>
      <c r="I777" s="4"/>
      <c r="J777" s="4"/>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5.75" customHeight="1">
      <c r="A778" s="1"/>
      <c r="B778" s="1"/>
      <c r="C778" s="1"/>
      <c r="D778" s="1"/>
      <c r="E778" s="1"/>
      <c r="F778" s="1"/>
      <c r="G778" s="1"/>
      <c r="H778" s="4"/>
      <c r="I778" s="4"/>
      <c r="J778" s="4"/>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5.75" customHeight="1">
      <c r="A779" s="1"/>
      <c r="B779" s="1"/>
      <c r="C779" s="1"/>
      <c r="D779" s="1"/>
      <c r="E779" s="1"/>
      <c r="F779" s="1"/>
      <c r="G779" s="1"/>
      <c r="H779" s="4"/>
      <c r="I779" s="4"/>
      <c r="J779" s="4"/>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5.75" customHeight="1">
      <c r="A780" s="1"/>
      <c r="B780" s="1"/>
      <c r="C780" s="1"/>
      <c r="D780" s="1"/>
      <c r="E780" s="1"/>
      <c r="F780" s="1"/>
      <c r="G780" s="1"/>
      <c r="H780" s="4"/>
      <c r="I780" s="4"/>
      <c r="J780" s="4"/>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5.75" customHeight="1">
      <c r="A781" s="1"/>
      <c r="B781" s="1"/>
      <c r="C781" s="1"/>
      <c r="D781" s="1"/>
      <c r="E781" s="1"/>
      <c r="F781" s="1"/>
      <c r="G781" s="1"/>
      <c r="H781" s="4"/>
      <c r="I781" s="4"/>
      <c r="J781" s="4"/>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5.75" customHeight="1">
      <c r="A782" s="1"/>
      <c r="B782" s="1"/>
      <c r="C782" s="1"/>
      <c r="D782" s="1"/>
      <c r="E782" s="1"/>
      <c r="F782" s="1"/>
      <c r="G782" s="1"/>
      <c r="H782" s="4"/>
      <c r="I782" s="4"/>
      <c r="J782" s="4"/>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5.75" customHeight="1">
      <c r="A783" s="1"/>
      <c r="B783" s="1"/>
      <c r="C783" s="1"/>
      <c r="D783" s="1"/>
      <c r="E783" s="1"/>
      <c r="F783" s="1"/>
      <c r="G783" s="1"/>
      <c r="H783" s="4"/>
      <c r="I783" s="4"/>
      <c r="J783" s="4"/>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5.75" customHeight="1">
      <c r="A784" s="1"/>
      <c r="B784" s="1"/>
      <c r="C784" s="1"/>
      <c r="D784" s="1"/>
      <c r="E784" s="1"/>
      <c r="F784" s="1"/>
      <c r="G784" s="1"/>
      <c r="H784" s="4"/>
      <c r="I784" s="4"/>
      <c r="J784" s="4"/>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5.75" customHeight="1">
      <c r="A785" s="1"/>
      <c r="B785" s="1"/>
      <c r="C785" s="1"/>
      <c r="D785" s="1"/>
      <c r="E785" s="1"/>
      <c r="F785" s="1"/>
      <c r="G785" s="1"/>
      <c r="H785" s="4"/>
      <c r="I785" s="4"/>
      <c r="J785" s="4"/>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5.75" customHeight="1">
      <c r="A786" s="1"/>
      <c r="B786" s="1"/>
      <c r="C786" s="1"/>
      <c r="D786" s="1"/>
      <c r="E786" s="1"/>
      <c r="F786" s="1"/>
      <c r="G786" s="1"/>
      <c r="H786" s="4"/>
      <c r="I786" s="4"/>
      <c r="J786" s="4"/>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5.75" customHeight="1">
      <c r="A787" s="1"/>
      <c r="B787" s="1"/>
      <c r="C787" s="1"/>
      <c r="D787" s="1"/>
      <c r="E787" s="1"/>
      <c r="F787" s="1"/>
      <c r="G787" s="1"/>
      <c r="H787" s="4"/>
      <c r="I787" s="4"/>
      <c r="J787" s="4"/>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5.75" customHeight="1">
      <c r="A788" s="1"/>
      <c r="B788" s="1"/>
      <c r="C788" s="1"/>
      <c r="D788" s="1"/>
      <c r="E788" s="1"/>
      <c r="F788" s="1"/>
      <c r="G788" s="1"/>
      <c r="H788" s="4"/>
      <c r="I788" s="4"/>
      <c r="J788" s="4"/>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5.75" customHeight="1">
      <c r="A789" s="1"/>
      <c r="B789" s="1"/>
      <c r="C789" s="1"/>
      <c r="D789" s="1"/>
      <c r="E789" s="1"/>
      <c r="F789" s="1"/>
      <c r="G789" s="1"/>
      <c r="H789" s="4"/>
      <c r="I789" s="4"/>
      <c r="J789" s="4"/>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5.75" customHeight="1">
      <c r="A790" s="1"/>
      <c r="B790" s="1"/>
      <c r="C790" s="1"/>
      <c r="D790" s="1"/>
      <c r="E790" s="1"/>
      <c r="F790" s="1"/>
      <c r="G790" s="1"/>
      <c r="H790" s="4"/>
      <c r="I790" s="4"/>
      <c r="J790" s="4"/>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5.75" customHeight="1">
      <c r="A791" s="1"/>
      <c r="B791" s="1"/>
      <c r="C791" s="1"/>
      <c r="D791" s="1"/>
      <c r="E791" s="1"/>
      <c r="F791" s="1"/>
      <c r="G791" s="1"/>
      <c r="H791" s="4"/>
      <c r="I791" s="4"/>
      <c r="J791" s="4"/>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5.75" customHeight="1">
      <c r="A792" s="1"/>
      <c r="B792" s="1"/>
      <c r="C792" s="1"/>
      <c r="D792" s="1"/>
      <c r="E792" s="1"/>
      <c r="F792" s="1"/>
      <c r="G792" s="1"/>
      <c r="H792" s="4"/>
      <c r="I792" s="4"/>
      <c r="J792" s="4"/>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5.75" customHeight="1">
      <c r="A793" s="1"/>
      <c r="B793" s="1"/>
      <c r="C793" s="1"/>
      <c r="D793" s="1"/>
      <c r="E793" s="1"/>
      <c r="F793" s="1"/>
      <c r="G793" s="1"/>
      <c r="H793" s="4"/>
      <c r="I793" s="4"/>
      <c r="J793" s="4"/>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5.75" customHeight="1">
      <c r="A794" s="1"/>
      <c r="B794" s="1"/>
      <c r="C794" s="1"/>
      <c r="D794" s="1"/>
      <c r="E794" s="1"/>
      <c r="F794" s="1"/>
      <c r="G794" s="1"/>
      <c r="H794" s="4"/>
      <c r="I794" s="4"/>
      <c r="J794" s="4"/>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5.75" customHeight="1">
      <c r="A795" s="1"/>
      <c r="B795" s="1"/>
      <c r="C795" s="1"/>
      <c r="D795" s="1"/>
      <c r="E795" s="1"/>
      <c r="F795" s="1"/>
      <c r="G795" s="1"/>
      <c r="H795" s="4"/>
      <c r="I795" s="4"/>
      <c r="J795" s="4"/>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5.75" customHeight="1">
      <c r="A796" s="1"/>
      <c r="B796" s="1"/>
      <c r="C796" s="1"/>
      <c r="D796" s="1"/>
      <c r="E796" s="1"/>
      <c r="F796" s="1"/>
      <c r="G796" s="1"/>
      <c r="H796" s="4"/>
      <c r="I796" s="4"/>
      <c r="J796" s="4"/>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5.75" customHeight="1">
      <c r="A797" s="1"/>
      <c r="B797" s="1"/>
      <c r="C797" s="1"/>
      <c r="D797" s="1"/>
      <c r="E797" s="1"/>
      <c r="F797" s="1"/>
      <c r="G797" s="1"/>
      <c r="H797" s="4"/>
      <c r="I797" s="4"/>
      <c r="J797" s="4"/>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5.75" customHeight="1">
      <c r="A798" s="1"/>
      <c r="B798" s="1"/>
      <c r="C798" s="1"/>
      <c r="D798" s="1"/>
      <c r="E798" s="1"/>
      <c r="F798" s="1"/>
      <c r="G798" s="1"/>
      <c r="H798" s="4"/>
      <c r="I798" s="4"/>
      <c r="J798" s="4"/>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5.75" customHeight="1">
      <c r="A799" s="1"/>
      <c r="B799" s="1"/>
      <c r="C799" s="1"/>
      <c r="D799" s="1"/>
      <c r="E799" s="1"/>
      <c r="F799" s="1"/>
      <c r="G799" s="1"/>
      <c r="H799" s="4"/>
      <c r="I799" s="4"/>
      <c r="J799" s="4"/>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5.75" customHeight="1">
      <c r="A800" s="1"/>
      <c r="B800" s="1"/>
      <c r="C800" s="1"/>
      <c r="D800" s="1"/>
      <c r="E800" s="1"/>
      <c r="F800" s="1"/>
      <c r="G800" s="1"/>
      <c r="H800" s="4"/>
      <c r="I800" s="4"/>
      <c r="J800" s="4"/>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5.75" customHeight="1">
      <c r="A801" s="1"/>
      <c r="B801" s="1"/>
      <c r="C801" s="1"/>
      <c r="D801" s="1"/>
      <c r="E801" s="1"/>
      <c r="F801" s="1"/>
      <c r="G801" s="1"/>
      <c r="H801" s="4"/>
      <c r="I801" s="4"/>
      <c r="J801" s="4"/>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5.75" customHeight="1">
      <c r="A802" s="1"/>
      <c r="B802" s="1"/>
      <c r="C802" s="1"/>
      <c r="D802" s="1"/>
      <c r="E802" s="1"/>
      <c r="F802" s="1"/>
      <c r="G802" s="1"/>
      <c r="H802" s="4"/>
      <c r="I802" s="4"/>
      <c r="J802" s="4"/>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5.75" customHeight="1">
      <c r="A803" s="1"/>
      <c r="B803" s="1"/>
      <c r="C803" s="1"/>
      <c r="D803" s="1"/>
      <c r="E803" s="1"/>
      <c r="F803" s="1"/>
      <c r="G803" s="1"/>
      <c r="H803" s="4"/>
      <c r="I803" s="4"/>
      <c r="J803" s="4"/>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5.75" customHeight="1">
      <c r="A804" s="1"/>
      <c r="B804" s="1"/>
      <c r="C804" s="1"/>
      <c r="D804" s="1"/>
      <c r="E804" s="1"/>
      <c r="F804" s="1"/>
      <c r="G804" s="1"/>
      <c r="H804" s="4"/>
      <c r="I804" s="4"/>
      <c r="J804" s="4"/>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5.75" customHeight="1">
      <c r="A805" s="1"/>
      <c r="B805" s="1"/>
      <c r="C805" s="1"/>
      <c r="D805" s="1"/>
      <c r="E805" s="1"/>
      <c r="F805" s="1"/>
      <c r="G805" s="1"/>
      <c r="H805" s="4"/>
      <c r="I805" s="4"/>
      <c r="J805" s="4"/>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5.75" customHeight="1">
      <c r="A806" s="1"/>
      <c r="B806" s="1"/>
      <c r="C806" s="1"/>
      <c r="D806" s="1"/>
      <c r="E806" s="1"/>
      <c r="F806" s="1"/>
      <c r="G806" s="1"/>
      <c r="H806" s="4"/>
      <c r="I806" s="4"/>
      <c r="J806" s="4"/>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5.75" customHeight="1">
      <c r="A807" s="1"/>
      <c r="B807" s="1"/>
      <c r="C807" s="1"/>
      <c r="D807" s="1"/>
      <c r="E807" s="1"/>
      <c r="F807" s="1"/>
      <c r="G807" s="1"/>
      <c r="H807" s="4"/>
      <c r="I807" s="4"/>
      <c r="J807" s="4"/>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5.75" customHeight="1">
      <c r="A808" s="1"/>
      <c r="B808" s="1"/>
      <c r="C808" s="1"/>
      <c r="D808" s="1"/>
      <c r="E808" s="1"/>
      <c r="F808" s="1"/>
      <c r="G808" s="1"/>
      <c r="H808" s="4"/>
      <c r="I808" s="4"/>
      <c r="J808" s="4"/>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5.75" customHeight="1">
      <c r="A809" s="1"/>
      <c r="B809" s="1"/>
      <c r="C809" s="1"/>
      <c r="D809" s="1"/>
      <c r="E809" s="1"/>
      <c r="F809" s="1"/>
      <c r="G809" s="1"/>
      <c r="H809" s="4"/>
      <c r="I809" s="4"/>
      <c r="J809" s="4"/>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5.75" customHeight="1">
      <c r="A810" s="1"/>
      <c r="B810" s="1"/>
      <c r="C810" s="1"/>
      <c r="D810" s="1"/>
      <c r="E810" s="1"/>
      <c r="F810" s="1"/>
      <c r="G810" s="1"/>
      <c r="H810" s="4"/>
      <c r="I810" s="4"/>
      <c r="J810" s="4"/>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5.75" customHeight="1">
      <c r="A811" s="1"/>
      <c r="B811" s="1"/>
      <c r="C811" s="1"/>
      <c r="D811" s="1"/>
      <c r="E811" s="1"/>
      <c r="F811" s="1"/>
      <c r="G811" s="1"/>
      <c r="H811" s="4"/>
      <c r="I811" s="4"/>
      <c r="J811" s="4"/>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5.75" customHeight="1">
      <c r="A812" s="1"/>
      <c r="B812" s="1"/>
      <c r="C812" s="1"/>
      <c r="D812" s="1"/>
      <c r="E812" s="1"/>
      <c r="F812" s="1"/>
      <c r="G812" s="1"/>
      <c r="H812" s="4"/>
      <c r="I812" s="4"/>
      <c r="J812" s="4"/>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5.75" customHeight="1">
      <c r="A813" s="1"/>
      <c r="B813" s="1"/>
      <c r="C813" s="1"/>
      <c r="D813" s="1"/>
      <c r="E813" s="1"/>
      <c r="F813" s="1"/>
      <c r="G813" s="1"/>
      <c r="H813" s="4"/>
      <c r="I813" s="4"/>
      <c r="J813" s="4"/>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5.75" customHeight="1">
      <c r="A814" s="1"/>
      <c r="B814" s="1"/>
      <c r="C814" s="1"/>
      <c r="D814" s="1"/>
      <c r="E814" s="1"/>
      <c r="F814" s="1"/>
      <c r="G814" s="1"/>
      <c r="H814" s="4"/>
      <c r="I814" s="4"/>
      <c r="J814" s="4"/>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5.75" customHeight="1">
      <c r="A815" s="1"/>
      <c r="B815" s="1"/>
      <c r="C815" s="1"/>
      <c r="D815" s="1"/>
      <c r="E815" s="1"/>
      <c r="F815" s="1"/>
      <c r="G815" s="1"/>
      <c r="H815" s="4"/>
      <c r="I815" s="4"/>
      <c r="J815" s="4"/>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5.75" customHeight="1">
      <c r="A816" s="1"/>
      <c r="B816" s="1"/>
      <c r="C816" s="1"/>
      <c r="D816" s="1"/>
      <c r="E816" s="1"/>
      <c r="F816" s="1"/>
      <c r="G816" s="1"/>
      <c r="H816" s="4"/>
      <c r="I816" s="4"/>
      <c r="J816" s="4"/>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5.75" customHeight="1">
      <c r="A817" s="1"/>
      <c r="B817" s="1"/>
      <c r="C817" s="1"/>
      <c r="D817" s="1"/>
      <c r="E817" s="1"/>
      <c r="F817" s="1"/>
      <c r="G817" s="1"/>
      <c r="H817" s="4"/>
      <c r="I817" s="4"/>
      <c r="J817" s="4"/>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5.75" customHeight="1">
      <c r="A818" s="1"/>
      <c r="B818" s="1"/>
      <c r="C818" s="1"/>
      <c r="D818" s="1"/>
      <c r="E818" s="1"/>
      <c r="F818" s="1"/>
      <c r="G818" s="1"/>
      <c r="H818" s="4"/>
      <c r="I818" s="4"/>
      <c r="J818" s="4"/>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5.75" customHeight="1">
      <c r="A819" s="1"/>
      <c r="B819" s="1"/>
      <c r="C819" s="1"/>
      <c r="D819" s="1"/>
      <c r="E819" s="1"/>
      <c r="F819" s="1"/>
      <c r="G819" s="1"/>
      <c r="H819" s="4"/>
      <c r="I819" s="4"/>
      <c r="J819" s="4"/>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5.75" customHeight="1">
      <c r="A820" s="1"/>
      <c r="B820" s="1"/>
      <c r="C820" s="1"/>
      <c r="D820" s="1"/>
      <c r="E820" s="1"/>
      <c r="F820" s="1"/>
      <c r="G820" s="1"/>
      <c r="H820" s="4"/>
      <c r="I820" s="4"/>
      <c r="J820" s="4"/>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5.75" customHeight="1">
      <c r="A821" s="1"/>
      <c r="B821" s="1"/>
      <c r="C821" s="1"/>
      <c r="D821" s="1"/>
      <c r="E821" s="1"/>
      <c r="F821" s="1"/>
      <c r="G821" s="1"/>
      <c r="H821" s="4"/>
      <c r="I821" s="4"/>
      <c r="J821" s="4"/>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5.75" customHeight="1">
      <c r="A822" s="1"/>
      <c r="B822" s="1"/>
      <c r="C822" s="1"/>
      <c r="D822" s="1"/>
      <c r="E822" s="1"/>
      <c r="F822" s="1"/>
      <c r="G822" s="1"/>
      <c r="H822" s="4"/>
      <c r="I822" s="4"/>
      <c r="J822" s="4"/>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5.75" customHeight="1">
      <c r="A823" s="1"/>
      <c r="B823" s="1"/>
      <c r="C823" s="1"/>
      <c r="D823" s="1"/>
      <c r="E823" s="1"/>
      <c r="F823" s="1"/>
      <c r="G823" s="1"/>
      <c r="H823" s="4"/>
      <c r="I823" s="4"/>
      <c r="J823" s="4"/>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5.75" customHeight="1">
      <c r="A824" s="1"/>
      <c r="B824" s="1"/>
      <c r="C824" s="1"/>
      <c r="D824" s="1"/>
      <c r="E824" s="1"/>
      <c r="F824" s="1"/>
      <c r="G824" s="1"/>
      <c r="H824" s="4"/>
      <c r="I824" s="4"/>
      <c r="J824" s="4"/>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5.75" customHeight="1">
      <c r="A825" s="1"/>
      <c r="B825" s="1"/>
      <c r="C825" s="1"/>
      <c r="D825" s="1"/>
      <c r="E825" s="1"/>
      <c r="F825" s="1"/>
      <c r="G825" s="1"/>
      <c r="H825" s="4"/>
      <c r="I825" s="4"/>
      <c r="J825" s="4"/>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5.75" customHeight="1">
      <c r="A826" s="1"/>
      <c r="B826" s="1"/>
      <c r="C826" s="1"/>
      <c r="D826" s="1"/>
      <c r="E826" s="1"/>
      <c r="F826" s="1"/>
      <c r="G826" s="1"/>
      <c r="H826" s="4"/>
      <c r="I826" s="4"/>
      <c r="J826" s="4"/>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5.75" customHeight="1">
      <c r="A827" s="1"/>
      <c r="B827" s="1"/>
      <c r="C827" s="1"/>
      <c r="D827" s="1"/>
      <c r="E827" s="1"/>
      <c r="F827" s="1"/>
      <c r="G827" s="1"/>
      <c r="H827" s="4"/>
      <c r="I827" s="4"/>
      <c r="J827" s="4"/>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5.75" customHeight="1">
      <c r="A828" s="1"/>
      <c r="B828" s="1"/>
      <c r="C828" s="1"/>
      <c r="D828" s="1"/>
      <c r="E828" s="1"/>
      <c r="F828" s="1"/>
      <c r="G828" s="1"/>
      <c r="H828" s="4"/>
      <c r="I828" s="4"/>
      <c r="J828" s="4"/>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5.75" customHeight="1">
      <c r="A829" s="1"/>
      <c r="B829" s="1"/>
      <c r="C829" s="1"/>
      <c r="D829" s="1"/>
      <c r="E829" s="1"/>
      <c r="F829" s="1"/>
      <c r="G829" s="1"/>
      <c r="H829" s="4"/>
      <c r="I829" s="4"/>
      <c r="J829" s="4"/>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5.75" customHeight="1">
      <c r="A830" s="1"/>
      <c r="B830" s="1"/>
      <c r="C830" s="1"/>
      <c r="D830" s="1"/>
      <c r="E830" s="1"/>
      <c r="F830" s="1"/>
      <c r="G830" s="1"/>
      <c r="H830" s="4"/>
      <c r="I830" s="4"/>
      <c r="J830" s="4"/>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5.75" customHeight="1">
      <c r="A831" s="1"/>
      <c r="B831" s="1"/>
      <c r="C831" s="1"/>
      <c r="D831" s="1"/>
      <c r="E831" s="1"/>
      <c r="F831" s="1"/>
      <c r="G831" s="1"/>
      <c r="H831" s="4"/>
      <c r="I831" s="4"/>
      <c r="J831" s="4"/>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5.75" customHeight="1">
      <c r="A832" s="1"/>
      <c r="B832" s="1"/>
      <c r="C832" s="1"/>
      <c r="D832" s="1"/>
      <c r="E832" s="1"/>
      <c r="F832" s="1"/>
      <c r="G832" s="1"/>
      <c r="H832" s="4"/>
      <c r="I832" s="4"/>
      <c r="J832" s="4"/>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5.75" customHeight="1">
      <c r="A833" s="1"/>
      <c r="B833" s="1"/>
      <c r="C833" s="1"/>
      <c r="D833" s="1"/>
      <c r="E833" s="1"/>
      <c r="F833" s="1"/>
      <c r="G833" s="1"/>
      <c r="H833" s="4"/>
      <c r="I833" s="4"/>
      <c r="J833" s="4"/>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5.75" customHeight="1">
      <c r="A834" s="1"/>
      <c r="B834" s="1"/>
      <c r="C834" s="1"/>
      <c r="D834" s="1"/>
      <c r="E834" s="1"/>
      <c r="F834" s="1"/>
      <c r="G834" s="1"/>
      <c r="H834" s="4"/>
      <c r="I834" s="4"/>
      <c r="J834" s="4"/>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5.75" customHeight="1">
      <c r="A835" s="1"/>
      <c r="B835" s="1"/>
      <c r="C835" s="1"/>
      <c r="D835" s="1"/>
      <c r="E835" s="1"/>
      <c r="F835" s="1"/>
      <c r="G835" s="1"/>
      <c r="H835" s="4"/>
      <c r="I835" s="4"/>
      <c r="J835" s="4"/>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5.75" customHeight="1">
      <c r="A836" s="1"/>
      <c r="B836" s="1"/>
      <c r="C836" s="1"/>
      <c r="D836" s="1"/>
      <c r="E836" s="1"/>
      <c r="F836" s="1"/>
      <c r="G836" s="1"/>
      <c r="H836" s="4"/>
      <c r="I836" s="4"/>
      <c r="J836" s="4"/>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5.75" customHeight="1">
      <c r="A837" s="1"/>
      <c r="B837" s="1"/>
      <c r="C837" s="1"/>
      <c r="D837" s="1"/>
      <c r="E837" s="1"/>
      <c r="F837" s="1"/>
      <c r="G837" s="1"/>
      <c r="H837" s="4"/>
      <c r="I837" s="4"/>
      <c r="J837" s="4"/>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5.75" customHeight="1">
      <c r="A838" s="1"/>
      <c r="B838" s="1"/>
      <c r="C838" s="1"/>
      <c r="D838" s="1"/>
      <c r="E838" s="1"/>
      <c r="F838" s="1"/>
      <c r="G838" s="1"/>
      <c r="H838" s="4"/>
      <c r="I838" s="4"/>
      <c r="J838" s="4"/>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5.75" customHeight="1">
      <c r="A839" s="1"/>
      <c r="B839" s="1"/>
      <c r="C839" s="1"/>
      <c r="D839" s="1"/>
      <c r="E839" s="1"/>
      <c r="F839" s="1"/>
      <c r="G839" s="1"/>
      <c r="H839" s="4"/>
      <c r="I839" s="4"/>
      <c r="J839" s="4"/>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5.75" customHeight="1">
      <c r="A840" s="1"/>
      <c r="B840" s="1"/>
      <c r="C840" s="1"/>
      <c r="D840" s="1"/>
      <c r="E840" s="1"/>
      <c r="F840" s="1"/>
      <c r="G840" s="1"/>
      <c r="H840" s="4"/>
      <c r="I840" s="4"/>
      <c r="J840" s="4"/>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5.75" customHeight="1">
      <c r="A841" s="1"/>
      <c r="B841" s="1"/>
      <c r="C841" s="1"/>
      <c r="D841" s="1"/>
      <c r="E841" s="1"/>
      <c r="F841" s="1"/>
      <c r="G841" s="1"/>
      <c r="H841" s="4"/>
      <c r="I841" s="4"/>
      <c r="J841" s="4"/>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5.75" customHeight="1">
      <c r="A842" s="1"/>
      <c r="B842" s="1"/>
      <c r="C842" s="1"/>
      <c r="D842" s="1"/>
      <c r="E842" s="1"/>
      <c r="F842" s="1"/>
      <c r="G842" s="1"/>
      <c r="H842" s="4"/>
      <c r="I842" s="4"/>
      <c r="J842" s="4"/>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5.75" customHeight="1">
      <c r="A843" s="1"/>
      <c r="B843" s="1"/>
      <c r="C843" s="1"/>
      <c r="D843" s="1"/>
      <c r="E843" s="1"/>
      <c r="F843" s="1"/>
      <c r="G843" s="1"/>
      <c r="H843" s="4"/>
      <c r="I843" s="4"/>
      <c r="J843" s="4"/>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5.75" customHeight="1">
      <c r="A844" s="1"/>
      <c r="B844" s="1"/>
      <c r="C844" s="1"/>
      <c r="D844" s="1"/>
      <c r="E844" s="1"/>
      <c r="F844" s="1"/>
      <c r="G844" s="1"/>
      <c r="H844" s="4"/>
      <c r="I844" s="4"/>
      <c r="J844" s="4"/>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5.75" customHeight="1">
      <c r="A845" s="1"/>
      <c r="B845" s="1"/>
      <c r="C845" s="1"/>
      <c r="D845" s="1"/>
      <c r="E845" s="1"/>
      <c r="F845" s="1"/>
      <c r="G845" s="1"/>
      <c r="H845" s="4"/>
      <c r="I845" s="4"/>
      <c r="J845" s="4"/>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5.75" customHeight="1">
      <c r="A846" s="1"/>
      <c r="B846" s="1"/>
      <c r="C846" s="1"/>
      <c r="D846" s="1"/>
      <c r="E846" s="1"/>
      <c r="F846" s="1"/>
      <c r="G846" s="1"/>
      <c r="H846" s="4"/>
      <c r="I846" s="4"/>
      <c r="J846" s="4"/>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5.75" customHeight="1">
      <c r="A847" s="1"/>
      <c r="B847" s="1"/>
      <c r="C847" s="1"/>
      <c r="D847" s="1"/>
      <c r="E847" s="1"/>
      <c r="F847" s="1"/>
      <c r="G847" s="1"/>
      <c r="H847" s="4"/>
      <c r="I847" s="4"/>
      <c r="J847" s="4"/>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5.75" customHeight="1">
      <c r="A848" s="1"/>
      <c r="B848" s="1"/>
      <c r="C848" s="1"/>
      <c r="D848" s="1"/>
      <c r="E848" s="1"/>
      <c r="F848" s="1"/>
      <c r="G848" s="1"/>
      <c r="H848" s="4"/>
      <c r="I848" s="4"/>
      <c r="J848" s="4"/>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5.75" customHeight="1">
      <c r="A849" s="1"/>
      <c r="B849" s="1"/>
      <c r="C849" s="1"/>
      <c r="D849" s="1"/>
      <c r="E849" s="1"/>
      <c r="F849" s="1"/>
      <c r="G849" s="1"/>
      <c r="H849" s="4"/>
      <c r="I849" s="4"/>
      <c r="J849" s="4"/>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5.75" customHeight="1">
      <c r="A850" s="1"/>
      <c r="B850" s="1"/>
      <c r="C850" s="1"/>
      <c r="D850" s="1"/>
      <c r="E850" s="1"/>
      <c r="F850" s="1"/>
      <c r="G850" s="1"/>
      <c r="H850" s="4"/>
      <c r="I850" s="4"/>
      <c r="J850" s="4"/>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5.75" customHeight="1">
      <c r="A851" s="1"/>
      <c r="B851" s="1"/>
      <c r="C851" s="1"/>
      <c r="D851" s="1"/>
      <c r="E851" s="1"/>
      <c r="F851" s="1"/>
      <c r="G851" s="1"/>
      <c r="H851" s="4"/>
      <c r="I851" s="4"/>
      <c r="J851" s="4"/>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5.75" customHeight="1">
      <c r="A852" s="1"/>
      <c r="B852" s="1"/>
      <c r="C852" s="1"/>
      <c r="D852" s="1"/>
      <c r="E852" s="1"/>
      <c r="F852" s="1"/>
      <c r="G852" s="1"/>
      <c r="H852" s="4"/>
      <c r="I852" s="4"/>
      <c r="J852" s="4"/>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5.75" customHeight="1">
      <c r="A853" s="1"/>
      <c r="B853" s="1"/>
      <c r="C853" s="1"/>
      <c r="D853" s="1"/>
      <c r="E853" s="1"/>
      <c r="F853" s="1"/>
      <c r="G853" s="1"/>
      <c r="H853" s="4"/>
      <c r="I853" s="4"/>
      <c r="J853" s="4"/>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5.75" customHeight="1">
      <c r="A854" s="1"/>
      <c r="B854" s="1"/>
      <c r="C854" s="1"/>
      <c r="D854" s="1"/>
      <c r="E854" s="1"/>
      <c r="F854" s="1"/>
      <c r="G854" s="1"/>
      <c r="H854" s="4"/>
      <c r="I854" s="4"/>
      <c r="J854" s="4"/>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5.75" customHeight="1">
      <c r="A855" s="1"/>
      <c r="B855" s="1"/>
      <c r="C855" s="1"/>
      <c r="D855" s="1"/>
      <c r="E855" s="1"/>
      <c r="F855" s="1"/>
      <c r="G855" s="1"/>
      <c r="H855" s="4"/>
      <c r="I855" s="4"/>
      <c r="J855" s="4"/>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5.75" customHeight="1">
      <c r="A856" s="1"/>
      <c r="B856" s="1"/>
      <c r="C856" s="1"/>
      <c r="D856" s="1"/>
      <c r="E856" s="1"/>
      <c r="F856" s="1"/>
      <c r="G856" s="1"/>
      <c r="H856" s="4"/>
      <c r="I856" s="4"/>
      <c r="J856" s="4"/>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5.75" customHeight="1">
      <c r="A857" s="1"/>
      <c r="B857" s="1"/>
      <c r="C857" s="1"/>
      <c r="D857" s="1"/>
      <c r="E857" s="1"/>
      <c r="F857" s="1"/>
      <c r="G857" s="1"/>
      <c r="H857" s="4"/>
      <c r="I857" s="4"/>
      <c r="J857" s="4"/>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5.75" customHeight="1">
      <c r="A858" s="1"/>
      <c r="B858" s="1"/>
      <c r="C858" s="1"/>
      <c r="D858" s="1"/>
      <c r="E858" s="1"/>
      <c r="F858" s="1"/>
      <c r="G858" s="1"/>
      <c r="H858" s="4"/>
      <c r="I858" s="4"/>
      <c r="J858" s="4"/>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5.75" customHeight="1">
      <c r="A859" s="1"/>
      <c r="B859" s="1"/>
      <c r="C859" s="1"/>
      <c r="D859" s="1"/>
      <c r="E859" s="1"/>
      <c r="F859" s="1"/>
      <c r="G859" s="1"/>
      <c r="H859" s="4"/>
      <c r="I859" s="4"/>
      <c r="J859" s="4"/>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5.75" customHeight="1">
      <c r="A860" s="1"/>
      <c r="B860" s="1"/>
      <c r="C860" s="1"/>
      <c r="D860" s="1"/>
      <c r="E860" s="1"/>
      <c r="F860" s="1"/>
      <c r="G860" s="1"/>
      <c r="H860" s="4"/>
      <c r="I860" s="4"/>
      <c r="J860" s="4"/>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5.75" customHeight="1">
      <c r="A861" s="1"/>
      <c r="B861" s="1"/>
      <c r="C861" s="1"/>
      <c r="D861" s="1"/>
      <c r="E861" s="1"/>
      <c r="F861" s="1"/>
      <c r="G861" s="1"/>
      <c r="H861" s="4"/>
      <c r="I861" s="4"/>
      <c r="J861" s="4"/>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5.75" customHeight="1">
      <c r="A862" s="1"/>
      <c r="B862" s="1"/>
      <c r="C862" s="1"/>
      <c r="D862" s="1"/>
      <c r="E862" s="1"/>
      <c r="F862" s="1"/>
      <c r="G862" s="1"/>
      <c r="H862" s="4"/>
      <c r="I862" s="4"/>
      <c r="J862" s="4"/>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5.75" customHeight="1">
      <c r="A863" s="1"/>
      <c r="B863" s="1"/>
      <c r="C863" s="1"/>
      <c r="D863" s="1"/>
      <c r="E863" s="1"/>
      <c r="F863" s="1"/>
      <c r="G863" s="1"/>
      <c r="H863" s="4"/>
      <c r="I863" s="4"/>
      <c r="J863" s="4"/>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5.75" customHeight="1">
      <c r="A864" s="1"/>
      <c r="B864" s="1"/>
      <c r="C864" s="1"/>
      <c r="D864" s="1"/>
      <c r="E864" s="1"/>
      <c r="F864" s="1"/>
      <c r="G864" s="1"/>
      <c r="H864" s="4"/>
      <c r="I864" s="4"/>
      <c r="J864" s="4"/>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5.75" customHeight="1">
      <c r="A865" s="1"/>
      <c r="B865" s="1"/>
      <c r="C865" s="1"/>
      <c r="D865" s="1"/>
      <c r="E865" s="1"/>
      <c r="F865" s="1"/>
      <c r="G865" s="1"/>
      <c r="H865" s="4"/>
      <c r="I865" s="4"/>
      <c r="J865" s="4"/>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5.75" customHeight="1">
      <c r="A866" s="1"/>
      <c r="B866" s="1"/>
      <c r="C866" s="1"/>
      <c r="D866" s="1"/>
      <c r="E866" s="1"/>
      <c r="F866" s="1"/>
      <c r="G866" s="1"/>
      <c r="H866" s="4"/>
      <c r="I866" s="4"/>
      <c r="J866" s="4"/>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5.75" customHeight="1">
      <c r="A867" s="1"/>
      <c r="B867" s="1"/>
      <c r="C867" s="1"/>
      <c r="D867" s="1"/>
      <c r="E867" s="1"/>
      <c r="F867" s="1"/>
      <c r="G867" s="1"/>
      <c r="H867" s="4"/>
      <c r="I867" s="4"/>
      <c r="J867" s="4"/>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5.75" customHeight="1">
      <c r="A868" s="1"/>
      <c r="B868" s="1"/>
      <c r="C868" s="1"/>
      <c r="D868" s="1"/>
      <c r="E868" s="1"/>
      <c r="F868" s="1"/>
      <c r="G868" s="1"/>
      <c r="H868" s="4"/>
      <c r="I868" s="4"/>
      <c r="J868" s="4"/>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5.75" customHeight="1">
      <c r="A869" s="1"/>
      <c r="B869" s="1"/>
      <c r="C869" s="1"/>
      <c r="D869" s="1"/>
      <c r="E869" s="1"/>
      <c r="F869" s="1"/>
      <c r="G869" s="1"/>
      <c r="H869" s="4"/>
      <c r="I869" s="4"/>
      <c r="J869" s="4"/>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5.75" customHeight="1">
      <c r="A870" s="1"/>
      <c r="B870" s="1"/>
      <c r="C870" s="1"/>
      <c r="D870" s="1"/>
      <c r="E870" s="1"/>
      <c r="F870" s="1"/>
      <c r="G870" s="1"/>
      <c r="H870" s="4"/>
      <c r="I870" s="4"/>
      <c r="J870" s="4"/>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5.75" customHeight="1">
      <c r="A871" s="1"/>
      <c r="B871" s="1"/>
      <c r="C871" s="1"/>
      <c r="D871" s="1"/>
      <c r="E871" s="1"/>
      <c r="F871" s="1"/>
      <c r="G871" s="1"/>
      <c r="H871" s="4"/>
      <c r="I871" s="4"/>
      <c r="J871" s="4"/>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5.75" customHeight="1">
      <c r="A872" s="1"/>
      <c r="B872" s="1"/>
      <c r="C872" s="1"/>
      <c r="D872" s="1"/>
      <c r="E872" s="1"/>
      <c r="F872" s="1"/>
      <c r="G872" s="1"/>
      <c r="H872" s="4"/>
      <c r="I872" s="4"/>
      <c r="J872" s="4"/>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5.75" customHeight="1">
      <c r="A873" s="1"/>
      <c r="B873" s="1"/>
      <c r="C873" s="1"/>
      <c r="D873" s="1"/>
      <c r="E873" s="1"/>
      <c r="F873" s="1"/>
      <c r="G873" s="1"/>
      <c r="H873" s="4"/>
      <c r="I873" s="4"/>
      <c r="J873" s="4"/>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5.75" customHeight="1">
      <c r="A874" s="1"/>
      <c r="B874" s="1"/>
      <c r="C874" s="1"/>
      <c r="D874" s="1"/>
      <c r="E874" s="1"/>
      <c r="F874" s="1"/>
      <c r="G874" s="1"/>
      <c r="H874" s="4"/>
      <c r="I874" s="4"/>
      <c r="J874" s="4"/>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5.75" customHeight="1">
      <c r="A875" s="1"/>
      <c r="B875" s="1"/>
      <c r="C875" s="1"/>
      <c r="D875" s="1"/>
      <c r="E875" s="1"/>
      <c r="F875" s="1"/>
      <c r="G875" s="1"/>
      <c r="H875" s="4"/>
      <c r="I875" s="4"/>
      <c r="J875" s="4"/>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5.75" customHeight="1">
      <c r="A876" s="1"/>
      <c r="B876" s="1"/>
      <c r="C876" s="1"/>
      <c r="D876" s="1"/>
      <c r="E876" s="1"/>
      <c r="F876" s="1"/>
      <c r="G876" s="1"/>
      <c r="H876" s="4"/>
      <c r="I876" s="4"/>
      <c r="J876" s="4"/>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5.75" customHeight="1">
      <c r="A877" s="1"/>
      <c r="B877" s="1"/>
      <c r="C877" s="1"/>
      <c r="D877" s="1"/>
      <c r="E877" s="1"/>
      <c r="F877" s="1"/>
      <c r="G877" s="1"/>
      <c r="H877" s="4"/>
      <c r="I877" s="4"/>
      <c r="J877" s="4"/>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5.75" customHeight="1">
      <c r="A878" s="1"/>
      <c r="B878" s="1"/>
      <c r="C878" s="1"/>
      <c r="D878" s="1"/>
      <c r="E878" s="1"/>
      <c r="F878" s="1"/>
      <c r="G878" s="1"/>
      <c r="H878" s="4"/>
      <c r="I878" s="4"/>
      <c r="J878" s="4"/>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5.75" customHeight="1">
      <c r="A879" s="1"/>
      <c r="B879" s="1"/>
      <c r="C879" s="1"/>
      <c r="D879" s="1"/>
      <c r="E879" s="1"/>
      <c r="F879" s="1"/>
      <c r="G879" s="1"/>
      <c r="H879" s="4"/>
      <c r="I879" s="4"/>
      <c r="J879" s="4"/>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5.75" customHeight="1">
      <c r="A880" s="1"/>
      <c r="B880" s="1"/>
      <c r="C880" s="1"/>
      <c r="D880" s="1"/>
      <c r="E880" s="1"/>
      <c r="F880" s="1"/>
      <c r="G880" s="1"/>
      <c r="H880" s="4"/>
      <c r="I880" s="4"/>
      <c r="J880" s="4"/>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5.75" customHeight="1">
      <c r="A881" s="1"/>
      <c r="B881" s="1"/>
      <c r="C881" s="1"/>
      <c r="D881" s="1"/>
      <c r="E881" s="1"/>
      <c r="F881" s="1"/>
      <c r="G881" s="1"/>
      <c r="H881" s="4"/>
      <c r="I881" s="4"/>
      <c r="J881" s="4"/>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5.75" customHeight="1">
      <c r="A882" s="1"/>
      <c r="B882" s="1"/>
      <c r="C882" s="1"/>
      <c r="D882" s="1"/>
      <c r="E882" s="1"/>
      <c r="F882" s="1"/>
      <c r="G882" s="1"/>
      <c r="H882" s="4"/>
      <c r="I882" s="4"/>
      <c r="J882" s="4"/>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5.75" customHeight="1">
      <c r="A883" s="1"/>
      <c r="B883" s="1"/>
      <c r="C883" s="1"/>
      <c r="D883" s="1"/>
      <c r="E883" s="1"/>
      <c r="F883" s="1"/>
      <c r="G883" s="1"/>
      <c r="H883" s="4"/>
      <c r="I883" s="4"/>
      <c r="J883" s="4"/>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5.75" customHeight="1">
      <c r="A884" s="1"/>
      <c r="B884" s="1"/>
      <c r="C884" s="1"/>
      <c r="D884" s="1"/>
      <c r="E884" s="1"/>
      <c r="F884" s="1"/>
      <c r="G884" s="1"/>
      <c r="H884" s="4"/>
      <c r="I884" s="4"/>
      <c r="J884" s="4"/>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5.75" customHeight="1">
      <c r="A885" s="1"/>
      <c r="B885" s="1"/>
      <c r="C885" s="1"/>
      <c r="D885" s="1"/>
      <c r="E885" s="1"/>
      <c r="F885" s="1"/>
      <c r="G885" s="1"/>
      <c r="H885" s="4"/>
      <c r="I885" s="4"/>
      <c r="J885" s="4"/>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5.75" customHeight="1">
      <c r="A886" s="1"/>
      <c r="B886" s="1"/>
      <c r="C886" s="1"/>
      <c r="D886" s="1"/>
      <c r="E886" s="1"/>
      <c r="F886" s="1"/>
      <c r="G886" s="1"/>
      <c r="H886" s="4"/>
      <c r="I886" s="4"/>
      <c r="J886" s="4"/>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5.75" customHeight="1">
      <c r="A887" s="1"/>
      <c r="B887" s="1"/>
      <c r="C887" s="1"/>
      <c r="D887" s="1"/>
      <c r="E887" s="1"/>
      <c r="F887" s="1"/>
      <c r="G887" s="1"/>
      <c r="H887" s="4"/>
      <c r="I887" s="4"/>
      <c r="J887" s="4"/>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5.75" customHeight="1">
      <c r="A888" s="1"/>
      <c r="B888" s="1"/>
      <c r="C888" s="1"/>
      <c r="D888" s="1"/>
      <c r="E888" s="1"/>
      <c r="F888" s="1"/>
      <c r="G888" s="1"/>
      <c r="H888" s="4"/>
      <c r="I888" s="4"/>
      <c r="J888" s="4"/>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5.75" customHeight="1">
      <c r="A889" s="1"/>
      <c r="B889" s="1"/>
      <c r="C889" s="1"/>
      <c r="D889" s="1"/>
      <c r="E889" s="1"/>
      <c r="F889" s="1"/>
      <c r="G889" s="1"/>
      <c r="H889" s="4"/>
      <c r="I889" s="4"/>
      <c r="J889" s="4"/>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5.75" customHeight="1">
      <c r="A890" s="1"/>
      <c r="B890" s="1"/>
      <c r="C890" s="1"/>
      <c r="D890" s="1"/>
      <c r="E890" s="1"/>
      <c r="F890" s="1"/>
      <c r="G890" s="1"/>
      <c r="H890" s="4"/>
      <c r="I890" s="4"/>
      <c r="J890" s="4"/>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5.75" customHeight="1">
      <c r="A891" s="1"/>
      <c r="B891" s="1"/>
      <c r="C891" s="1"/>
      <c r="D891" s="1"/>
      <c r="E891" s="1"/>
      <c r="F891" s="1"/>
      <c r="G891" s="1"/>
      <c r="H891" s="4"/>
      <c r="I891" s="4"/>
      <c r="J891" s="4"/>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5.75" customHeight="1">
      <c r="A892" s="1"/>
      <c r="B892" s="1"/>
      <c r="C892" s="1"/>
      <c r="D892" s="1"/>
      <c r="E892" s="1"/>
      <c r="F892" s="1"/>
      <c r="G892" s="1"/>
      <c r="H892" s="4"/>
      <c r="I892" s="4"/>
      <c r="J892" s="4"/>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5.75" customHeight="1">
      <c r="A893" s="1"/>
      <c r="B893" s="1"/>
      <c r="C893" s="1"/>
      <c r="D893" s="1"/>
      <c r="E893" s="1"/>
      <c r="F893" s="1"/>
      <c r="G893" s="1"/>
      <c r="H893" s="4"/>
      <c r="I893" s="4"/>
      <c r="J893" s="4"/>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5.75" customHeight="1">
      <c r="A894" s="1"/>
      <c r="B894" s="1"/>
      <c r="C894" s="1"/>
      <c r="D894" s="1"/>
      <c r="E894" s="1"/>
      <c r="F894" s="1"/>
      <c r="G894" s="1"/>
      <c r="H894" s="4"/>
      <c r="I894" s="4"/>
      <c r="J894" s="4"/>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5.75" customHeight="1">
      <c r="A895" s="1"/>
      <c r="B895" s="1"/>
      <c r="C895" s="1"/>
      <c r="D895" s="1"/>
      <c r="E895" s="1"/>
      <c r="F895" s="1"/>
      <c r="G895" s="1"/>
      <c r="H895" s="4"/>
      <c r="I895" s="4"/>
      <c r="J895" s="4"/>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5.75" customHeight="1">
      <c r="A896" s="1"/>
      <c r="B896" s="1"/>
      <c r="C896" s="1"/>
      <c r="D896" s="1"/>
      <c r="E896" s="1"/>
      <c r="F896" s="1"/>
      <c r="G896" s="1"/>
      <c r="H896" s="4"/>
      <c r="I896" s="4"/>
      <c r="J896" s="4"/>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5.75" customHeight="1">
      <c r="A897" s="1"/>
      <c r="B897" s="1"/>
      <c r="C897" s="1"/>
      <c r="D897" s="1"/>
      <c r="E897" s="1"/>
      <c r="F897" s="1"/>
      <c r="G897" s="1"/>
      <c r="H897" s="4"/>
      <c r="I897" s="4"/>
      <c r="J897" s="4"/>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5.75" customHeight="1">
      <c r="A898" s="1"/>
      <c r="B898" s="1"/>
      <c r="C898" s="1"/>
      <c r="D898" s="1"/>
      <c r="E898" s="1"/>
      <c r="F898" s="1"/>
      <c r="G898" s="1"/>
      <c r="H898" s="4"/>
      <c r="I898" s="4"/>
      <c r="J898" s="4"/>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5.75" customHeight="1">
      <c r="A899" s="1"/>
      <c r="B899" s="1"/>
      <c r="C899" s="1"/>
      <c r="D899" s="1"/>
      <c r="E899" s="1"/>
      <c r="F899" s="1"/>
      <c r="G899" s="1"/>
      <c r="H899" s="4"/>
      <c r="I899" s="4"/>
      <c r="J899" s="4"/>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5.75" customHeight="1">
      <c r="A900" s="1"/>
      <c r="B900" s="1"/>
      <c r="C900" s="1"/>
      <c r="D900" s="1"/>
      <c r="E900" s="1"/>
      <c r="F900" s="1"/>
      <c r="G900" s="1"/>
      <c r="H900" s="4"/>
      <c r="I900" s="4"/>
      <c r="J900" s="4"/>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5.75" customHeight="1">
      <c r="A901" s="1"/>
      <c r="B901" s="1"/>
      <c r="C901" s="1"/>
      <c r="D901" s="1"/>
      <c r="E901" s="1"/>
      <c r="F901" s="1"/>
      <c r="G901" s="1"/>
      <c r="H901" s="4"/>
      <c r="I901" s="4"/>
      <c r="J901" s="4"/>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5.75" customHeight="1">
      <c r="A902" s="1"/>
      <c r="B902" s="1"/>
      <c r="C902" s="1"/>
      <c r="D902" s="1"/>
      <c r="E902" s="1"/>
      <c r="F902" s="1"/>
      <c r="G902" s="1"/>
      <c r="H902" s="4"/>
      <c r="I902" s="4"/>
      <c r="J902" s="4"/>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5.75" customHeight="1">
      <c r="A903" s="1"/>
      <c r="B903" s="1"/>
      <c r="C903" s="1"/>
      <c r="D903" s="1"/>
      <c r="E903" s="1"/>
      <c r="F903" s="1"/>
      <c r="G903" s="1"/>
      <c r="H903" s="4"/>
      <c r="I903" s="4"/>
      <c r="J903" s="4"/>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5.75" customHeight="1">
      <c r="A904" s="1"/>
      <c r="B904" s="1"/>
      <c r="C904" s="1"/>
      <c r="D904" s="1"/>
      <c r="E904" s="1"/>
      <c r="F904" s="1"/>
      <c r="G904" s="1"/>
      <c r="H904" s="4"/>
      <c r="I904" s="4"/>
      <c r="J904" s="4"/>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5.75" customHeight="1">
      <c r="A905" s="1"/>
      <c r="B905" s="1"/>
      <c r="C905" s="1"/>
      <c r="D905" s="1"/>
      <c r="E905" s="1"/>
      <c r="F905" s="1"/>
      <c r="G905" s="1"/>
      <c r="H905" s="4"/>
      <c r="I905" s="4"/>
      <c r="J905" s="4"/>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5.75" customHeight="1">
      <c r="A906" s="1"/>
      <c r="B906" s="1"/>
      <c r="C906" s="1"/>
      <c r="D906" s="1"/>
      <c r="E906" s="1"/>
      <c r="F906" s="1"/>
      <c r="G906" s="1"/>
      <c r="H906" s="4"/>
      <c r="I906" s="4"/>
      <c r="J906" s="4"/>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5.75" customHeight="1">
      <c r="A907" s="1"/>
      <c r="B907" s="1"/>
      <c r="C907" s="1"/>
      <c r="D907" s="1"/>
      <c r="E907" s="1"/>
      <c r="F907" s="1"/>
      <c r="G907" s="1"/>
      <c r="H907" s="4"/>
      <c r="I907" s="4"/>
      <c r="J907" s="4"/>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5.75" customHeight="1">
      <c r="A908" s="1"/>
      <c r="B908" s="1"/>
      <c r="C908" s="1"/>
      <c r="D908" s="1"/>
      <c r="E908" s="1"/>
      <c r="F908" s="1"/>
      <c r="G908" s="1"/>
      <c r="H908" s="4"/>
      <c r="I908" s="4"/>
      <c r="J908" s="4"/>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5.75" customHeight="1">
      <c r="A909" s="1"/>
      <c r="B909" s="1"/>
      <c r="C909" s="1"/>
      <c r="D909" s="1"/>
      <c r="E909" s="1"/>
      <c r="F909" s="1"/>
      <c r="G909" s="1"/>
      <c r="H909" s="4"/>
      <c r="I909" s="4"/>
      <c r="J909" s="4"/>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5.75" customHeight="1">
      <c r="A910" s="1"/>
      <c r="B910" s="1"/>
      <c r="C910" s="1"/>
      <c r="D910" s="1"/>
      <c r="E910" s="1"/>
      <c r="F910" s="1"/>
      <c r="G910" s="1"/>
      <c r="H910" s="4"/>
      <c r="I910" s="4"/>
      <c r="J910" s="4"/>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5.75" customHeight="1">
      <c r="A911" s="1"/>
      <c r="B911" s="1"/>
      <c r="C911" s="1"/>
      <c r="D911" s="1"/>
      <c r="E911" s="1"/>
      <c r="F911" s="1"/>
      <c r="G911" s="1"/>
      <c r="H911" s="4"/>
      <c r="I911" s="4"/>
      <c r="J911" s="4"/>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5.75" customHeight="1">
      <c r="A912" s="1"/>
      <c r="B912" s="1"/>
      <c r="C912" s="1"/>
      <c r="D912" s="1"/>
      <c r="E912" s="1"/>
      <c r="F912" s="1"/>
      <c r="G912" s="1"/>
      <c r="H912" s="4"/>
      <c r="I912" s="4"/>
      <c r="J912" s="4"/>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5.75" customHeight="1">
      <c r="A913" s="1"/>
      <c r="B913" s="1"/>
      <c r="C913" s="1"/>
      <c r="D913" s="1"/>
      <c r="E913" s="1"/>
      <c r="F913" s="1"/>
      <c r="G913" s="1"/>
      <c r="H913" s="4"/>
      <c r="I913" s="4"/>
      <c r="J913" s="4"/>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5.75" customHeight="1">
      <c r="A914" s="1"/>
      <c r="B914" s="1"/>
      <c r="C914" s="1"/>
      <c r="D914" s="1"/>
      <c r="E914" s="1"/>
      <c r="F914" s="1"/>
      <c r="G914" s="1"/>
      <c r="H914" s="4"/>
      <c r="I914" s="4"/>
      <c r="J914" s="4"/>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5.75" customHeight="1">
      <c r="A915" s="1"/>
      <c r="B915" s="1"/>
      <c r="C915" s="1"/>
      <c r="D915" s="1"/>
      <c r="E915" s="1"/>
      <c r="F915" s="1"/>
      <c r="G915" s="1"/>
      <c r="H915" s="4"/>
      <c r="I915" s="4"/>
      <c r="J915" s="4"/>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5.75" customHeight="1">
      <c r="A916" s="1"/>
      <c r="B916" s="1"/>
      <c r="C916" s="1"/>
      <c r="D916" s="1"/>
      <c r="E916" s="1"/>
      <c r="F916" s="1"/>
      <c r="G916" s="1"/>
      <c r="H916" s="4"/>
      <c r="I916" s="4"/>
      <c r="J916" s="4"/>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5.75" customHeight="1">
      <c r="A917" s="1"/>
      <c r="B917" s="1"/>
      <c r="C917" s="1"/>
      <c r="D917" s="1"/>
      <c r="E917" s="1"/>
      <c r="F917" s="1"/>
      <c r="G917" s="1"/>
      <c r="H917" s="4"/>
      <c r="I917" s="4"/>
      <c r="J917" s="4"/>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5.75" customHeight="1">
      <c r="A918" s="1"/>
      <c r="B918" s="1"/>
      <c r="C918" s="1"/>
      <c r="D918" s="1"/>
      <c r="E918" s="1"/>
      <c r="F918" s="1"/>
      <c r="G918" s="1"/>
      <c r="H918" s="4"/>
      <c r="I918" s="4"/>
      <c r="J918" s="4"/>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5.75" customHeight="1">
      <c r="A919" s="1"/>
      <c r="B919" s="1"/>
      <c r="C919" s="1"/>
      <c r="D919" s="1"/>
      <c r="E919" s="1"/>
      <c r="F919" s="1"/>
      <c r="G919" s="1"/>
      <c r="H919" s="4"/>
      <c r="I919" s="4"/>
      <c r="J919" s="4"/>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5.75" customHeight="1">
      <c r="A920" s="1"/>
      <c r="B920" s="1"/>
      <c r="C920" s="1"/>
      <c r="D920" s="1"/>
      <c r="E920" s="1"/>
      <c r="F920" s="1"/>
      <c r="G920" s="1"/>
      <c r="H920" s="4"/>
      <c r="I920" s="4"/>
      <c r="J920" s="4"/>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5.75" customHeight="1">
      <c r="A921" s="1"/>
      <c r="B921" s="1"/>
      <c r="C921" s="1"/>
      <c r="D921" s="1"/>
      <c r="E921" s="1"/>
      <c r="F921" s="1"/>
      <c r="G921" s="1"/>
      <c r="H921" s="4"/>
      <c r="I921" s="4"/>
      <c r="J921" s="4"/>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5.75" customHeight="1">
      <c r="A922" s="1"/>
      <c r="B922" s="1"/>
      <c r="C922" s="1"/>
      <c r="D922" s="1"/>
      <c r="E922" s="1"/>
      <c r="F922" s="1"/>
      <c r="G922" s="1"/>
      <c r="H922" s="4"/>
      <c r="I922" s="4"/>
      <c r="J922" s="4"/>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5.75" customHeight="1">
      <c r="A923" s="1"/>
      <c r="B923" s="1"/>
      <c r="C923" s="1"/>
      <c r="D923" s="1"/>
      <c r="E923" s="1"/>
      <c r="F923" s="1"/>
      <c r="G923" s="1"/>
      <c r="H923" s="4"/>
      <c r="I923" s="4"/>
      <c r="J923" s="4"/>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5.75" customHeight="1">
      <c r="A924" s="1"/>
      <c r="B924" s="1"/>
      <c r="C924" s="1"/>
      <c r="D924" s="1"/>
      <c r="E924" s="1"/>
      <c r="F924" s="1"/>
      <c r="G924" s="1"/>
      <c r="H924" s="4"/>
      <c r="I924" s="4"/>
      <c r="J924" s="4"/>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5.75" customHeight="1">
      <c r="A925" s="1"/>
      <c r="B925" s="1"/>
      <c r="C925" s="1"/>
      <c r="D925" s="1"/>
      <c r="E925" s="1"/>
      <c r="F925" s="1"/>
      <c r="G925" s="1"/>
      <c r="H925" s="4"/>
      <c r="I925" s="4"/>
      <c r="J925" s="4"/>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5.75" customHeight="1">
      <c r="A926" s="1"/>
      <c r="B926" s="1"/>
      <c r="C926" s="1"/>
      <c r="D926" s="1"/>
      <c r="E926" s="1"/>
      <c r="F926" s="1"/>
      <c r="G926" s="1"/>
      <c r="H926" s="4"/>
      <c r="I926" s="4"/>
      <c r="J926" s="4"/>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5.75" customHeight="1">
      <c r="A927" s="1"/>
      <c r="B927" s="1"/>
      <c r="C927" s="1"/>
      <c r="D927" s="1"/>
      <c r="E927" s="1"/>
      <c r="F927" s="1"/>
      <c r="G927" s="1"/>
      <c r="H927" s="4"/>
      <c r="I927" s="4"/>
      <c r="J927" s="4"/>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5.75" customHeight="1">
      <c r="A928" s="1"/>
      <c r="B928" s="1"/>
      <c r="C928" s="1"/>
      <c r="D928" s="1"/>
      <c r="E928" s="1"/>
      <c r="F928" s="1"/>
      <c r="G928" s="1"/>
      <c r="H928" s="4"/>
      <c r="I928" s="4"/>
      <c r="J928" s="4"/>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5.75" customHeight="1">
      <c r="A929" s="1"/>
      <c r="B929" s="1"/>
      <c r="C929" s="1"/>
      <c r="D929" s="1"/>
      <c r="E929" s="1"/>
      <c r="F929" s="1"/>
      <c r="G929" s="1"/>
      <c r="H929" s="4"/>
      <c r="I929" s="4"/>
      <c r="J929" s="4"/>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5.75" customHeight="1">
      <c r="A930" s="1"/>
      <c r="B930" s="1"/>
      <c r="C930" s="1"/>
      <c r="D930" s="1"/>
      <c r="E930" s="1"/>
      <c r="F930" s="1"/>
      <c r="G930" s="1"/>
      <c r="H930" s="4"/>
      <c r="I930" s="4"/>
      <c r="J930" s="4"/>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5.75" customHeight="1">
      <c r="A931" s="1"/>
      <c r="B931" s="1"/>
      <c r="C931" s="1"/>
      <c r="D931" s="1"/>
      <c r="E931" s="1"/>
      <c r="F931" s="1"/>
      <c r="G931" s="1"/>
      <c r="H931" s="4"/>
      <c r="I931" s="4"/>
      <c r="J931" s="4"/>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5.75" customHeight="1">
      <c r="A932" s="1"/>
      <c r="B932" s="1"/>
      <c r="C932" s="1"/>
      <c r="D932" s="1"/>
      <c r="E932" s="1"/>
      <c r="F932" s="1"/>
      <c r="G932" s="1"/>
      <c r="H932" s="4"/>
      <c r="I932" s="4"/>
      <c r="J932" s="4"/>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5.75" customHeight="1">
      <c r="A933" s="1"/>
      <c r="B933" s="1"/>
      <c r="C933" s="1"/>
      <c r="D933" s="1"/>
      <c r="E933" s="1"/>
      <c r="F933" s="1"/>
      <c r="G933" s="1"/>
      <c r="H933" s="4"/>
      <c r="I933" s="4"/>
      <c r="J933" s="4"/>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5.75" customHeight="1">
      <c r="A934" s="1"/>
      <c r="B934" s="1"/>
      <c r="C934" s="1"/>
      <c r="D934" s="1"/>
      <c r="E934" s="1"/>
      <c r="F934" s="1"/>
      <c r="G934" s="1"/>
      <c r="H934" s="4"/>
      <c r="I934" s="4"/>
      <c r="J934" s="4"/>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5.75" customHeight="1">
      <c r="A935" s="1"/>
      <c r="B935" s="1"/>
      <c r="C935" s="1"/>
      <c r="D935" s="1"/>
      <c r="E935" s="1"/>
      <c r="F935" s="1"/>
      <c r="G935" s="1"/>
      <c r="H935" s="4"/>
      <c r="I935" s="4"/>
      <c r="J935" s="4"/>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5.75" customHeight="1">
      <c r="A936" s="1"/>
      <c r="B936" s="1"/>
      <c r="C936" s="1"/>
      <c r="D936" s="1"/>
      <c r="E936" s="1"/>
      <c r="F936" s="1"/>
      <c r="G936" s="1"/>
      <c r="H936" s="4"/>
      <c r="I936" s="4"/>
      <c r="J936" s="4"/>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5.75" customHeight="1">
      <c r="A937" s="1"/>
      <c r="B937" s="1"/>
      <c r="C937" s="1"/>
      <c r="D937" s="1"/>
      <c r="E937" s="1"/>
      <c r="F937" s="1"/>
      <c r="G937" s="1"/>
      <c r="H937" s="4"/>
      <c r="I937" s="4"/>
      <c r="J937" s="4"/>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5.75" customHeight="1">
      <c r="A938" s="1"/>
      <c r="B938" s="1"/>
      <c r="C938" s="1"/>
      <c r="D938" s="1"/>
      <c r="E938" s="1"/>
      <c r="F938" s="1"/>
      <c r="G938" s="1"/>
      <c r="H938" s="4"/>
      <c r="I938" s="4"/>
      <c r="J938" s="4"/>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5.75" customHeight="1">
      <c r="A939" s="1"/>
      <c r="B939" s="1"/>
      <c r="C939" s="1"/>
      <c r="D939" s="1"/>
      <c r="E939" s="1"/>
      <c r="F939" s="1"/>
      <c r="G939" s="1"/>
      <c r="H939" s="4"/>
      <c r="I939" s="4"/>
      <c r="J939" s="4"/>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5.75" customHeight="1">
      <c r="A940" s="1"/>
      <c r="B940" s="1"/>
      <c r="C940" s="1"/>
      <c r="D940" s="1"/>
      <c r="E940" s="1"/>
      <c r="F940" s="1"/>
      <c r="G940" s="1"/>
      <c r="H940" s="4"/>
      <c r="I940" s="4"/>
      <c r="J940" s="4"/>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5.75" customHeight="1">
      <c r="A941" s="1"/>
      <c r="B941" s="1"/>
      <c r="C941" s="1"/>
      <c r="D941" s="1"/>
      <c r="E941" s="1"/>
      <c r="F941" s="1"/>
      <c r="G941" s="1"/>
      <c r="H941" s="4"/>
      <c r="I941" s="4"/>
      <c r="J941" s="4"/>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5.75" customHeight="1">
      <c r="A942" s="1"/>
      <c r="B942" s="1"/>
      <c r="C942" s="1"/>
      <c r="D942" s="1"/>
      <c r="E942" s="1"/>
      <c r="F942" s="1"/>
      <c r="G942" s="1"/>
      <c r="H942" s="4"/>
      <c r="I942" s="4"/>
      <c r="J942" s="4"/>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5.75" customHeight="1">
      <c r="A943" s="1"/>
      <c r="B943" s="1"/>
      <c r="C943" s="1"/>
      <c r="D943" s="1"/>
      <c r="E943" s="1"/>
      <c r="F943" s="1"/>
      <c r="G943" s="1"/>
      <c r="H943" s="4"/>
      <c r="I943" s="4"/>
      <c r="J943" s="4"/>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5.75" customHeight="1">
      <c r="A944" s="1"/>
      <c r="B944" s="1"/>
      <c r="C944" s="1"/>
      <c r="D944" s="1"/>
      <c r="E944" s="1"/>
      <c r="F944" s="1"/>
      <c r="G944" s="1"/>
      <c r="H944" s="4"/>
      <c r="I944" s="4"/>
      <c r="J944" s="4"/>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5.75" customHeight="1">
      <c r="A945" s="1"/>
      <c r="B945" s="1"/>
      <c r="C945" s="1"/>
      <c r="D945" s="1"/>
      <c r="E945" s="1"/>
      <c r="F945" s="1"/>
      <c r="G945" s="1"/>
      <c r="H945" s="4"/>
      <c r="I945" s="4"/>
      <c r="J945" s="4"/>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5.75" customHeight="1">
      <c r="A946" s="1"/>
      <c r="B946" s="1"/>
      <c r="C946" s="1"/>
      <c r="D946" s="1"/>
      <c r="E946" s="1"/>
      <c r="F946" s="1"/>
      <c r="G946" s="1"/>
      <c r="H946" s="4"/>
      <c r="I946" s="4"/>
      <c r="J946" s="4"/>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5.75" customHeight="1">
      <c r="A947" s="1"/>
      <c r="B947" s="1"/>
      <c r="C947" s="1"/>
      <c r="D947" s="1"/>
      <c r="E947" s="1"/>
      <c r="F947" s="1"/>
      <c r="G947" s="1"/>
      <c r="H947" s="4"/>
      <c r="I947" s="4"/>
      <c r="J947" s="4"/>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5.75" customHeight="1">
      <c r="A948" s="1"/>
      <c r="B948" s="1"/>
      <c r="C948" s="1"/>
      <c r="D948" s="1"/>
      <c r="E948" s="1"/>
      <c r="F948" s="1"/>
      <c r="G948" s="1"/>
      <c r="H948" s="4"/>
      <c r="I948" s="4"/>
      <c r="J948" s="4"/>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5.75" customHeight="1">
      <c r="A949" s="1"/>
      <c r="B949" s="1"/>
      <c r="C949" s="1"/>
      <c r="D949" s="1"/>
      <c r="E949" s="1"/>
      <c r="F949" s="1"/>
      <c r="G949" s="1"/>
      <c r="H949" s="4"/>
      <c r="I949" s="4"/>
      <c r="J949" s="4"/>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5.75" customHeight="1">
      <c r="A950" s="1"/>
      <c r="B950" s="1"/>
      <c r="C950" s="1"/>
      <c r="D950" s="1"/>
      <c r="E950" s="1"/>
      <c r="F950" s="1"/>
      <c r="G950" s="1"/>
      <c r="H950" s="4"/>
      <c r="I950" s="4"/>
      <c r="J950" s="4"/>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5.75" customHeight="1">
      <c r="A951" s="1"/>
      <c r="B951" s="1"/>
      <c r="C951" s="1"/>
      <c r="D951" s="1"/>
      <c r="E951" s="1"/>
      <c r="F951" s="1"/>
      <c r="G951" s="1"/>
      <c r="H951" s="4"/>
      <c r="I951" s="4"/>
      <c r="J951" s="4"/>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5.75" customHeight="1">
      <c r="A952" s="1"/>
      <c r="B952" s="1"/>
      <c r="C952" s="1"/>
      <c r="D952" s="1"/>
      <c r="E952" s="1"/>
      <c r="F952" s="1"/>
      <c r="G952" s="1"/>
      <c r="H952" s="4"/>
      <c r="I952" s="4"/>
      <c r="J952" s="4"/>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5.75" customHeight="1">
      <c r="A953" s="1"/>
      <c r="B953" s="1"/>
      <c r="C953" s="1"/>
      <c r="D953" s="1"/>
      <c r="E953" s="1"/>
      <c r="F953" s="1"/>
      <c r="G953" s="1"/>
      <c r="H953" s="4"/>
      <c r="I953" s="4"/>
      <c r="J953" s="4"/>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5.75" customHeight="1">
      <c r="A954" s="1"/>
      <c r="B954" s="1"/>
      <c r="C954" s="1"/>
      <c r="D954" s="1"/>
      <c r="E954" s="1"/>
      <c r="F954" s="1"/>
      <c r="G954" s="1"/>
      <c r="H954" s="4"/>
      <c r="I954" s="4"/>
      <c r="J954" s="4"/>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5.75" customHeight="1">
      <c r="A955" s="1"/>
      <c r="B955" s="1"/>
      <c r="C955" s="1"/>
      <c r="D955" s="1"/>
      <c r="E955" s="1"/>
      <c r="F955" s="1"/>
      <c r="G955" s="1"/>
      <c r="H955" s="4"/>
      <c r="I955" s="4"/>
      <c r="J955" s="4"/>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5.75" customHeight="1">
      <c r="A956" s="1"/>
      <c r="B956" s="1"/>
      <c r="C956" s="1"/>
      <c r="D956" s="1"/>
      <c r="E956" s="1"/>
      <c r="F956" s="1"/>
      <c r="G956" s="1"/>
      <c r="H956" s="4"/>
      <c r="I956" s="4"/>
      <c r="J956" s="4"/>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5.75" customHeight="1">
      <c r="A957" s="1"/>
      <c r="B957" s="1"/>
      <c r="C957" s="1"/>
      <c r="D957" s="1"/>
      <c r="E957" s="1"/>
      <c r="F957" s="1"/>
      <c r="G957" s="1"/>
      <c r="H957" s="4"/>
      <c r="I957" s="4"/>
      <c r="J957" s="4"/>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5.75" customHeight="1">
      <c r="A958" s="1"/>
      <c r="B958" s="1"/>
      <c r="C958" s="1"/>
      <c r="D958" s="1"/>
      <c r="E958" s="1"/>
      <c r="F958" s="1"/>
      <c r="G958" s="1"/>
      <c r="H958" s="4"/>
      <c r="I958" s="4"/>
      <c r="J958" s="4"/>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5.75" customHeight="1">
      <c r="A959" s="1"/>
      <c r="B959" s="1"/>
      <c r="C959" s="1"/>
      <c r="D959" s="1"/>
      <c r="E959" s="1"/>
      <c r="F959" s="1"/>
      <c r="G959" s="1"/>
      <c r="H959" s="4"/>
      <c r="I959" s="4"/>
      <c r="J959" s="4"/>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5.75" customHeight="1">
      <c r="A960" s="1"/>
      <c r="B960" s="1"/>
      <c r="C960" s="1"/>
      <c r="D960" s="1"/>
      <c r="E960" s="1"/>
      <c r="F960" s="1"/>
      <c r="G960" s="1"/>
      <c r="H960" s="4"/>
      <c r="I960" s="4"/>
      <c r="J960" s="4"/>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5.75" customHeight="1">
      <c r="A961" s="1"/>
      <c r="B961" s="1"/>
      <c r="C961" s="1"/>
      <c r="D961" s="1"/>
      <c r="E961" s="1"/>
      <c r="F961" s="1"/>
      <c r="G961" s="1"/>
      <c r="H961" s="4"/>
      <c r="I961" s="4"/>
      <c r="J961" s="4"/>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5.75" customHeight="1">
      <c r="A962" s="1"/>
      <c r="B962" s="1"/>
      <c r="C962" s="1"/>
      <c r="D962" s="1"/>
      <c r="E962" s="1"/>
      <c r="F962" s="1"/>
      <c r="G962" s="1"/>
      <c r="H962" s="4"/>
      <c r="I962" s="4"/>
      <c r="J962" s="4"/>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5.75" customHeight="1">
      <c r="A963" s="1"/>
      <c r="B963" s="1"/>
      <c r="C963" s="1"/>
      <c r="D963" s="1"/>
      <c r="E963" s="1"/>
      <c r="F963" s="1"/>
      <c r="G963" s="1"/>
      <c r="H963" s="4"/>
      <c r="I963" s="4"/>
      <c r="J963" s="4"/>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5.75" customHeight="1">
      <c r="A964" s="1"/>
      <c r="B964" s="1"/>
      <c r="C964" s="1"/>
      <c r="D964" s="1"/>
      <c r="E964" s="1"/>
      <c r="F964" s="1"/>
      <c r="G964" s="1"/>
      <c r="H964" s="4"/>
      <c r="I964" s="4"/>
      <c r="J964" s="4"/>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5.75" customHeight="1">
      <c r="A965" s="1"/>
      <c r="B965" s="1"/>
      <c r="C965" s="1"/>
      <c r="D965" s="1"/>
      <c r="E965" s="1"/>
      <c r="F965" s="1"/>
      <c r="G965" s="1"/>
      <c r="H965" s="4"/>
      <c r="I965" s="4"/>
      <c r="J965" s="4"/>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5.75" customHeight="1">
      <c r="A966" s="1"/>
      <c r="B966" s="1"/>
      <c r="C966" s="1"/>
      <c r="D966" s="1"/>
      <c r="E966" s="1"/>
      <c r="F966" s="1"/>
      <c r="G966" s="1"/>
      <c r="H966" s="4"/>
      <c r="I966" s="4"/>
      <c r="J966" s="4"/>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5.75" customHeight="1">
      <c r="A967" s="1"/>
      <c r="B967" s="1"/>
      <c r="C967" s="1"/>
      <c r="D967" s="1"/>
      <c r="E967" s="1"/>
      <c r="F967" s="1"/>
      <c r="G967" s="1"/>
      <c r="H967" s="4"/>
      <c r="I967" s="4"/>
      <c r="J967" s="4"/>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5.75" customHeight="1">
      <c r="A968" s="1"/>
      <c r="B968" s="1"/>
      <c r="C968" s="1"/>
      <c r="D968" s="1"/>
      <c r="E968" s="1"/>
      <c r="F968" s="1"/>
      <c r="G968" s="1"/>
      <c r="H968" s="4"/>
      <c r="I968" s="4"/>
      <c r="J968" s="4"/>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5.75" customHeight="1">
      <c r="A969" s="1"/>
      <c r="B969" s="1"/>
      <c r="C969" s="1"/>
      <c r="D969" s="1"/>
      <c r="E969" s="1"/>
      <c r="F969" s="1"/>
      <c r="G969" s="1"/>
      <c r="H969" s="4"/>
      <c r="I969" s="4"/>
      <c r="J969" s="4"/>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5.75" customHeight="1">
      <c r="A970" s="1"/>
      <c r="B970" s="1"/>
      <c r="C970" s="1"/>
      <c r="D970" s="1"/>
      <c r="E970" s="1"/>
      <c r="F970" s="1"/>
      <c r="G970" s="1"/>
      <c r="H970" s="4"/>
      <c r="I970" s="4"/>
      <c r="J970" s="4"/>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5.75" customHeight="1">
      <c r="A971" s="1"/>
      <c r="B971" s="1"/>
      <c r="C971" s="1"/>
      <c r="D971" s="1"/>
      <c r="E971" s="1"/>
      <c r="F971" s="1"/>
      <c r="G971" s="1"/>
      <c r="H971" s="4"/>
      <c r="I971" s="4"/>
      <c r="J971" s="4"/>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5.75" customHeight="1">
      <c r="A972" s="1"/>
      <c r="B972" s="1"/>
      <c r="C972" s="1"/>
      <c r="D972" s="1"/>
      <c r="E972" s="1"/>
      <c r="F972" s="1"/>
      <c r="G972" s="1"/>
      <c r="H972" s="4"/>
      <c r="I972" s="4"/>
      <c r="J972" s="4"/>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5.75" customHeight="1">
      <c r="A973" s="1"/>
      <c r="B973" s="1"/>
      <c r="C973" s="1"/>
      <c r="D973" s="1"/>
      <c r="E973" s="1"/>
      <c r="F973" s="1"/>
      <c r="G973" s="1"/>
      <c r="H973" s="4"/>
      <c r="I973" s="4"/>
      <c r="J973" s="4"/>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5.75" customHeight="1">
      <c r="A974" s="1"/>
      <c r="B974" s="1"/>
      <c r="C974" s="1"/>
      <c r="D974" s="1"/>
      <c r="E974" s="1"/>
      <c r="F974" s="1"/>
      <c r="G974" s="1"/>
      <c r="H974" s="4"/>
      <c r="I974" s="4"/>
      <c r="J974" s="4"/>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5.75" customHeight="1">
      <c r="A975" s="1"/>
      <c r="B975" s="1"/>
      <c r="C975" s="1"/>
      <c r="D975" s="1"/>
      <c r="E975" s="1"/>
      <c r="F975" s="1"/>
      <c r="G975" s="1"/>
      <c r="H975" s="4"/>
      <c r="I975" s="4"/>
      <c r="J975" s="4"/>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5.75" customHeight="1">
      <c r="A976" s="1"/>
      <c r="B976" s="1"/>
      <c r="C976" s="1"/>
      <c r="D976" s="1"/>
      <c r="E976" s="1"/>
      <c r="F976" s="1"/>
      <c r="G976" s="1"/>
      <c r="H976" s="4"/>
      <c r="I976" s="4"/>
      <c r="J976" s="4"/>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5.75" customHeight="1">
      <c r="A977" s="1"/>
      <c r="B977" s="1"/>
      <c r="C977" s="1"/>
      <c r="D977" s="1"/>
      <c r="E977" s="1"/>
      <c r="F977" s="1"/>
      <c r="G977" s="1"/>
      <c r="H977" s="4"/>
      <c r="I977" s="4"/>
      <c r="J977" s="4"/>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5.75" customHeight="1">
      <c r="A978" s="1"/>
      <c r="B978" s="1"/>
      <c r="C978" s="1"/>
      <c r="D978" s="1"/>
      <c r="E978" s="1"/>
      <c r="F978" s="1"/>
      <c r="G978" s="1"/>
      <c r="H978" s="4"/>
      <c r="I978" s="4"/>
      <c r="J978" s="4"/>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5.75" customHeight="1">
      <c r="A979" s="1"/>
      <c r="B979" s="1"/>
      <c r="C979" s="1"/>
      <c r="D979" s="1"/>
      <c r="E979" s="1"/>
      <c r="F979" s="1"/>
      <c r="G979" s="1"/>
      <c r="H979" s="4"/>
      <c r="I979" s="4"/>
      <c r="J979" s="4"/>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5.75" customHeight="1">
      <c r="A980" s="1"/>
      <c r="B980" s="1"/>
      <c r="C980" s="1"/>
      <c r="D980" s="1"/>
      <c r="E980" s="1"/>
      <c r="F980" s="1"/>
      <c r="G980" s="1"/>
      <c r="H980" s="4"/>
      <c r="I980" s="4"/>
      <c r="J980" s="4"/>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5.75" customHeight="1">
      <c r="A981" s="1"/>
      <c r="B981" s="1"/>
      <c r="C981" s="1"/>
      <c r="D981" s="1"/>
      <c r="E981" s="1"/>
      <c r="F981" s="1"/>
      <c r="G981" s="1"/>
      <c r="H981" s="4"/>
      <c r="I981" s="4"/>
      <c r="J981" s="4"/>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5.75" customHeight="1">
      <c r="A982" s="1"/>
      <c r="B982" s="1"/>
      <c r="C982" s="1"/>
      <c r="D982" s="1"/>
      <c r="E982" s="1"/>
      <c r="F982" s="1"/>
      <c r="G982" s="1"/>
      <c r="H982" s="4"/>
      <c r="I982" s="4"/>
      <c r="J982" s="4"/>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5.75" customHeight="1">
      <c r="A983" s="1"/>
      <c r="B983" s="1"/>
      <c r="C983" s="1"/>
      <c r="D983" s="1"/>
      <c r="E983" s="1"/>
      <c r="F983" s="1"/>
      <c r="G983" s="1"/>
      <c r="H983" s="4"/>
      <c r="I983" s="4"/>
      <c r="J983" s="4"/>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5.75" customHeight="1">
      <c r="A984" s="1"/>
      <c r="B984" s="1"/>
      <c r="C984" s="1"/>
      <c r="D984" s="1"/>
      <c r="E984" s="1"/>
      <c r="F984" s="1"/>
      <c r="G984" s="1"/>
      <c r="H984" s="4"/>
      <c r="I984" s="4"/>
      <c r="J984" s="4"/>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5.75" customHeight="1">
      <c r="A985" s="1"/>
      <c r="B985" s="1"/>
      <c r="C985" s="1"/>
      <c r="D985" s="1"/>
      <c r="E985" s="1"/>
      <c r="F985" s="1"/>
      <c r="G985" s="1"/>
      <c r="H985" s="4"/>
      <c r="I985" s="4"/>
      <c r="J985" s="4"/>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5.75" customHeight="1">
      <c r="A986" s="1"/>
      <c r="B986" s="1"/>
      <c r="C986" s="1"/>
      <c r="D986" s="1"/>
      <c r="E986" s="1"/>
      <c r="F986" s="1"/>
      <c r="G986" s="1"/>
      <c r="H986" s="4"/>
      <c r="I986" s="4"/>
      <c r="J986" s="4"/>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5.75" customHeight="1">
      <c r="A987" s="1"/>
      <c r="B987" s="1"/>
      <c r="C987" s="1"/>
      <c r="D987" s="1"/>
      <c r="E987" s="1"/>
      <c r="F987" s="1"/>
      <c r="G987" s="1"/>
      <c r="H987" s="4"/>
      <c r="I987" s="4"/>
      <c r="J987" s="4"/>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5.75" customHeight="1">
      <c r="A988" s="1"/>
      <c r="B988" s="1"/>
      <c r="C988" s="1"/>
      <c r="D988" s="1"/>
      <c r="E988" s="1"/>
      <c r="F988" s="1"/>
      <c r="G988" s="1"/>
      <c r="H988" s="4"/>
      <c r="I988" s="4"/>
      <c r="J988" s="4"/>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5.75" customHeight="1">
      <c r="A989" s="1"/>
      <c r="B989" s="1"/>
      <c r="C989" s="1"/>
      <c r="D989" s="1"/>
      <c r="E989" s="1"/>
      <c r="F989" s="1"/>
      <c r="G989" s="1"/>
      <c r="H989" s="4"/>
      <c r="I989" s="4"/>
      <c r="J989" s="4"/>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5.75" customHeight="1">
      <c r="A990" s="1"/>
      <c r="B990" s="1"/>
      <c r="C990" s="1"/>
      <c r="D990" s="1"/>
      <c r="E990" s="1"/>
      <c r="F990" s="1"/>
      <c r="G990" s="1"/>
      <c r="H990" s="4"/>
      <c r="I990" s="4"/>
      <c r="J990" s="4"/>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5.75" customHeight="1">
      <c r="A991" s="1"/>
      <c r="B991" s="1"/>
      <c r="C991" s="1"/>
      <c r="D991" s="1"/>
      <c r="E991" s="1"/>
      <c r="F991" s="1"/>
      <c r="G991" s="1"/>
      <c r="H991" s="4"/>
      <c r="I991" s="4"/>
      <c r="J991" s="4"/>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5.75" customHeight="1">
      <c r="A992" s="1"/>
      <c r="B992" s="1"/>
      <c r="C992" s="1"/>
      <c r="D992" s="1"/>
      <c r="E992" s="1"/>
      <c r="F992" s="1"/>
      <c r="G992" s="1"/>
      <c r="H992" s="4"/>
      <c r="I992" s="4"/>
      <c r="J992" s="4"/>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5.75" customHeight="1">
      <c r="A993" s="1"/>
      <c r="B993" s="1"/>
      <c r="C993" s="1"/>
      <c r="D993" s="1"/>
      <c r="E993" s="1"/>
      <c r="F993" s="1"/>
      <c r="G993" s="1"/>
      <c r="H993" s="4"/>
      <c r="I993" s="4"/>
      <c r="J993" s="4"/>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5.75" customHeight="1">
      <c r="A994" s="1"/>
      <c r="B994" s="1"/>
      <c r="C994" s="1"/>
      <c r="D994" s="1"/>
      <c r="E994" s="1"/>
      <c r="F994" s="1"/>
      <c r="G994" s="1"/>
      <c r="H994" s="4"/>
      <c r="I994" s="4"/>
      <c r="J994" s="4"/>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5.75" customHeight="1">
      <c r="A995" s="1"/>
      <c r="B995" s="1"/>
      <c r="C995" s="1"/>
      <c r="D995" s="1"/>
      <c r="E995" s="1"/>
      <c r="F995" s="1"/>
      <c r="G995" s="1"/>
      <c r="H995" s="4"/>
      <c r="I995" s="4"/>
      <c r="J995" s="4"/>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5.75" customHeight="1">
      <c r="A996" s="1"/>
      <c r="B996" s="1"/>
      <c r="C996" s="1"/>
      <c r="D996" s="1"/>
      <c r="E996" s="1"/>
      <c r="F996" s="1"/>
      <c r="G996" s="1"/>
      <c r="H996" s="4"/>
      <c r="I996" s="4"/>
      <c r="J996" s="4"/>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5.75" customHeight="1">
      <c r="A997" s="1"/>
      <c r="B997" s="1"/>
      <c r="C997" s="1"/>
      <c r="D997" s="1"/>
      <c r="E997" s="1"/>
      <c r="F997" s="1"/>
      <c r="G997" s="1"/>
      <c r="H997" s="4"/>
      <c r="I997" s="4"/>
      <c r="J997" s="4"/>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5.75" customHeight="1">
      <c r="A998" s="1"/>
      <c r="B998" s="1"/>
      <c r="C998" s="1"/>
      <c r="D998" s="1"/>
      <c r="E998" s="1"/>
      <c r="F998" s="1"/>
      <c r="G998" s="1"/>
      <c r="H998" s="4"/>
      <c r="I998" s="4"/>
      <c r="J998" s="4"/>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5.75" customHeight="1">
      <c r="A999" s="1"/>
      <c r="B999" s="1"/>
      <c r="C999" s="1"/>
      <c r="D999" s="1"/>
      <c r="E999" s="1"/>
      <c r="F999" s="1"/>
      <c r="G999" s="1"/>
      <c r="H999" s="4"/>
      <c r="I999" s="4"/>
      <c r="J999" s="4"/>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5.75" customHeight="1">
      <c r="A1000" s="1"/>
      <c r="B1000" s="1"/>
      <c r="C1000" s="1"/>
      <c r="D1000" s="1"/>
      <c r="E1000" s="1"/>
      <c r="F1000" s="1"/>
      <c r="G1000" s="1"/>
      <c r="H1000" s="4"/>
      <c r="I1000" s="4"/>
      <c r="J1000" s="4"/>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12">
    <mergeCell ref="A16:A17"/>
    <mergeCell ref="A19:R19"/>
    <mergeCell ref="A1:H1"/>
    <mergeCell ref="B2:H2"/>
    <mergeCell ref="A3:H3"/>
    <mergeCell ref="A4:H4"/>
    <mergeCell ref="B6:C6"/>
    <mergeCell ref="D6:D7"/>
    <mergeCell ref="H6:H7"/>
    <mergeCell ref="E6:F6"/>
    <mergeCell ref="G6:G7"/>
    <mergeCell ref="A6:A8"/>
  </mergeCells>
  <printOptions horizontalCentered="1" verticalCentered="1"/>
  <pageMargins left="0.59055118110236204" right="0.118110236220472" top="0.23622047244094499" bottom="0.74803149606299202" header="0" footer="0"/>
  <pageSetup paperSize="9" scale="43"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CO-PO mapping summary</vt:lpstr>
      <vt:lpstr>COPO_Th_Pr_Oth</vt:lpstr>
      <vt:lpstr>Lesson Planning</vt:lpstr>
      <vt:lpstr>Lab Planning</vt:lpstr>
      <vt:lpstr>CO-PO-PSO</vt:lpstr>
      <vt:lpstr>CO-PO Mapping</vt:lpstr>
      <vt:lpstr>Students Details</vt:lpstr>
      <vt:lpstr>M Component</vt:lpstr>
      <vt:lpstr>I Component</vt:lpstr>
      <vt:lpstr>M</vt:lpstr>
      <vt:lpstr>I</vt:lpstr>
      <vt:lpstr>E</vt:lpstr>
      <vt:lpstr>V</vt:lpstr>
      <vt:lpstr>Attainment</vt:lpstr>
      <vt:lpstr>COPO_Th_Pr_Oth!Print_Area</vt:lpstr>
      <vt:lpstr>'CO-PO-PSO'!Print_Area</vt:lpstr>
      <vt:lpstr>COPO_Th_Pr_Oth!Print_Titles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DKO</dc:creator>
  <cp:lastModifiedBy>I Know</cp:lastModifiedBy>
  <dcterms:created xsi:type="dcterms:W3CDTF">2018-11-05T07:10:00Z</dcterms:created>
  <dcterms:modified xsi:type="dcterms:W3CDTF">2026-01-10T12:09:31Z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79A309660B01494BA469BF816382FA6F</vt:lpwstr>
  </property>
  <property fmtid="{D5CDD505-2E9C-101B-9397-08002B2CF9AE}" pid="3" name="KSOProductBuildVer">
    <vt:lpwstr>1033-11.2.0.10463</vt:lpwstr>
  </property>
</Properties>
</file>